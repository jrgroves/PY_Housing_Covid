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jects\PY_Housing_Covid\Analysis\Paper\"/>
    </mc:Choice>
  </mc:AlternateContent>
  <xr:revisionPtr revIDLastSave="0" documentId="13_ncr:1_{5D12D5D5-2BE3-4B54-81F3-A75E5C421305}" xr6:coauthVersionLast="47" xr6:coauthVersionMax="47" xr10:uidLastSave="{00000000-0000-0000-0000-000000000000}"/>
  <bookViews>
    <workbookView xWindow="-120" yWindow="-120" windowWidth="29040" windowHeight="15990" activeTab="3" xr2:uid="{48A4CCAE-0847-4C78-9634-78F6030D6BD2}"/>
  </bookViews>
  <sheets>
    <sheet name="Full Sample-No Sub" sheetId="1" r:id="rId1"/>
    <sheet name="Full Sample-Townhouse" sheetId="3" r:id="rId2"/>
    <sheet name="Full Sample-Single Family" sheetId="10" r:id="rId3"/>
    <sheet name="Small Sample 1-No Sub" sheetId="19" r:id="rId4"/>
    <sheet name="Small Sample 1-Townhouse" sheetId="20" r:id="rId5"/>
    <sheet name="Small Sample 1-Single Family" sheetId="21" r:id="rId6"/>
    <sheet name="Small Sample 2-No Sub" sheetId="22" r:id="rId7"/>
    <sheet name="Small Sample 2-Townhouse" sheetId="23" r:id="rId8"/>
    <sheet name="Small Sample 2-Single Family" sheetId="24" r:id="rId9"/>
    <sheet name="Table One" sheetId="2" r:id="rId10"/>
    <sheet name="Table Two (a)" sheetId="28" r:id="rId11"/>
    <sheet name="Table One Townhouse" sheetId="26" r:id="rId12"/>
    <sheet name="Table One Single Family" sheetId="27" r:id="rId13"/>
    <sheet name="Reg1" sheetId="4" r:id="rId14"/>
    <sheet name="Reg1_Robust" sheetId="30" r:id="rId15"/>
    <sheet name="Table 3" sheetId="29" r:id="rId16"/>
    <sheet name="Reg1_ct" sheetId="31" r:id="rId17"/>
    <sheet name="Reg1_ct_Robust" sheetId="32" r:id="rId18"/>
    <sheet name="Reg2_ct_last_rob" sheetId="33" r:id="rId19"/>
    <sheet name="Reg2_ct_first_rob" sheetId="34" r:id="rId20"/>
    <sheet name="Reg1_sf" sheetId="36" r:id="rId21"/>
    <sheet name="Reg1_sf_Robust" sheetId="37" r:id="rId22"/>
    <sheet name="Reg2_sf_first_rob" sheetId="38" r:id="rId23"/>
    <sheet name="Reg2_sf_last_rob" sheetId="39" r:id="rId24"/>
    <sheet name="Table Four" sheetId="35" r:id="rId25"/>
  </sheets>
  <definedNames>
    <definedName name="_xlnm.Print_Area" localSheetId="9">'Table One'!$A$2:$Z$76</definedName>
    <definedName name="_xlnm.Print_Area" localSheetId="12">'Table One Single Family'!$A$2:$Z$81</definedName>
    <definedName name="_xlnm.Print_Area" localSheetId="11">'Table One Townhouse'!$A$2:$Z$81</definedName>
    <definedName name="_xlnm.Print_Area" localSheetId="10">'Table Two (a)'!$A$2:$Z$76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35" l="1"/>
  <c r="K7" i="35" s="1"/>
  <c r="I61" i="35"/>
  <c r="I60" i="35"/>
  <c r="H61" i="35"/>
  <c r="H60" i="35"/>
  <c r="I125" i="35"/>
  <c r="H125" i="35"/>
  <c r="I124" i="35"/>
  <c r="H124" i="35"/>
  <c r="I123" i="35"/>
  <c r="H123" i="35"/>
  <c r="I122" i="35"/>
  <c r="H122" i="35"/>
  <c r="I121" i="35"/>
  <c r="H121" i="35"/>
  <c r="I120" i="35"/>
  <c r="H120" i="35"/>
  <c r="I119" i="35"/>
  <c r="H119" i="35"/>
  <c r="I118" i="35"/>
  <c r="H118" i="35"/>
  <c r="I117" i="35"/>
  <c r="H117" i="35"/>
  <c r="I116" i="35"/>
  <c r="H116" i="35"/>
  <c r="I115" i="35"/>
  <c r="H115" i="35"/>
  <c r="I114" i="35"/>
  <c r="H114" i="35"/>
  <c r="I113" i="35"/>
  <c r="H113" i="35"/>
  <c r="I112" i="35"/>
  <c r="H112" i="35"/>
  <c r="I111" i="35"/>
  <c r="H111" i="35"/>
  <c r="I110" i="35"/>
  <c r="H110" i="35"/>
  <c r="I109" i="35"/>
  <c r="H109" i="35"/>
  <c r="I108" i="35"/>
  <c r="H108" i="35"/>
  <c r="I107" i="35"/>
  <c r="H107" i="35"/>
  <c r="I106" i="35"/>
  <c r="H106" i="35"/>
  <c r="I105" i="35"/>
  <c r="H105" i="35"/>
  <c r="I104" i="35"/>
  <c r="H104" i="35"/>
  <c r="I103" i="35"/>
  <c r="H103" i="35"/>
  <c r="I102" i="35"/>
  <c r="H102" i="35"/>
  <c r="I101" i="35"/>
  <c r="H101" i="35"/>
  <c r="I100" i="35"/>
  <c r="H100" i="35"/>
  <c r="I99" i="35"/>
  <c r="H99" i="35"/>
  <c r="I98" i="35"/>
  <c r="H98" i="35"/>
  <c r="I97" i="35"/>
  <c r="H97" i="35"/>
  <c r="I96" i="35"/>
  <c r="H96" i="35"/>
  <c r="I95" i="35"/>
  <c r="H95" i="35"/>
  <c r="I94" i="35"/>
  <c r="H94" i="35"/>
  <c r="I93" i="35"/>
  <c r="H93" i="35"/>
  <c r="I92" i="35"/>
  <c r="H92" i="35"/>
  <c r="I91" i="35"/>
  <c r="H91" i="35"/>
  <c r="I90" i="35"/>
  <c r="H90" i="35"/>
  <c r="I89" i="35"/>
  <c r="H89" i="35"/>
  <c r="I88" i="35"/>
  <c r="H88" i="35"/>
  <c r="I87" i="35"/>
  <c r="H87" i="35"/>
  <c r="I86" i="35"/>
  <c r="H86" i="35"/>
  <c r="I85" i="35"/>
  <c r="H85" i="35"/>
  <c r="I84" i="35"/>
  <c r="H84" i="35"/>
  <c r="I83" i="35"/>
  <c r="H83" i="35"/>
  <c r="I82" i="35"/>
  <c r="H82" i="35"/>
  <c r="I81" i="35"/>
  <c r="H81" i="35"/>
  <c r="I80" i="35"/>
  <c r="H80" i="35"/>
  <c r="I79" i="35"/>
  <c r="H79" i="35"/>
  <c r="I78" i="35"/>
  <c r="H78" i="35"/>
  <c r="I77" i="35"/>
  <c r="H77" i="35"/>
  <c r="I76" i="35"/>
  <c r="H76" i="35"/>
  <c r="I75" i="35"/>
  <c r="H75" i="35"/>
  <c r="I74" i="35"/>
  <c r="H74" i="35"/>
  <c r="I73" i="35"/>
  <c r="H73" i="35"/>
  <c r="I72" i="35"/>
  <c r="H72" i="35"/>
  <c r="I71" i="35"/>
  <c r="H71" i="35"/>
  <c r="I70" i="35"/>
  <c r="H70" i="35"/>
  <c r="I69" i="35"/>
  <c r="H69" i="35"/>
  <c r="I68" i="35"/>
  <c r="H68" i="35"/>
  <c r="I67" i="35"/>
  <c r="H67" i="35"/>
  <c r="I66" i="35"/>
  <c r="H66" i="35"/>
  <c r="I65" i="35"/>
  <c r="H65" i="35"/>
  <c r="I64" i="35"/>
  <c r="H64" i="35"/>
  <c r="I51" i="35"/>
  <c r="H51" i="35"/>
  <c r="I50" i="35"/>
  <c r="H50" i="35"/>
  <c r="I49" i="35"/>
  <c r="H49" i="35"/>
  <c r="I48" i="35"/>
  <c r="H48" i="35"/>
  <c r="I47" i="35"/>
  <c r="H47" i="35"/>
  <c r="I46" i="35"/>
  <c r="H46" i="35"/>
  <c r="I45" i="35"/>
  <c r="H45" i="35"/>
  <c r="I44" i="35"/>
  <c r="H44" i="35"/>
  <c r="I43" i="35"/>
  <c r="H43" i="35"/>
  <c r="I42" i="35"/>
  <c r="H42" i="35"/>
  <c r="I41" i="35"/>
  <c r="H41" i="35"/>
  <c r="I40" i="35"/>
  <c r="H40" i="35"/>
  <c r="I39" i="35"/>
  <c r="H39" i="35"/>
  <c r="I38" i="35"/>
  <c r="H38" i="35"/>
  <c r="I37" i="35"/>
  <c r="H37" i="35"/>
  <c r="I36" i="35"/>
  <c r="H36" i="35"/>
  <c r="I35" i="35"/>
  <c r="H35" i="35"/>
  <c r="I34" i="35"/>
  <c r="H34" i="35"/>
  <c r="I33" i="35"/>
  <c r="H33" i="35"/>
  <c r="I32" i="35"/>
  <c r="H32" i="35"/>
  <c r="I31" i="35"/>
  <c r="H31" i="35"/>
  <c r="I30" i="35"/>
  <c r="H30" i="35"/>
  <c r="I29" i="35"/>
  <c r="H29" i="35"/>
  <c r="I28" i="35"/>
  <c r="H28" i="35"/>
  <c r="I27" i="35"/>
  <c r="H27" i="35"/>
  <c r="I26" i="35"/>
  <c r="H26" i="35"/>
  <c r="I25" i="35"/>
  <c r="H25" i="35"/>
  <c r="I24" i="35"/>
  <c r="H24" i="35"/>
  <c r="I23" i="35"/>
  <c r="H23" i="35"/>
  <c r="I22" i="35"/>
  <c r="H22" i="35"/>
  <c r="I21" i="35"/>
  <c r="H21" i="35"/>
  <c r="I20" i="35"/>
  <c r="H20" i="35"/>
  <c r="I19" i="35"/>
  <c r="H19" i="35"/>
  <c r="I18" i="35"/>
  <c r="H18" i="35"/>
  <c r="I17" i="35"/>
  <c r="H17" i="35"/>
  <c r="I16" i="35"/>
  <c r="H16" i="35"/>
  <c r="I15" i="35"/>
  <c r="H15" i="35"/>
  <c r="I14" i="35"/>
  <c r="H14" i="35"/>
  <c r="I13" i="35"/>
  <c r="H13" i="35"/>
  <c r="I12" i="35"/>
  <c r="H12" i="35"/>
  <c r="I11" i="35"/>
  <c r="H11" i="35"/>
  <c r="I10" i="35"/>
  <c r="H10" i="35"/>
  <c r="I9" i="35"/>
  <c r="H9" i="35"/>
  <c r="I8" i="35"/>
  <c r="H8" i="35"/>
  <c r="I7" i="35"/>
  <c r="H7" i="35"/>
  <c r="I6" i="35"/>
  <c r="H6" i="35"/>
  <c r="AG66" i="39"/>
  <c r="AF66" i="39"/>
  <c r="AE66" i="39"/>
  <c r="AD66" i="39"/>
  <c r="AC66" i="39"/>
  <c r="AB66" i="39"/>
  <c r="AG65" i="39"/>
  <c r="AF65" i="39"/>
  <c r="AE65" i="39"/>
  <c r="AD65" i="39"/>
  <c r="AC65" i="39"/>
  <c r="AB65" i="39"/>
  <c r="AG64" i="39"/>
  <c r="AF64" i="39"/>
  <c r="AE64" i="39"/>
  <c r="AD64" i="39"/>
  <c r="AC64" i="39"/>
  <c r="AB64" i="39"/>
  <c r="AG63" i="39"/>
  <c r="AF63" i="39"/>
  <c r="AE63" i="39"/>
  <c r="AD63" i="39"/>
  <c r="AC63" i="39"/>
  <c r="AB63" i="39"/>
  <c r="AG62" i="39"/>
  <c r="AF62" i="39"/>
  <c r="AE62" i="39"/>
  <c r="AD62" i="39"/>
  <c r="AC62" i="39"/>
  <c r="AB62" i="39"/>
  <c r="AG61" i="39"/>
  <c r="AF61" i="39"/>
  <c r="AE61" i="39"/>
  <c r="AD61" i="39"/>
  <c r="AC61" i="39"/>
  <c r="AB61" i="39"/>
  <c r="AG60" i="39"/>
  <c r="AF60" i="39"/>
  <c r="AE60" i="39"/>
  <c r="AD60" i="39"/>
  <c r="AC60" i="39"/>
  <c r="AB60" i="39"/>
  <c r="AG59" i="39"/>
  <c r="AF59" i="39"/>
  <c r="AE59" i="39"/>
  <c r="AD59" i="39"/>
  <c r="AC59" i="39"/>
  <c r="AB59" i="39"/>
  <c r="AG58" i="39"/>
  <c r="AF58" i="39"/>
  <c r="AE58" i="39"/>
  <c r="AD58" i="39"/>
  <c r="AC58" i="39"/>
  <c r="AB58" i="39"/>
  <c r="AG57" i="39"/>
  <c r="AF57" i="39"/>
  <c r="AE57" i="39"/>
  <c r="AD57" i="39"/>
  <c r="AC57" i="39"/>
  <c r="AB57" i="39"/>
  <c r="AG56" i="39"/>
  <c r="AF56" i="39"/>
  <c r="AE56" i="39"/>
  <c r="AD56" i="39"/>
  <c r="AC56" i="39"/>
  <c r="AB56" i="39"/>
  <c r="AG55" i="39"/>
  <c r="AF55" i="39"/>
  <c r="AE55" i="39"/>
  <c r="AD55" i="39"/>
  <c r="AC55" i="39"/>
  <c r="AB55" i="39"/>
  <c r="AG54" i="39"/>
  <c r="AF54" i="39"/>
  <c r="AE54" i="39"/>
  <c r="AD54" i="39"/>
  <c r="AC54" i="39"/>
  <c r="AB54" i="39"/>
  <c r="AG53" i="39"/>
  <c r="AF53" i="39"/>
  <c r="AE53" i="39"/>
  <c r="AD53" i="39"/>
  <c r="AC53" i="39"/>
  <c r="AB53" i="39"/>
  <c r="AG52" i="39"/>
  <c r="AF52" i="39"/>
  <c r="AE52" i="39"/>
  <c r="AD52" i="39"/>
  <c r="AC52" i="39"/>
  <c r="AB52" i="39"/>
  <c r="AG51" i="39"/>
  <c r="AF51" i="39"/>
  <c r="AE51" i="39"/>
  <c r="AD51" i="39"/>
  <c r="AC51" i="39"/>
  <c r="AB51" i="39"/>
  <c r="AG50" i="39"/>
  <c r="AF50" i="39"/>
  <c r="AE50" i="39"/>
  <c r="AD50" i="39"/>
  <c r="AC50" i="39"/>
  <c r="AB50" i="39"/>
  <c r="AG49" i="39"/>
  <c r="AF49" i="39"/>
  <c r="AE49" i="39"/>
  <c r="AD49" i="39"/>
  <c r="AC49" i="39"/>
  <c r="AB49" i="39"/>
  <c r="AG48" i="39"/>
  <c r="AF48" i="39"/>
  <c r="AE48" i="39"/>
  <c r="AD48" i="39"/>
  <c r="AC48" i="39"/>
  <c r="AB48" i="39"/>
  <c r="AG47" i="39"/>
  <c r="AF47" i="39"/>
  <c r="AE47" i="39"/>
  <c r="AD47" i="39"/>
  <c r="AC47" i="39"/>
  <c r="AB47" i="39"/>
  <c r="AG46" i="39"/>
  <c r="AF46" i="39"/>
  <c r="AE46" i="39"/>
  <c r="AD46" i="39"/>
  <c r="AC46" i="39"/>
  <c r="AB46" i="39"/>
  <c r="AG45" i="39"/>
  <c r="AF45" i="39"/>
  <c r="AE45" i="39"/>
  <c r="AD45" i="39"/>
  <c r="AC45" i="39"/>
  <c r="AB45" i="39"/>
  <c r="AG44" i="39"/>
  <c r="AF44" i="39"/>
  <c r="AE44" i="39"/>
  <c r="AD44" i="39"/>
  <c r="AC44" i="39"/>
  <c r="AB44" i="39"/>
  <c r="AG43" i="39"/>
  <c r="AF43" i="39"/>
  <c r="AE43" i="39"/>
  <c r="AD43" i="39"/>
  <c r="AC43" i="39"/>
  <c r="AB43" i="39"/>
  <c r="AG42" i="39"/>
  <c r="AF42" i="39"/>
  <c r="AE42" i="39"/>
  <c r="AD42" i="39"/>
  <c r="AC42" i="39"/>
  <c r="AB42" i="39"/>
  <c r="AG41" i="39"/>
  <c r="AF41" i="39"/>
  <c r="AE41" i="39"/>
  <c r="AD41" i="39"/>
  <c r="AC41" i="39"/>
  <c r="AB41" i="39"/>
  <c r="AG40" i="39"/>
  <c r="AF40" i="39"/>
  <c r="AE40" i="39"/>
  <c r="AD40" i="39"/>
  <c r="AC40" i="39"/>
  <c r="AB40" i="39"/>
  <c r="AG39" i="39"/>
  <c r="AF39" i="39"/>
  <c r="AE39" i="39"/>
  <c r="AD39" i="39"/>
  <c r="AC39" i="39"/>
  <c r="AB39" i="39"/>
  <c r="AG38" i="39"/>
  <c r="AF38" i="39"/>
  <c r="AE38" i="39"/>
  <c r="AD38" i="39"/>
  <c r="AC38" i="39"/>
  <c r="AB38" i="39"/>
  <c r="AG37" i="39"/>
  <c r="AF37" i="39"/>
  <c r="AE37" i="39"/>
  <c r="AD37" i="39"/>
  <c r="AC37" i="39"/>
  <c r="AB37" i="39"/>
  <c r="AG36" i="39"/>
  <c r="AF36" i="39"/>
  <c r="AE36" i="39"/>
  <c r="AD36" i="39"/>
  <c r="AC36" i="39"/>
  <c r="AB36" i="39"/>
  <c r="AG34" i="39"/>
  <c r="AF34" i="39"/>
  <c r="AE34" i="39"/>
  <c r="AD34" i="39"/>
  <c r="AC34" i="39"/>
  <c r="AB34" i="39"/>
  <c r="AG33" i="39"/>
  <c r="AF33" i="39"/>
  <c r="AE33" i="39"/>
  <c r="AD33" i="39"/>
  <c r="AC33" i="39"/>
  <c r="AB33" i="39"/>
  <c r="AG32" i="39"/>
  <c r="AF32" i="39"/>
  <c r="AE32" i="39"/>
  <c r="AD32" i="39"/>
  <c r="AC32" i="39"/>
  <c r="AB32" i="39"/>
  <c r="AG30" i="39"/>
  <c r="AF30" i="39"/>
  <c r="AE30" i="39"/>
  <c r="AD30" i="39"/>
  <c r="AC30" i="39"/>
  <c r="AB30" i="39"/>
  <c r="AG25" i="39"/>
  <c r="AF25" i="39"/>
  <c r="AE25" i="39"/>
  <c r="AD25" i="39"/>
  <c r="AC25" i="39"/>
  <c r="AB25" i="39"/>
  <c r="AG24" i="39"/>
  <c r="AF24" i="39"/>
  <c r="AE24" i="39"/>
  <c r="AD24" i="39"/>
  <c r="AC24" i="39"/>
  <c r="AB24" i="39"/>
  <c r="AG23" i="39"/>
  <c r="AF23" i="39"/>
  <c r="AE23" i="39"/>
  <c r="AD23" i="39"/>
  <c r="AC23" i="39"/>
  <c r="AB23" i="39"/>
  <c r="AG22" i="39"/>
  <c r="AF22" i="39"/>
  <c r="AE22" i="39"/>
  <c r="AD22" i="39"/>
  <c r="AC22" i="39"/>
  <c r="AB22" i="39"/>
  <c r="AG21" i="39"/>
  <c r="AF21" i="39"/>
  <c r="AE21" i="39"/>
  <c r="AD21" i="39"/>
  <c r="AC21" i="39"/>
  <c r="AB21" i="39"/>
  <c r="AG20" i="39"/>
  <c r="AF20" i="39"/>
  <c r="AE20" i="39"/>
  <c r="AD20" i="39"/>
  <c r="AC20" i="39"/>
  <c r="AB20" i="39"/>
  <c r="AG19" i="39"/>
  <c r="AF19" i="39"/>
  <c r="AE19" i="39"/>
  <c r="AD19" i="39"/>
  <c r="AC19" i="39"/>
  <c r="AB19" i="39"/>
  <c r="AG18" i="39"/>
  <c r="AF18" i="39"/>
  <c r="AE18" i="39"/>
  <c r="AD18" i="39"/>
  <c r="AC18" i="39"/>
  <c r="AB18" i="39"/>
  <c r="AG17" i="39"/>
  <c r="AF17" i="39"/>
  <c r="AE17" i="39"/>
  <c r="AD17" i="39"/>
  <c r="AC17" i="39"/>
  <c r="AB17" i="39"/>
  <c r="AG16" i="39"/>
  <c r="AF16" i="39"/>
  <c r="AE16" i="39"/>
  <c r="AD16" i="39"/>
  <c r="AC16" i="39"/>
  <c r="AB16" i="39"/>
  <c r="AG15" i="39"/>
  <c r="AF15" i="39"/>
  <c r="AE15" i="39"/>
  <c r="AD15" i="39"/>
  <c r="AC15" i="39"/>
  <c r="AB15" i="39"/>
  <c r="AG14" i="39"/>
  <c r="AF14" i="39"/>
  <c r="AE14" i="39"/>
  <c r="AD14" i="39"/>
  <c r="AC14" i="39"/>
  <c r="AB14" i="39"/>
  <c r="AG13" i="39"/>
  <c r="AF13" i="39"/>
  <c r="AE13" i="39"/>
  <c r="AD13" i="39"/>
  <c r="AC13" i="39"/>
  <c r="AB13" i="39"/>
  <c r="AG12" i="39"/>
  <c r="AF12" i="39"/>
  <c r="AE12" i="39"/>
  <c r="AD12" i="39"/>
  <c r="AC12" i="39"/>
  <c r="AB12" i="39"/>
  <c r="AG11" i="39"/>
  <c r="AF11" i="39"/>
  <c r="AE11" i="39"/>
  <c r="AD11" i="39"/>
  <c r="AC11" i="39"/>
  <c r="AB11" i="39"/>
  <c r="AG10" i="39"/>
  <c r="AF10" i="39"/>
  <c r="AE10" i="39"/>
  <c r="AD10" i="39"/>
  <c r="AC10" i="39"/>
  <c r="AB10" i="39"/>
  <c r="AG9" i="39"/>
  <c r="AF9" i="39"/>
  <c r="AE9" i="39"/>
  <c r="AD9" i="39"/>
  <c r="AC9" i="39"/>
  <c r="AB9" i="39"/>
  <c r="AG8" i="39"/>
  <c r="AF8" i="39"/>
  <c r="AE8" i="39"/>
  <c r="AD8" i="39"/>
  <c r="AC8" i="39"/>
  <c r="AB8" i="39"/>
  <c r="AG7" i="39"/>
  <c r="AF7" i="39"/>
  <c r="AE7" i="39"/>
  <c r="AD7" i="39"/>
  <c r="AC7" i="39"/>
  <c r="AB7" i="39"/>
  <c r="AG6" i="39"/>
  <c r="AF6" i="39"/>
  <c r="AE6" i="39"/>
  <c r="AD6" i="39"/>
  <c r="AC6" i="39"/>
  <c r="AB6" i="39"/>
  <c r="AG5" i="39"/>
  <c r="AF5" i="39"/>
  <c r="AE5" i="39"/>
  <c r="AD5" i="39"/>
  <c r="AC5" i="39"/>
  <c r="AB5" i="39"/>
  <c r="AG4" i="39"/>
  <c r="AF4" i="39"/>
  <c r="AE4" i="39"/>
  <c r="AD4" i="39"/>
  <c r="AC4" i="39"/>
  <c r="AB4" i="39"/>
  <c r="AG3" i="39"/>
  <c r="AF3" i="39"/>
  <c r="AE3" i="39"/>
  <c r="AD3" i="39"/>
  <c r="AC3" i="39"/>
  <c r="AB3" i="39"/>
  <c r="AG2" i="39"/>
  <c r="AF2" i="39"/>
  <c r="AE2" i="39"/>
  <c r="AD2" i="39"/>
  <c r="AC2" i="39"/>
  <c r="AB2" i="39"/>
  <c r="AG66" i="38"/>
  <c r="AF66" i="38"/>
  <c r="AE66" i="38"/>
  <c r="AD66" i="38"/>
  <c r="AC66" i="38"/>
  <c r="AB66" i="38"/>
  <c r="AG65" i="38"/>
  <c r="AF65" i="38"/>
  <c r="AE65" i="38"/>
  <c r="AD65" i="38"/>
  <c r="AC65" i="38"/>
  <c r="AB65" i="38"/>
  <c r="AG64" i="38"/>
  <c r="AF64" i="38"/>
  <c r="AE64" i="38"/>
  <c r="AD64" i="38"/>
  <c r="AC64" i="38"/>
  <c r="AB64" i="38"/>
  <c r="AG63" i="38"/>
  <c r="AF63" i="38"/>
  <c r="AE63" i="38"/>
  <c r="AD63" i="38"/>
  <c r="AC63" i="38"/>
  <c r="AB63" i="38"/>
  <c r="AG62" i="38"/>
  <c r="AF62" i="38"/>
  <c r="AE62" i="38"/>
  <c r="AD62" i="38"/>
  <c r="AC62" i="38"/>
  <c r="AB62" i="38"/>
  <c r="AG61" i="38"/>
  <c r="AF61" i="38"/>
  <c r="AE61" i="38"/>
  <c r="AD61" i="38"/>
  <c r="AC61" i="38"/>
  <c r="AB61" i="38"/>
  <c r="AG60" i="38"/>
  <c r="AF60" i="38"/>
  <c r="AE60" i="38"/>
  <c r="AD60" i="38"/>
  <c r="AC60" i="38"/>
  <c r="AB60" i="38"/>
  <c r="AG59" i="38"/>
  <c r="AF59" i="38"/>
  <c r="AE59" i="38"/>
  <c r="AD59" i="38"/>
  <c r="AC59" i="38"/>
  <c r="AB59" i="38"/>
  <c r="AG58" i="38"/>
  <c r="AF58" i="38"/>
  <c r="AE58" i="38"/>
  <c r="AD58" i="38"/>
  <c r="AC58" i="38"/>
  <c r="AB58" i="38"/>
  <c r="AG57" i="38"/>
  <c r="AF57" i="38"/>
  <c r="AE57" i="38"/>
  <c r="AD57" i="38"/>
  <c r="AC57" i="38"/>
  <c r="AB57" i="38"/>
  <c r="AG56" i="38"/>
  <c r="AF56" i="38"/>
  <c r="AE56" i="38"/>
  <c r="AD56" i="38"/>
  <c r="AC56" i="38"/>
  <c r="AB56" i="38"/>
  <c r="AG55" i="38"/>
  <c r="AF55" i="38"/>
  <c r="AE55" i="38"/>
  <c r="AD55" i="38"/>
  <c r="AC55" i="38"/>
  <c r="AB55" i="38"/>
  <c r="AG54" i="38"/>
  <c r="AF54" i="38"/>
  <c r="AE54" i="38"/>
  <c r="AD54" i="38"/>
  <c r="AC54" i="38"/>
  <c r="AB54" i="38"/>
  <c r="AG53" i="38"/>
  <c r="AF53" i="38"/>
  <c r="AE53" i="38"/>
  <c r="AD53" i="38"/>
  <c r="AC53" i="38"/>
  <c r="AB53" i="38"/>
  <c r="AG52" i="38"/>
  <c r="AF52" i="38"/>
  <c r="AE52" i="38"/>
  <c r="AD52" i="38"/>
  <c r="AC52" i="38"/>
  <c r="AB52" i="38"/>
  <c r="AG51" i="38"/>
  <c r="AF51" i="38"/>
  <c r="AE51" i="38"/>
  <c r="AD51" i="38"/>
  <c r="AC51" i="38"/>
  <c r="AB51" i="38"/>
  <c r="AG50" i="38"/>
  <c r="AF50" i="38"/>
  <c r="AE50" i="38"/>
  <c r="AD50" i="38"/>
  <c r="AC50" i="38"/>
  <c r="AB50" i="38"/>
  <c r="AG49" i="38"/>
  <c r="AF49" i="38"/>
  <c r="AE49" i="38"/>
  <c r="AD49" i="38"/>
  <c r="AC49" i="38"/>
  <c r="AB49" i="38"/>
  <c r="AG48" i="38"/>
  <c r="AF48" i="38"/>
  <c r="AE48" i="38"/>
  <c r="AD48" i="38"/>
  <c r="AC48" i="38"/>
  <c r="AB48" i="38"/>
  <c r="AG47" i="38"/>
  <c r="AF47" i="38"/>
  <c r="AE47" i="38"/>
  <c r="AD47" i="38"/>
  <c r="AC47" i="38"/>
  <c r="AB47" i="38"/>
  <c r="AG46" i="38"/>
  <c r="AF46" i="38"/>
  <c r="AE46" i="38"/>
  <c r="AD46" i="38"/>
  <c r="AC46" i="38"/>
  <c r="AB46" i="38"/>
  <c r="AG45" i="38"/>
  <c r="AF45" i="38"/>
  <c r="AE45" i="38"/>
  <c r="AD45" i="38"/>
  <c r="AC45" i="38"/>
  <c r="AB45" i="38"/>
  <c r="AG44" i="38"/>
  <c r="AF44" i="38"/>
  <c r="AE44" i="38"/>
  <c r="AD44" i="38"/>
  <c r="AC44" i="38"/>
  <c r="AB44" i="38"/>
  <c r="AG43" i="38"/>
  <c r="AF43" i="38"/>
  <c r="AE43" i="38"/>
  <c r="AD43" i="38"/>
  <c r="AC43" i="38"/>
  <c r="AB43" i="38"/>
  <c r="AG42" i="38"/>
  <c r="AF42" i="38"/>
  <c r="AE42" i="38"/>
  <c r="AD42" i="38"/>
  <c r="AC42" i="38"/>
  <c r="AB42" i="38"/>
  <c r="AG41" i="38"/>
  <c r="AF41" i="38"/>
  <c r="AE41" i="38"/>
  <c r="AD41" i="38"/>
  <c r="AC41" i="38"/>
  <c r="AB41" i="38"/>
  <c r="AG40" i="38"/>
  <c r="AF40" i="38"/>
  <c r="AE40" i="38"/>
  <c r="AD40" i="38"/>
  <c r="AC40" i="38"/>
  <c r="AB40" i="38"/>
  <c r="AG39" i="38"/>
  <c r="AF39" i="38"/>
  <c r="AE39" i="38"/>
  <c r="AD39" i="38"/>
  <c r="AC39" i="38"/>
  <c r="AB39" i="38"/>
  <c r="AG38" i="38"/>
  <c r="AF38" i="38"/>
  <c r="AE38" i="38"/>
  <c r="AD38" i="38"/>
  <c r="AC38" i="38"/>
  <c r="AB38" i="38"/>
  <c r="AG37" i="38"/>
  <c r="AF37" i="38"/>
  <c r="AE37" i="38"/>
  <c r="AD37" i="38"/>
  <c r="AC37" i="38"/>
  <c r="AB37" i="38"/>
  <c r="AG36" i="38"/>
  <c r="AF36" i="38"/>
  <c r="AE36" i="38"/>
  <c r="AD36" i="38"/>
  <c r="AC36" i="38"/>
  <c r="AB36" i="38"/>
  <c r="AG34" i="38"/>
  <c r="AF34" i="38"/>
  <c r="AE34" i="38"/>
  <c r="AD34" i="38"/>
  <c r="AC34" i="38"/>
  <c r="AB34" i="38"/>
  <c r="AG33" i="38"/>
  <c r="AF33" i="38"/>
  <c r="AE33" i="38"/>
  <c r="AD33" i="38"/>
  <c r="AC33" i="38"/>
  <c r="AB33" i="38"/>
  <c r="AG32" i="38"/>
  <c r="AF32" i="38"/>
  <c r="AE32" i="38"/>
  <c r="AD32" i="38"/>
  <c r="AC32" i="38"/>
  <c r="AB32" i="38"/>
  <c r="AG30" i="38"/>
  <c r="AF30" i="38"/>
  <c r="AE30" i="38"/>
  <c r="AD30" i="38"/>
  <c r="AC30" i="38"/>
  <c r="AB30" i="38"/>
  <c r="AG25" i="38"/>
  <c r="AF25" i="38"/>
  <c r="AE25" i="38"/>
  <c r="AD25" i="38"/>
  <c r="AC25" i="38"/>
  <c r="AB25" i="38"/>
  <c r="AG24" i="38"/>
  <c r="AF24" i="38"/>
  <c r="AE24" i="38"/>
  <c r="AD24" i="38"/>
  <c r="AC24" i="38"/>
  <c r="AB24" i="38"/>
  <c r="AG23" i="38"/>
  <c r="AF23" i="38"/>
  <c r="AE23" i="38"/>
  <c r="AD23" i="38"/>
  <c r="AC23" i="38"/>
  <c r="AB23" i="38"/>
  <c r="AG22" i="38"/>
  <c r="AF22" i="38"/>
  <c r="AE22" i="38"/>
  <c r="AD22" i="38"/>
  <c r="AC22" i="38"/>
  <c r="AB22" i="38"/>
  <c r="AG21" i="38"/>
  <c r="AF21" i="38"/>
  <c r="AE21" i="38"/>
  <c r="AD21" i="38"/>
  <c r="AC21" i="38"/>
  <c r="AB21" i="38"/>
  <c r="AG20" i="38"/>
  <c r="AF20" i="38"/>
  <c r="AE20" i="38"/>
  <c r="AD20" i="38"/>
  <c r="AC20" i="38"/>
  <c r="AB20" i="38"/>
  <c r="AG19" i="38"/>
  <c r="AF19" i="38"/>
  <c r="AE19" i="38"/>
  <c r="AD19" i="38"/>
  <c r="AC19" i="38"/>
  <c r="AB19" i="38"/>
  <c r="AG18" i="38"/>
  <c r="AF18" i="38"/>
  <c r="AE18" i="38"/>
  <c r="AD18" i="38"/>
  <c r="AC18" i="38"/>
  <c r="AB18" i="38"/>
  <c r="AG17" i="38"/>
  <c r="AF17" i="38"/>
  <c r="AE17" i="38"/>
  <c r="AD17" i="38"/>
  <c r="AC17" i="38"/>
  <c r="AB17" i="38"/>
  <c r="AG16" i="38"/>
  <c r="AF16" i="38"/>
  <c r="AE16" i="38"/>
  <c r="AD16" i="38"/>
  <c r="AC16" i="38"/>
  <c r="AB16" i="38"/>
  <c r="AG15" i="38"/>
  <c r="AF15" i="38"/>
  <c r="AE15" i="38"/>
  <c r="AD15" i="38"/>
  <c r="AC15" i="38"/>
  <c r="AB15" i="38"/>
  <c r="AG14" i="38"/>
  <c r="AF14" i="38"/>
  <c r="AE14" i="38"/>
  <c r="AD14" i="38"/>
  <c r="AC14" i="38"/>
  <c r="AB14" i="38"/>
  <c r="AG13" i="38"/>
  <c r="AF13" i="38"/>
  <c r="AE13" i="38"/>
  <c r="AD13" i="38"/>
  <c r="AC13" i="38"/>
  <c r="AB13" i="38"/>
  <c r="AG12" i="38"/>
  <c r="AF12" i="38"/>
  <c r="AE12" i="38"/>
  <c r="AD12" i="38"/>
  <c r="AC12" i="38"/>
  <c r="AB12" i="38"/>
  <c r="AG11" i="38"/>
  <c r="AF11" i="38"/>
  <c r="AE11" i="38"/>
  <c r="AD11" i="38"/>
  <c r="AC11" i="38"/>
  <c r="AB11" i="38"/>
  <c r="AG10" i="38"/>
  <c r="AF10" i="38"/>
  <c r="AE10" i="38"/>
  <c r="AD10" i="38"/>
  <c r="AC10" i="38"/>
  <c r="AB10" i="38"/>
  <c r="AG9" i="38"/>
  <c r="AF9" i="38"/>
  <c r="AE9" i="38"/>
  <c r="AD9" i="38"/>
  <c r="AC9" i="38"/>
  <c r="AB9" i="38"/>
  <c r="AG8" i="38"/>
  <c r="AF8" i="38"/>
  <c r="AE8" i="38"/>
  <c r="AD8" i="38"/>
  <c r="AC8" i="38"/>
  <c r="AB8" i="38"/>
  <c r="AG7" i="38"/>
  <c r="AF7" i="38"/>
  <c r="AE7" i="38"/>
  <c r="AD7" i="38"/>
  <c r="AC7" i="38"/>
  <c r="AB7" i="38"/>
  <c r="AG6" i="38"/>
  <c r="AF6" i="38"/>
  <c r="AE6" i="38"/>
  <c r="AD6" i="38"/>
  <c r="AC6" i="38"/>
  <c r="AB6" i="38"/>
  <c r="AG5" i="38"/>
  <c r="AF5" i="38"/>
  <c r="AE5" i="38"/>
  <c r="AD5" i="38"/>
  <c r="AC5" i="38"/>
  <c r="AB5" i="38"/>
  <c r="AG4" i="38"/>
  <c r="AF4" i="38"/>
  <c r="AE4" i="38"/>
  <c r="AD4" i="38"/>
  <c r="AC4" i="38"/>
  <c r="AB4" i="38"/>
  <c r="AG3" i="38"/>
  <c r="AF3" i="38"/>
  <c r="AE3" i="38"/>
  <c r="AD3" i="38"/>
  <c r="AC3" i="38"/>
  <c r="AB3" i="38"/>
  <c r="AG2" i="38"/>
  <c r="AF2" i="38"/>
  <c r="AE2" i="38"/>
  <c r="AD2" i="38"/>
  <c r="AC2" i="38"/>
  <c r="AB2" i="38"/>
  <c r="G61" i="35"/>
  <c r="G60" i="35"/>
  <c r="G125" i="35"/>
  <c r="G124" i="35"/>
  <c r="G123" i="35"/>
  <c r="G122" i="35"/>
  <c r="G121" i="35"/>
  <c r="G120" i="35"/>
  <c r="G119" i="35"/>
  <c r="G118" i="35"/>
  <c r="G117" i="35"/>
  <c r="G116" i="35"/>
  <c r="G115" i="35"/>
  <c r="G114" i="35"/>
  <c r="G113" i="35"/>
  <c r="G112" i="35"/>
  <c r="G111" i="35"/>
  <c r="G110" i="35"/>
  <c r="G109" i="35"/>
  <c r="G108" i="35"/>
  <c r="G107" i="35"/>
  <c r="G106" i="35"/>
  <c r="G105" i="35"/>
  <c r="G104" i="35"/>
  <c r="G103" i="35"/>
  <c r="G102" i="35"/>
  <c r="G101" i="35"/>
  <c r="G100" i="35"/>
  <c r="G99" i="35"/>
  <c r="G98" i="35"/>
  <c r="G97" i="35"/>
  <c r="G96" i="35"/>
  <c r="G95" i="35"/>
  <c r="G94" i="35"/>
  <c r="G93" i="35"/>
  <c r="G92" i="35"/>
  <c r="G91" i="35"/>
  <c r="G90" i="35"/>
  <c r="G89" i="35"/>
  <c r="G88" i="35"/>
  <c r="G87" i="35"/>
  <c r="G86" i="35"/>
  <c r="G85" i="35"/>
  <c r="G84" i="35"/>
  <c r="G83" i="35"/>
  <c r="G82" i="35"/>
  <c r="G81" i="35"/>
  <c r="G80" i="35"/>
  <c r="G79" i="35"/>
  <c r="G78" i="35"/>
  <c r="G77" i="35"/>
  <c r="G76" i="35"/>
  <c r="G75" i="35"/>
  <c r="G74" i="35"/>
  <c r="G73" i="35"/>
  <c r="G72" i="35"/>
  <c r="G71" i="35"/>
  <c r="G70" i="35"/>
  <c r="G69" i="35"/>
  <c r="G68" i="35"/>
  <c r="G67" i="35"/>
  <c r="G66" i="35"/>
  <c r="G65" i="35"/>
  <c r="G64" i="35"/>
  <c r="G51" i="35"/>
  <c r="G50" i="35"/>
  <c r="G49" i="35"/>
  <c r="G48" i="35"/>
  <c r="G47" i="35"/>
  <c r="G46" i="35"/>
  <c r="G45" i="35"/>
  <c r="G44" i="35"/>
  <c r="G43" i="35"/>
  <c r="G42" i="35"/>
  <c r="G41" i="35"/>
  <c r="G40" i="35"/>
  <c r="G39" i="35"/>
  <c r="G38" i="35"/>
  <c r="G37" i="35"/>
  <c r="G36" i="35"/>
  <c r="G35" i="35"/>
  <c r="G34" i="35"/>
  <c r="G33" i="35"/>
  <c r="G32" i="35"/>
  <c r="G31" i="35"/>
  <c r="G30" i="35"/>
  <c r="G29" i="35"/>
  <c r="G28" i="35"/>
  <c r="G27" i="35"/>
  <c r="G26" i="35"/>
  <c r="G25" i="35"/>
  <c r="G24" i="35"/>
  <c r="G23" i="35"/>
  <c r="G22" i="35"/>
  <c r="G21" i="35"/>
  <c r="G20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AG66" i="37"/>
  <c r="AF66" i="37"/>
  <c r="AE66" i="37"/>
  <c r="AD66" i="37"/>
  <c r="AC66" i="37"/>
  <c r="AB66" i="37"/>
  <c r="AG65" i="37"/>
  <c r="AF65" i="37"/>
  <c r="AE65" i="37"/>
  <c r="AD65" i="37"/>
  <c r="AC65" i="37"/>
  <c r="AB65" i="37"/>
  <c r="AG64" i="37"/>
  <c r="AF64" i="37"/>
  <c r="AE64" i="37"/>
  <c r="AD64" i="37"/>
  <c r="AC64" i="37"/>
  <c r="AB64" i="37"/>
  <c r="AG63" i="37"/>
  <c r="AF63" i="37"/>
  <c r="AE63" i="37"/>
  <c r="AD63" i="37"/>
  <c r="AC63" i="37"/>
  <c r="AB63" i="37"/>
  <c r="AG62" i="37"/>
  <c r="AF62" i="37"/>
  <c r="AE62" i="37"/>
  <c r="AD62" i="37"/>
  <c r="AC62" i="37"/>
  <c r="AB62" i="37"/>
  <c r="AG61" i="37"/>
  <c r="AF61" i="37"/>
  <c r="AE61" i="37"/>
  <c r="AD61" i="37"/>
  <c r="AC61" i="37"/>
  <c r="AB61" i="37"/>
  <c r="AG60" i="37"/>
  <c r="AF60" i="37"/>
  <c r="AE60" i="37"/>
  <c r="AD60" i="37"/>
  <c r="AC60" i="37"/>
  <c r="AB60" i="37"/>
  <c r="AG59" i="37"/>
  <c r="AF59" i="37"/>
  <c r="AE59" i="37"/>
  <c r="AD59" i="37"/>
  <c r="AC59" i="37"/>
  <c r="AB59" i="37"/>
  <c r="AG58" i="37"/>
  <c r="AF58" i="37"/>
  <c r="AE58" i="37"/>
  <c r="AD58" i="37"/>
  <c r="AC58" i="37"/>
  <c r="AB58" i="37"/>
  <c r="AG57" i="37"/>
  <c r="AF57" i="37"/>
  <c r="AE57" i="37"/>
  <c r="AD57" i="37"/>
  <c r="AC57" i="37"/>
  <c r="AB57" i="37"/>
  <c r="AG56" i="37"/>
  <c r="AF56" i="37"/>
  <c r="AE56" i="37"/>
  <c r="AD56" i="37"/>
  <c r="AC56" i="37"/>
  <c r="AB56" i="37"/>
  <c r="AG55" i="37"/>
  <c r="AF55" i="37"/>
  <c r="AE55" i="37"/>
  <c r="AD55" i="37"/>
  <c r="AC55" i="37"/>
  <c r="AB55" i="37"/>
  <c r="AG54" i="37"/>
  <c r="AF54" i="37"/>
  <c r="AE54" i="37"/>
  <c r="AD54" i="37"/>
  <c r="AC54" i="37"/>
  <c r="AB54" i="37"/>
  <c r="AG53" i="37"/>
  <c r="AF53" i="37"/>
  <c r="AE53" i="37"/>
  <c r="AD53" i="37"/>
  <c r="AC53" i="37"/>
  <c r="AB53" i="37"/>
  <c r="AG52" i="37"/>
  <c r="AF52" i="37"/>
  <c r="AE52" i="37"/>
  <c r="AD52" i="37"/>
  <c r="AC52" i="37"/>
  <c r="AB52" i="37"/>
  <c r="AG51" i="37"/>
  <c r="AF51" i="37"/>
  <c r="AE51" i="37"/>
  <c r="AD51" i="37"/>
  <c r="AC51" i="37"/>
  <c r="AB51" i="37"/>
  <c r="AG50" i="37"/>
  <c r="AF50" i="37"/>
  <c r="AE50" i="37"/>
  <c r="AD50" i="37"/>
  <c r="AC50" i="37"/>
  <c r="AB50" i="37"/>
  <c r="AG49" i="37"/>
  <c r="AF49" i="37"/>
  <c r="AE49" i="37"/>
  <c r="AD49" i="37"/>
  <c r="AC49" i="37"/>
  <c r="AB49" i="37"/>
  <c r="AG48" i="37"/>
  <c r="AF48" i="37"/>
  <c r="AE48" i="37"/>
  <c r="AD48" i="37"/>
  <c r="AC48" i="37"/>
  <c r="AB48" i="37"/>
  <c r="AG47" i="37"/>
  <c r="AF47" i="37"/>
  <c r="AE47" i="37"/>
  <c r="AD47" i="37"/>
  <c r="AC47" i="37"/>
  <c r="AB47" i="37"/>
  <c r="AG46" i="37"/>
  <c r="AF46" i="37"/>
  <c r="AE46" i="37"/>
  <c r="AD46" i="37"/>
  <c r="AC46" i="37"/>
  <c r="AB46" i="37"/>
  <c r="AG45" i="37"/>
  <c r="AF45" i="37"/>
  <c r="AE45" i="37"/>
  <c r="AD45" i="37"/>
  <c r="AC45" i="37"/>
  <c r="AB45" i="37"/>
  <c r="AG44" i="37"/>
  <c r="AF44" i="37"/>
  <c r="AE44" i="37"/>
  <c r="AD44" i="37"/>
  <c r="AC44" i="37"/>
  <c r="AB44" i="37"/>
  <c r="AG43" i="37"/>
  <c r="AF43" i="37"/>
  <c r="AE43" i="37"/>
  <c r="AD43" i="37"/>
  <c r="AC43" i="37"/>
  <c r="AB43" i="37"/>
  <c r="AG42" i="37"/>
  <c r="AF42" i="37"/>
  <c r="AE42" i="37"/>
  <c r="AD42" i="37"/>
  <c r="AC42" i="37"/>
  <c r="AB42" i="37"/>
  <c r="AG41" i="37"/>
  <c r="AF41" i="37"/>
  <c r="AE41" i="37"/>
  <c r="AD41" i="37"/>
  <c r="AC41" i="37"/>
  <c r="AB41" i="37"/>
  <c r="AG40" i="37"/>
  <c r="AF40" i="37"/>
  <c r="AE40" i="37"/>
  <c r="AD40" i="37"/>
  <c r="AC40" i="37"/>
  <c r="AB40" i="37"/>
  <c r="AG39" i="37"/>
  <c r="AF39" i="37"/>
  <c r="AE39" i="37"/>
  <c r="AD39" i="37"/>
  <c r="AC39" i="37"/>
  <c r="AB39" i="37"/>
  <c r="AG38" i="37"/>
  <c r="AF38" i="37"/>
  <c r="AE38" i="37"/>
  <c r="AD38" i="37"/>
  <c r="AC38" i="37"/>
  <c r="AB38" i="37"/>
  <c r="AG37" i="37"/>
  <c r="AF37" i="37"/>
  <c r="AE37" i="37"/>
  <c r="AD37" i="37"/>
  <c r="AC37" i="37"/>
  <c r="AB37" i="37"/>
  <c r="AG36" i="37"/>
  <c r="AF36" i="37"/>
  <c r="AE36" i="37"/>
  <c r="AD36" i="37"/>
  <c r="AC36" i="37"/>
  <c r="AB36" i="37"/>
  <c r="AG34" i="37"/>
  <c r="AF34" i="37"/>
  <c r="AE34" i="37"/>
  <c r="AD34" i="37"/>
  <c r="AC34" i="37"/>
  <c r="AB34" i="37"/>
  <c r="AG33" i="37"/>
  <c r="AF33" i="37"/>
  <c r="AE33" i="37"/>
  <c r="AD33" i="37"/>
  <c r="AC33" i="37"/>
  <c r="AB33" i="37"/>
  <c r="AG32" i="37"/>
  <c r="AF32" i="37"/>
  <c r="AE32" i="37"/>
  <c r="AD32" i="37"/>
  <c r="AC32" i="37"/>
  <c r="AB32" i="37"/>
  <c r="AG30" i="37"/>
  <c r="AF30" i="37"/>
  <c r="AE30" i="37"/>
  <c r="AD30" i="37"/>
  <c r="AC30" i="37"/>
  <c r="AB30" i="37"/>
  <c r="AG25" i="37"/>
  <c r="AF25" i="37"/>
  <c r="AE25" i="37"/>
  <c r="AD25" i="37"/>
  <c r="AC25" i="37"/>
  <c r="AB25" i="37"/>
  <c r="AG24" i="37"/>
  <c r="AF24" i="37"/>
  <c r="AE24" i="37"/>
  <c r="AD24" i="37"/>
  <c r="AC24" i="37"/>
  <c r="AB24" i="37"/>
  <c r="AG23" i="37"/>
  <c r="AF23" i="37"/>
  <c r="AE23" i="37"/>
  <c r="AD23" i="37"/>
  <c r="AC23" i="37"/>
  <c r="AB23" i="37"/>
  <c r="AG22" i="37"/>
  <c r="AF22" i="37"/>
  <c r="AE22" i="37"/>
  <c r="AD22" i="37"/>
  <c r="AC22" i="37"/>
  <c r="AB22" i="37"/>
  <c r="AG21" i="37"/>
  <c r="AF21" i="37"/>
  <c r="AE21" i="37"/>
  <c r="AD21" i="37"/>
  <c r="AC21" i="37"/>
  <c r="AB21" i="37"/>
  <c r="AG20" i="37"/>
  <c r="AF20" i="37"/>
  <c r="AE20" i="37"/>
  <c r="AD20" i="37"/>
  <c r="AC20" i="37"/>
  <c r="AB20" i="37"/>
  <c r="AG19" i="37"/>
  <c r="AF19" i="37"/>
  <c r="AE19" i="37"/>
  <c r="AD19" i="37"/>
  <c r="AC19" i="37"/>
  <c r="AB19" i="37"/>
  <c r="AG18" i="37"/>
  <c r="AF18" i="37"/>
  <c r="AE18" i="37"/>
  <c r="AD18" i="37"/>
  <c r="AC18" i="37"/>
  <c r="AB18" i="37"/>
  <c r="AG17" i="37"/>
  <c r="AF17" i="37"/>
  <c r="AE17" i="37"/>
  <c r="AD17" i="37"/>
  <c r="AC17" i="37"/>
  <c r="AB17" i="37"/>
  <c r="AG16" i="37"/>
  <c r="AF16" i="37"/>
  <c r="AE16" i="37"/>
  <c r="AD16" i="37"/>
  <c r="AC16" i="37"/>
  <c r="AB16" i="37"/>
  <c r="AG15" i="37"/>
  <c r="AF15" i="37"/>
  <c r="AE15" i="37"/>
  <c r="AD15" i="37"/>
  <c r="AC15" i="37"/>
  <c r="AB15" i="37"/>
  <c r="AG14" i="37"/>
  <c r="AF14" i="37"/>
  <c r="AE14" i="37"/>
  <c r="AD14" i="37"/>
  <c r="AC14" i="37"/>
  <c r="AB14" i="37"/>
  <c r="AG13" i="37"/>
  <c r="AF13" i="37"/>
  <c r="AE13" i="37"/>
  <c r="AD13" i="37"/>
  <c r="AC13" i="37"/>
  <c r="AB13" i="37"/>
  <c r="AG12" i="37"/>
  <c r="AF12" i="37"/>
  <c r="AE12" i="37"/>
  <c r="AD12" i="37"/>
  <c r="AC12" i="37"/>
  <c r="AB12" i="37"/>
  <c r="AG11" i="37"/>
  <c r="AF11" i="37"/>
  <c r="AE11" i="37"/>
  <c r="AD11" i="37"/>
  <c r="AC11" i="37"/>
  <c r="AB11" i="37"/>
  <c r="AG10" i="37"/>
  <c r="AF10" i="37"/>
  <c r="AE10" i="37"/>
  <c r="AD10" i="37"/>
  <c r="AC10" i="37"/>
  <c r="AB10" i="37"/>
  <c r="AG9" i="37"/>
  <c r="AF9" i="37"/>
  <c r="AE9" i="37"/>
  <c r="AD9" i="37"/>
  <c r="AC9" i="37"/>
  <c r="AB9" i="37"/>
  <c r="AG8" i="37"/>
  <c r="AF8" i="37"/>
  <c r="AE8" i="37"/>
  <c r="AD8" i="37"/>
  <c r="AC8" i="37"/>
  <c r="AB8" i="37"/>
  <c r="AG7" i="37"/>
  <c r="AF7" i="37"/>
  <c r="AE7" i="37"/>
  <c r="AD7" i="37"/>
  <c r="AC7" i="37"/>
  <c r="AB7" i="37"/>
  <c r="AG6" i="37"/>
  <c r="AF6" i="37"/>
  <c r="AE6" i="37"/>
  <c r="AD6" i="37"/>
  <c r="AC6" i="37"/>
  <c r="AB6" i="37"/>
  <c r="AG5" i="37"/>
  <c r="AF5" i="37"/>
  <c r="AE5" i="37"/>
  <c r="AD5" i="37"/>
  <c r="AC5" i="37"/>
  <c r="AB5" i="37"/>
  <c r="AG4" i="37"/>
  <c r="AF4" i="37"/>
  <c r="AE4" i="37"/>
  <c r="AD4" i="37"/>
  <c r="AC4" i="37"/>
  <c r="AB4" i="37"/>
  <c r="AG3" i="37"/>
  <c r="AF3" i="37"/>
  <c r="AE3" i="37"/>
  <c r="AD3" i="37"/>
  <c r="AC3" i="37"/>
  <c r="AB3" i="37"/>
  <c r="AG2" i="37"/>
  <c r="AF2" i="37"/>
  <c r="AE2" i="37"/>
  <c r="AD2" i="37"/>
  <c r="AC2" i="37"/>
  <c r="AB2" i="37"/>
  <c r="A14" i="36"/>
  <c r="A15" i="36" s="1"/>
  <c r="A17" i="36" s="1"/>
  <c r="A18" i="36" s="1"/>
  <c r="A20" i="36" s="1"/>
  <c r="A21" i="36" s="1"/>
  <c r="A23" i="36" s="1"/>
  <c r="A24" i="36" s="1"/>
  <c r="A26" i="36" s="1"/>
  <c r="A27" i="36" s="1"/>
  <c r="A29" i="36" s="1"/>
  <c r="A30" i="36" s="1"/>
  <c r="A32" i="36" s="1"/>
  <c r="A33" i="36" s="1"/>
  <c r="A35" i="36" s="1"/>
  <c r="A36" i="36" s="1"/>
  <c r="A38" i="36" s="1"/>
  <c r="A39" i="36" s="1"/>
  <c r="A41" i="36" s="1"/>
  <c r="A42" i="36" s="1"/>
  <c r="A44" i="36" s="1"/>
  <c r="A45" i="36" s="1"/>
  <c r="A47" i="36" s="1"/>
  <c r="A48" i="36" s="1"/>
  <c r="A50" i="36" s="1"/>
  <c r="A51" i="36" s="1"/>
  <c r="A53" i="36" s="1"/>
  <c r="A54" i="36" s="1"/>
  <c r="A56" i="36" s="1"/>
  <c r="A57" i="36" s="1"/>
  <c r="A59" i="36" s="1"/>
  <c r="A60" i="36" s="1"/>
  <c r="A62" i="36" s="1"/>
  <c r="A63" i="36" s="1"/>
  <c r="A65" i="36" s="1"/>
  <c r="A66" i="36" s="1"/>
  <c r="A68" i="36" s="1"/>
  <c r="A69" i="36" s="1"/>
  <c r="A71" i="36" s="1"/>
  <c r="A72" i="36" s="1"/>
  <c r="A74" i="36" s="1"/>
  <c r="A75" i="36" s="1"/>
  <c r="A77" i="36" s="1"/>
  <c r="A78" i="36" s="1"/>
  <c r="A80" i="36" s="1"/>
  <c r="A81" i="36" s="1"/>
  <c r="A83" i="36" s="1"/>
  <c r="A84" i="36" s="1"/>
  <c r="A86" i="36" s="1"/>
  <c r="A87" i="36" s="1"/>
  <c r="A89" i="36" s="1"/>
  <c r="A90" i="36" s="1"/>
  <c r="A92" i="36" s="1"/>
  <c r="A93" i="36" s="1"/>
  <c r="A95" i="36" s="1"/>
  <c r="A96" i="36" s="1"/>
  <c r="A98" i="36" s="1"/>
  <c r="A99" i="36" s="1"/>
  <c r="A101" i="36" s="1"/>
  <c r="A102" i="36" s="1"/>
  <c r="A104" i="36" s="1"/>
  <c r="A105" i="36" s="1"/>
  <c r="A107" i="36" s="1"/>
  <c r="A108" i="36" s="1"/>
  <c r="A110" i="36" s="1"/>
  <c r="A111" i="36" s="1"/>
  <c r="A113" i="36" s="1"/>
  <c r="A114" i="36" s="1"/>
  <c r="A116" i="36" s="1"/>
  <c r="A117" i="36" s="1"/>
  <c r="A119" i="36" s="1"/>
  <c r="A120" i="36" s="1"/>
  <c r="A122" i="36" s="1"/>
  <c r="A123" i="36" s="1"/>
  <c r="A125" i="36" s="1"/>
  <c r="A126" i="36" s="1"/>
  <c r="A128" i="36" s="1"/>
  <c r="A129" i="36" s="1"/>
  <c r="A131" i="36" s="1"/>
  <c r="A132" i="36" s="1"/>
  <c r="A134" i="36" s="1"/>
  <c r="A135" i="36" s="1"/>
  <c r="A137" i="36" s="1"/>
  <c r="A138" i="36" s="1"/>
  <c r="A140" i="36" s="1"/>
  <c r="A141" i="36" s="1"/>
  <c r="A143" i="36" s="1"/>
  <c r="A144" i="36" s="1"/>
  <c r="A146" i="36" s="1"/>
  <c r="A147" i="36" s="1"/>
  <c r="A149" i="36" s="1"/>
  <c r="A150" i="36" s="1"/>
  <c r="A152" i="36" s="1"/>
  <c r="A153" i="36" s="1"/>
  <c r="A155" i="36" s="1"/>
  <c r="A156" i="36" s="1"/>
  <c r="A158" i="36" s="1"/>
  <c r="A159" i="36" s="1"/>
  <c r="A161" i="36" s="1"/>
  <c r="A162" i="36" s="1"/>
  <c r="A164" i="36" s="1"/>
  <c r="A165" i="36" s="1"/>
  <c r="A167" i="36" s="1"/>
  <c r="A168" i="36" s="1"/>
  <c r="A170" i="36" s="1"/>
  <c r="A171" i="36" s="1"/>
  <c r="A173" i="36" s="1"/>
  <c r="A174" i="36" s="1"/>
  <c r="A12" i="36"/>
  <c r="A11" i="36"/>
  <c r="F8" i="35"/>
  <c r="E8" i="35"/>
  <c r="F125" i="35"/>
  <c r="F123" i="35"/>
  <c r="F121" i="35"/>
  <c r="F119" i="35"/>
  <c r="F117" i="35"/>
  <c r="F115" i="35"/>
  <c r="F113" i="35"/>
  <c r="F111" i="35"/>
  <c r="F109" i="35"/>
  <c r="F107" i="35"/>
  <c r="F105" i="35"/>
  <c r="F103" i="35"/>
  <c r="F101" i="35"/>
  <c r="F99" i="35"/>
  <c r="F97" i="35"/>
  <c r="F95" i="35"/>
  <c r="F93" i="35"/>
  <c r="F91" i="35"/>
  <c r="F89" i="35"/>
  <c r="F87" i="35"/>
  <c r="F85" i="35"/>
  <c r="F83" i="35"/>
  <c r="F81" i="35"/>
  <c r="F79" i="35"/>
  <c r="F77" i="35"/>
  <c r="F75" i="35"/>
  <c r="F73" i="35"/>
  <c r="F71" i="35"/>
  <c r="F69" i="35"/>
  <c r="F67" i="35"/>
  <c r="F65" i="35"/>
  <c r="F63" i="35"/>
  <c r="F59" i="35"/>
  <c r="F57" i="35"/>
  <c r="F55" i="35"/>
  <c r="F53" i="35"/>
  <c r="F51" i="35"/>
  <c r="F49" i="35"/>
  <c r="F47" i="35"/>
  <c r="F45" i="35"/>
  <c r="F43" i="35"/>
  <c r="F41" i="35"/>
  <c r="F39" i="35"/>
  <c r="F37" i="35"/>
  <c r="F35" i="35"/>
  <c r="F33" i="35"/>
  <c r="F31" i="35"/>
  <c r="F29" i="35"/>
  <c r="F27" i="35"/>
  <c r="F25" i="35"/>
  <c r="F23" i="35"/>
  <c r="F21" i="35"/>
  <c r="F19" i="35"/>
  <c r="F17" i="35"/>
  <c r="F15" i="35"/>
  <c r="F13" i="35"/>
  <c r="F11" i="35"/>
  <c r="F9" i="35"/>
  <c r="F7" i="35"/>
  <c r="E125" i="35"/>
  <c r="E124" i="35"/>
  <c r="E123" i="35"/>
  <c r="E121" i="35"/>
  <c r="E120" i="35"/>
  <c r="E119" i="35"/>
  <c r="E117" i="35"/>
  <c r="E116" i="35"/>
  <c r="E115" i="35"/>
  <c r="E113" i="35"/>
  <c r="E112" i="35"/>
  <c r="E111" i="35"/>
  <c r="E109" i="35"/>
  <c r="E108" i="35"/>
  <c r="E107" i="35"/>
  <c r="E105" i="35"/>
  <c r="E104" i="35"/>
  <c r="E103" i="35"/>
  <c r="E101" i="35"/>
  <c r="E100" i="35"/>
  <c r="E99" i="35"/>
  <c r="E97" i="35"/>
  <c r="E96" i="35"/>
  <c r="E95" i="35"/>
  <c r="E93" i="35"/>
  <c r="E92" i="35"/>
  <c r="E91" i="35"/>
  <c r="E89" i="35"/>
  <c r="E88" i="35"/>
  <c r="E87" i="35"/>
  <c r="E85" i="35"/>
  <c r="E84" i="35"/>
  <c r="E83" i="35"/>
  <c r="E81" i="35"/>
  <c r="E80" i="35"/>
  <c r="E79" i="35"/>
  <c r="E77" i="35"/>
  <c r="E76" i="35"/>
  <c r="E75" i="35"/>
  <c r="E73" i="35"/>
  <c r="E72" i="35"/>
  <c r="E71" i="35"/>
  <c r="E70" i="35"/>
  <c r="E69" i="35"/>
  <c r="E67" i="35"/>
  <c r="E65" i="35"/>
  <c r="E64" i="35"/>
  <c r="E63" i="35"/>
  <c r="E59" i="35"/>
  <c r="E57" i="35"/>
  <c r="E55" i="35"/>
  <c r="E54" i="35"/>
  <c r="E53" i="35"/>
  <c r="E51" i="35"/>
  <c r="E50" i="35"/>
  <c r="E49" i="35"/>
  <c r="E47" i="35"/>
  <c r="E46" i="35"/>
  <c r="E45" i="35"/>
  <c r="E43" i="35"/>
  <c r="E42" i="35"/>
  <c r="E41" i="35"/>
  <c r="E39" i="35"/>
  <c r="E38" i="35"/>
  <c r="E37" i="35"/>
  <c r="E35" i="35"/>
  <c r="E34" i="35"/>
  <c r="E33" i="35"/>
  <c r="E31" i="35"/>
  <c r="E30" i="35"/>
  <c r="E29" i="35"/>
  <c r="E27" i="35"/>
  <c r="E26" i="35"/>
  <c r="E25" i="35"/>
  <c r="E23" i="35"/>
  <c r="E22" i="35"/>
  <c r="E21" i="35"/>
  <c r="E19" i="35"/>
  <c r="E18" i="35"/>
  <c r="E17" i="35"/>
  <c r="E15" i="35"/>
  <c r="E14" i="35"/>
  <c r="E13" i="35"/>
  <c r="E11" i="35"/>
  <c r="E10" i="35"/>
  <c r="E9" i="35"/>
  <c r="E7" i="35"/>
  <c r="E6" i="35"/>
  <c r="AC23" i="33"/>
  <c r="AG61" i="34"/>
  <c r="AF61" i="34"/>
  <c r="AE61" i="34"/>
  <c r="AD61" i="34"/>
  <c r="AC61" i="34"/>
  <c r="AB61" i="34"/>
  <c r="F122" i="35" s="1"/>
  <c r="AG60" i="34"/>
  <c r="AF60" i="34"/>
  <c r="AE60" i="34"/>
  <c r="AD60" i="34"/>
  <c r="AC60" i="34"/>
  <c r="AB60" i="34"/>
  <c r="F120" i="35" s="1"/>
  <c r="AG59" i="34"/>
  <c r="AF59" i="34"/>
  <c r="AE59" i="34"/>
  <c r="AD59" i="34"/>
  <c r="AC59" i="34"/>
  <c r="AB59" i="34"/>
  <c r="F118" i="35" s="1"/>
  <c r="AG58" i="34"/>
  <c r="AF58" i="34"/>
  <c r="AE58" i="34"/>
  <c r="AD58" i="34"/>
  <c r="AC58" i="34"/>
  <c r="AB58" i="34"/>
  <c r="F116" i="35" s="1"/>
  <c r="AG57" i="34"/>
  <c r="AF57" i="34"/>
  <c r="AE57" i="34"/>
  <c r="AD57" i="34"/>
  <c r="AC57" i="34"/>
  <c r="AB57" i="34"/>
  <c r="F114" i="35" s="1"/>
  <c r="AG56" i="34"/>
  <c r="AF56" i="34"/>
  <c r="AE56" i="34"/>
  <c r="AD56" i="34"/>
  <c r="AC56" i="34"/>
  <c r="AB56" i="34"/>
  <c r="F112" i="35" s="1"/>
  <c r="AG55" i="34"/>
  <c r="AF55" i="34"/>
  <c r="AE55" i="34"/>
  <c r="AD55" i="34"/>
  <c r="AC55" i="34"/>
  <c r="AB55" i="34"/>
  <c r="F110" i="35" s="1"/>
  <c r="AG54" i="34"/>
  <c r="AF54" i="34"/>
  <c r="AE54" i="34"/>
  <c r="AD54" i="34"/>
  <c r="AC54" i="34"/>
  <c r="AB54" i="34"/>
  <c r="F108" i="35" s="1"/>
  <c r="AG53" i="34"/>
  <c r="AF53" i="34"/>
  <c r="AE53" i="34"/>
  <c r="AD53" i="34"/>
  <c r="AC53" i="34"/>
  <c r="AB53" i="34"/>
  <c r="F106" i="35" s="1"/>
  <c r="AG52" i="34"/>
  <c r="AF52" i="34"/>
  <c r="AE52" i="34"/>
  <c r="AD52" i="34"/>
  <c r="AC52" i="34"/>
  <c r="AB52" i="34"/>
  <c r="F104" i="35" s="1"/>
  <c r="AG51" i="34"/>
  <c r="AF51" i="34"/>
  <c r="AE51" i="34"/>
  <c r="AD51" i="34"/>
  <c r="AC51" i="34"/>
  <c r="AB51" i="34"/>
  <c r="F102" i="35" s="1"/>
  <c r="AG50" i="34"/>
  <c r="AF50" i="34"/>
  <c r="AE50" i="34"/>
  <c r="AD50" i="34"/>
  <c r="AC50" i="34"/>
  <c r="AB50" i="34"/>
  <c r="F100" i="35" s="1"/>
  <c r="AG49" i="34"/>
  <c r="AF49" i="34"/>
  <c r="AE49" i="34"/>
  <c r="AD49" i="34"/>
  <c r="AC49" i="34"/>
  <c r="AB49" i="34"/>
  <c r="F98" i="35" s="1"/>
  <c r="AG48" i="34"/>
  <c r="AF48" i="34"/>
  <c r="AE48" i="34"/>
  <c r="AD48" i="34"/>
  <c r="AC48" i="34"/>
  <c r="AB48" i="34"/>
  <c r="F96" i="35" s="1"/>
  <c r="AG47" i="34"/>
  <c r="AF47" i="34"/>
  <c r="AE47" i="34"/>
  <c r="AD47" i="34"/>
  <c r="AC47" i="34"/>
  <c r="AB47" i="34"/>
  <c r="F94" i="35" s="1"/>
  <c r="AG46" i="34"/>
  <c r="AF46" i="34"/>
  <c r="AE46" i="34"/>
  <c r="AD46" i="34"/>
  <c r="AC46" i="34"/>
  <c r="AB46" i="34"/>
  <c r="F92" i="35" s="1"/>
  <c r="AG45" i="34"/>
  <c r="AF45" i="34"/>
  <c r="AE45" i="34"/>
  <c r="AD45" i="34"/>
  <c r="AC45" i="34"/>
  <c r="AB45" i="34"/>
  <c r="F90" i="35" s="1"/>
  <c r="AG44" i="34"/>
  <c r="AF44" i="34"/>
  <c r="AE44" i="34"/>
  <c r="AD44" i="34"/>
  <c r="AC44" i="34"/>
  <c r="AB44" i="34"/>
  <c r="F88" i="35" s="1"/>
  <c r="AG43" i="34"/>
  <c r="AF43" i="34"/>
  <c r="AE43" i="34"/>
  <c r="AD43" i="34"/>
  <c r="AC43" i="34"/>
  <c r="AB43" i="34"/>
  <c r="F86" i="35" s="1"/>
  <c r="AG42" i="34"/>
  <c r="AF42" i="34"/>
  <c r="AE42" i="34"/>
  <c r="AD42" i="34"/>
  <c r="AC42" i="34"/>
  <c r="AB42" i="34"/>
  <c r="F84" i="35" s="1"/>
  <c r="AG41" i="34"/>
  <c r="AF41" i="34"/>
  <c r="AE41" i="34"/>
  <c r="AD41" i="34"/>
  <c r="AC41" i="34"/>
  <c r="AB41" i="34"/>
  <c r="F82" i="35" s="1"/>
  <c r="AG40" i="34"/>
  <c r="AF40" i="34"/>
  <c r="AE40" i="34"/>
  <c r="AD40" i="34"/>
  <c r="AC40" i="34"/>
  <c r="AB40" i="34"/>
  <c r="F80" i="35" s="1"/>
  <c r="AG39" i="34"/>
  <c r="AF39" i="34"/>
  <c r="AE39" i="34"/>
  <c r="AD39" i="34"/>
  <c r="AC39" i="34"/>
  <c r="AB39" i="34"/>
  <c r="F78" i="35" s="1"/>
  <c r="AG38" i="34"/>
  <c r="AF38" i="34"/>
  <c r="AE38" i="34"/>
  <c r="AD38" i="34"/>
  <c r="AC38" i="34"/>
  <c r="AB38" i="34"/>
  <c r="F76" i="35" s="1"/>
  <c r="AG37" i="34"/>
  <c r="AF37" i="34"/>
  <c r="AE37" i="34"/>
  <c r="AD37" i="34"/>
  <c r="AC37" i="34"/>
  <c r="AB37" i="34"/>
  <c r="F74" i="35" s="1"/>
  <c r="AG36" i="34"/>
  <c r="AF36" i="34"/>
  <c r="AE36" i="34"/>
  <c r="AD36" i="34"/>
  <c r="AC36" i="34"/>
  <c r="AB36" i="34"/>
  <c r="F72" i="35" s="1"/>
  <c r="AG35" i="34"/>
  <c r="AF35" i="34"/>
  <c r="AE35" i="34"/>
  <c r="AD35" i="34"/>
  <c r="AC35" i="34"/>
  <c r="AB35" i="34"/>
  <c r="F68" i="35" s="1"/>
  <c r="AG34" i="34"/>
  <c r="AF34" i="34"/>
  <c r="AE34" i="34"/>
  <c r="AD34" i="34"/>
  <c r="AC34" i="34"/>
  <c r="AB34" i="34"/>
  <c r="F70" i="35" s="1"/>
  <c r="AG33" i="34"/>
  <c r="AF33" i="34"/>
  <c r="AE33" i="34"/>
  <c r="AD33" i="34"/>
  <c r="AC33" i="34"/>
  <c r="AB33" i="34"/>
  <c r="F66" i="35" s="1"/>
  <c r="AG32" i="34"/>
  <c r="AF32" i="34"/>
  <c r="AE32" i="34"/>
  <c r="AD32" i="34"/>
  <c r="AC32" i="34"/>
  <c r="AB32" i="34"/>
  <c r="F64" i="35" s="1"/>
  <c r="AG31" i="34"/>
  <c r="AF31" i="34"/>
  <c r="AE31" i="34"/>
  <c r="AD31" i="34"/>
  <c r="AC31" i="34"/>
  <c r="AB31" i="34"/>
  <c r="F62" i="35" s="1"/>
  <c r="AG29" i="34"/>
  <c r="AF29" i="34"/>
  <c r="AE29" i="34"/>
  <c r="AD29" i="34"/>
  <c r="AC29" i="34"/>
  <c r="AB29" i="34"/>
  <c r="AG28" i="34"/>
  <c r="AF28" i="34"/>
  <c r="AE28" i="34"/>
  <c r="AD28" i="34"/>
  <c r="AC28" i="34"/>
  <c r="AB28" i="34"/>
  <c r="F56" i="35" s="1"/>
  <c r="AG27" i="34"/>
  <c r="AF27" i="34"/>
  <c r="AE27" i="34"/>
  <c r="AD27" i="34"/>
  <c r="AC27" i="34"/>
  <c r="AB27" i="34"/>
  <c r="F54" i="35" s="1"/>
  <c r="AG26" i="34"/>
  <c r="AF26" i="34"/>
  <c r="AE26" i="34"/>
  <c r="AD26" i="34"/>
  <c r="AC26" i="34"/>
  <c r="AB26" i="34"/>
  <c r="F52" i="35" s="1"/>
  <c r="AG25" i="34"/>
  <c r="AF25" i="34"/>
  <c r="AE25" i="34"/>
  <c r="AD25" i="34"/>
  <c r="AC25" i="34"/>
  <c r="AB25" i="34"/>
  <c r="F50" i="35" s="1"/>
  <c r="AG24" i="34"/>
  <c r="AF24" i="34"/>
  <c r="AE24" i="34"/>
  <c r="AD24" i="34"/>
  <c r="AC24" i="34"/>
  <c r="AB24" i="34"/>
  <c r="F48" i="35" s="1"/>
  <c r="AG23" i="34"/>
  <c r="AF23" i="34"/>
  <c r="AE23" i="34"/>
  <c r="AD23" i="34"/>
  <c r="AC23" i="34"/>
  <c r="AB23" i="34"/>
  <c r="F46" i="35" s="1"/>
  <c r="AG22" i="34"/>
  <c r="AF22" i="34"/>
  <c r="AE22" i="34"/>
  <c r="AD22" i="34"/>
  <c r="AC22" i="34"/>
  <c r="AB22" i="34"/>
  <c r="F44" i="35" s="1"/>
  <c r="AG21" i="34"/>
  <c r="AF21" i="34"/>
  <c r="AE21" i="34"/>
  <c r="AD21" i="34"/>
  <c r="AC21" i="34"/>
  <c r="AB21" i="34"/>
  <c r="F42" i="35" s="1"/>
  <c r="AG20" i="34"/>
  <c r="AF20" i="34"/>
  <c r="AE20" i="34"/>
  <c r="AD20" i="34"/>
  <c r="AC20" i="34"/>
  <c r="AB20" i="34"/>
  <c r="F40" i="35" s="1"/>
  <c r="AG19" i="34"/>
  <c r="AF19" i="34"/>
  <c r="AE19" i="34"/>
  <c r="AD19" i="34"/>
  <c r="AC19" i="34"/>
  <c r="AB19" i="34"/>
  <c r="F38" i="35" s="1"/>
  <c r="AG18" i="34"/>
  <c r="AF18" i="34"/>
  <c r="AE18" i="34"/>
  <c r="AD18" i="34"/>
  <c r="AC18" i="34"/>
  <c r="AB18" i="34"/>
  <c r="F36" i="35" s="1"/>
  <c r="AG17" i="34"/>
  <c r="AF17" i="34"/>
  <c r="AE17" i="34"/>
  <c r="AD17" i="34"/>
  <c r="AC17" i="34"/>
  <c r="AB17" i="34"/>
  <c r="F34" i="35" s="1"/>
  <c r="AG16" i="34"/>
  <c r="AF16" i="34"/>
  <c r="AE16" i="34"/>
  <c r="AD16" i="34"/>
  <c r="AC16" i="34"/>
  <c r="AB16" i="34"/>
  <c r="F32" i="35" s="1"/>
  <c r="AG15" i="34"/>
  <c r="AF15" i="34"/>
  <c r="AE15" i="34"/>
  <c r="AD15" i="34"/>
  <c r="AC15" i="34"/>
  <c r="AB15" i="34"/>
  <c r="F30" i="35" s="1"/>
  <c r="AG14" i="34"/>
  <c r="AF14" i="34"/>
  <c r="AE14" i="34"/>
  <c r="AD14" i="34"/>
  <c r="AC14" i="34"/>
  <c r="AB14" i="34"/>
  <c r="F28" i="35" s="1"/>
  <c r="AG13" i="34"/>
  <c r="AF13" i="34"/>
  <c r="AE13" i="34"/>
  <c r="AD13" i="34"/>
  <c r="AC13" i="34"/>
  <c r="AB13" i="34"/>
  <c r="F26" i="35" s="1"/>
  <c r="AG12" i="34"/>
  <c r="AF12" i="34"/>
  <c r="AE12" i="34"/>
  <c r="AD12" i="34"/>
  <c r="AC12" i="34"/>
  <c r="AB12" i="34"/>
  <c r="F24" i="35" s="1"/>
  <c r="AG11" i="34"/>
  <c r="AF11" i="34"/>
  <c r="AE11" i="34"/>
  <c r="AD11" i="34"/>
  <c r="AC11" i="34"/>
  <c r="AB11" i="34"/>
  <c r="F22" i="35" s="1"/>
  <c r="AG10" i="34"/>
  <c r="AF10" i="34"/>
  <c r="AE10" i="34"/>
  <c r="AD10" i="34"/>
  <c r="AC10" i="34"/>
  <c r="AB10" i="34"/>
  <c r="F20" i="35" s="1"/>
  <c r="AG9" i="34"/>
  <c r="AF9" i="34"/>
  <c r="AE9" i="34"/>
  <c r="AD9" i="34"/>
  <c r="AC9" i="34"/>
  <c r="AB9" i="34"/>
  <c r="F18" i="35" s="1"/>
  <c r="AG8" i="34"/>
  <c r="AF8" i="34"/>
  <c r="AE8" i="34"/>
  <c r="AD8" i="34"/>
  <c r="AC8" i="34"/>
  <c r="AB8" i="34"/>
  <c r="F16" i="35" s="1"/>
  <c r="AG7" i="34"/>
  <c r="AF7" i="34"/>
  <c r="AE7" i="34"/>
  <c r="AD7" i="34"/>
  <c r="AC7" i="34"/>
  <c r="AB7" i="34"/>
  <c r="F14" i="35" s="1"/>
  <c r="AG6" i="34"/>
  <c r="AF6" i="34"/>
  <c r="AE6" i="34"/>
  <c r="AD6" i="34"/>
  <c r="AC6" i="34"/>
  <c r="AB6" i="34"/>
  <c r="F12" i="35" s="1"/>
  <c r="AG5" i="34"/>
  <c r="AF5" i="34"/>
  <c r="AE5" i="34"/>
  <c r="AD5" i="34"/>
  <c r="AC5" i="34"/>
  <c r="AB5" i="34"/>
  <c r="F10" i="35" s="1"/>
  <c r="AG4" i="34"/>
  <c r="AF4" i="34"/>
  <c r="AE4" i="34"/>
  <c r="AD4" i="34"/>
  <c r="AC4" i="34"/>
  <c r="AB4" i="34"/>
  <c r="AG3" i="34"/>
  <c r="AF3" i="34"/>
  <c r="AE3" i="34"/>
  <c r="AD3" i="34"/>
  <c r="AC3" i="34"/>
  <c r="AB3" i="34"/>
  <c r="F6" i="35" s="1"/>
  <c r="AG2" i="34"/>
  <c r="AF2" i="34"/>
  <c r="AE2" i="34"/>
  <c r="AD2" i="34"/>
  <c r="AC2" i="34"/>
  <c r="AB2" i="34"/>
  <c r="F124" i="35" s="1"/>
  <c r="AG61" i="33"/>
  <c r="AF61" i="33"/>
  <c r="AE61" i="33"/>
  <c r="AD61" i="33"/>
  <c r="AC61" i="33"/>
  <c r="AB61" i="33"/>
  <c r="E122" i="35" s="1"/>
  <c r="AG60" i="33"/>
  <c r="AF60" i="33"/>
  <c r="AE60" i="33"/>
  <c r="AD60" i="33"/>
  <c r="AC60" i="33"/>
  <c r="AB60" i="33"/>
  <c r="AG59" i="33"/>
  <c r="AF59" i="33"/>
  <c r="AE59" i="33"/>
  <c r="AD59" i="33"/>
  <c r="AC59" i="33"/>
  <c r="AB59" i="33"/>
  <c r="E118" i="35" s="1"/>
  <c r="AG58" i="33"/>
  <c r="AF58" i="33"/>
  <c r="AE58" i="33"/>
  <c r="AD58" i="33"/>
  <c r="AC58" i="33"/>
  <c r="AB58" i="33"/>
  <c r="AG57" i="33"/>
  <c r="AF57" i="33"/>
  <c r="AE57" i="33"/>
  <c r="AD57" i="33"/>
  <c r="AC57" i="33"/>
  <c r="AB57" i="33"/>
  <c r="E114" i="35" s="1"/>
  <c r="AG56" i="33"/>
  <c r="AF56" i="33"/>
  <c r="AE56" i="33"/>
  <c r="AD56" i="33"/>
  <c r="AC56" i="33"/>
  <c r="AB56" i="33"/>
  <c r="AG55" i="33"/>
  <c r="AF55" i="33"/>
  <c r="AE55" i="33"/>
  <c r="AD55" i="33"/>
  <c r="AC55" i="33"/>
  <c r="AB55" i="33"/>
  <c r="E110" i="35" s="1"/>
  <c r="AG54" i="33"/>
  <c r="AF54" i="33"/>
  <c r="AE54" i="33"/>
  <c r="AD54" i="33"/>
  <c r="AC54" i="33"/>
  <c r="AB54" i="33"/>
  <c r="AG53" i="33"/>
  <c r="AF53" i="33"/>
  <c r="AE53" i="33"/>
  <c r="AD53" i="33"/>
  <c r="AC53" i="33"/>
  <c r="AB53" i="33"/>
  <c r="E106" i="35" s="1"/>
  <c r="AG52" i="33"/>
  <c r="AF52" i="33"/>
  <c r="AE52" i="33"/>
  <c r="AD52" i="33"/>
  <c r="AC52" i="33"/>
  <c r="AB52" i="33"/>
  <c r="AG51" i="33"/>
  <c r="AF51" i="33"/>
  <c r="AE51" i="33"/>
  <c r="AD51" i="33"/>
  <c r="AC51" i="33"/>
  <c r="AB51" i="33"/>
  <c r="E102" i="35" s="1"/>
  <c r="AG50" i="33"/>
  <c r="AF50" i="33"/>
  <c r="AE50" i="33"/>
  <c r="AD50" i="33"/>
  <c r="AC50" i="33"/>
  <c r="AB50" i="33"/>
  <c r="AG49" i="33"/>
  <c r="AF49" i="33"/>
  <c r="AE49" i="33"/>
  <c r="AD49" i="33"/>
  <c r="AC49" i="33"/>
  <c r="AB49" i="33"/>
  <c r="E98" i="35" s="1"/>
  <c r="AG48" i="33"/>
  <c r="AF48" i="33"/>
  <c r="AE48" i="33"/>
  <c r="AD48" i="33"/>
  <c r="AC48" i="33"/>
  <c r="AB48" i="33"/>
  <c r="AG47" i="33"/>
  <c r="AF47" i="33"/>
  <c r="AE47" i="33"/>
  <c r="AD47" i="33"/>
  <c r="AC47" i="33"/>
  <c r="AB47" i="33"/>
  <c r="E94" i="35" s="1"/>
  <c r="AG46" i="33"/>
  <c r="AF46" i="33"/>
  <c r="AE46" i="33"/>
  <c r="AD46" i="33"/>
  <c r="AC46" i="33"/>
  <c r="AB46" i="33"/>
  <c r="AG45" i="33"/>
  <c r="AF45" i="33"/>
  <c r="AE45" i="33"/>
  <c r="AD45" i="33"/>
  <c r="AC45" i="33"/>
  <c r="AB45" i="33"/>
  <c r="E90" i="35" s="1"/>
  <c r="AG44" i="33"/>
  <c r="AF44" i="33"/>
  <c r="AE44" i="33"/>
  <c r="AD44" i="33"/>
  <c r="AC44" i="33"/>
  <c r="AB44" i="33"/>
  <c r="AG43" i="33"/>
  <c r="AF43" i="33"/>
  <c r="AE43" i="33"/>
  <c r="AD43" i="33"/>
  <c r="AC43" i="33"/>
  <c r="AB43" i="33"/>
  <c r="E86" i="35" s="1"/>
  <c r="AG42" i="33"/>
  <c r="AF42" i="33"/>
  <c r="AE42" i="33"/>
  <c r="AD42" i="33"/>
  <c r="AC42" i="33"/>
  <c r="AB42" i="33"/>
  <c r="AG41" i="33"/>
  <c r="AF41" i="33"/>
  <c r="AE41" i="33"/>
  <c r="AD41" i="33"/>
  <c r="AC41" i="33"/>
  <c r="AB41" i="33"/>
  <c r="E82" i="35" s="1"/>
  <c r="AG40" i="33"/>
  <c r="AF40" i="33"/>
  <c r="AE40" i="33"/>
  <c r="AD40" i="33"/>
  <c r="AC40" i="33"/>
  <c r="AB40" i="33"/>
  <c r="AG39" i="33"/>
  <c r="AF39" i="33"/>
  <c r="AE39" i="33"/>
  <c r="AD39" i="33"/>
  <c r="AC39" i="33"/>
  <c r="AB39" i="33"/>
  <c r="E78" i="35" s="1"/>
  <c r="AG38" i="33"/>
  <c r="AF38" i="33"/>
  <c r="AE38" i="33"/>
  <c r="AD38" i="33"/>
  <c r="AC38" i="33"/>
  <c r="AB38" i="33"/>
  <c r="AG37" i="33"/>
  <c r="AF37" i="33"/>
  <c r="AE37" i="33"/>
  <c r="AD37" i="33"/>
  <c r="AC37" i="33"/>
  <c r="AB37" i="33"/>
  <c r="E74" i="35" s="1"/>
  <c r="AG36" i="33"/>
  <c r="AF36" i="33"/>
  <c r="AE36" i="33"/>
  <c r="AD36" i="33"/>
  <c r="AC36" i="33"/>
  <c r="AB36" i="33"/>
  <c r="AG35" i="33"/>
  <c r="AF35" i="33"/>
  <c r="AE35" i="33"/>
  <c r="AD35" i="33"/>
  <c r="AC35" i="33"/>
  <c r="AB35" i="33"/>
  <c r="E68" i="35" s="1"/>
  <c r="AG34" i="33"/>
  <c r="AF34" i="33"/>
  <c r="AE34" i="33"/>
  <c r="AD34" i="33"/>
  <c r="AC34" i="33"/>
  <c r="AB34" i="33"/>
  <c r="AG33" i="33"/>
  <c r="AF33" i="33"/>
  <c r="AE33" i="33"/>
  <c r="AD33" i="33"/>
  <c r="AC33" i="33"/>
  <c r="AB33" i="33"/>
  <c r="E66" i="35" s="1"/>
  <c r="AG32" i="33"/>
  <c r="AF32" i="33"/>
  <c r="AE32" i="33"/>
  <c r="AD32" i="33"/>
  <c r="AC32" i="33"/>
  <c r="AB32" i="33"/>
  <c r="AG31" i="33"/>
  <c r="AF31" i="33"/>
  <c r="AE31" i="33"/>
  <c r="AD31" i="33"/>
  <c r="AC31" i="33"/>
  <c r="AB31" i="33"/>
  <c r="E62" i="35" s="1"/>
  <c r="AG29" i="33"/>
  <c r="AF29" i="33"/>
  <c r="AE29" i="33"/>
  <c r="AD29" i="33"/>
  <c r="AC29" i="33"/>
  <c r="AB29" i="33"/>
  <c r="E58" i="35" s="1"/>
  <c r="AG28" i="33"/>
  <c r="AF28" i="33"/>
  <c r="AE28" i="33"/>
  <c r="AD28" i="33"/>
  <c r="AC28" i="33"/>
  <c r="AB28" i="33"/>
  <c r="E56" i="35" s="1"/>
  <c r="AG27" i="33"/>
  <c r="AF27" i="33"/>
  <c r="AE27" i="33"/>
  <c r="AD27" i="33"/>
  <c r="AC27" i="33"/>
  <c r="AB27" i="33"/>
  <c r="AG26" i="33"/>
  <c r="AF26" i="33"/>
  <c r="AE26" i="33"/>
  <c r="AD26" i="33"/>
  <c r="AC26" i="33"/>
  <c r="AB26" i="33"/>
  <c r="E52" i="35" s="1"/>
  <c r="AG25" i="33"/>
  <c r="AF25" i="33"/>
  <c r="AE25" i="33"/>
  <c r="AD25" i="33"/>
  <c r="AC25" i="33"/>
  <c r="AB25" i="33"/>
  <c r="AG24" i="33"/>
  <c r="AF24" i="33"/>
  <c r="AE24" i="33"/>
  <c r="AD24" i="33"/>
  <c r="AC24" i="33"/>
  <c r="AB24" i="33"/>
  <c r="E48" i="35" s="1"/>
  <c r="AG23" i="33"/>
  <c r="AF23" i="33"/>
  <c r="AE23" i="33"/>
  <c r="AD23" i="33"/>
  <c r="AB23" i="33"/>
  <c r="AG22" i="33"/>
  <c r="AF22" i="33"/>
  <c r="AE22" i="33"/>
  <c r="AD22" i="33"/>
  <c r="AC22" i="33"/>
  <c r="AB22" i="33"/>
  <c r="E44" i="35" s="1"/>
  <c r="AG21" i="33"/>
  <c r="AF21" i="33"/>
  <c r="AE21" i="33"/>
  <c r="AD21" i="33"/>
  <c r="AC21" i="33"/>
  <c r="AB21" i="33"/>
  <c r="AG20" i="33"/>
  <c r="AF20" i="33"/>
  <c r="AE20" i="33"/>
  <c r="AD20" i="33"/>
  <c r="AC20" i="33"/>
  <c r="AB20" i="33"/>
  <c r="E40" i="35" s="1"/>
  <c r="AG19" i="33"/>
  <c r="AF19" i="33"/>
  <c r="AE19" i="33"/>
  <c r="AD19" i="33"/>
  <c r="AC19" i="33"/>
  <c r="AB19" i="33"/>
  <c r="AG18" i="33"/>
  <c r="AF18" i="33"/>
  <c r="AE18" i="33"/>
  <c r="AD18" i="33"/>
  <c r="AC18" i="33"/>
  <c r="AB18" i="33"/>
  <c r="E36" i="35" s="1"/>
  <c r="AG17" i="33"/>
  <c r="AF17" i="33"/>
  <c r="AE17" i="33"/>
  <c r="AD17" i="33"/>
  <c r="AC17" i="33"/>
  <c r="AB17" i="33"/>
  <c r="AG16" i="33"/>
  <c r="AF16" i="33"/>
  <c r="AE16" i="33"/>
  <c r="AD16" i="33"/>
  <c r="AC16" i="33"/>
  <c r="AB16" i="33"/>
  <c r="E32" i="35" s="1"/>
  <c r="AG15" i="33"/>
  <c r="AF15" i="33"/>
  <c r="AE15" i="33"/>
  <c r="AD15" i="33"/>
  <c r="AC15" i="33"/>
  <c r="AB15" i="33"/>
  <c r="AG14" i="33"/>
  <c r="AF14" i="33"/>
  <c r="AE14" i="33"/>
  <c r="AD14" i="33"/>
  <c r="AC14" i="33"/>
  <c r="AB14" i="33"/>
  <c r="E28" i="35" s="1"/>
  <c r="AG13" i="33"/>
  <c r="AF13" i="33"/>
  <c r="AE13" i="33"/>
  <c r="AD13" i="33"/>
  <c r="AC13" i="33"/>
  <c r="AB13" i="33"/>
  <c r="AG12" i="33"/>
  <c r="AF12" i="33"/>
  <c r="AE12" i="33"/>
  <c r="AD12" i="33"/>
  <c r="AC12" i="33"/>
  <c r="AB12" i="33"/>
  <c r="E24" i="35" s="1"/>
  <c r="AG11" i="33"/>
  <c r="AF11" i="33"/>
  <c r="AE11" i="33"/>
  <c r="AD11" i="33"/>
  <c r="AC11" i="33"/>
  <c r="AB11" i="33"/>
  <c r="AG10" i="33"/>
  <c r="AF10" i="33"/>
  <c r="AE10" i="33"/>
  <c r="AD10" i="33"/>
  <c r="AC10" i="33"/>
  <c r="AB10" i="33"/>
  <c r="E20" i="35" s="1"/>
  <c r="AG9" i="33"/>
  <c r="AF9" i="33"/>
  <c r="AE9" i="33"/>
  <c r="AD9" i="33"/>
  <c r="AC9" i="33"/>
  <c r="AB9" i="33"/>
  <c r="AG8" i="33"/>
  <c r="AF8" i="33"/>
  <c r="AE8" i="33"/>
  <c r="AD8" i="33"/>
  <c r="AC8" i="33"/>
  <c r="AB8" i="33"/>
  <c r="E16" i="35" s="1"/>
  <c r="AG7" i="33"/>
  <c r="AF7" i="33"/>
  <c r="AE7" i="33"/>
  <c r="AD7" i="33"/>
  <c r="AC7" i="33"/>
  <c r="AB7" i="33"/>
  <c r="AG6" i="33"/>
  <c r="AF6" i="33"/>
  <c r="AE6" i="33"/>
  <c r="AD6" i="33"/>
  <c r="AC6" i="33"/>
  <c r="AB6" i="33"/>
  <c r="E12" i="35" s="1"/>
  <c r="AG5" i="33"/>
  <c r="AF5" i="33"/>
  <c r="AE5" i="33"/>
  <c r="AD5" i="33"/>
  <c r="AC5" i="33"/>
  <c r="AB5" i="33"/>
  <c r="AG4" i="33"/>
  <c r="AF4" i="33"/>
  <c r="AE4" i="33"/>
  <c r="AD4" i="33"/>
  <c r="AC4" i="33"/>
  <c r="AB4" i="33"/>
  <c r="AG3" i="33"/>
  <c r="AF3" i="33"/>
  <c r="AE3" i="33"/>
  <c r="AD3" i="33"/>
  <c r="AC3" i="33"/>
  <c r="AB3" i="33"/>
  <c r="AG2" i="33"/>
  <c r="AF2" i="33"/>
  <c r="AE2" i="33"/>
  <c r="AD2" i="33"/>
  <c r="AC2" i="33"/>
  <c r="AB2" i="33"/>
  <c r="AG61" i="32"/>
  <c r="AF61" i="32"/>
  <c r="AE61" i="32"/>
  <c r="AD61" i="32"/>
  <c r="AC61" i="32"/>
  <c r="AB61" i="32"/>
  <c r="AG60" i="32"/>
  <c r="AF60" i="32"/>
  <c r="AE60" i="32"/>
  <c r="AD60" i="32"/>
  <c r="AC60" i="32"/>
  <c r="AB60" i="32"/>
  <c r="AG59" i="32"/>
  <c r="AF59" i="32"/>
  <c r="AE59" i="32"/>
  <c r="AD59" i="32"/>
  <c r="AC59" i="32"/>
  <c r="AB59" i="32"/>
  <c r="AG58" i="32"/>
  <c r="AF58" i="32"/>
  <c r="AE58" i="32"/>
  <c r="AD58" i="32"/>
  <c r="AC58" i="32"/>
  <c r="AB58" i="32"/>
  <c r="AG57" i="32"/>
  <c r="AF57" i="32"/>
  <c r="AE57" i="32"/>
  <c r="AD57" i="32"/>
  <c r="AC57" i="32"/>
  <c r="AB57" i="32"/>
  <c r="AG56" i="32"/>
  <c r="AF56" i="32"/>
  <c r="AE56" i="32"/>
  <c r="AD56" i="32"/>
  <c r="AC56" i="32"/>
  <c r="AB56" i="32"/>
  <c r="AG55" i="32"/>
  <c r="AF55" i="32"/>
  <c r="AE55" i="32"/>
  <c r="AD55" i="32"/>
  <c r="AC55" i="32"/>
  <c r="AB55" i="32"/>
  <c r="AG54" i="32"/>
  <c r="AF54" i="32"/>
  <c r="AE54" i="32"/>
  <c r="AD54" i="32"/>
  <c r="AC54" i="32"/>
  <c r="AB54" i="32"/>
  <c r="AG53" i="32"/>
  <c r="AF53" i="32"/>
  <c r="AE53" i="32"/>
  <c r="AD53" i="32"/>
  <c r="AC53" i="32"/>
  <c r="AB53" i="32"/>
  <c r="AG52" i="32"/>
  <c r="AF52" i="32"/>
  <c r="AE52" i="32"/>
  <c r="AD52" i="32"/>
  <c r="AC52" i="32"/>
  <c r="AB52" i="32"/>
  <c r="AG51" i="32"/>
  <c r="AF51" i="32"/>
  <c r="AE51" i="32"/>
  <c r="AD51" i="32"/>
  <c r="AC51" i="32"/>
  <c r="AB51" i="32"/>
  <c r="AG50" i="32"/>
  <c r="AF50" i="32"/>
  <c r="AE50" i="32"/>
  <c r="AD50" i="32"/>
  <c r="AC50" i="32"/>
  <c r="AB50" i="32"/>
  <c r="AG49" i="32"/>
  <c r="AF49" i="32"/>
  <c r="AE49" i="32"/>
  <c r="AD49" i="32"/>
  <c r="AC49" i="32"/>
  <c r="AB49" i="32"/>
  <c r="AG48" i="32"/>
  <c r="AF48" i="32"/>
  <c r="AE48" i="32"/>
  <c r="AD48" i="32"/>
  <c r="AC48" i="32"/>
  <c r="AB48" i="32"/>
  <c r="AG47" i="32"/>
  <c r="AF47" i="32"/>
  <c r="AE47" i="32"/>
  <c r="AD47" i="32"/>
  <c r="AC47" i="32"/>
  <c r="AB47" i="32"/>
  <c r="AG46" i="32"/>
  <c r="AF46" i="32"/>
  <c r="AE46" i="32"/>
  <c r="AD46" i="32"/>
  <c r="AC46" i="32"/>
  <c r="AB46" i="32"/>
  <c r="AG45" i="32"/>
  <c r="AF45" i="32"/>
  <c r="AE45" i="32"/>
  <c r="AD45" i="32"/>
  <c r="AC45" i="32"/>
  <c r="AB45" i="32"/>
  <c r="AG44" i="32"/>
  <c r="AF44" i="32"/>
  <c r="AE44" i="32"/>
  <c r="AD44" i="32"/>
  <c r="AC44" i="32"/>
  <c r="AB44" i="32"/>
  <c r="AG43" i="32"/>
  <c r="AF43" i="32"/>
  <c r="AE43" i="32"/>
  <c r="AD43" i="32"/>
  <c r="AC43" i="32"/>
  <c r="AB43" i="32"/>
  <c r="AG42" i="32"/>
  <c r="AF42" i="32"/>
  <c r="AE42" i="32"/>
  <c r="AD42" i="32"/>
  <c r="AC42" i="32"/>
  <c r="AB42" i="32"/>
  <c r="AG41" i="32"/>
  <c r="AF41" i="32"/>
  <c r="AE41" i="32"/>
  <c r="AD41" i="32"/>
  <c r="AC41" i="32"/>
  <c r="AB41" i="32"/>
  <c r="AG40" i="32"/>
  <c r="AF40" i="32"/>
  <c r="AE40" i="32"/>
  <c r="AD40" i="32"/>
  <c r="AC40" i="32"/>
  <c r="AB40" i="32"/>
  <c r="AG39" i="32"/>
  <c r="AF39" i="32"/>
  <c r="AE39" i="32"/>
  <c r="AD39" i="32"/>
  <c r="AC39" i="32"/>
  <c r="AB39" i="32"/>
  <c r="AG38" i="32"/>
  <c r="AF38" i="32"/>
  <c r="AE38" i="32"/>
  <c r="AD38" i="32"/>
  <c r="AC38" i="32"/>
  <c r="AB38" i="32"/>
  <c r="AG37" i="32"/>
  <c r="AF37" i="32"/>
  <c r="AE37" i="32"/>
  <c r="AD37" i="32"/>
  <c r="AC37" i="32"/>
  <c r="AB37" i="32"/>
  <c r="AG36" i="32"/>
  <c r="AF36" i="32"/>
  <c r="AE36" i="32"/>
  <c r="AD36" i="32"/>
  <c r="AC36" i="32"/>
  <c r="AB36" i="32"/>
  <c r="AG35" i="32"/>
  <c r="AF35" i="32"/>
  <c r="AE35" i="32"/>
  <c r="AD35" i="32"/>
  <c r="AC35" i="32"/>
  <c r="AB35" i="32"/>
  <c r="AG34" i="32"/>
  <c r="AF34" i="32"/>
  <c r="AE34" i="32"/>
  <c r="AD34" i="32"/>
  <c r="AC34" i="32"/>
  <c r="AB34" i="32"/>
  <c r="AG33" i="32"/>
  <c r="AF33" i="32"/>
  <c r="AE33" i="32"/>
  <c r="AD33" i="32"/>
  <c r="AC33" i="32"/>
  <c r="AB33" i="32"/>
  <c r="AG32" i="32"/>
  <c r="AF32" i="32"/>
  <c r="AE32" i="32"/>
  <c r="AD32" i="32"/>
  <c r="AC32" i="32"/>
  <c r="AB32" i="32"/>
  <c r="AG31" i="32"/>
  <c r="AF31" i="32"/>
  <c r="AE31" i="32"/>
  <c r="AD31" i="32"/>
  <c r="AC31" i="32"/>
  <c r="AB31" i="32"/>
  <c r="AG29" i="32"/>
  <c r="AF29" i="32"/>
  <c r="AE29" i="32"/>
  <c r="AD29" i="32"/>
  <c r="AC29" i="32"/>
  <c r="AB29" i="32"/>
  <c r="AG28" i="32"/>
  <c r="AF28" i="32"/>
  <c r="AE28" i="32"/>
  <c r="AD28" i="32"/>
  <c r="AC28" i="32"/>
  <c r="AB28" i="32"/>
  <c r="AG27" i="32"/>
  <c r="AF27" i="32"/>
  <c r="AE27" i="32"/>
  <c r="AD27" i="32"/>
  <c r="AC27" i="32"/>
  <c r="AB27" i="32"/>
  <c r="AG26" i="32"/>
  <c r="AF26" i="32"/>
  <c r="AE26" i="32"/>
  <c r="AD26" i="32"/>
  <c r="AC26" i="32"/>
  <c r="AB26" i="32"/>
  <c r="AG25" i="32"/>
  <c r="AF25" i="32"/>
  <c r="AE25" i="32"/>
  <c r="AD25" i="32"/>
  <c r="AC25" i="32"/>
  <c r="AB25" i="32"/>
  <c r="AG24" i="32"/>
  <c r="AF24" i="32"/>
  <c r="AE24" i="32"/>
  <c r="AD24" i="32"/>
  <c r="AC24" i="32"/>
  <c r="AB24" i="32"/>
  <c r="AG23" i="32"/>
  <c r="AF23" i="32"/>
  <c r="AE23" i="32"/>
  <c r="AD23" i="32"/>
  <c r="AC23" i="32"/>
  <c r="AB23" i="32"/>
  <c r="AG22" i="32"/>
  <c r="AF22" i="32"/>
  <c r="AE22" i="32"/>
  <c r="AD22" i="32"/>
  <c r="AC22" i="32"/>
  <c r="AB22" i="32"/>
  <c r="AG21" i="32"/>
  <c r="AF21" i="32"/>
  <c r="AE21" i="32"/>
  <c r="AD21" i="32"/>
  <c r="AC21" i="32"/>
  <c r="AB21" i="32"/>
  <c r="AG20" i="32"/>
  <c r="AF20" i="32"/>
  <c r="AE20" i="32"/>
  <c r="AD20" i="32"/>
  <c r="AC20" i="32"/>
  <c r="AB20" i="32"/>
  <c r="AG19" i="32"/>
  <c r="AF19" i="32"/>
  <c r="AE19" i="32"/>
  <c r="AD19" i="32"/>
  <c r="AC19" i="32"/>
  <c r="AB19" i="32"/>
  <c r="AG18" i="32"/>
  <c r="AF18" i="32"/>
  <c r="AE18" i="32"/>
  <c r="AD18" i="32"/>
  <c r="AC18" i="32"/>
  <c r="AB18" i="32"/>
  <c r="AG17" i="32"/>
  <c r="AF17" i="32"/>
  <c r="AE17" i="32"/>
  <c r="AD17" i="32"/>
  <c r="AC17" i="32"/>
  <c r="AB17" i="32"/>
  <c r="AG16" i="32"/>
  <c r="AF16" i="32"/>
  <c r="AE16" i="32"/>
  <c r="AD16" i="32"/>
  <c r="AC16" i="32"/>
  <c r="AB16" i="32"/>
  <c r="AG15" i="32"/>
  <c r="AF15" i="32"/>
  <c r="AE15" i="32"/>
  <c r="AD15" i="32"/>
  <c r="AC15" i="32"/>
  <c r="AB15" i="32"/>
  <c r="AG14" i="32"/>
  <c r="AF14" i="32"/>
  <c r="AE14" i="32"/>
  <c r="AD14" i="32"/>
  <c r="AC14" i="32"/>
  <c r="AB14" i="32"/>
  <c r="AG13" i="32"/>
  <c r="AF13" i="32"/>
  <c r="AE13" i="32"/>
  <c r="AD13" i="32"/>
  <c r="AC13" i="32"/>
  <c r="AB13" i="32"/>
  <c r="AG12" i="32"/>
  <c r="AF12" i="32"/>
  <c r="AE12" i="32"/>
  <c r="AD12" i="32"/>
  <c r="AC12" i="32"/>
  <c r="AB12" i="32"/>
  <c r="AG11" i="32"/>
  <c r="AF11" i="32"/>
  <c r="AE11" i="32"/>
  <c r="AD11" i="32"/>
  <c r="AC11" i="32"/>
  <c r="AB11" i="32"/>
  <c r="AG10" i="32"/>
  <c r="AF10" i="32"/>
  <c r="AE10" i="32"/>
  <c r="AD10" i="32"/>
  <c r="AC10" i="32"/>
  <c r="AB10" i="32"/>
  <c r="AG9" i="32"/>
  <c r="AF9" i="32"/>
  <c r="AE9" i="32"/>
  <c r="AD9" i="32"/>
  <c r="AC9" i="32"/>
  <c r="AB9" i="32"/>
  <c r="AG8" i="32"/>
  <c r="AF8" i="32"/>
  <c r="AE8" i="32"/>
  <c r="AD8" i="32"/>
  <c r="AC8" i="32"/>
  <c r="AB8" i="32"/>
  <c r="AG7" i="32"/>
  <c r="AF7" i="32"/>
  <c r="AE7" i="32"/>
  <c r="AD7" i="32"/>
  <c r="AC7" i="32"/>
  <c r="AB7" i="32"/>
  <c r="AG6" i="32"/>
  <c r="AF6" i="32"/>
  <c r="AE6" i="32"/>
  <c r="AD6" i="32"/>
  <c r="AC6" i="32"/>
  <c r="AB6" i="32"/>
  <c r="AG5" i="32"/>
  <c r="AF5" i="32"/>
  <c r="AE5" i="32"/>
  <c r="AD5" i="32"/>
  <c r="AC5" i="32"/>
  <c r="AB5" i="32"/>
  <c r="AG4" i="32"/>
  <c r="AF4" i="32"/>
  <c r="AE4" i="32"/>
  <c r="AD4" i="32"/>
  <c r="AC4" i="32"/>
  <c r="AB4" i="32"/>
  <c r="AG3" i="32"/>
  <c r="AF3" i="32"/>
  <c r="AE3" i="32"/>
  <c r="AD3" i="32"/>
  <c r="AC3" i="32"/>
  <c r="AB3" i="32"/>
  <c r="AG2" i="32"/>
  <c r="AF2" i="32"/>
  <c r="AE2" i="32"/>
  <c r="AD2" i="32"/>
  <c r="AC2" i="32"/>
  <c r="AB2" i="32"/>
  <c r="L5" i="29"/>
  <c r="H107" i="29"/>
  <c r="H108" i="29"/>
  <c r="H109" i="29"/>
  <c r="H110" i="29"/>
  <c r="H111" i="29"/>
  <c r="H112" i="29"/>
  <c r="G93" i="29"/>
  <c r="G94" i="29"/>
  <c r="D128" i="29"/>
  <c r="E128" i="29"/>
  <c r="F128" i="29"/>
  <c r="G128" i="29"/>
  <c r="H128" i="29"/>
  <c r="I128" i="29"/>
  <c r="D129" i="29"/>
  <c r="E129" i="29"/>
  <c r="F129" i="29"/>
  <c r="G129" i="29"/>
  <c r="H129" i="29"/>
  <c r="I129" i="29"/>
  <c r="G130" i="29"/>
  <c r="E131" i="29"/>
  <c r="I131" i="29"/>
  <c r="E127" i="29"/>
  <c r="F127" i="29"/>
  <c r="G127" i="29"/>
  <c r="H127" i="29"/>
  <c r="I127" i="29"/>
  <c r="D127" i="29"/>
  <c r="D123" i="29"/>
  <c r="E123" i="29"/>
  <c r="F123" i="29"/>
  <c r="G123" i="29"/>
  <c r="H123" i="29"/>
  <c r="I123" i="29"/>
  <c r="J123" i="29"/>
  <c r="D124" i="29"/>
  <c r="E124" i="29"/>
  <c r="F124" i="29"/>
  <c r="G124" i="29"/>
  <c r="H124" i="29"/>
  <c r="I124" i="29"/>
  <c r="J124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6" i="29"/>
  <c r="F6" i="29"/>
  <c r="G6" i="29"/>
  <c r="H6" i="29"/>
  <c r="I6" i="29"/>
  <c r="J6" i="29"/>
  <c r="J33" i="29"/>
  <c r="J7" i="29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4" i="29"/>
  <c r="J35" i="29"/>
  <c r="J36" i="29"/>
  <c r="J37" i="29"/>
  <c r="J38" i="29"/>
  <c r="J39" i="29"/>
  <c r="J40" i="29"/>
  <c r="J41" i="29"/>
  <c r="J42" i="29"/>
  <c r="J43" i="29"/>
  <c r="J44" i="29"/>
  <c r="J45" i="29"/>
  <c r="J46" i="29"/>
  <c r="J47" i="29"/>
  <c r="J48" i="29"/>
  <c r="J49" i="29"/>
  <c r="J50" i="29"/>
  <c r="J51" i="29"/>
  <c r="J52" i="29"/>
  <c r="J53" i="29"/>
  <c r="J54" i="29"/>
  <c r="J55" i="29"/>
  <c r="J56" i="29"/>
  <c r="J57" i="29"/>
  <c r="J58" i="29"/>
  <c r="J59" i="29"/>
  <c r="J60" i="29"/>
  <c r="J61" i="29"/>
  <c r="J62" i="29"/>
  <c r="J63" i="29"/>
  <c r="J64" i="29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83" i="29"/>
  <c r="J84" i="29"/>
  <c r="J85" i="29"/>
  <c r="J86" i="29"/>
  <c r="J87" i="29"/>
  <c r="J88" i="29"/>
  <c r="J89" i="29"/>
  <c r="J90" i="29"/>
  <c r="J91" i="29"/>
  <c r="J92" i="29"/>
  <c r="J93" i="29"/>
  <c r="J94" i="29"/>
  <c r="J95" i="29"/>
  <c r="J96" i="29"/>
  <c r="J97" i="29"/>
  <c r="J98" i="29"/>
  <c r="J99" i="29"/>
  <c r="J100" i="29"/>
  <c r="J101" i="29"/>
  <c r="J102" i="29"/>
  <c r="J103" i="29"/>
  <c r="J104" i="29"/>
  <c r="J105" i="29"/>
  <c r="J106" i="29"/>
  <c r="J107" i="29"/>
  <c r="J108" i="29"/>
  <c r="J109" i="29"/>
  <c r="J110" i="29"/>
  <c r="J111" i="29"/>
  <c r="J112" i="29"/>
  <c r="J113" i="29"/>
  <c r="J114" i="29"/>
  <c r="J115" i="29"/>
  <c r="J116" i="29"/>
  <c r="J117" i="29"/>
  <c r="J118" i="29"/>
  <c r="J119" i="29"/>
  <c r="J120" i="29"/>
  <c r="J121" i="29"/>
  <c r="J122" i="29"/>
  <c r="I122" i="29"/>
  <c r="I5" i="29"/>
  <c r="J5" i="29"/>
  <c r="AB3" i="30"/>
  <c r="AC3" i="30"/>
  <c r="AD3" i="30"/>
  <c r="AE3" i="30"/>
  <c r="AF3" i="30"/>
  <c r="AG3" i="30"/>
  <c r="AB4" i="30"/>
  <c r="AC4" i="30"/>
  <c r="AD4" i="30"/>
  <c r="AE4" i="30"/>
  <c r="AF4" i="30"/>
  <c r="AG4" i="30"/>
  <c r="AB5" i="30"/>
  <c r="AC5" i="30"/>
  <c r="AD5" i="30"/>
  <c r="AE5" i="30"/>
  <c r="AF5" i="30"/>
  <c r="AG5" i="30"/>
  <c r="AB6" i="30"/>
  <c r="AC6" i="30"/>
  <c r="AD6" i="30"/>
  <c r="AE6" i="30"/>
  <c r="AF6" i="30"/>
  <c r="AG6" i="30"/>
  <c r="AB7" i="30"/>
  <c r="AC7" i="30"/>
  <c r="AD7" i="30"/>
  <c r="AE7" i="30"/>
  <c r="AF7" i="30"/>
  <c r="AG7" i="30"/>
  <c r="AB8" i="30"/>
  <c r="AC8" i="30"/>
  <c r="AD8" i="30"/>
  <c r="AE8" i="30"/>
  <c r="AF8" i="30"/>
  <c r="AG8" i="30"/>
  <c r="AB9" i="30"/>
  <c r="AC9" i="30"/>
  <c r="AD9" i="30"/>
  <c r="AE9" i="30"/>
  <c r="AF9" i="30"/>
  <c r="AG9" i="30"/>
  <c r="AB10" i="30"/>
  <c r="AC10" i="30"/>
  <c r="AD10" i="30"/>
  <c r="AE10" i="30"/>
  <c r="AF10" i="30"/>
  <c r="AG10" i="30"/>
  <c r="AB11" i="30"/>
  <c r="AC11" i="30"/>
  <c r="AD11" i="30"/>
  <c r="AE11" i="30"/>
  <c r="AF11" i="30"/>
  <c r="AG11" i="30"/>
  <c r="AB12" i="30"/>
  <c r="AC12" i="30"/>
  <c r="AD12" i="30"/>
  <c r="AE12" i="30"/>
  <c r="AF12" i="30"/>
  <c r="AG12" i="30"/>
  <c r="AB13" i="30"/>
  <c r="AC13" i="30"/>
  <c r="AD13" i="30"/>
  <c r="AE13" i="30"/>
  <c r="AF13" i="30"/>
  <c r="AG13" i="30"/>
  <c r="AB14" i="30"/>
  <c r="AC14" i="30"/>
  <c r="AD14" i="30"/>
  <c r="AE14" i="30"/>
  <c r="AF14" i="30"/>
  <c r="AG14" i="30"/>
  <c r="AB15" i="30"/>
  <c r="AC15" i="30"/>
  <c r="AD15" i="30"/>
  <c r="AE15" i="30"/>
  <c r="AF15" i="30"/>
  <c r="AG15" i="30"/>
  <c r="AB16" i="30"/>
  <c r="AC16" i="30"/>
  <c r="AD16" i="30"/>
  <c r="AE16" i="30"/>
  <c r="AF16" i="30"/>
  <c r="AG16" i="30"/>
  <c r="AB17" i="30"/>
  <c r="AC17" i="30"/>
  <c r="AD17" i="30"/>
  <c r="AE17" i="30"/>
  <c r="AF17" i="30"/>
  <c r="AG17" i="30"/>
  <c r="AB18" i="30"/>
  <c r="AC18" i="30"/>
  <c r="AD18" i="30"/>
  <c r="AE18" i="30"/>
  <c r="AF18" i="30"/>
  <c r="AG18" i="30"/>
  <c r="AB19" i="30"/>
  <c r="AC19" i="30"/>
  <c r="AD19" i="30"/>
  <c r="AE19" i="30"/>
  <c r="AF19" i="30"/>
  <c r="AG19" i="30"/>
  <c r="AB20" i="30"/>
  <c r="AC20" i="30"/>
  <c r="AD20" i="30"/>
  <c r="AE20" i="30"/>
  <c r="AF20" i="30"/>
  <c r="AG20" i="30"/>
  <c r="AB21" i="30"/>
  <c r="AC21" i="30"/>
  <c r="AD21" i="30"/>
  <c r="AE21" i="30"/>
  <c r="AF21" i="30"/>
  <c r="AG21" i="30"/>
  <c r="AB22" i="30"/>
  <c r="AC22" i="30"/>
  <c r="AD22" i="30"/>
  <c r="AE22" i="30"/>
  <c r="AF22" i="30"/>
  <c r="AG22" i="30"/>
  <c r="AB23" i="30"/>
  <c r="AC23" i="30"/>
  <c r="AD23" i="30"/>
  <c r="AE23" i="30"/>
  <c r="AF23" i="30"/>
  <c r="AG23" i="30"/>
  <c r="AB24" i="30"/>
  <c r="AC24" i="30"/>
  <c r="AD24" i="30"/>
  <c r="AE24" i="30"/>
  <c r="AF24" i="30"/>
  <c r="AG24" i="30"/>
  <c r="AB25" i="30"/>
  <c r="AC25" i="30"/>
  <c r="AD25" i="30"/>
  <c r="AE25" i="30"/>
  <c r="AF25" i="30"/>
  <c r="AG25" i="30"/>
  <c r="AB26" i="30"/>
  <c r="AC26" i="30"/>
  <c r="AD26" i="30"/>
  <c r="AE26" i="30"/>
  <c r="AF26" i="30"/>
  <c r="AG26" i="30"/>
  <c r="AB27" i="30"/>
  <c r="AC27" i="30"/>
  <c r="AD27" i="30"/>
  <c r="AE27" i="30"/>
  <c r="AF27" i="30"/>
  <c r="AG27" i="30"/>
  <c r="AB28" i="30"/>
  <c r="AC28" i="30"/>
  <c r="AD28" i="30"/>
  <c r="AE28" i="30"/>
  <c r="AF28" i="30"/>
  <c r="AG28" i="30"/>
  <c r="AB29" i="30"/>
  <c r="AC29" i="30"/>
  <c r="AD29" i="30"/>
  <c r="AE29" i="30"/>
  <c r="AF29" i="30"/>
  <c r="AG29" i="30"/>
  <c r="AB30" i="30"/>
  <c r="AC30" i="30"/>
  <c r="AD30" i="30"/>
  <c r="AE30" i="30"/>
  <c r="AF30" i="30"/>
  <c r="AG30" i="30"/>
  <c r="AB31" i="30"/>
  <c r="AC31" i="30"/>
  <c r="AD31" i="30"/>
  <c r="AE31" i="30"/>
  <c r="AF31" i="30"/>
  <c r="AG31" i="30"/>
  <c r="AB32" i="30"/>
  <c r="AC32" i="30"/>
  <c r="AD32" i="30"/>
  <c r="AE32" i="30"/>
  <c r="AF32" i="30"/>
  <c r="AG32" i="30"/>
  <c r="AB33" i="30"/>
  <c r="AC33" i="30"/>
  <c r="AD33" i="30"/>
  <c r="AE33" i="30"/>
  <c r="AF33" i="30"/>
  <c r="AG33" i="30"/>
  <c r="AB34" i="30"/>
  <c r="AC34" i="30"/>
  <c r="AD34" i="30"/>
  <c r="AE34" i="30"/>
  <c r="AF34" i="30"/>
  <c r="AG34" i="30"/>
  <c r="AB35" i="30"/>
  <c r="AC35" i="30"/>
  <c r="AD35" i="30"/>
  <c r="AE35" i="30"/>
  <c r="AF35" i="30"/>
  <c r="AG35" i="30"/>
  <c r="AB36" i="30"/>
  <c r="AC36" i="30"/>
  <c r="AD36" i="30"/>
  <c r="AE36" i="30"/>
  <c r="AF36" i="30"/>
  <c r="AG36" i="30"/>
  <c r="AB37" i="30"/>
  <c r="AC37" i="30"/>
  <c r="AD37" i="30"/>
  <c r="AE37" i="30"/>
  <c r="AF37" i="30"/>
  <c r="AG37" i="30"/>
  <c r="AB38" i="30"/>
  <c r="AC38" i="30"/>
  <c r="AD38" i="30"/>
  <c r="AE38" i="30"/>
  <c r="AF38" i="30"/>
  <c r="AG38" i="30"/>
  <c r="AB39" i="30"/>
  <c r="AC39" i="30"/>
  <c r="AD39" i="30"/>
  <c r="AE39" i="30"/>
  <c r="AF39" i="30"/>
  <c r="AG39" i="30"/>
  <c r="AB40" i="30"/>
  <c r="AC40" i="30"/>
  <c r="AD40" i="30"/>
  <c r="AE40" i="30"/>
  <c r="AF40" i="30"/>
  <c r="AG40" i="30"/>
  <c r="AB41" i="30"/>
  <c r="AC41" i="30"/>
  <c r="AD41" i="30"/>
  <c r="AE41" i="30"/>
  <c r="AF41" i="30"/>
  <c r="AG41" i="30"/>
  <c r="AB42" i="30"/>
  <c r="AC42" i="30"/>
  <c r="AD42" i="30"/>
  <c r="AE42" i="30"/>
  <c r="AF42" i="30"/>
  <c r="AG42" i="30"/>
  <c r="AB43" i="30"/>
  <c r="AC43" i="30"/>
  <c r="AD43" i="30"/>
  <c r="AE43" i="30"/>
  <c r="AF43" i="30"/>
  <c r="AG43" i="30"/>
  <c r="AB44" i="30"/>
  <c r="AC44" i="30"/>
  <c r="AD44" i="30"/>
  <c r="AE44" i="30"/>
  <c r="AF44" i="30"/>
  <c r="AG44" i="30"/>
  <c r="AB45" i="30"/>
  <c r="AC45" i="30"/>
  <c r="AD45" i="30"/>
  <c r="AE45" i="30"/>
  <c r="AF45" i="30"/>
  <c r="AG45" i="30"/>
  <c r="AB46" i="30"/>
  <c r="AC46" i="30"/>
  <c r="AD46" i="30"/>
  <c r="AE46" i="30"/>
  <c r="AF46" i="30"/>
  <c r="AG46" i="30"/>
  <c r="AB47" i="30"/>
  <c r="AC47" i="30"/>
  <c r="AD47" i="30"/>
  <c r="AE47" i="30"/>
  <c r="AF47" i="30"/>
  <c r="AG47" i="30"/>
  <c r="AB48" i="30"/>
  <c r="AC48" i="30"/>
  <c r="AD48" i="30"/>
  <c r="AE48" i="30"/>
  <c r="AF48" i="30"/>
  <c r="AG48" i="30"/>
  <c r="AB49" i="30"/>
  <c r="AC49" i="30"/>
  <c r="AD49" i="30"/>
  <c r="AE49" i="30"/>
  <c r="AF49" i="30"/>
  <c r="AG49" i="30"/>
  <c r="AB50" i="30"/>
  <c r="AC50" i="30"/>
  <c r="AD50" i="30"/>
  <c r="AE50" i="30"/>
  <c r="AF50" i="30"/>
  <c r="AG50" i="30"/>
  <c r="AB51" i="30"/>
  <c r="AC51" i="30"/>
  <c r="AD51" i="30"/>
  <c r="AE51" i="30"/>
  <c r="AF51" i="30"/>
  <c r="AG51" i="30"/>
  <c r="AB52" i="30"/>
  <c r="AC52" i="30"/>
  <c r="AD52" i="30"/>
  <c r="AE52" i="30"/>
  <c r="AF52" i="30"/>
  <c r="AG52" i="30"/>
  <c r="AB53" i="30"/>
  <c r="AC53" i="30"/>
  <c r="AD53" i="30"/>
  <c r="AE53" i="30"/>
  <c r="AF53" i="30"/>
  <c r="AG53" i="30"/>
  <c r="AB54" i="30"/>
  <c r="AC54" i="30"/>
  <c r="AD54" i="30"/>
  <c r="AE54" i="30"/>
  <c r="AF54" i="30"/>
  <c r="AG54" i="30"/>
  <c r="AB55" i="30"/>
  <c r="AC55" i="30"/>
  <c r="AD55" i="30"/>
  <c r="AE55" i="30"/>
  <c r="AF55" i="30"/>
  <c r="AG55" i="30"/>
  <c r="AB56" i="30"/>
  <c r="AC56" i="30"/>
  <c r="AD56" i="30"/>
  <c r="AE56" i="30"/>
  <c r="AF56" i="30"/>
  <c r="AG56" i="30"/>
  <c r="AB57" i="30"/>
  <c r="AC57" i="30"/>
  <c r="AD57" i="30"/>
  <c r="AE57" i="30"/>
  <c r="AF57" i="30"/>
  <c r="AG57" i="30"/>
  <c r="AB58" i="30"/>
  <c r="AC58" i="30"/>
  <c r="AD58" i="30"/>
  <c r="AE58" i="30"/>
  <c r="AF58" i="30"/>
  <c r="AG58" i="30"/>
  <c r="AB59" i="30"/>
  <c r="AC59" i="30"/>
  <c r="AD59" i="30"/>
  <c r="AE59" i="30"/>
  <c r="AF59" i="30"/>
  <c r="AG59" i="30"/>
  <c r="AB60" i="30"/>
  <c r="AC60" i="30"/>
  <c r="AD60" i="30"/>
  <c r="AE60" i="30"/>
  <c r="AF60" i="30"/>
  <c r="AG60" i="30"/>
  <c r="AG2" i="30"/>
  <c r="AF2" i="30"/>
  <c r="AE2" i="30"/>
  <c r="AD2" i="30"/>
  <c r="AC2" i="30"/>
  <c r="AB2" i="30"/>
  <c r="I121" i="29"/>
  <c r="H5" i="29"/>
  <c r="E5" i="29"/>
  <c r="F5" i="29"/>
  <c r="G5" i="29"/>
  <c r="D6" i="29"/>
  <c r="D5" i="29"/>
  <c r="A17" i="4"/>
  <c r="A18" i="4" s="1"/>
  <c r="A20" i="4" s="1"/>
  <c r="A21" i="4" s="1"/>
  <c r="A23" i="4" s="1"/>
  <c r="A24" i="4" s="1"/>
  <c r="A26" i="4" s="1"/>
  <c r="A27" i="4" s="1"/>
  <c r="A29" i="4" s="1"/>
  <c r="A30" i="4" s="1"/>
  <c r="A32" i="4" s="1"/>
  <c r="A33" i="4" s="1"/>
  <c r="A35" i="4" s="1"/>
  <c r="A36" i="4" s="1"/>
  <c r="A38" i="4" s="1"/>
  <c r="A39" i="4" s="1"/>
  <c r="A41" i="4" s="1"/>
  <c r="A42" i="4" s="1"/>
  <c r="A44" i="4" s="1"/>
  <c r="A45" i="4" s="1"/>
  <c r="A47" i="4" s="1"/>
  <c r="A48" i="4" s="1"/>
  <c r="A50" i="4" s="1"/>
  <c r="A51" i="4" s="1"/>
  <c r="A53" i="4" s="1"/>
  <c r="A54" i="4" s="1"/>
  <c r="A56" i="4" s="1"/>
  <c r="A57" i="4" s="1"/>
  <c r="A59" i="4" s="1"/>
  <c r="A60" i="4" s="1"/>
  <c r="A62" i="4" s="1"/>
  <c r="A63" i="4" s="1"/>
  <c r="A65" i="4" s="1"/>
  <c r="A66" i="4" s="1"/>
  <c r="A68" i="4" s="1"/>
  <c r="A69" i="4" s="1"/>
  <c r="A71" i="4" s="1"/>
  <c r="A72" i="4" s="1"/>
  <c r="A74" i="4" s="1"/>
  <c r="A75" i="4" s="1"/>
  <c r="A77" i="4" s="1"/>
  <c r="A78" i="4" s="1"/>
  <c r="A80" i="4" s="1"/>
  <c r="A81" i="4" s="1"/>
  <c r="A83" i="4" s="1"/>
  <c r="A84" i="4" s="1"/>
  <c r="A86" i="4" s="1"/>
  <c r="A87" i="4" s="1"/>
  <c r="A89" i="4" s="1"/>
  <c r="A90" i="4" s="1"/>
  <c r="A92" i="4" s="1"/>
  <c r="A93" i="4" s="1"/>
  <c r="A95" i="4" s="1"/>
  <c r="A96" i="4" s="1"/>
  <c r="A98" i="4" s="1"/>
  <c r="A99" i="4" s="1"/>
  <c r="A101" i="4" s="1"/>
  <c r="A102" i="4" s="1"/>
  <c r="A104" i="4" s="1"/>
  <c r="A105" i="4" s="1"/>
  <c r="A107" i="4" s="1"/>
  <c r="A108" i="4" s="1"/>
  <c r="A110" i="4" s="1"/>
  <c r="A111" i="4" s="1"/>
  <c r="A113" i="4" s="1"/>
  <c r="A114" i="4" s="1"/>
  <c r="A116" i="4" s="1"/>
  <c r="A117" i="4" s="1"/>
  <c r="A119" i="4" s="1"/>
  <c r="A120" i="4" s="1"/>
  <c r="A122" i="4" s="1"/>
  <c r="A123" i="4" s="1"/>
  <c r="A125" i="4" s="1"/>
  <c r="A126" i="4" s="1"/>
  <c r="A128" i="4" s="1"/>
  <c r="A129" i="4" s="1"/>
  <c r="A131" i="4" s="1"/>
  <c r="A132" i="4" s="1"/>
  <c r="A134" i="4" s="1"/>
  <c r="A135" i="4" s="1"/>
  <c r="A137" i="4" s="1"/>
  <c r="A138" i="4" s="1"/>
  <c r="A140" i="4" s="1"/>
  <c r="A141" i="4" s="1"/>
  <c r="A143" i="4" s="1"/>
  <c r="A144" i="4" s="1"/>
  <c r="A146" i="4" s="1"/>
  <c r="A147" i="4" s="1"/>
  <c r="A149" i="4" s="1"/>
  <c r="A150" i="4" s="1"/>
  <c r="A152" i="4" s="1"/>
  <c r="A153" i="4" s="1"/>
  <c r="A155" i="4" s="1"/>
  <c r="A156" i="4" s="1"/>
  <c r="A158" i="4" s="1"/>
  <c r="A159" i="4" s="1"/>
  <c r="A161" i="4" s="1"/>
  <c r="A162" i="4" s="1"/>
  <c r="A164" i="4" s="1"/>
  <c r="A165" i="4" s="1"/>
  <c r="A167" i="4" s="1"/>
  <c r="A168" i="4" s="1"/>
  <c r="A170" i="4" s="1"/>
  <c r="A171" i="4" s="1"/>
  <c r="A173" i="4" s="1"/>
  <c r="A174" i="4" s="1"/>
  <c r="A176" i="4" s="1"/>
  <c r="A177" i="4" s="1"/>
  <c r="A179" i="4" s="1"/>
  <c r="A180" i="4" s="1"/>
  <c r="A182" i="4" s="1"/>
  <c r="A183" i="4" s="1"/>
  <c r="A185" i="4" s="1"/>
  <c r="A186" i="4" s="1"/>
  <c r="D130" i="29" s="1"/>
  <c r="A14" i="4"/>
  <c r="A15" i="4" s="1"/>
  <c r="A12" i="4"/>
  <c r="A11" i="4"/>
  <c r="Z92" i="28"/>
  <c r="Y92" i="28"/>
  <c r="X92" i="28"/>
  <c r="W92" i="28"/>
  <c r="V92" i="28"/>
  <c r="U92" i="28"/>
  <c r="T92" i="28"/>
  <c r="S92" i="28"/>
  <c r="R92" i="28"/>
  <c r="Q92" i="28"/>
  <c r="P92" i="28"/>
  <c r="O92" i="28"/>
  <c r="X91" i="28"/>
  <c r="W91" i="28"/>
  <c r="V91" i="28"/>
  <c r="U91" i="28"/>
  <c r="T91" i="28"/>
  <c r="S91" i="28"/>
  <c r="R91" i="28"/>
  <c r="Q91" i="28"/>
  <c r="P91" i="28"/>
  <c r="O91" i="28"/>
  <c r="Z90" i="28"/>
  <c r="Y90" i="28"/>
  <c r="X90" i="28"/>
  <c r="W90" i="28"/>
  <c r="V90" i="28"/>
  <c r="U90" i="28"/>
  <c r="T90" i="28"/>
  <c r="S90" i="28"/>
  <c r="R90" i="28"/>
  <c r="Q90" i="28"/>
  <c r="P90" i="28"/>
  <c r="O90" i="28"/>
  <c r="Z89" i="28"/>
  <c r="Y89" i="28"/>
  <c r="X89" i="28"/>
  <c r="W89" i="28"/>
  <c r="V89" i="28"/>
  <c r="U89" i="28"/>
  <c r="T89" i="28"/>
  <c r="S89" i="28"/>
  <c r="R89" i="28"/>
  <c r="Q89" i="28"/>
  <c r="P89" i="28"/>
  <c r="O89" i="28"/>
  <c r="Z88" i="28"/>
  <c r="Y88" i="28"/>
  <c r="X88" i="28"/>
  <c r="W88" i="28"/>
  <c r="V88" i="28"/>
  <c r="U88" i="28"/>
  <c r="T88" i="28"/>
  <c r="S88" i="28"/>
  <c r="R88" i="28"/>
  <c r="Q88" i="28"/>
  <c r="P88" i="28"/>
  <c r="O88" i="28"/>
  <c r="Z87" i="28"/>
  <c r="Y87" i="28"/>
  <c r="X87" i="28"/>
  <c r="W87" i="28"/>
  <c r="V87" i="28"/>
  <c r="U87" i="28"/>
  <c r="T87" i="28"/>
  <c r="S87" i="28"/>
  <c r="R87" i="28"/>
  <c r="Q87" i="28"/>
  <c r="P87" i="28"/>
  <c r="O87" i="28"/>
  <c r="Z86" i="28"/>
  <c r="Y86" i="28"/>
  <c r="X86" i="28"/>
  <c r="W86" i="28"/>
  <c r="V86" i="28"/>
  <c r="U86" i="28"/>
  <c r="T86" i="28"/>
  <c r="S86" i="28"/>
  <c r="R86" i="28"/>
  <c r="Q86" i="28"/>
  <c r="P86" i="28"/>
  <c r="O86" i="28"/>
  <c r="Z85" i="28"/>
  <c r="Y85" i="28"/>
  <c r="X85" i="28"/>
  <c r="W85" i="28"/>
  <c r="V85" i="28"/>
  <c r="U85" i="28"/>
  <c r="T85" i="28"/>
  <c r="S85" i="28"/>
  <c r="R85" i="28"/>
  <c r="Q85" i="28"/>
  <c r="P85" i="28"/>
  <c r="O85" i="28"/>
  <c r="Z84" i="28"/>
  <c r="Y84" i="28"/>
  <c r="X84" i="28"/>
  <c r="W84" i="28"/>
  <c r="V84" i="28"/>
  <c r="U84" i="28"/>
  <c r="T84" i="28"/>
  <c r="S84" i="28"/>
  <c r="R84" i="28"/>
  <c r="Q84" i="28"/>
  <c r="P84" i="28"/>
  <c r="O84" i="28"/>
  <c r="Z83" i="28"/>
  <c r="Y83" i="28"/>
  <c r="X83" i="28"/>
  <c r="W83" i="28"/>
  <c r="V83" i="28"/>
  <c r="U83" i="28"/>
  <c r="T83" i="28"/>
  <c r="S83" i="28"/>
  <c r="R83" i="28"/>
  <c r="Q83" i="28"/>
  <c r="P83" i="28"/>
  <c r="O83" i="28"/>
  <c r="Z82" i="28"/>
  <c r="Y82" i="28"/>
  <c r="X82" i="28"/>
  <c r="W82" i="28"/>
  <c r="V82" i="28"/>
  <c r="U82" i="28"/>
  <c r="T82" i="28"/>
  <c r="S82" i="28"/>
  <c r="R82" i="28"/>
  <c r="Q82" i="28"/>
  <c r="P82" i="28"/>
  <c r="O82" i="28"/>
  <c r="Z81" i="28"/>
  <c r="Y81" i="28"/>
  <c r="X81" i="28"/>
  <c r="W81" i="28"/>
  <c r="V81" i="28"/>
  <c r="U81" i="28"/>
  <c r="T81" i="28"/>
  <c r="S81" i="28"/>
  <c r="R81" i="28"/>
  <c r="Q81" i="28"/>
  <c r="P81" i="28"/>
  <c r="O81" i="28"/>
  <c r="Z80" i="28"/>
  <c r="Y80" i="28"/>
  <c r="X80" i="28"/>
  <c r="W80" i="28"/>
  <c r="V80" i="28"/>
  <c r="U80" i="28"/>
  <c r="T80" i="28"/>
  <c r="S80" i="28"/>
  <c r="R80" i="28"/>
  <c r="Q80" i="28"/>
  <c r="P80" i="28"/>
  <c r="O80" i="28"/>
  <c r="W76" i="28"/>
  <c r="S76" i="28"/>
  <c r="O76" i="28"/>
  <c r="Z74" i="28"/>
  <c r="Y74" i="28"/>
  <c r="X74" i="28"/>
  <c r="W74" i="28"/>
  <c r="V74" i="28"/>
  <c r="U74" i="28"/>
  <c r="T74" i="28"/>
  <c r="S74" i="28"/>
  <c r="R74" i="28"/>
  <c r="Q74" i="28"/>
  <c r="P74" i="28"/>
  <c r="O74" i="28"/>
  <c r="Z73" i="28"/>
  <c r="Y73" i="28"/>
  <c r="X73" i="28"/>
  <c r="W73" i="28"/>
  <c r="V73" i="28"/>
  <c r="U73" i="28"/>
  <c r="T73" i="28"/>
  <c r="S73" i="28"/>
  <c r="R73" i="28"/>
  <c r="Q73" i="28"/>
  <c r="P73" i="28"/>
  <c r="O73" i="28"/>
  <c r="Z72" i="28"/>
  <c r="Y72" i="28"/>
  <c r="X72" i="28"/>
  <c r="W72" i="28"/>
  <c r="V72" i="28"/>
  <c r="U72" i="28"/>
  <c r="T72" i="28"/>
  <c r="S72" i="28"/>
  <c r="R72" i="28"/>
  <c r="Q72" i="28"/>
  <c r="P72" i="28"/>
  <c r="O72" i="28"/>
  <c r="Z71" i="28"/>
  <c r="Y71" i="28"/>
  <c r="X71" i="28"/>
  <c r="W71" i="28"/>
  <c r="V71" i="28"/>
  <c r="U71" i="28"/>
  <c r="T71" i="28"/>
  <c r="S71" i="28"/>
  <c r="R71" i="28"/>
  <c r="Q71" i="28"/>
  <c r="P71" i="28"/>
  <c r="O71" i="28"/>
  <c r="Z70" i="28"/>
  <c r="Y70" i="28"/>
  <c r="X70" i="28"/>
  <c r="W70" i="28"/>
  <c r="V70" i="28"/>
  <c r="U70" i="28"/>
  <c r="T70" i="28"/>
  <c r="S70" i="28"/>
  <c r="R70" i="28"/>
  <c r="Q70" i="28"/>
  <c r="P70" i="28"/>
  <c r="O70" i="28"/>
  <c r="Z69" i="28"/>
  <c r="Y69" i="28"/>
  <c r="X69" i="28"/>
  <c r="W69" i="28"/>
  <c r="V69" i="28"/>
  <c r="U69" i="28"/>
  <c r="T69" i="28"/>
  <c r="S69" i="28"/>
  <c r="R69" i="28"/>
  <c r="Q69" i="28"/>
  <c r="P69" i="28"/>
  <c r="O69" i="28"/>
  <c r="Z68" i="28"/>
  <c r="Y68" i="28"/>
  <c r="X68" i="28"/>
  <c r="W68" i="28"/>
  <c r="V68" i="28"/>
  <c r="U68" i="28"/>
  <c r="T68" i="28"/>
  <c r="S68" i="28"/>
  <c r="R68" i="28"/>
  <c r="Q68" i="28"/>
  <c r="P68" i="28"/>
  <c r="O68" i="28"/>
  <c r="Z67" i="28"/>
  <c r="Y67" i="28"/>
  <c r="X67" i="28"/>
  <c r="W67" i="28"/>
  <c r="V67" i="28"/>
  <c r="U67" i="28"/>
  <c r="T67" i="28"/>
  <c r="S67" i="28"/>
  <c r="R67" i="28"/>
  <c r="Q67" i="28"/>
  <c r="P67" i="28"/>
  <c r="O67" i="28"/>
  <c r="Z66" i="28"/>
  <c r="Y66" i="28"/>
  <c r="X66" i="28"/>
  <c r="W66" i="28"/>
  <c r="V66" i="28"/>
  <c r="U66" i="28"/>
  <c r="T66" i="28"/>
  <c r="S66" i="28"/>
  <c r="R66" i="28"/>
  <c r="Q66" i="28"/>
  <c r="P66" i="28"/>
  <c r="O66" i="28"/>
  <c r="Z65" i="28"/>
  <c r="Y65" i="28"/>
  <c r="X65" i="28"/>
  <c r="W65" i="28"/>
  <c r="V65" i="28"/>
  <c r="U65" i="28"/>
  <c r="T65" i="28"/>
  <c r="S65" i="28"/>
  <c r="R65" i="28"/>
  <c r="Q65" i="28"/>
  <c r="P65" i="28"/>
  <c r="O65" i="28"/>
  <c r="Z64" i="28"/>
  <c r="Y64" i="28"/>
  <c r="X64" i="28"/>
  <c r="W64" i="28"/>
  <c r="V64" i="28"/>
  <c r="U64" i="28"/>
  <c r="T64" i="28"/>
  <c r="S64" i="28"/>
  <c r="R64" i="28"/>
  <c r="Q64" i="28"/>
  <c r="P64" i="28"/>
  <c r="O64" i="28"/>
  <c r="Z63" i="28"/>
  <c r="Y63" i="28"/>
  <c r="X63" i="28"/>
  <c r="W63" i="28"/>
  <c r="V63" i="28"/>
  <c r="U63" i="28"/>
  <c r="T63" i="28"/>
  <c r="S63" i="28"/>
  <c r="R63" i="28"/>
  <c r="Q63" i="28"/>
  <c r="P63" i="28"/>
  <c r="O63" i="28"/>
  <c r="Z62" i="28"/>
  <c r="Y62" i="28"/>
  <c r="X62" i="28"/>
  <c r="W62" i="28"/>
  <c r="V62" i="28"/>
  <c r="U62" i="28"/>
  <c r="T62" i="28"/>
  <c r="S62" i="28"/>
  <c r="R62" i="28"/>
  <c r="Q62" i="28"/>
  <c r="P62" i="28"/>
  <c r="O62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Z60" i="28"/>
  <c r="Y60" i="28"/>
  <c r="X60" i="28"/>
  <c r="W60" i="28"/>
  <c r="V60" i="28"/>
  <c r="U60" i="28"/>
  <c r="T60" i="28"/>
  <c r="S60" i="28"/>
  <c r="R60" i="28"/>
  <c r="Q60" i="28"/>
  <c r="P60" i="28"/>
  <c r="O60" i="28"/>
  <c r="Z59" i="28"/>
  <c r="Y59" i="28"/>
  <c r="X59" i="28"/>
  <c r="W59" i="28"/>
  <c r="V59" i="28"/>
  <c r="U59" i="28"/>
  <c r="T59" i="28"/>
  <c r="S59" i="28"/>
  <c r="R59" i="28"/>
  <c r="Q59" i="28"/>
  <c r="P59" i="28"/>
  <c r="O59" i="28"/>
  <c r="Z58" i="28"/>
  <c r="Y58" i="28"/>
  <c r="X58" i="28"/>
  <c r="W58" i="28"/>
  <c r="V58" i="28"/>
  <c r="U58" i="28"/>
  <c r="T58" i="28"/>
  <c r="S58" i="28"/>
  <c r="R58" i="28"/>
  <c r="Q58" i="28"/>
  <c r="P58" i="28"/>
  <c r="O58" i="28"/>
  <c r="Z57" i="28"/>
  <c r="Y57" i="28"/>
  <c r="X57" i="28"/>
  <c r="W57" i="28"/>
  <c r="V57" i="28"/>
  <c r="U57" i="28"/>
  <c r="T57" i="28"/>
  <c r="S57" i="28"/>
  <c r="R57" i="28"/>
  <c r="Q57" i="28"/>
  <c r="P57" i="28"/>
  <c r="O57" i="28"/>
  <c r="Z56" i="28"/>
  <c r="Y56" i="28"/>
  <c r="X56" i="28"/>
  <c r="W56" i="28"/>
  <c r="V56" i="28"/>
  <c r="U56" i="28"/>
  <c r="T56" i="28"/>
  <c r="S56" i="28"/>
  <c r="R56" i="28"/>
  <c r="Q56" i="28"/>
  <c r="P56" i="28"/>
  <c r="O56" i="28"/>
  <c r="Z55" i="28"/>
  <c r="Y55" i="28"/>
  <c r="X55" i="28"/>
  <c r="W55" i="28"/>
  <c r="V55" i="28"/>
  <c r="U55" i="28"/>
  <c r="T55" i="28"/>
  <c r="S55" i="28"/>
  <c r="R55" i="28"/>
  <c r="Q55" i="28"/>
  <c r="P55" i="28"/>
  <c r="O55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Z50" i="28"/>
  <c r="Y50" i="28"/>
  <c r="X50" i="28"/>
  <c r="W50" i="28"/>
  <c r="V50" i="28"/>
  <c r="U50" i="28"/>
  <c r="T50" i="28"/>
  <c r="S50" i="28"/>
  <c r="R50" i="28"/>
  <c r="Q50" i="28"/>
  <c r="P50" i="28"/>
  <c r="O50" i="28"/>
  <c r="Z49" i="28"/>
  <c r="Y49" i="28"/>
  <c r="X49" i="28"/>
  <c r="W49" i="28"/>
  <c r="V49" i="28"/>
  <c r="U49" i="28"/>
  <c r="T49" i="28"/>
  <c r="S49" i="28"/>
  <c r="R49" i="28"/>
  <c r="Q49" i="28"/>
  <c r="P49" i="28"/>
  <c r="O49" i="28"/>
  <c r="Z48" i="28"/>
  <c r="Y48" i="28"/>
  <c r="X48" i="28"/>
  <c r="W48" i="28"/>
  <c r="V48" i="28"/>
  <c r="U48" i="28"/>
  <c r="T48" i="28"/>
  <c r="S48" i="28"/>
  <c r="R48" i="28"/>
  <c r="Q48" i="28"/>
  <c r="P48" i="28"/>
  <c r="O48" i="28"/>
  <c r="Z47" i="28"/>
  <c r="Y47" i="28"/>
  <c r="X47" i="28"/>
  <c r="W47" i="28"/>
  <c r="V47" i="28"/>
  <c r="U47" i="28"/>
  <c r="T47" i="28"/>
  <c r="S47" i="28"/>
  <c r="R47" i="28"/>
  <c r="Q47" i="28"/>
  <c r="P47" i="28"/>
  <c r="O47" i="28"/>
  <c r="Z46" i="28"/>
  <c r="Y46" i="28"/>
  <c r="X46" i="28"/>
  <c r="W46" i="28"/>
  <c r="V46" i="28"/>
  <c r="U46" i="28"/>
  <c r="T46" i="28"/>
  <c r="S46" i="28"/>
  <c r="R46" i="28"/>
  <c r="Q46" i="28"/>
  <c r="P46" i="28"/>
  <c r="O46" i="28"/>
  <c r="Z45" i="28"/>
  <c r="Y45" i="28"/>
  <c r="X45" i="28"/>
  <c r="W45" i="28"/>
  <c r="V45" i="28"/>
  <c r="U45" i="28"/>
  <c r="T45" i="28"/>
  <c r="S45" i="28"/>
  <c r="R45" i="28"/>
  <c r="Q45" i="28"/>
  <c r="P45" i="28"/>
  <c r="O45" i="28"/>
  <c r="Z44" i="28"/>
  <c r="Y44" i="28"/>
  <c r="X44" i="28"/>
  <c r="W44" i="28"/>
  <c r="V44" i="28"/>
  <c r="U44" i="28"/>
  <c r="T44" i="28"/>
  <c r="S44" i="28"/>
  <c r="R44" i="28"/>
  <c r="Q44" i="28"/>
  <c r="P44" i="28"/>
  <c r="O44" i="28"/>
  <c r="Z43" i="28"/>
  <c r="Y43" i="28"/>
  <c r="X43" i="28"/>
  <c r="W43" i="28"/>
  <c r="V43" i="28"/>
  <c r="U43" i="28"/>
  <c r="T43" i="28"/>
  <c r="S43" i="28"/>
  <c r="R43" i="28"/>
  <c r="Q43" i="28"/>
  <c r="P43" i="28"/>
  <c r="O43" i="28"/>
  <c r="Z42" i="28"/>
  <c r="Y42" i="28"/>
  <c r="X42" i="28"/>
  <c r="W42" i="28"/>
  <c r="V42" i="28"/>
  <c r="U42" i="28"/>
  <c r="T42" i="28"/>
  <c r="S42" i="28"/>
  <c r="R42" i="28"/>
  <c r="Q42" i="28"/>
  <c r="P42" i="28"/>
  <c r="O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Z24" i="28"/>
  <c r="Y24" i="28"/>
  <c r="X24" i="28"/>
  <c r="W24" i="28"/>
  <c r="V24" i="28"/>
  <c r="U24" i="28"/>
  <c r="T24" i="28"/>
  <c r="S24" i="28"/>
  <c r="R24" i="28"/>
  <c r="Q24" i="28"/>
  <c r="P24" i="28"/>
  <c r="O24" i="28"/>
  <c r="Z23" i="28"/>
  <c r="Y23" i="28"/>
  <c r="X23" i="28"/>
  <c r="W23" i="28"/>
  <c r="V23" i="28"/>
  <c r="U23" i="28"/>
  <c r="T23" i="28"/>
  <c r="S23" i="28"/>
  <c r="R23" i="28"/>
  <c r="Q23" i="28"/>
  <c r="P23" i="28"/>
  <c r="O23" i="28"/>
  <c r="Z22" i="28"/>
  <c r="Y22" i="28"/>
  <c r="X22" i="28"/>
  <c r="W22" i="28"/>
  <c r="V22" i="28"/>
  <c r="U22" i="28"/>
  <c r="T22" i="28"/>
  <c r="S22" i="28"/>
  <c r="R22" i="28"/>
  <c r="Q22" i="28"/>
  <c r="P22" i="28"/>
  <c r="O22" i="28"/>
  <c r="Z21" i="28"/>
  <c r="Y21" i="28"/>
  <c r="X21" i="28"/>
  <c r="W21" i="28"/>
  <c r="V21" i="28"/>
  <c r="U21" i="28"/>
  <c r="T21" i="28"/>
  <c r="S21" i="28"/>
  <c r="R21" i="28"/>
  <c r="Q21" i="28"/>
  <c r="P21" i="28"/>
  <c r="O21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Z19" i="28"/>
  <c r="Y19" i="28"/>
  <c r="X19" i="28"/>
  <c r="W19" i="28"/>
  <c r="V19" i="28"/>
  <c r="U19" i="28"/>
  <c r="T19" i="28"/>
  <c r="S19" i="28"/>
  <c r="R19" i="28"/>
  <c r="Q19" i="28"/>
  <c r="P19" i="28"/>
  <c r="O19" i="28"/>
  <c r="Z18" i="28"/>
  <c r="Y18" i="28"/>
  <c r="X18" i="28"/>
  <c r="W18" i="28"/>
  <c r="V18" i="28"/>
  <c r="U18" i="28"/>
  <c r="T18" i="28"/>
  <c r="S18" i="28"/>
  <c r="R18" i="28"/>
  <c r="Q18" i="28"/>
  <c r="P18" i="28"/>
  <c r="O18" i="28"/>
  <c r="Z17" i="28"/>
  <c r="Y17" i="28"/>
  <c r="X17" i="28"/>
  <c r="W17" i="28"/>
  <c r="V17" i="28"/>
  <c r="U17" i="28"/>
  <c r="T17" i="28"/>
  <c r="S17" i="28"/>
  <c r="R17" i="28"/>
  <c r="Q17" i="28"/>
  <c r="P17" i="28"/>
  <c r="O17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Z15" i="28"/>
  <c r="Y15" i="28"/>
  <c r="X15" i="28"/>
  <c r="W15" i="28"/>
  <c r="V15" i="28"/>
  <c r="U15" i="28"/>
  <c r="T15" i="28"/>
  <c r="S15" i="28"/>
  <c r="R15" i="28"/>
  <c r="Q15" i="28"/>
  <c r="P15" i="28"/>
  <c r="O15" i="28"/>
  <c r="Z14" i="28"/>
  <c r="Y14" i="28"/>
  <c r="X14" i="28"/>
  <c r="W14" i="28"/>
  <c r="V14" i="28"/>
  <c r="U14" i="28"/>
  <c r="T14" i="28"/>
  <c r="S14" i="28"/>
  <c r="R14" i="28"/>
  <c r="Q14" i="28"/>
  <c r="P14" i="28"/>
  <c r="O14" i="28"/>
  <c r="Z13" i="28"/>
  <c r="Y13" i="28"/>
  <c r="X13" i="28"/>
  <c r="W13" i="28"/>
  <c r="V13" i="28"/>
  <c r="U13" i="28"/>
  <c r="T13" i="28"/>
  <c r="S13" i="28"/>
  <c r="R13" i="28"/>
  <c r="Q13" i="28"/>
  <c r="P13" i="28"/>
  <c r="O13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Z11" i="28"/>
  <c r="Y11" i="28"/>
  <c r="X11" i="28"/>
  <c r="W11" i="28"/>
  <c r="V11" i="28"/>
  <c r="U11" i="28"/>
  <c r="T11" i="28"/>
  <c r="S11" i="28"/>
  <c r="R11" i="28"/>
  <c r="Q11" i="28"/>
  <c r="P11" i="28"/>
  <c r="O11" i="28"/>
  <c r="Z10" i="28"/>
  <c r="Y10" i="28"/>
  <c r="X10" i="28"/>
  <c r="W10" i="28"/>
  <c r="V10" i="28"/>
  <c r="U10" i="28"/>
  <c r="T10" i="28"/>
  <c r="S10" i="28"/>
  <c r="R10" i="28"/>
  <c r="Q10" i="28"/>
  <c r="P10" i="28"/>
  <c r="O10" i="28"/>
  <c r="Z9" i="28"/>
  <c r="Y9" i="28"/>
  <c r="X9" i="28"/>
  <c r="W9" i="28"/>
  <c r="V9" i="28"/>
  <c r="U9" i="28"/>
  <c r="T9" i="28"/>
  <c r="S9" i="28"/>
  <c r="R9" i="28"/>
  <c r="Q9" i="28"/>
  <c r="P9" i="28"/>
  <c r="O9" i="28"/>
  <c r="Z8" i="28"/>
  <c r="Y8" i="28"/>
  <c r="X8" i="28"/>
  <c r="W8" i="28"/>
  <c r="V8" i="28"/>
  <c r="U8" i="28"/>
  <c r="T8" i="28"/>
  <c r="S8" i="28"/>
  <c r="R8" i="28"/>
  <c r="Q8" i="28"/>
  <c r="P8" i="28"/>
  <c r="O8" i="28"/>
  <c r="Z7" i="28"/>
  <c r="Y7" i="28"/>
  <c r="X7" i="28"/>
  <c r="W7" i="28"/>
  <c r="V7" i="28"/>
  <c r="U7" i="28"/>
  <c r="T7" i="28"/>
  <c r="S7" i="28"/>
  <c r="R7" i="28"/>
  <c r="Q7" i="28"/>
  <c r="P7" i="28"/>
  <c r="O7" i="28"/>
  <c r="AJ92" i="28"/>
  <c r="AI92" i="28"/>
  <c r="AH92" i="28"/>
  <c r="AG92" i="28"/>
  <c r="AF92" i="28"/>
  <c r="AE92" i="28"/>
  <c r="AD92" i="28"/>
  <c r="AC92" i="28"/>
  <c r="AB92" i="28"/>
  <c r="AA92" i="28"/>
  <c r="AJ91" i="28"/>
  <c r="AI91" i="28"/>
  <c r="AH91" i="28"/>
  <c r="AG91" i="28"/>
  <c r="AF91" i="28"/>
  <c r="AE91" i="28"/>
  <c r="AD91" i="28"/>
  <c r="AC91" i="28"/>
  <c r="AB91" i="28"/>
  <c r="AA91" i="28"/>
  <c r="AJ90" i="28"/>
  <c r="AI90" i="28"/>
  <c r="AH90" i="28"/>
  <c r="AG90" i="28"/>
  <c r="AF90" i="28"/>
  <c r="AE90" i="28"/>
  <c r="AD90" i="28"/>
  <c r="AC90" i="28"/>
  <c r="AB90" i="28"/>
  <c r="AA90" i="28"/>
  <c r="AJ89" i="28"/>
  <c r="AI89" i="28"/>
  <c r="AH89" i="28"/>
  <c r="AG89" i="28"/>
  <c r="AF89" i="28"/>
  <c r="AE89" i="28"/>
  <c r="AD89" i="28"/>
  <c r="AC89" i="28"/>
  <c r="AB89" i="28"/>
  <c r="AA89" i="28"/>
  <c r="AJ88" i="28"/>
  <c r="AI88" i="28"/>
  <c r="AH88" i="28"/>
  <c r="AG88" i="28"/>
  <c r="AF88" i="28"/>
  <c r="AE88" i="28"/>
  <c r="AD88" i="28"/>
  <c r="AC88" i="28"/>
  <c r="AB88" i="28"/>
  <c r="AA88" i="28"/>
  <c r="AJ87" i="28"/>
  <c r="AI87" i="28"/>
  <c r="AH87" i="28"/>
  <c r="AG87" i="28"/>
  <c r="AF87" i="28"/>
  <c r="AE87" i="28"/>
  <c r="AD87" i="28"/>
  <c r="AC87" i="28"/>
  <c r="AB87" i="28"/>
  <c r="AA87" i="28"/>
  <c r="AJ86" i="28"/>
  <c r="AI86" i="28"/>
  <c r="AH86" i="28"/>
  <c r="AG86" i="28"/>
  <c r="AF86" i="28"/>
  <c r="AE86" i="28"/>
  <c r="AD86" i="28"/>
  <c r="AC86" i="28"/>
  <c r="AB86" i="28"/>
  <c r="AA86" i="28"/>
  <c r="AJ85" i="28"/>
  <c r="AI85" i="28"/>
  <c r="AH85" i="28"/>
  <c r="AG85" i="28"/>
  <c r="AF85" i="28"/>
  <c r="AE85" i="28"/>
  <c r="AD85" i="28"/>
  <c r="AC85" i="28"/>
  <c r="AB85" i="28"/>
  <c r="AA85" i="28"/>
  <c r="AJ84" i="28"/>
  <c r="AI84" i="28"/>
  <c r="AH84" i="28"/>
  <c r="AG84" i="28"/>
  <c r="AF84" i="28"/>
  <c r="AE84" i="28"/>
  <c r="AD84" i="28"/>
  <c r="AC84" i="28"/>
  <c r="AB84" i="28"/>
  <c r="AA84" i="28"/>
  <c r="AJ83" i="28"/>
  <c r="AI83" i="28"/>
  <c r="AH83" i="28"/>
  <c r="AG83" i="28"/>
  <c r="AF83" i="28"/>
  <c r="AE83" i="28"/>
  <c r="AD83" i="28"/>
  <c r="AC83" i="28"/>
  <c r="AB83" i="28"/>
  <c r="AA83" i="28"/>
  <c r="AJ82" i="28"/>
  <c r="AI82" i="28"/>
  <c r="AH82" i="28"/>
  <c r="AG82" i="28"/>
  <c r="AF82" i="28"/>
  <c r="AE82" i="28"/>
  <c r="AD82" i="28"/>
  <c r="AC82" i="28"/>
  <c r="AB82" i="28"/>
  <c r="AA82" i="28"/>
  <c r="AJ81" i="28"/>
  <c r="AI81" i="28"/>
  <c r="AH81" i="28"/>
  <c r="AG81" i="28"/>
  <c r="AF81" i="28"/>
  <c r="AE81" i="28"/>
  <c r="AD81" i="28"/>
  <c r="AC81" i="28"/>
  <c r="AB81" i="28"/>
  <c r="AA81" i="28"/>
  <c r="AJ80" i="28"/>
  <c r="AI80" i="28"/>
  <c r="AH80" i="28"/>
  <c r="AG80" i="28"/>
  <c r="AF80" i="28"/>
  <c r="AE80" i="28"/>
  <c r="AD80" i="28"/>
  <c r="AC80" i="28"/>
  <c r="AB80" i="28"/>
  <c r="AA80" i="28"/>
  <c r="AI76" i="28"/>
  <c r="AE76" i="28"/>
  <c r="AA76" i="28"/>
  <c r="AJ74" i="28"/>
  <c r="AI74" i="28"/>
  <c r="AH74" i="28"/>
  <c r="AG74" i="28"/>
  <c r="AF74" i="28"/>
  <c r="AE74" i="28"/>
  <c r="AD74" i="28"/>
  <c r="AC74" i="28"/>
  <c r="AB74" i="28"/>
  <c r="AA74" i="28"/>
  <c r="AJ73" i="28"/>
  <c r="AI73" i="28"/>
  <c r="AH73" i="28"/>
  <c r="AG73" i="28"/>
  <c r="AF73" i="28"/>
  <c r="AE73" i="28"/>
  <c r="AD73" i="28"/>
  <c r="AC73" i="28"/>
  <c r="AB73" i="28"/>
  <c r="AA73" i="28"/>
  <c r="AJ72" i="28"/>
  <c r="AI72" i="28"/>
  <c r="AH72" i="28"/>
  <c r="AG72" i="28"/>
  <c r="AF72" i="28"/>
  <c r="AE72" i="28"/>
  <c r="AD72" i="28"/>
  <c r="AC72" i="28"/>
  <c r="AB72" i="28"/>
  <c r="AA72" i="28"/>
  <c r="AJ71" i="28"/>
  <c r="AI71" i="28"/>
  <c r="AH71" i="28"/>
  <c r="AG71" i="28"/>
  <c r="AF71" i="28"/>
  <c r="AE71" i="28"/>
  <c r="AD71" i="28"/>
  <c r="AC71" i="28"/>
  <c r="AB71" i="28"/>
  <c r="AA71" i="28"/>
  <c r="AJ70" i="28"/>
  <c r="AI70" i="28"/>
  <c r="AH70" i="28"/>
  <c r="AG70" i="28"/>
  <c r="AF70" i="28"/>
  <c r="AE70" i="28"/>
  <c r="AD70" i="28"/>
  <c r="AC70" i="28"/>
  <c r="AB70" i="28"/>
  <c r="AA70" i="28"/>
  <c r="AJ69" i="28"/>
  <c r="AI69" i="28"/>
  <c r="AH69" i="28"/>
  <c r="AG69" i="28"/>
  <c r="AF69" i="28"/>
  <c r="AE69" i="28"/>
  <c r="AD69" i="28"/>
  <c r="AC69" i="28"/>
  <c r="AB69" i="28"/>
  <c r="AA69" i="28"/>
  <c r="AJ68" i="28"/>
  <c r="AI68" i="28"/>
  <c r="AH68" i="28"/>
  <c r="AG68" i="28"/>
  <c r="AF68" i="28"/>
  <c r="AE68" i="28"/>
  <c r="AD68" i="28"/>
  <c r="AC68" i="28"/>
  <c r="AB68" i="28"/>
  <c r="AA68" i="28"/>
  <c r="AJ67" i="28"/>
  <c r="AI67" i="28"/>
  <c r="AH67" i="28"/>
  <c r="AG67" i="28"/>
  <c r="AF67" i="28"/>
  <c r="AE67" i="28"/>
  <c r="AD67" i="28"/>
  <c r="AC67" i="28"/>
  <c r="AB67" i="28"/>
  <c r="AA67" i="28"/>
  <c r="AJ66" i="28"/>
  <c r="AI66" i="28"/>
  <c r="AH66" i="28"/>
  <c r="AG66" i="28"/>
  <c r="AF66" i="28"/>
  <c r="AE66" i="28"/>
  <c r="AD66" i="28"/>
  <c r="AC66" i="28"/>
  <c r="AB66" i="28"/>
  <c r="AA66" i="28"/>
  <c r="AJ65" i="28"/>
  <c r="AI65" i="28"/>
  <c r="AH65" i="28"/>
  <c r="AG65" i="28"/>
  <c r="AF65" i="28"/>
  <c r="AE65" i="28"/>
  <c r="AD65" i="28"/>
  <c r="AC65" i="28"/>
  <c r="AB65" i="28"/>
  <c r="AA65" i="28"/>
  <c r="AJ64" i="28"/>
  <c r="AI64" i="28"/>
  <c r="AH64" i="28"/>
  <c r="AG64" i="28"/>
  <c r="AF64" i="28"/>
  <c r="AE64" i="28"/>
  <c r="AD64" i="28"/>
  <c r="AC64" i="28"/>
  <c r="AB64" i="28"/>
  <c r="AA64" i="28"/>
  <c r="AJ63" i="28"/>
  <c r="AI63" i="28"/>
  <c r="AH63" i="28"/>
  <c r="AG63" i="28"/>
  <c r="AF63" i="28"/>
  <c r="AE63" i="28"/>
  <c r="AD63" i="28"/>
  <c r="AC63" i="28"/>
  <c r="AB63" i="28"/>
  <c r="AA63" i="28"/>
  <c r="AJ62" i="28"/>
  <c r="AI62" i="28"/>
  <c r="AH62" i="28"/>
  <c r="AG62" i="28"/>
  <c r="AF62" i="28"/>
  <c r="AE62" i="28"/>
  <c r="AD62" i="28"/>
  <c r="AC62" i="28"/>
  <c r="AB62" i="28"/>
  <c r="AA62" i="28"/>
  <c r="AJ61" i="28"/>
  <c r="AI61" i="28"/>
  <c r="AH61" i="28"/>
  <c r="AG61" i="28"/>
  <c r="AF61" i="28"/>
  <c r="AE61" i="28"/>
  <c r="AD61" i="28"/>
  <c r="AC61" i="28"/>
  <c r="AB61" i="28"/>
  <c r="AA61" i="28"/>
  <c r="AJ60" i="28"/>
  <c r="AI60" i="28"/>
  <c r="AH60" i="28"/>
  <c r="AG60" i="28"/>
  <c r="AF60" i="28"/>
  <c r="AE60" i="28"/>
  <c r="AD60" i="28"/>
  <c r="AC60" i="28"/>
  <c r="AB60" i="28"/>
  <c r="AA60" i="28"/>
  <c r="AJ59" i="28"/>
  <c r="AI59" i="28"/>
  <c r="AH59" i="28"/>
  <c r="AG59" i="28"/>
  <c r="AF59" i="28"/>
  <c r="AE59" i="28"/>
  <c r="AD59" i="28"/>
  <c r="AC59" i="28"/>
  <c r="AB59" i="28"/>
  <c r="AA59" i="28"/>
  <c r="AJ58" i="28"/>
  <c r="AI58" i="28"/>
  <c r="AH58" i="28"/>
  <c r="AG58" i="28"/>
  <c r="AF58" i="28"/>
  <c r="AE58" i="28"/>
  <c r="AD58" i="28"/>
  <c r="AC58" i="28"/>
  <c r="AB58" i="28"/>
  <c r="AA58" i="28"/>
  <c r="AJ57" i="28"/>
  <c r="AI57" i="28"/>
  <c r="AH57" i="28"/>
  <c r="AG57" i="28"/>
  <c r="AF57" i="28"/>
  <c r="AE57" i="28"/>
  <c r="AD57" i="28"/>
  <c r="AC57" i="28"/>
  <c r="AB57" i="28"/>
  <c r="AA57" i="28"/>
  <c r="AJ56" i="28"/>
  <c r="AI56" i="28"/>
  <c r="AH56" i="28"/>
  <c r="AG56" i="28"/>
  <c r="AF56" i="28"/>
  <c r="AE56" i="28"/>
  <c r="AD56" i="28"/>
  <c r="AC56" i="28"/>
  <c r="AB56" i="28"/>
  <c r="AA56" i="28"/>
  <c r="AJ55" i="28"/>
  <c r="AI55" i="28"/>
  <c r="AH55" i="28"/>
  <c r="AG55" i="28"/>
  <c r="AF55" i="28"/>
  <c r="AE55" i="28"/>
  <c r="AD55" i="28"/>
  <c r="AC55" i="28"/>
  <c r="AB55" i="28"/>
  <c r="AA55" i="28"/>
  <c r="AJ54" i="28"/>
  <c r="AI54" i="28"/>
  <c r="AH54" i="28"/>
  <c r="AG54" i="28"/>
  <c r="AF54" i="28"/>
  <c r="AE54" i="28"/>
  <c r="AD54" i="28"/>
  <c r="AC54" i="28"/>
  <c r="AB54" i="28"/>
  <c r="AA54" i="28"/>
  <c r="AJ53" i="28"/>
  <c r="AI53" i="28"/>
  <c r="AH53" i="28"/>
  <c r="AG53" i="28"/>
  <c r="AF53" i="28"/>
  <c r="AE53" i="28"/>
  <c r="AD53" i="28"/>
  <c r="AC53" i="28"/>
  <c r="AB53" i="28"/>
  <c r="AA53" i="28"/>
  <c r="AJ52" i="28"/>
  <c r="AI52" i="28"/>
  <c r="AH52" i="28"/>
  <c r="AG52" i="28"/>
  <c r="AF52" i="28"/>
  <c r="AE52" i="28"/>
  <c r="AD52" i="28"/>
  <c r="AC52" i="28"/>
  <c r="AB52" i="28"/>
  <c r="AA52" i="28"/>
  <c r="AJ51" i="28"/>
  <c r="AI51" i="28"/>
  <c r="AH51" i="28"/>
  <c r="AG51" i="28"/>
  <c r="AF51" i="28"/>
  <c r="AE51" i="28"/>
  <c r="AD51" i="28"/>
  <c r="AC51" i="28"/>
  <c r="AB51" i="28"/>
  <c r="AA51" i="28"/>
  <c r="AJ50" i="28"/>
  <c r="AI50" i="28"/>
  <c r="AH50" i="28"/>
  <c r="AG50" i="28"/>
  <c r="AF50" i="28"/>
  <c r="AE50" i="28"/>
  <c r="AD50" i="28"/>
  <c r="AC50" i="28"/>
  <c r="AB50" i="28"/>
  <c r="AA50" i="28"/>
  <c r="AJ49" i="28"/>
  <c r="AI49" i="28"/>
  <c r="AH49" i="28"/>
  <c r="AG49" i="28"/>
  <c r="AF49" i="28"/>
  <c r="AE49" i="28"/>
  <c r="AD49" i="28"/>
  <c r="AC49" i="28"/>
  <c r="AB49" i="28"/>
  <c r="AA49" i="28"/>
  <c r="AJ48" i="28"/>
  <c r="AI48" i="28"/>
  <c r="AH48" i="28"/>
  <c r="AG48" i="28"/>
  <c r="AF48" i="28"/>
  <c r="AE48" i="28"/>
  <c r="AD48" i="28"/>
  <c r="AC48" i="28"/>
  <c r="AB48" i="28"/>
  <c r="AA48" i="28"/>
  <c r="AJ47" i="28"/>
  <c r="AI47" i="28"/>
  <c r="AH47" i="28"/>
  <c r="AG47" i="28"/>
  <c r="AF47" i="28"/>
  <c r="AE47" i="28"/>
  <c r="AD47" i="28"/>
  <c r="AC47" i="28"/>
  <c r="AB47" i="28"/>
  <c r="AA47" i="28"/>
  <c r="AJ46" i="28"/>
  <c r="AI46" i="28"/>
  <c r="AH46" i="28"/>
  <c r="AG46" i="28"/>
  <c r="AF46" i="28"/>
  <c r="AE46" i="28"/>
  <c r="AD46" i="28"/>
  <c r="AC46" i="28"/>
  <c r="AB46" i="28"/>
  <c r="AA46" i="28"/>
  <c r="AJ45" i="28"/>
  <c r="AI45" i="28"/>
  <c r="AH45" i="28"/>
  <c r="AG45" i="28"/>
  <c r="AF45" i="28"/>
  <c r="AE45" i="28"/>
  <c r="AD45" i="28"/>
  <c r="AC45" i="28"/>
  <c r="AB45" i="28"/>
  <c r="AA45" i="28"/>
  <c r="AJ44" i="28"/>
  <c r="AI44" i="28"/>
  <c r="AH44" i="28"/>
  <c r="AG44" i="28"/>
  <c r="AF44" i="28"/>
  <c r="AE44" i="28"/>
  <c r="AD44" i="28"/>
  <c r="AC44" i="28"/>
  <c r="AB44" i="28"/>
  <c r="AA44" i="28"/>
  <c r="AJ43" i="28"/>
  <c r="AI43" i="28"/>
  <c r="AH43" i="28"/>
  <c r="AG43" i="28"/>
  <c r="AF43" i="28"/>
  <c r="AE43" i="28"/>
  <c r="AD43" i="28"/>
  <c r="AC43" i="28"/>
  <c r="AB43" i="28"/>
  <c r="AA43" i="28"/>
  <c r="AJ42" i="28"/>
  <c r="AI42" i="28"/>
  <c r="AH42" i="28"/>
  <c r="AG42" i="28"/>
  <c r="AF42" i="28"/>
  <c r="AE42" i="28"/>
  <c r="AD42" i="28"/>
  <c r="AC42" i="28"/>
  <c r="AB42" i="28"/>
  <c r="AA42" i="28"/>
  <c r="AJ41" i="28"/>
  <c r="AI41" i="28"/>
  <c r="AH41" i="28"/>
  <c r="AG41" i="28"/>
  <c r="AF41" i="28"/>
  <c r="AE41" i="28"/>
  <c r="AD41" i="28"/>
  <c r="AC41" i="28"/>
  <c r="AB41" i="28"/>
  <c r="AA41" i="28"/>
  <c r="AJ40" i="28"/>
  <c r="AI40" i="28"/>
  <c r="AH40" i="28"/>
  <c r="AG40" i="28"/>
  <c r="AF40" i="28"/>
  <c r="AE40" i="28"/>
  <c r="AD40" i="28"/>
  <c r="AC40" i="28"/>
  <c r="AB40" i="28"/>
  <c r="AA40" i="28"/>
  <c r="AJ39" i="28"/>
  <c r="AI39" i="28"/>
  <c r="AH39" i="28"/>
  <c r="AG39" i="28"/>
  <c r="AF39" i="28"/>
  <c r="AE39" i="28"/>
  <c r="AD39" i="28"/>
  <c r="AC39" i="28"/>
  <c r="AB39" i="28"/>
  <c r="AA39" i="28"/>
  <c r="AJ38" i="28"/>
  <c r="AI38" i="28"/>
  <c r="AH38" i="28"/>
  <c r="AG38" i="28"/>
  <c r="AF38" i="28"/>
  <c r="AE38" i="28"/>
  <c r="AD38" i="28"/>
  <c r="AC38" i="28"/>
  <c r="AB38" i="28"/>
  <c r="AA38" i="28"/>
  <c r="AJ37" i="28"/>
  <c r="AI37" i="28"/>
  <c r="AH37" i="28"/>
  <c r="AG37" i="28"/>
  <c r="AF37" i="28"/>
  <c r="AE37" i="28"/>
  <c r="AD37" i="28"/>
  <c r="AC37" i="28"/>
  <c r="AB37" i="28"/>
  <c r="AA37" i="28"/>
  <c r="AJ36" i="28"/>
  <c r="AI36" i="28"/>
  <c r="AH36" i="28"/>
  <c r="AG36" i="28"/>
  <c r="AF36" i="28"/>
  <c r="AE36" i="28"/>
  <c r="AD36" i="28"/>
  <c r="AC36" i="28"/>
  <c r="AB36" i="28"/>
  <c r="AA36" i="28"/>
  <c r="AJ35" i="28"/>
  <c r="AI35" i="28"/>
  <c r="AH35" i="28"/>
  <c r="AG35" i="28"/>
  <c r="AF35" i="28"/>
  <c r="AE35" i="28"/>
  <c r="AD35" i="28"/>
  <c r="AC35" i="28"/>
  <c r="AB35" i="28"/>
  <c r="AA35" i="28"/>
  <c r="AJ34" i="28"/>
  <c r="AI34" i="28"/>
  <c r="AH34" i="28"/>
  <c r="AG34" i="28"/>
  <c r="AF34" i="28"/>
  <c r="AE34" i="28"/>
  <c r="AD34" i="28"/>
  <c r="AC34" i="28"/>
  <c r="AB34" i="28"/>
  <c r="AA34" i="28"/>
  <c r="AJ33" i="28"/>
  <c r="AI33" i="28"/>
  <c r="AH33" i="28"/>
  <c r="AG33" i="28"/>
  <c r="AF33" i="28"/>
  <c r="AE33" i="28"/>
  <c r="AD33" i="28"/>
  <c r="AC33" i="28"/>
  <c r="AB33" i="28"/>
  <c r="AA33" i="28"/>
  <c r="AJ32" i="28"/>
  <c r="AI32" i="28"/>
  <c r="AH32" i="28"/>
  <c r="AG32" i="28"/>
  <c r="AF32" i="28"/>
  <c r="AE32" i="28"/>
  <c r="AD32" i="28"/>
  <c r="AC32" i="28"/>
  <c r="AB32" i="28"/>
  <c r="AA32" i="28"/>
  <c r="AJ31" i="28"/>
  <c r="AI31" i="28"/>
  <c r="AH31" i="28"/>
  <c r="AG31" i="28"/>
  <c r="AF31" i="28"/>
  <c r="AE31" i="28"/>
  <c r="AD31" i="28"/>
  <c r="AC31" i="28"/>
  <c r="AB31" i="28"/>
  <c r="AA31" i="28"/>
  <c r="AJ30" i="28"/>
  <c r="AI30" i="28"/>
  <c r="AH30" i="28"/>
  <c r="AG30" i="28"/>
  <c r="AF30" i="28"/>
  <c r="AE30" i="28"/>
  <c r="AD30" i="28"/>
  <c r="AC30" i="28"/>
  <c r="AB30" i="28"/>
  <c r="AA30" i="28"/>
  <c r="AJ29" i="28"/>
  <c r="AI29" i="28"/>
  <c r="AH29" i="28"/>
  <c r="AG29" i="28"/>
  <c r="AF29" i="28"/>
  <c r="AE29" i="28"/>
  <c r="AD29" i="28"/>
  <c r="AC29" i="28"/>
  <c r="AB29" i="28"/>
  <c r="AA29" i="28"/>
  <c r="AJ28" i="28"/>
  <c r="AI28" i="28"/>
  <c r="AH28" i="28"/>
  <c r="AG28" i="28"/>
  <c r="AF28" i="28"/>
  <c r="AE28" i="28"/>
  <c r="AD28" i="28"/>
  <c r="AC28" i="28"/>
  <c r="AB28" i="28"/>
  <c r="AA28" i="28"/>
  <c r="AJ27" i="28"/>
  <c r="AI27" i="28"/>
  <c r="AH27" i="28"/>
  <c r="AG27" i="28"/>
  <c r="AF27" i="28"/>
  <c r="AE27" i="28"/>
  <c r="AD27" i="28"/>
  <c r="AC27" i="28"/>
  <c r="AB27" i="28"/>
  <c r="AA27" i="28"/>
  <c r="AJ26" i="28"/>
  <c r="AI26" i="28"/>
  <c r="AH26" i="28"/>
  <c r="AG26" i="28"/>
  <c r="AF26" i="28"/>
  <c r="AE26" i="28"/>
  <c r="AD26" i="28"/>
  <c r="AC26" i="28"/>
  <c r="AB26" i="28"/>
  <c r="AA26" i="28"/>
  <c r="AJ25" i="28"/>
  <c r="AI25" i="28"/>
  <c r="AH25" i="28"/>
  <c r="AG25" i="28"/>
  <c r="AF25" i="28"/>
  <c r="AE25" i="28"/>
  <c r="AD25" i="28"/>
  <c r="AC25" i="28"/>
  <c r="AB25" i="28"/>
  <c r="AA25" i="28"/>
  <c r="AJ24" i="28"/>
  <c r="AI24" i="28"/>
  <c r="AH24" i="28"/>
  <c r="AG24" i="28"/>
  <c r="AF24" i="28"/>
  <c r="AE24" i="28"/>
  <c r="AD24" i="28"/>
  <c r="AC24" i="28"/>
  <c r="AB24" i="28"/>
  <c r="AA24" i="28"/>
  <c r="AJ23" i="28"/>
  <c r="AI23" i="28"/>
  <c r="AH23" i="28"/>
  <c r="AG23" i="28"/>
  <c r="AF23" i="28"/>
  <c r="AE23" i="28"/>
  <c r="AD23" i="28"/>
  <c r="AC23" i="28"/>
  <c r="AB23" i="28"/>
  <c r="AA23" i="28"/>
  <c r="AJ22" i="28"/>
  <c r="AI22" i="28"/>
  <c r="AH22" i="28"/>
  <c r="AG22" i="28"/>
  <c r="AF22" i="28"/>
  <c r="AE22" i="28"/>
  <c r="AD22" i="28"/>
  <c r="AC22" i="28"/>
  <c r="AB22" i="28"/>
  <c r="AA22" i="28"/>
  <c r="AJ21" i="28"/>
  <c r="AI21" i="28"/>
  <c r="AH21" i="28"/>
  <c r="AG21" i="28"/>
  <c r="AF21" i="28"/>
  <c r="AE21" i="28"/>
  <c r="AD21" i="28"/>
  <c r="AC21" i="28"/>
  <c r="AB21" i="28"/>
  <c r="AA21" i="28"/>
  <c r="AJ20" i="28"/>
  <c r="AI20" i="28"/>
  <c r="AH20" i="28"/>
  <c r="AG20" i="28"/>
  <c r="AF20" i="28"/>
  <c r="AE20" i="28"/>
  <c r="AD20" i="28"/>
  <c r="AC20" i="28"/>
  <c r="AB20" i="28"/>
  <c r="AA20" i="28"/>
  <c r="AJ19" i="28"/>
  <c r="AI19" i="28"/>
  <c r="AH19" i="28"/>
  <c r="AG19" i="28"/>
  <c r="AF19" i="28"/>
  <c r="AE19" i="28"/>
  <c r="AD19" i="28"/>
  <c r="AC19" i="28"/>
  <c r="AB19" i="28"/>
  <c r="AA19" i="28"/>
  <c r="AJ18" i="28"/>
  <c r="AI18" i="28"/>
  <c r="AH18" i="28"/>
  <c r="AG18" i="28"/>
  <c r="AF18" i="28"/>
  <c r="AE18" i="28"/>
  <c r="AD18" i="28"/>
  <c r="AC18" i="28"/>
  <c r="AB18" i="28"/>
  <c r="AA18" i="28"/>
  <c r="AJ17" i="28"/>
  <c r="AI17" i="28"/>
  <c r="AH17" i="28"/>
  <c r="AG17" i="28"/>
  <c r="AF17" i="28"/>
  <c r="AE17" i="28"/>
  <c r="AD17" i="28"/>
  <c r="AC17" i="28"/>
  <c r="AB17" i="28"/>
  <c r="AA17" i="28"/>
  <c r="AJ16" i="28"/>
  <c r="AI16" i="28"/>
  <c r="AH16" i="28"/>
  <c r="AG16" i="28"/>
  <c r="AF16" i="28"/>
  <c r="AE16" i="28"/>
  <c r="AD16" i="28"/>
  <c r="AC16" i="28"/>
  <c r="AB16" i="28"/>
  <c r="AA16" i="28"/>
  <c r="AJ15" i="28"/>
  <c r="AI15" i="28"/>
  <c r="AH15" i="28"/>
  <c r="AG15" i="28"/>
  <c r="AF15" i="28"/>
  <c r="AE15" i="28"/>
  <c r="AD15" i="28"/>
  <c r="AC15" i="28"/>
  <c r="AB15" i="28"/>
  <c r="AA15" i="28"/>
  <c r="AJ14" i="28"/>
  <c r="AI14" i="28"/>
  <c r="AH14" i="28"/>
  <c r="AG14" i="28"/>
  <c r="AF14" i="28"/>
  <c r="AE14" i="28"/>
  <c r="AD14" i="28"/>
  <c r="AC14" i="28"/>
  <c r="AB14" i="28"/>
  <c r="AA14" i="28"/>
  <c r="AJ13" i="28"/>
  <c r="AI13" i="28"/>
  <c r="AH13" i="28"/>
  <c r="AG13" i="28"/>
  <c r="AF13" i="28"/>
  <c r="AE13" i="28"/>
  <c r="AD13" i="28"/>
  <c r="AC13" i="28"/>
  <c r="AB13" i="28"/>
  <c r="AA13" i="28"/>
  <c r="AJ12" i="28"/>
  <c r="AI12" i="28"/>
  <c r="AH12" i="28"/>
  <c r="AG12" i="28"/>
  <c r="AF12" i="28"/>
  <c r="AE12" i="28"/>
  <c r="AD12" i="28"/>
  <c r="AC12" i="28"/>
  <c r="AB12" i="28"/>
  <c r="AA12" i="28"/>
  <c r="AJ11" i="28"/>
  <c r="AI11" i="28"/>
  <c r="AH11" i="28"/>
  <c r="AG11" i="28"/>
  <c r="AF11" i="28"/>
  <c r="AE11" i="28"/>
  <c r="AD11" i="28"/>
  <c r="AC11" i="28"/>
  <c r="AB11" i="28"/>
  <c r="AA11" i="28"/>
  <c r="AJ10" i="28"/>
  <c r="AI10" i="28"/>
  <c r="AH10" i="28"/>
  <c r="AG10" i="28"/>
  <c r="AF10" i="28"/>
  <c r="AE10" i="28"/>
  <c r="AD10" i="28"/>
  <c r="AC10" i="28"/>
  <c r="AB10" i="28"/>
  <c r="AA10" i="28"/>
  <c r="AJ9" i="28"/>
  <c r="AI9" i="28"/>
  <c r="AH9" i="28"/>
  <c r="AG9" i="28"/>
  <c r="AF9" i="28"/>
  <c r="AE9" i="28"/>
  <c r="AD9" i="28"/>
  <c r="AC9" i="28"/>
  <c r="AB9" i="28"/>
  <c r="AA9" i="28"/>
  <c r="AJ8" i="28"/>
  <c r="AI8" i="28"/>
  <c r="AH8" i="28"/>
  <c r="AG8" i="28"/>
  <c r="AF8" i="28"/>
  <c r="AE8" i="28"/>
  <c r="AD8" i="28"/>
  <c r="AC8" i="28"/>
  <c r="AB8" i="28"/>
  <c r="AA8" i="28"/>
  <c r="AJ7" i="28"/>
  <c r="AI7" i="28"/>
  <c r="AH7" i="28"/>
  <c r="AG7" i="28"/>
  <c r="AF7" i="28"/>
  <c r="AE7" i="28"/>
  <c r="AD7" i="28"/>
  <c r="AC7" i="28"/>
  <c r="AB7" i="28"/>
  <c r="AA7" i="28"/>
  <c r="AJ92" i="2"/>
  <c r="AI92" i="2"/>
  <c r="AH92" i="2"/>
  <c r="AG92" i="2"/>
  <c r="AF92" i="2"/>
  <c r="AE92" i="2"/>
  <c r="AD92" i="2"/>
  <c r="AC92" i="2"/>
  <c r="AB92" i="2"/>
  <c r="AA92" i="2"/>
  <c r="AJ91" i="2"/>
  <c r="AI91" i="2"/>
  <c r="AH91" i="2"/>
  <c r="AG91" i="2"/>
  <c r="AF91" i="2"/>
  <c r="AE91" i="2"/>
  <c r="AD91" i="2"/>
  <c r="AC91" i="2"/>
  <c r="AB91" i="2"/>
  <c r="AA91" i="2"/>
  <c r="AJ90" i="2"/>
  <c r="AI90" i="2"/>
  <c r="AH90" i="2"/>
  <c r="AG90" i="2"/>
  <c r="AF90" i="2"/>
  <c r="AE90" i="2"/>
  <c r="AD90" i="2"/>
  <c r="AC90" i="2"/>
  <c r="AB90" i="2"/>
  <c r="AA90" i="2"/>
  <c r="AJ89" i="2"/>
  <c r="AI89" i="2"/>
  <c r="AH89" i="2"/>
  <c r="AG89" i="2"/>
  <c r="AF89" i="2"/>
  <c r="AE89" i="2"/>
  <c r="AD89" i="2"/>
  <c r="AC89" i="2"/>
  <c r="AB89" i="2"/>
  <c r="AA89" i="2"/>
  <c r="AJ88" i="2"/>
  <c r="AI88" i="2"/>
  <c r="AH88" i="2"/>
  <c r="AG88" i="2"/>
  <c r="AF88" i="2"/>
  <c r="AE88" i="2"/>
  <c r="AD88" i="2"/>
  <c r="AC88" i="2"/>
  <c r="AB88" i="2"/>
  <c r="AA88" i="2"/>
  <c r="AJ87" i="2"/>
  <c r="AI87" i="2"/>
  <c r="AH87" i="2"/>
  <c r="AG87" i="2"/>
  <c r="AF87" i="2"/>
  <c r="AE87" i="2"/>
  <c r="AD87" i="2"/>
  <c r="AC87" i="2"/>
  <c r="AB87" i="2"/>
  <c r="AA87" i="2"/>
  <c r="AJ86" i="2"/>
  <c r="AI86" i="2"/>
  <c r="AH86" i="2"/>
  <c r="AG86" i="2"/>
  <c r="AF86" i="2"/>
  <c r="AE86" i="2"/>
  <c r="AD86" i="2"/>
  <c r="AC86" i="2"/>
  <c r="AB86" i="2"/>
  <c r="AA86" i="2"/>
  <c r="AJ85" i="2"/>
  <c r="AI85" i="2"/>
  <c r="AH85" i="2"/>
  <c r="AG85" i="2"/>
  <c r="AF85" i="2"/>
  <c r="AE85" i="2"/>
  <c r="AD85" i="2"/>
  <c r="AC85" i="2"/>
  <c r="AB85" i="2"/>
  <c r="AA85" i="2"/>
  <c r="AJ84" i="2"/>
  <c r="AI84" i="2"/>
  <c r="AH84" i="2"/>
  <c r="AG84" i="2"/>
  <c r="AF84" i="2"/>
  <c r="AE84" i="2"/>
  <c r="AD84" i="2"/>
  <c r="AC84" i="2"/>
  <c r="AB84" i="2"/>
  <c r="AA84" i="2"/>
  <c r="AJ83" i="2"/>
  <c r="AI83" i="2"/>
  <c r="AH83" i="2"/>
  <c r="AG83" i="2"/>
  <c r="AF83" i="2"/>
  <c r="AE83" i="2"/>
  <c r="AD83" i="2"/>
  <c r="AC83" i="2"/>
  <c r="AB83" i="2"/>
  <c r="AA83" i="2"/>
  <c r="AJ82" i="2"/>
  <c r="AI82" i="2"/>
  <c r="AH82" i="2"/>
  <c r="AG82" i="2"/>
  <c r="AF82" i="2"/>
  <c r="AE82" i="2"/>
  <c r="AD82" i="2"/>
  <c r="AC82" i="2"/>
  <c r="AB82" i="2"/>
  <c r="AA82" i="2"/>
  <c r="AJ81" i="2"/>
  <c r="AI81" i="2"/>
  <c r="AH81" i="2"/>
  <c r="AG81" i="2"/>
  <c r="AF81" i="2"/>
  <c r="AE81" i="2"/>
  <c r="AD81" i="2"/>
  <c r="AC81" i="2"/>
  <c r="AB81" i="2"/>
  <c r="AA81" i="2"/>
  <c r="AJ80" i="2"/>
  <c r="AI80" i="2"/>
  <c r="AH80" i="2"/>
  <c r="AG80" i="2"/>
  <c r="AF80" i="2"/>
  <c r="AE80" i="2"/>
  <c r="AD80" i="2"/>
  <c r="AC80" i="2"/>
  <c r="AB80" i="2"/>
  <c r="AA80" i="2"/>
  <c r="AI76" i="2"/>
  <c r="AE76" i="2"/>
  <c r="AA76" i="2"/>
  <c r="AJ74" i="2"/>
  <c r="AI74" i="2"/>
  <c r="AH74" i="2"/>
  <c r="AG74" i="2"/>
  <c r="AF74" i="2"/>
  <c r="AE74" i="2"/>
  <c r="AD74" i="2"/>
  <c r="AC74" i="2"/>
  <c r="AB74" i="2"/>
  <c r="AA74" i="2"/>
  <c r="AJ73" i="2"/>
  <c r="AI73" i="2"/>
  <c r="AH73" i="2"/>
  <c r="AG73" i="2"/>
  <c r="AF73" i="2"/>
  <c r="AE73" i="2"/>
  <c r="AD73" i="2"/>
  <c r="AC73" i="2"/>
  <c r="AB73" i="2"/>
  <c r="AA73" i="2"/>
  <c r="AJ72" i="2"/>
  <c r="AI72" i="2"/>
  <c r="AH72" i="2"/>
  <c r="AG72" i="2"/>
  <c r="AF72" i="2"/>
  <c r="AE72" i="2"/>
  <c r="AD72" i="2"/>
  <c r="AC72" i="2"/>
  <c r="AB72" i="2"/>
  <c r="AA72" i="2"/>
  <c r="AJ71" i="2"/>
  <c r="AI71" i="2"/>
  <c r="AH71" i="2"/>
  <c r="AG71" i="2"/>
  <c r="AF71" i="2"/>
  <c r="AE71" i="2"/>
  <c r="AD71" i="2"/>
  <c r="AC71" i="2"/>
  <c r="AB71" i="2"/>
  <c r="AA71" i="2"/>
  <c r="AJ70" i="2"/>
  <c r="AI70" i="2"/>
  <c r="AH70" i="2"/>
  <c r="AG70" i="2"/>
  <c r="AF70" i="2"/>
  <c r="AE70" i="2"/>
  <c r="AD70" i="2"/>
  <c r="AC70" i="2"/>
  <c r="AB70" i="2"/>
  <c r="AA70" i="2"/>
  <c r="AJ69" i="2"/>
  <c r="AI69" i="2"/>
  <c r="AH69" i="2"/>
  <c r="AG69" i="2"/>
  <c r="AF69" i="2"/>
  <c r="AE69" i="2"/>
  <c r="AD69" i="2"/>
  <c r="AC69" i="2"/>
  <c r="AB69" i="2"/>
  <c r="AA69" i="2"/>
  <c r="AJ68" i="2"/>
  <c r="AI68" i="2"/>
  <c r="AH68" i="2"/>
  <c r="AG68" i="2"/>
  <c r="AF68" i="2"/>
  <c r="AE68" i="2"/>
  <c r="AD68" i="2"/>
  <c r="AC68" i="2"/>
  <c r="AB68" i="2"/>
  <c r="AA68" i="2"/>
  <c r="AJ67" i="2"/>
  <c r="AI67" i="2"/>
  <c r="AH67" i="2"/>
  <c r="AG67" i="2"/>
  <c r="AF67" i="2"/>
  <c r="AE67" i="2"/>
  <c r="AD67" i="2"/>
  <c r="AC67" i="2"/>
  <c r="AB67" i="2"/>
  <c r="AA67" i="2"/>
  <c r="AJ66" i="2"/>
  <c r="AI66" i="2"/>
  <c r="AH66" i="2"/>
  <c r="AG66" i="2"/>
  <c r="AF66" i="2"/>
  <c r="AE66" i="2"/>
  <c r="AD66" i="2"/>
  <c r="AC66" i="2"/>
  <c r="AB66" i="2"/>
  <c r="AA66" i="2"/>
  <c r="AJ65" i="2"/>
  <c r="AI65" i="2"/>
  <c r="AH65" i="2"/>
  <c r="AG65" i="2"/>
  <c r="AF65" i="2"/>
  <c r="AE65" i="2"/>
  <c r="AD65" i="2"/>
  <c r="AC65" i="2"/>
  <c r="AB65" i="2"/>
  <c r="AA65" i="2"/>
  <c r="AJ64" i="2"/>
  <c r="AI64" i="2"/>
  <c r="AH64" i="2"/>
  <c r="AG64" i="2"/>
  <c r="AF64" i="2"/>
  <c r="AE64" i="2"/>
  <c r="AD64" i="2"/>
  <c r="AC64" i="2"/>
  <c r="AB64" i="2"/>
  <c r="AA64" i="2"/>
  <c r="AJ63" i="2"/>
  <c r="AI63" i="2"/>
  <c r="AH63" i="2"/>
  <c r="AG63" i="2"/>
  <c r="AF63" i="2"/>
  <c r="AE63" i="2"/>
  <c r="AD63" i="2"/>
  <c r="AC63" i="2"/>
  <c r="AB63" i="2"/>
  <c r="AA63" i="2"/>
  <c r="AJ62" i="2"/>
  <c r="AI62" i="2"/>
  <c r="AH62" i="2"/>
  <c r="AG62" i="2"/>
  <c r="AF62" i="2"/>
  <c r="AE62" i="2"/>
  <c r="AD62" i="2"/>
  <c r="AC62" i="2"/>
  <c r="AB62" i="2"/>
  <c r="AA62" i="2"/>
  <c r="AJ61" i="2"/>
  <c r="AI61" i="2"/>
  <c r="AH61" i="2"/>
  <c r="AG61" i="2"/>
  <c r="AF61" i="2"/>
  <c r="AE61" i="2"/>
  <c r="AD61" i="2"/>
  <c r="AC61" i="2"/>
  <c r="AB61" i="2"/>
  <c r="AA61" i="2"/>
  <c r="AJ60" i="2"/>
  <c r="AI60" i="2"/>
  <c r="AH60" i="2"/>
  <c r="AG60" i="2"/>
  <c r="AF60" i="2"/>
  <c r="AE60" i="2"/>
  <c r="AD60" i="2"/>
  <c r="AC60" i="2"/>
  <c r="AB60" i="2"/>
  <c r="AA60" i="2"/>
  <c r="AJ59" i="2"/>
  <c r="AI59" i="2"/>
  <c r="AH59" i="2"/>
  <c r="AG59" i="2"/>
  <c r="AF59" i="2"/>
  <c r="AE59" i="2"/>
  <c r="AD59" i="2"/>
  <c r="AC59" i="2"/>
  <c r="AB59" i="2"/>
  <c r="AA59" i="2"/>
  <c r="AJ58" i="2"/>
  <c r="AI58" i="2"/>
  <c r="AH58" i="2"/>
  <c r="AG58" i="2"/>
  <c r="AF58" i="2"/>
  <c r="AE58" i="2"/>
  <c r="AD58" i="2"/>
  <c r="AC58" i="2"/>
  <c r="AB58" i="2"/>
  <c r="AA58" i="2"/>
  <c r="AJ57" i="2"/>
  <c r="AI57" i="2"/>
  <c r="AH57" i="2"/>
  <c r="AG57" i="2"/>
  <c r="AF57" i="2"/>
  <c r="AE57" i="2"/>
  <c r="AD57" i="2"/>
  <c r="AC57" i="2"/>
  <c r="AB57" i="2"/>
  <c r="AA57" i="2"/>
  <c r="AJ56" i="2"/>
  <c r="AI56" i="2"/>
  <c r="AH56" i="2"/>
  <c r="AG56" i="2"/>
  <c r="AF56" i="2"/>
  <c r="AE56" i="2"/>
  <c r="AD56" i="2"/>
  <c r="AC56" i="2"/>
  <c r="AB56" i="2"/>
  <c r="AA56" i="2"/>
  <c r="AJ55" i="2"/>
  <c r="AI55" i="2"/>
  <c r="AH55" i="2"/>
  <c r="AG55" i="2"/>
  <c r="AF55" i="2"/>
  <c r="AE55" i="2"/>
  <c r="AD55" i="2"/>
  <c r="AC55" i="2"/>
  <c r="AB55" i="2"/>
  <c r="AA55" i="2"/>
  <c r="AJ54" i="2"/>
  <c r="AI54" i="2"/>
  <c r="AH54" i="2"/>
  <c r="AG54" i="2"/>
  <c r="AF54" i="2"/>
  <c r="AE54" i="2"/>
  <c r="AD54" i="2"/>
  <c r="AC54" i="2"/>
  <c r="AB54" i="2"/>
  <c r="AA54" i="2"/>
  <c r="AJ53" i="2"/>
  <c r="AI53" i="2"/>
  <c r="AH53" i="2"/>
  <c r="AG53" i="2"/>
  <c r="AF53" i="2"/>
  <c r="AE53" i="2"/>
  <c r="AD53" i="2"/>
  <c r="AC53" i="2"/>
  <c r="AB53" i="2"/>
  <c r="AA53" i="2"/>
  <c r="AJ52" i="2"/>
  <c r="AI52" i="2"/>
  <c r="AH52" i="2"/>
  <c r="AG52" i="2"/>
  <c r="AF52" i="2"/>
  <c r="AE52" i="2"/>
  <c r="AD52" i="2"/>
  <c r="AC52" i="2"/>
  <c r="AB52" i="2"/>
  <c r="AA52" i="2"/>
  <c r="AJ51" i="2"/>
  <c r="AI51" i="2"/>
  <c r="AH51" i="2"/>
  <c r="AG51" i="2"/>
  <c r="AF51" i="2"/>
  <c r="AE51" i="2"/>
  <c r="AD51" i="2"/>
  <c r="AC51" i="2"/>
  <c r="AB51" i="2"/>
  <c r="AA51" i="2"/>
  <c r="AJ50" i="2"/>
  <c r="AI50" i="2"/>
  <c r="AH50" i="2"/>
  <c r="AG50" i="2"/>
  <c r="AF50" i="2"/>
  <c r="AE50" i="2"/>
  <c r="AD50" i="2"/>
  <c r="AC50" i="2"/>
  <c r="AB50" i="2"/>
  <c r="AA50" i="2"/>
  <c r="AJ49" i="2"/>
  <c r="AI49" i="2"/>
  <c r="AH49" i="2"/>
  <c r="AG49" i="2"/>
  <c r="AF49" i="2"/>
  <c r="AE49" i="2"/>
  <c r="AD49" i="2"/>
  <c r="AC49" i="2"/>
  <c r="AB49" i="2"/>
  <c r="AA49" i="2"/>
  <c r="AJ48" i="2"/>
  <c r="AI48" i="2"/>
  <c r="AH48" i="2"/>
  <c r="AG48" i="2"/>
  <c r="AF48" i="2"/>
  <c r="AE48" i="2"/>
  <c r="AD48" i="2"/>
  <c r="AC48" i="2"/>
  <c r="AB48" i="2"/>
  <c r="AA48" i="2"/>
  <c r="AJ47" i="2"/>
  <c r="AI47" i="2"/>
  <c r="AH47" i="2"/>
  <c r="AG47" i="2"/>
  <c r="AF47" i="2"/>
  <c r="AE47" i="2"/>
  <c r="AD47" i="2"/>
  <c r="AC47" i="2"/>
  <c r="AB47" i="2"/>
  <c r="AA47" i="2"/>
  <c r="AJ46" i="2"/>
  <c r="AI46" i="2"/>
  <c r="AH46" i="2"/>
  <c r="AG46" i="2"/>
  <c r="AF46" i="2"/>
  <c r="AE46" i="2"/>
  <c r="AD46" i="2"/>
  <c r="AC46" i="2"/>
  <c r="AB46" i="2"/>
  <c r="AA46" i="2"/>
  <c r="AJ45" i="2"/>
  <c r="AI45" i="2"/>
  <c r="AH45" i="2"/>
  <c r="AG45" i="2"/>
  <c r="AF45" i="2"/>
  <c r="AE45" i="2"/>
  <c r="AD45" i="2"/>
  <c r="AC45" i="2"/>
  <c r="AB45" i="2"/>
  <c r="AA45" i="2"/>
  <c r="AJ44" i="2"/>
  <c r="AI44" i="2"/>
  <c r="AH44" i="2"/>
  <c r="AG44" i="2"/>
  <c r="AF44" i="2"/>
  <c r="AE44" i="2"/>
  <c r="AD44" i="2"/>
  <c r="AC44" i="2"/>
  <c r="AB44" i="2"/>
  <c r="AA44" i="2"/>
  <c r="AJ43" i="2"/>
  <c r="AI43" i="2"/>
  <c r="AH43" i="2"/>
  <c r="AG43" i="2"/>
  <c r="AF43" i="2"/>
  <c r="AE43" i="2"/>
  <c r="AD43" i="2"/>
  <c r="AC43" i="2"/>
  <c r="AB43" i="2"/>
  <c r="AA43" i="2"/>
  <c r="AJ42" i="2"/>
  <c r="AI42" i="2"/>
  <c r="AH42" i="2"/>
  <c r="AG42" i="2"/>
  <c r="AF42" i="2"/>
  <c r="AE42" i="2"/>
  <c r="AD42" i="2"/>
  <c r="AC42" i="2"/>
  <c r="AB42" i="2"/>
  <c r="AA42" i="2"/>
  <c r="AJ41" i="2"/>
  <c r="AI41" i="2"/>
  <c r="AH41" i="2"/>
  <c r="AG41" i="2"/>
  <c r="AF41" i="2"/>
  <c r="AE41" i="2"/>
  <c r="AD41" i="2"/>
  <c r="AC41" i="2"/>
  <c r="AB41" i="2"/>
  <c r="AA41" i="2"/>
  <c r="AJ40" i="2"/>
  <c r="AI40" i="2"/>
  <c r="AH40" i="2"/>
  <c r="AG40" i="2"/>
  <c r="AF40" i="2"/>
  <c r="AE40" i="2"/>
  <c r="AD40" i="2"/>
  <c r="AC40" i="2"/>
  <c r="AB40" i="2"/>
  <c r="AA40" i="2"/>
  <c r="AJ39" i="2"/>
  <c r="AI39" i="2"/>
  <c r="AH39" i="2"/>
  <c r="AG39" i="2"/>
  <c r="AF39" i="2"/>
  <c r="AE39" i="2"/>
  <c r="AD39" i="2"/>
  <c r="AC39" i="2"/>
  <c r="AB39" i="2"/>
  <c r="AA39" i="2"/>
  <c r="AJ38" i="2"/>
  <c r="AI38" i="2"/>
  <c r="AH38" i="2"/>
  <c r="AG38" i="2"/>
  <c r="AF38" i="2"/>
  <c r="AE38" i="2"/>
  <c r="AD38" i="2"/>
  <c r="AC38" i="2"/>
  <c r="AB38" i="2"/>
  <c r="AA38" i="2"/>
  <c r="AJ37" i="2"/>
  <c r="AI37" i="2"/>
  <c r="AH37" i="2"/>
  <c r="AG37" i="2"/>
  <c r="AF37" i="2"/>
  <c r="AE37" i="2"/>
  <c r="AD37" i="2"/>
  <c r="AC37" i="2"/>
  <c r="AB37" i="2"/>
  <c r="AA37" i="2"/>
  <c r="AJ36" i="2"/>
  <c r="AI36" i="2"/>
  <c r="AH36" i="2"/>
  <c r="AG36" i="2"/>
  <c r="AF36" i="2"/>
  <c r="AE36" i="2"/>
  <c r="AD36" i="2"/>
  <c r="AC36" i="2"/>
  <c r="AB36" i="2"/>
  <c r="AA36" i="2"/>
  <c r="AJ35" i="2"/>
  <c r="AI35" i="2"/>
  <c r="AH35" i="2"/>
  <c r="AG35" i="2"/>
  <c r="AF35" i="2"/>
  <c r="AE35" i="2"/>
  <c r="AD35" i="2"/>
  <c r="AC35" i="2"/>
  <c r="AB35" i="2"/>
  <c r="AA35" i="2"/>
  <c r="AJ34" i="2"/>
  <c r="AI34" i="2"/>
  <c r="AH34" i="2"/>
  <c r="AG34" i="2"/>
  <c r="AF34" i="2"/>
  <c r="AE34" i="2"/>
  <c r="AD34" i="2"/>
  <c r="AC34" i="2"/>
  <c r="AB34" i="2"/>
  <c r="AA34" i="2"/>
  <c r="AJ33" i="2"/>
  <c r="AI33" i="2"/>
  <c r="AH33" i="2"/>
  <c r="AG33" i="2"/>
  <c r="AF33" i="2"/>
  <c r="AE33" i="2"/>
  <c r="AD33" i="2"/>
  <c r="AC33" i="2"/>
  <c r="AB33" i="2"/>
  <c r="AA33" i="2"/>
  <c r="AJ32" i="2"/>
  <c r="AI32" i="2"/>
  <c r="AH32" i="2"/>
  <c r="AG32" i="2"/>
  <c r="AF32" i="2"/>
  <c r="AE32" i="2"/>
  <c r="AD32" i="2"/>
  <c r="AC32" i="2"/>
  <c r="AB32" i="2"/>
  <c r="AA32" i="2"/>
  <c r="AJ31" i="2"/>
  <c r="AI31" i="2"/>
  <c r="AH31" i="2"/>
  <c r="AG31" i="2"/>
  <c r="AF31" i="2"/>
  <c r="AE31" i="2"/>
  <c r="AD31" i="2"/>
  <c r="AC31" i="2"/>
  <c r="AJ30" i="2"/>
  <c r="AI30" i="2"/>
  <c r="AH30" i="2"/>
  <c r="AG30" i="2"/>
  <c r="AF30" i="2"/>
  <c r="AE30" i="2"/>
  <c r="AD30" i="2"/>
  <c r="AC30" i="2"/>
  <c r="AJ29" i="2"/>
  <c r="AI29" i="2"/>
  <c r="AH29" i="2"/>
  <c r="AG29" i="2"/>
  <c r="AF29" i="2"/>
  <c r="AE29" i="2"/>
  <c r="AD29" i="2"/>
  <c r="AC29" i="2"/>
  <c r="AJ28" i="2"/>
  <c r="AI28" i="2"/>
  <c r="AH28" i="2"/>
  <c r="AG28" i="2"/>
  <c r="AF28" i="2"/>
  <c r="AE28" i="2"/>
  <c r="AD28" i="2"/>
  <c r="AC28" i="2"/>
  <c r="AJ27" i="2"/>
  <c r="AI27" i="2"/>
  <c r="AH27" i="2"/>
  <c r="AG27" i="2"/>
  <c r="AF27" i="2"/>
  <c r="AE27" i="2"/>
  <c r="AD27" i="2"/>
  <c r="AC27" i="2"/>
  <c r="AB27" i="2"/>
  <c r="AA27" i="2"/>
  <c r="AJ26" i="2"/>
  <c r="AI26" i="2"/>
  <c r="AH26" i="2"/>
  <c r="AG26" i="2"/>
  <c r="AF26" i="2"/>
  <c r="AE26" i="2"/>
  <c r="AD26" i="2"/>
  <c r="AC26" i="2"/>
  <c r="AB26" i="2"/>
  <c r="AA26" i="2"/>
  <c r="AJ25" i="2"/>
  <c r="AI25" i="2"/>
  <c r="AH25" i="2"/>
  <c r="AG25" i="2"/>
  <c r="AF25" i="2"/>
  <c r="AE25" i="2"/>
  <c r="AD25" i="2"/>
  <c r="AC25" i="2"/>
  <c r="AB25" i="2"/>
  <c r="AA25" i="2"/>
  <c r="AJ23" i="2"/>
  <c r="AI23" i="2"/>
  <c r="AH23" i="2"/>
  <c r="AG23" i="2"/>
  <c r="AF23" i="2"/>
  <c r="AE23" i="2"/>
  <c r="AD23" i="2"/>
  <c r="AC23" i="2"/>
  <c r="AB23" i="2"/>
  <c r="AA23" i="2"/>
  <c r="AJ22" i="2"/>
  <c r="AI22" i="2"/>
  <c r="AH22" i="2"/>
  <c r="AG22" i="2"/>
  <c r="AF22" i="2"/>
  <c r="AE22" i="2"/>
  <c r="AD22" i="2"/>
  <c r="AC22" i="2"/>
  <c r="AB22" i="2"/>
  <c r="AA22" i="2"/>
  <c r="AJ24" i="2"/>
  <c r="AI24" i="2"/>
  <c r="AH24" i="2"/>
  <c r="AG24" i="2"/>
  <c r="AF24" i="2"/>
  <c r="AE24" i="2"/>
  <c r="AD24" i="2"/>
  <c r="AC24" i="2"/>
  <c r="AB24" i="2"/>
  <c r="AA24" i="2"/>
  <c r="AJ21" i="2"/>
  <c r="AI21" i="2"/>
  <c r="AH21" i="2"/>
  <c r="AG21" i="2"/>
  <c r="AF21" i="2"/>
  <c r="AE21" i="2"/>
  <c r="AD21" i="2"/>
  <c r="AC21" i="2"/>
  <c r="AB21" i="2"/>
  <c r="AA21" i="2"/>
  <c r="AJ20" i="2"/>
  <c r="AI20" i="2"/>
  <c r="AH20" i="2"/>
  <c r="AG20" i="2"/>
  <c r="AF20" i="2"/>
  <c r="AE20" i="2"/>
  <c r="AD20" i="2"/>
  <c r="AC20" i="2"/>
  <c r="AB20" i="2"/>
  <c r="AA20" i="2"/>
  <c r="AJ19" i="2"/>
  <c r="AI19" i="2"/>
  <c r="AH19" i="2"/>
  <c r="AG19" i="2"/>
  <c r="AF19" i="2"/>
  <c r="AE19" i="2"/>
  <c r="AD19" i="2"/>
  <c r="AC19" i="2"/>
  <c r="AB19" i="2"/>
  <c r="AA19" i="2"/>
  <c r="AJ18" i="2"/>
  <c r="AI18" i="2"/>
  <c r="AH18" i="2"/>
  <c r="AG18" i="2"/>
  <c r="AF18" i="2"/>
  <c r="AE18" i="2"/>
  <c r="AD18" i="2"/>
  <c r="AC18" i="2"/>
  <c r="AB18" i="2"/>
  <c r="AA18" i="2"/>
  <c r="AJ17" i="2"/>
  <c r="AI17" i="2"/>
  <c r="AH17" i="2"/>
  <c r="AG17" i="2"/>
  <c r="AF17" i="2"/>
  <c r="AE17" i="2"/>
  <c r="AD17" i="2"/>
  <c r="AC17" i="2"/>
  <c r="AB17" i="2"/>
  <c r="AA17" i="2"/>
  <c r="AJ16" i="2"/>
  <c r="AI16" i="2"/>
  <c r="AH16" i="2"/>
  <c r="AG16" i="2"/>
  <c r="AF16" i="2"/>
  <c r="AE16" i="2"/>
  <c r="AD16" i="2"/>
  <c r="AC16" i="2"/>
  <c r="AB16" i="2"/>
  <c r="AA16" i="2"/>
  <c r="AJ15" i="2"/>
  <c r="AI15" i="2"/>
  <c r="AH15" i="2"/>
  <c r="AG15" i="2"/>
  <c r="AF15" i="2"/>
  <c r="AE15" i="2"/>
  <c r="AD15" i="2"/>
  <c r="AC15" i="2"/>
  <c r="AB15" i="2"/>
  <c r="AA15" i="2"/>
  <c r="AJ14" i="2"/>
  <c r="AI14" i="2"/>
  <c r="AH14" i="2"/>
  <c r="AG14" i="2"/>
  <c r="AF14" i="2"/>
  <c r="AE14" i="2"/>
  <c r="AD14" i="2"/>
  <c r="AC14" i="2"/>
  <c r="AB14" i="2"/>
  <c r="AA14" i="2"/>
  <c r="AJ13" i="2"/>
  <c r="AI13" i="2"/>
  <c r="AH13" i="2"/>
  <c r="AG13" i="2"/>
  <c r="AF13" i="2"/>
  <c r="AE13" i="2"/>
  <c r="AD13" i="2"/>
  <c r="AC13" i="2"/>
  <c r="AB13" i="2"/>
  <c r="AA13" i="2"/>
  <c r="AJ12" i="2"/>
  <c r="AI12" i="2"/>
  <c r="AH12" i="2"/>
  <c r="AG12" i="2"/>
  <c r="AF12" i="2"/>
  <c r="AE12" i="2"/>
  <c r="AD12" i="2"/>
  <c r="AC12" i="2"/>
  <c r="AB12" i="2"/>
  <c r="AA12" i="2"/>
  <c r="AJ11" i="2"/>
  <c r="AI11" i="2"/>
  <c r="AH11" i="2"/>
  <c r="AG11" i="2"/>
  <c r="AF11" i="2"/>
  <c r="AE11" i="2"/>
  <c r="AD11" i="2"/>
  <c r="AC11" i="2"/>
  <c r="AB11" i="2"/>
  <c r="AA11" i="2"/>
  <c r="AJ10" i="2"/>
  <c r="AI10" i="2"/>
  <c r="AH10" i="2"/>
  <c r="AG10" i="2"/>
  <c r="AF10" i="2"/>
  <c r="AE10" i="2"/>
  <c r="AD10" i="2"/>
  <c r="AC10" i="2"/>
  <c r="AB10" i="2"/>
  <c r="AA10" i="2"/>
  <c r="AJ9" i="2"/>
  <c r="AI9" i="2"/>
  <c r="AH9" i="2"/>
  <c r="AG9" i="2"/>
  <c r="AF9" i="2"/>
  <c r="AE9" i="2"/>
  <c r="AD9" i="2"/>
  <c r="AC9" i="2"/>
  <c r="AB9" i="2"/>
  <c r="AA9" i="2"/>
  <c r="AJ8" i="2"/>
  <c r="AI8" i="2"/>
  <c r="AH8" i="2"/>
  <c r="AG8" i="2"/>
  <c r="AF8" i="2"/>
  <c r="AE8" i="2"/>
  <c r="AD8" i="2"/>
  <c r="AC8" i="2"/>
  <c r="AB8" i="2"/>
  <c r="AA8" i="2"/>
  <c r="AJ7" i="2"/>
  <c r="AI7" i="2"/>
  <c r="AH7" i="2"/>
  <c r="AG7" i="2"/>
  <c r="AF7" i="2"/>
  <c r="AE7" i="2"/>
  <c r="AD7" i="2"/>
  <c r="AC7" i="2"/>
  <c r="AB7" i="2"/>
  <c r="AA7" i="2"/>
  <c r="AN7" i="2" s="1"/>
  <c r="Z92" i="2"/>
  <c r="Y92" i="2"/>
  <c r="X92" i="2"/>
  <c r="W92" i="2"/>
  <c r="V92" i="2"/>
  <c r="U92" i="2"/>
  <c r="T92" i="2"/>
  <c r="S92" i="2"/>
  <c r="R92" i="2"/>
  <c r="Q92" i="2"/>
  <c r="P92" i="2"/>
  <c r="O92" i="2"/>
  <c r="X91" i="2"/>
  <c r="W91" i="2"/>
  <c r="V91" i="2"/>
  <c r="U91" i="2"/>
  <c r="T91" i="2"/>
  <c r="S91" i="2"/>
  <c r="R91" i="2"/>
  <c r="Q91" i="2"/>
  <c r="P91" i="2"/>
  <c r="O91" i="2"/>
  <c r="Z90" i="2"/>
  <c r="Y90" i="2"/>
  <c r="X90" i="2"/>
  <c r="W90" i="2"/>
  <c r="V90" i="2"/>
  <c r="U90" i="2"/>
  <c r="T90" i="2"/>
  <c r="S90" i="2"/>
  <c r="R90" i="2"/>
  <c r="Q90" i="2"/>
  <c r="P90" i="2"/>
  <c r="O90" i="2"/>
  <c r="Z89" i="2"/>
  <c r="Y89" i="2"/>
  <c r="X89" i="2"/>
  <c r="W89" i="2"/>
  <c r="V89" i="2"/>
  <c r="U89" i="2"/>
  <c r="T89" i="2"/>
  <c r="S89" i="2"/>
  <c r="R89" i="2"/>
  <c r="Q89" i="2"/>
  <c r="P89" i="2"/>
  <c r="O89" i="2"/>
  <c r="Z88" i="2"/>
  <c r="Y88" i="2"/>
  <c r="X88" i="2"/>
  <c r="W88" i="2"/>
  <c r="V88" i="2"/>
  <c r="U88" i="2"/>
  <c r="T88" i="2"/>
  <c r="S88" i="2"/>
  <c r="R88" i="2"/>
  <c r="Q88" i="2"/>
  <c r="P88" i="2"/>
  <c r="O88" i="2"/>
  <c r="Z87" i="2"/>
  <c r="Y87" i="2"/>
  <c r="X87" i="2"/>
  <c r="W87" i="2"/>
  <c r="V87" i="2"/>
  <c r="U87" i="2"/>
  <c r="T87" i="2"/>
  <c r="S87" i="2"/>
  <c r="R87" i="2"/>
  <c r="Q87" i="2"/>
  <c r="P87" i="2"/>
  <c r="O87" i="2"/>
  <c r="Z86" i="2"/>
  <c r="Y86" i="2"/>
  <c r="X86" i="2"/>
  <c r="W86" i="2"/>
  <c r="V86" i="2"/>
  <c r="U86" i="2"/>
  <c r="T86" i="2"/>
  <c r="S86" i="2"/>
  <c r="R86" i="2"/>
  <c r="Q86" i="2"/>
  <c r="P86" i="2"/>
  <c r="O86" i="2"/>
  <c r="Z85" i="2"/>
  <c r="Y85" i="2"/>
  <c r="X85" i="2"/>
  <c r="W85" i="2"/>
  <c r="V85" i="2"/>
  <c r="U85" i="2"/>
  <c r="T85" i="2"/>
  <c r="S85" i="2"/>
  <c r="R85" i="2"/>
  <c r="Q85" i="2"/>
  <c r="P85" i="2"/>
  <c r="O85" i="2"/>
  <c r="Z84" i="2"/>
  <c r="Y84" i="2"/>
  <c r="X84" i="2"/>
  <c r="W84" i="2"/>
  <c r="V84" i="2"/>
  <c r="U84" i="2"/>
  <c r="T84" i="2"/>
  <c r="S84" i="2"/>
  <c r="R84" i="2"/>
  <c r="Q84" i="2"/>
  <c r="P84" i="2"/>
  <c r="O84" i="2"/>
  <c r="Z83" i="2"/>
  <c r="Y83" i="2"/>
  <c r="X83" i="2"/>
  <c r="W83" i="2"/>
  <c r="V83" i="2"/>
  <c r="U83" i="2"/>
  <c r="T83" i="2"/>
  <c r="S83" i="2"/>
  <c r="R83" i="2"/>
  <c r="Q83" i="2"/>
  <c r="P83" i="2"/>
  <c r="O83" i="2"/>
  <c r="Z82" i="2"/>
  <c r="Y82" i="2"/>
  <c r="X82" i="2"/>
  <c r="W82" i="2"/>
  <c r="V82" i="2"/>
  <c r="U82" i="2"/>
  <c r="T82" i="2"/>
  <c r="S82" i="2"/>
  <c r="R82" i="2"/>
  <c r="Q82" i="2"/>
  <c r="P82" i="2"/>
  <c r="O82" i="2"/>
  <c r="Z81" i="2"/>
  <c r="Y81" i="2"/>
  <c r="X81" i="2"/>
  <c r="W81" i="2"/>
  <c r="V81" i="2"/>
  <c r="U81" i="2"/>
  <c r="T81" i="2"/>
  <c r="S81" i="2"/>
  <c r="R81" i="2"/>
  <c r="Q81" i="2"/>
  <c r="P81" i="2"/>
  <c r="O81" i="2"/>
  <c r="Z80" i="2"/>
  <c r="Y80" i="2"/>
  <c r="X80" i="2"/>
  <c r="W80" i="2"/>
  <c r="V80" i="2"/>
  <c r="U80" i="2"/>
  <c r="T80" i="2"/>
  <c r="S80" i="2"/>
  <c r="R80" i="2"/>
  <c r="Q80" i="2"/>
  <c r="P80" i="2"/>
  <c r="O80" i="2"/>
  <c r="W76" i="2"/>
  <c r="S76" i="2"/>
  <c r="O76" i="2"/>
  <c r="Z74" i="2"/>
  <c r="Y74" i="2"/>
  <c r="X74" i="2"/>
  <c r="W74" i="2"/>
  <c r="V74" i="2"/>
  <c r="U74" i="2"/>
  <c r="T74" i="2"/>
  <c r="S74" i="2"/>
  <c r="R74" i="2"/>
  <c r="Q74" i="2"/>
  <c r="P74" i="2"/>
  <c r="O74" i="2"/>
  <c r="Z73" i="2"/>
  <c r="Y73" i="2"/>
  <c r="X73" i="2"/>
  <c r="W73" i="2"/>
  <c r="V73" i="2"/>
  <c r="U73" i="2"/>
  <c r="T73" i="2"/>
  <c r="S73" i="2"/>
  <c r="R73" i="2"/>
  <c r="Q73" i="2"/>
  <c r="P73" i="2"/>
  <c r="O73" i="2"/>
  <c r="Z72" i="2"/>
  <c r="Y72" i="2"/>
  <c r="X72" i="2"/>
  <c r="W72" i="2"/>
  <c r="V72" i="2"/>
  <c r="U72" i="2"/>
  <c r="T72" i="2"/>
  <c r="S72" i="2"/>
  <c r="R72" i="2"/>
  <c r="Q72" i="2"/>
  <c r="P72" i="2"/>
  <c r="O72" i="2"/>
  <c r="Z71" i="2"/>
  <c r="Y71" i="2"/>
  <c r="X71" i="2"/>
  <c r="W71" i="2"/>
  <c r="V71" i="2"/>
  <c r="U71" i="2"/>
  <c r="T71" i="2"/>
  <c r="S71" i="2"/>
  <c r="R71" i="2"/>
  <c r="Q71" i="2"/>
  <c r="P71" i="2"/>
  <c r="O71" i="2"/>
  <c r="Z70" i="2"/>
  <c r="Y70" i="2"/>
  <c r="X70" i="2"/>
  <c r="W70" i="2"/>
  <c r="V70" i="2"/>
  <c r="U70" i="2"/>
  <c r="T70" i="2"/>
  <c r="S70" i="2"/>
  <c r="R70" i="2"/>
  <c r="Q70" i="2"/>
  <c r="P70" i="2"/>
  <c r="O70" i="2"/>
  <c r="Z69" i="2"/>
  <c r="Y69" i="2"/>
  <c r="X69" i="2"/>
  <c r="W69" i="2"/>
  <c r="V69" i="2"/>
  <c r="U69" i="2"/>
  <c r="T69" i="2"/>
  <c r="S69" i="2"/>
  <c r="R69" i="2"/>
  <c r="Q69" i="2"/>
  <c r="P69" i="2"/>
  <c r="O69" i="2"/>
  <c r="Z68" i="2"/>
  <c r="Y68" i="2"/>
  <c r="X68" i="2"/>
  <c r="W68" i="2"/>
  <c r="V68" i="2"/>
  <c r="U68" i="2"/>
  <c r="T68" i="2"/>
  <c r="S68" i="2"/>
  <c r="R68" i="2"/>
  <c r="Q68" i="2"/>
  <c r="P68" i="2"/>
  <c r="O68" i="2"/>
  <c r="Z67" i="2"/>
  <c r="Y67" i="2"/>
  <c r="X67" i="2"/>
  <c r="W67" i="2"/>
  <c r="V67" i="2"/>
  <c r="U67" i="2"/>
  <c r="T67" i="2"/>
  <c r="S67" i="2"/>
  <c r="R67" i="2"/>
  <c r="Q67" i="2"/>
  <c r="P67" i="2"/>
  <c r="O67" i="2"/>
  <c r="Z66" i="2"/>
  <c r="Y66" i="2"/>
  <c r="X66" i="2"/>
  <c r="W66" i="2"/>
  <c r="V66" i="2"/>
  <c r="U66" i="2"/>
  <c r="T66" i="2"/>
  <c r="S66" i="2"/>
  <c r="R66" i="2"/>
  <c r="Q66" i="2"/>
  <c r="P66" i="2"/>
  <c r="O66" i="2"/>
  <c r="Z65" i="2"/>
  <c r="Y65" i="2"/>
  <c r="X65" i="2"/>
  <c r="W65" i="2"/>
  <c r="V65" i="2"/>
  <c r="U65" i="2"/>
  <c r="T65" i="2"/>
  <c r="S65" i="2"/>
  <c r="R65" i="2"/>
  <c r="Q65" i="2"/>
  <c r="P65" i="2"/>
  <c r="O65" i="2"/>
  <c r="Z64" i="2"/>
  <c r="Y64" i="2"/>
  <c r="X64" i="2"/>
  <c r="W64" i="2"/>
  <c r="V64" i="2"/>
  <c r="U64" i="2"/>
  <c r="T64" i="2"/>
  <c r="S64" i="2"/>
  <c r="R64" i="2"/>
  <c r="Q64" i="2"/>
  <c r="P64" i="2"/>
  <c r="O64" i="2"/>
  <c r="Z63" i="2"/>
  <c r="Y63" i="2"/>
  <c r="X63" i="2"/>
  <c r="W63" i="2"/>
  <c r="V63" i="2"/>
  <c r="U63" i="2"/>
  <c r="T63" i="2"/>
  <c r="S63" i="2"/>
  <c r="R63" i="2"/>
  <c r="Q63" i="2"/>
  <c r="P63" i="2"/>
  <c r="O63" i="2"/>
  <c r="Z62" i="2"/>
  <c r="Y62" i="2"/>
  <c r="X62" i="2"/>
  <c r="W62" i="2"/>
  <c r="V62" i="2"/>
  <c r="U62" i="2"/>
  <c r="T62" i="2"/>
  <c r="S62" i="2"/>
  <c r="R62" i="2"/>
  <c r="Q62" i="2"/>
  <c r="P62" i="2"/>
  <c r="O62" i="2"/>
  <c r="Z61" i="2"/>
  <c r="Y61" i="2"/>
  <c r="X61" i="2"/>
  <c r="W61" i="2"/>
  <c r="V61" i="2"/>
  <c r="U61" i="2"/>
  <c r="T61" i="2"/>
  <c r="S61" i="2"/>
  <c r="R61" i="2"/>
  <c r="Q61" i="2"/>
  <c r="P61" i="2"/>
  <c r="O61" i="2"/>
  <c r="Z60" i="2"/>
  <c r="Y60" i="2"/>
  <c r="X60" i="2"/>
  <c r="W60" i="2"/>
  <c r="V60" i="2"/>
  <c r="U60" i="2"/>
  <c r="T60" i="2"/>
  <c r="S60" i="2"/>
  <c r="R60" i="2"/>
  <c r="Q60" i="2"/>
  <c r="P60" i="2"/>
  <c r="O60" i="2"/>
  <c r="Z59" i="2"/>
  <c r="Y59" i="2"/>
  <c r="X59" i="2"/>
  <c r="W59" i="2"/>
  <c r="V59" i="2"/>
  <c r="U59" i="2"/>
  <c r="T59" i="2"/>
  <c r="S59" i="2"/>
  <c r="R59" i="2"/>
  <c r="Q59" i="2"/>
  <c r="P59" i="2"/>
  <c r="O59" i="2"/>
  <c r="Z58" i="2"/>
  <c r="Y58" i="2"/>
  <c r="X58" i="2"/>
  <c r="W58" i="2"/>
  <c r="V58" i="2"/>
  <c r="U58" i="2"/>
  <c r="T58" i="2"/>
  <c r="S58" i="2"/>
  <c r="R58" i="2"/>
  <c r="Q58" i="2"/>
  <c r="P58" i="2"/>
  <c r="O58" i="2"/>
  <c r="Z57" i="2"/>
  <c r="Y57" i="2"/>
  <c r="X57" i="2"/>
  <c r="W57" i="2"/>
  <c r="V57" i="2"/>
  <c r="U57" i="2"/>
  <c r="T57" i="2"/>
  <c r="S57" i="2"/>
  <c r="R57" i="2"/>
  <c r="Q57" i="2"/>
  <c r="P57" i="2"/>
  <c r="O57" i="2"/>
  <c r="Z56" i="2"/>
  <c r="Y56" i="2"/>
  <c r="X56" i="2"/>
  <c r="W56" i="2"/>
  <c r="V56" i="2"/>
  <c r="U56" i="2"/>
  <c r="T56" i="2"/>
  <c r="S56" i="2"/>
  <c r="R56" i="2"/>
  <c r="Q56" i="2"/>
  <c r="P56" i="2"/>
  <c r="O56" i="2"/>
  <c r="Z55" i="2"/>
  <c r="Y55" i="2"/>
  <c r="X55" i="2"/>
  <c r="W55" i="2"/>
  <c r="V55" i="2"/>
  <c r="U55" i="2"/>
  <c r="T55" i="2"/>
  <c r="S55" i="2"/>
  <c r="R55" i="2"/>
  <c r="Q55" i="2"/>
  <c r="P55" i="2"/>
  <c r="O55" i="2"/>
  <c r="Z54" i="2"/>
  <c r="Y54" i="2"/>
  <c r="X54" i="2"/>
  <c r="W54" i="2"/>
  <c r="V54" i="2"/>
  <c r="U54" i="2"/>
  <c r="T54" i="2"/>
  <c r="S54" i="2"/>
  <c r="R54" i="2"/>
  <c r="Q54" i="2"/>
  <c r="P54" i="2"/>
  <c r="O54" i="2"/>
  <c r="Z53" i="2"/>
  <c r="Y53" i="2"/>
  <c r="X53" i="2"/>
  <c r="W53" i="2"/>
  <c r="V53" i="2"/>
  <c r="U53" i="2"/>
  <c r="T53" i="2"/>
  <c r="S53" i="2"/>
  <c r="R53" i="2"/>
  <c r="Q53" i="2"/>
  <c r="P53" i="2"/>
  <c r="O53" i="2"/>
  <c r="Z52" i="2"/>
  <c r="Y52" i="2"/>
  <c r="X52" i="2"/>
  <c r="W52" i="2"/>
  <c r="V52" i="2"/>
  <c r="U52" i="2"/>
  <c r="T52" i="2"/>
  <c r="S52" i="2"/>
  <c r="R52" i="2"/>
  <c r="Q52" i="2"/>
  <c r="P52" i="2"/>
  <c r="O52" i="2"/>
  <c r="Z51" i="2"/>
  <c r="Y51" i="2"/>
  <c r="X51" i="2"/>
  <c r="W51" i="2"/>
  <c r="V51" i="2"/>
  <c r="U51" i="2"/>
  <c r="T51" i="2"/>
  <c r="S51" i="2"/>
  <c r="R51" i="2"/>
  <c r="Q51" i="2"/>
  <c r="P51" i="2"/>
  <c r="O51" i="2"/>
  <c r="Z50" i="2"/>
  <c r="Y50" i="2"/>
  <c r="X50" i="2"/>
  <c r="W50" i="2"/>
  <c r="V50" i="2"/>
  <c r="U50" i="2"/>
  <c r="T50" i="2"/>
  <c r="S50" i="2"/>
  <c r="R50" i="2"/>
  <c r="Q50" i="2"/>
  <c r="P50" i="2"/>
  <c r="O50" i="2"/>
  <c r="Z49" i="2"/>
  <c r="Y49" i="2"/>
  <c r="X49" i="2"/>
  <c r="W49" i="2"/>
  <c r="V49" i="2"/>
  <c r="U49" i="2"/>
  <c r="T49" i="2"/>
  <c r="S49" i="2"/>
  <c r="R49" i="2"/>
  <c r="Q49" i="2"/>
  <c r="P49" i="2"/>
  <c r="O49" i="2"/>
  <c r="Z48" i="2"/>
  <c r="Y48" i="2"/>
  <c r="X48" i="2"/>
  <c r="W48" i="2"/>
  <c r="V48" i="2"/>
  <c r="U48" i="2"/>
  <c r="T48" i="2"/>
  <c r="S48" i="2"/>
  <c r="R48" i="2"/>
  <c r="Q48" i="2"/>
  <c r="P48" i="2"/>
  <c r="O48" i="2"/>
  <c r="Z47" i="2"/>
  <c r="Y47" i="2"/>
  <c r="X47" i="2"/>
  <c r="W47" i="2"/>
  <c r="V47" i="2"/>
  <c r="U47" i="2"/>
  <c r="T47" i="2"/>
  <c r="S47" i="2"/>
  <c r="R47" i="2"/>
  <c r="Q47" i="2"/>
  <c r="P47" i="2"/>
  <c r="O47" i="2"/>
  <c r="Z46" i="2"/>
  <c r="Y46" i="2"/>
  <c r="X46" i="2"/>
  <c r="W46" i="2"/>
  <c r="V46" i="2"/>
  <c r="U46" i="2"/>
  <c r="T46" i="2"/>
  <c r="S46" i="2"/>
  <c r="R46" i="2"/>
  <c r="Q46" i="2"/>
  <c r="P46" i="2"/>
  <c r="O46" i="2"/>
  <c r="Z45" i="2"/>
  <c r="Y45" i="2"/>
  <c r="X45" i="2"/>
  <c r="W45" i="2"/>
  <c r="V45" i="2"/>
  <c r="U45" i="2"/>
  <c r="T45" i="2"/>
  <c r="S45" i="2"/>
  <c r="R45" i="2"/>
  <c r="Q45" i="2"/>
  <c r="P45" i="2"/>
  <c r="O45" i="2"/>
  <c r="Z44" i="2"/>
  <c r="Y44" i="2"/>
  <c r="X44" i="2"/>
  <c r="W44" i="2"/>
  <c r="V44" i="2"/>
  <c r="U44" i="2"/>
  <c r="T44" i="2"/>
  <c r="S44" i="2"/>
  <c r="R44" i="2"/>
  <c r="Q44" i="2"/>
  <c r="P44" i="2"/>
  <c r="O44" i="2"/>
  <c r="Z43" i="2"/>
  <c r="Y43" i="2"/>
  <c r="X43" i="2"/>
  <c r="W43" i="2"/>
  <c r="V43" i="2"/>
  <c r="U43" i="2"/>
  <c r="T43" i="2"/>
  <c r="S43" i="2"/>
  <c r="R43" i="2"/>
  <c r="Q43" i="2"/>
  <c r="P43" i="2"/>
  <c r="O43" i="2"/>
  <c r="Z42" i="2"/>
  <c r="Y42" i="2"/>
  <c r="X42" i="2"/>
  <c r="W42" i="2"/>
  <c r="V42" i="2"/>
  <c r="U42" i="2"/>
  <c r="T42" i="2"/>
  <c r="S42" i="2"/>
  <c r="R42" i="2"/>
  <c r="Q42" i="2"/>
  <c r="P42" i="2"/>
  <c r="O42" i="2"/>
  <c r="Z41" i="2"/>
  <c r="Y41" i="2"/>
  <c r="X41" i="2"/>
  <c r="W41" i="2"/>
  <c r="V41" i="2"/>
  <c r="U41" i="2"/>
  <c r="T41" i="2"/>
  <c r="S41" i="2"/>
  <c r="R41" i="2"/>
  <c r="Q41" i="2"/>
  <c r="P41" i="2"/>
  <c r="O41" i="2"/>
  <c r="Z40" i="2"/>
  <c r="Y40" i="2"/>
  <c r="X40" i="2"/>
  <c r="W40" i="2"/>
  <c r="V40" i="2"/>
  <c r="U40" i="2"/>
  <c r="T40" i="2"/>
  <c r="S40" i="2"/>
  <c r="R40" i="2"/>
  <c r="Q40" i="2"/>
  <c r="P40" i="2"/>
  <c r="O40" i="2"/>
  <c r="Z39" i="2"/>
  <c r="Y39" i="2"/>
  <c r="X39" i="2"/>
  <c r="W39" i="2"/>
  <c r="V39" i="2"/>
  <c r="U39" i="2"/>
  <c r="T39" i="2"/>
  <c r="S39" i="2"/>
  <c r="R39" i="2"/>
  <c r="Q39" i="2"/>
  <c r="P39" i="2"/>
  <c r="O39" i="2"/>
  <c r="Z38" i="2"/>
  <c r="Y38" i="2"/>
  <c r="X38" i="2"/>
  <c r="W38" i="2"/>
  <c r="V38" i="2"/>
  <c r="U38" i="2"/>
  <c r="T38" i="2"/>
  <c r="S38" i="2"/>
  <c r="R38" i="2"/>
  <c r="Q38" i="2"/>
  <c r="P38" i="2"/>
  <c r="O38" i="2"/>
  <c r="Z37" i="2"/>
  <c r="Y37" i="2"/>
  <c r="X37" i="2"/>
  <c r="W37" i="2"/>
  <c r="V37" i="2"/>
  <c r="U37" i="2"/>
  <c r="T37" i="2"/>
  <c r="S37" i="2"/>
  <c r="R37" i="2"/>
  <c r="Q37" i="2"/>
  <c r="P37" i="2"/>
  <c r="O37" i="2"/>
  <c r="Z36" i="2"/>
  <c r="Y36" i="2"/>
  <c r="X36" i="2"/>
  <c r="W36" i="2"/>
  <c r="V36" i="2"/>
  <c r="U36" i="2"/>
  <c r="T36" i="2"/>
  <c r="S36" i="2"/>
  <c r="R36" i="2"/>
  <c r="Q36" i="2"/>
  <c r="P36" i="2"/>
  <c r="O36" i="2"/>
  <c r="Z35" i="2"/>
  <c r="Y35" i="2"/>
  <c r="X35" i="2"/>
  <c r="W35" i="2"/>
  <c r="V35" i="2"/>
  <c r="U35" i="2"/>
  <c r="T35" i="2"/>
  <c r="S35" i="2"/>
  <c r="R35" i="2"/>
  <c r="Q35" i="2"/>
  <c r="P35" i="2"/>
  <c r="O35" i="2"/>
  <c r="Z34" i="2"/>
  <c r="Y34" i="2"/>
  <c r="X34" i="2"/>
  <c r="W34" i="2"/>
  <c r="V34" i="2"/>
  <c r="U34" i="2"/>
  <c r="T34" i="2"/>
  <c r="S34" i="2"/>
  <c r="R34" i="2"/>
  <c r="Q34" i="2"/>
  <c r="Z33" i="2"/>
  <c r="Y33" i="2"/>
  <c r="X33" i="2"/>
  <c r="W33" i="2"/>
  <c r="V33" i="2"/>
  <c r="U33" i="2"/>
  <c r="T33" i="2"/>
  <c r="S33" i="2"/>
  <c r="R33" i="2"/>
  <c r="Q33" i="2"/>
  <c r="Z32" i="2"/>
  <c r="Y32" i="2"/>
  <c r="X32" i="2"/>
  <c r="W32" i="2"/>
  <c r="V32" i="2"/>
  <c r="U32" i="2"/>
  <c r="T32" i="2"/>
  <c r="S32" i="2"/>
  <c r="R32" i="2"/>
  <c r="Q32" i="2"/>
  <c r="P32" i="2"/>
  <c r="O32" i="2"/>
  <c r="Z31" i="2"/>
  <c r="Y31" i="2"/>
  <c r="X31" i="2"/>
  <c r="W31" i="2"/>
  <c r="V31" i="2"/>
  <c r="U31" i="2"/>
  <c r="T31" i="2"/>
  <c r="S31" i="2"/>
  <c r="R31" i="2"/>
  <c r="Q31" i="2"/>
  <c r="P31" i="2"/>
  <c r="O31" i="2"/>
  <c r="Z30" i="2"/>
  <c r="Y30" i="2"/>
  <c r="X30" i="2"/>
  <c r="W30" i="2"/>
  <c r="V30" i="2"/>
  <c r="U30" i="2"/>
  <c r="T30" i="2"/>
  <c r="S30" i="2"/>
  <c r="R30" i="2"/>
  <c r="Q30" i="2"/>
  <c r="P30" i="2"/>
  <c r="O30" i="2"/>
  <c r="Z29" i="2"/>
  <c r="Y29" i="2"/>
  <c r="X29" i="2"/>
  <c r="W29" i="2"/>
  <c r="V29" i="2"/>
  <c r="U29" i="2"/>
  <c r="T29" i="2"/>
  <c r="S29" i="2"/>
  <c r="R29" i="2"/>
  <c r="Q29" i="2"/>
  <c r="P29" i="2"/>
  <c r="O29" i="2"/>
  <c r="Z28" i="2"/>
  <c r="Y28" i="2"/>
  <c r="X28" i="2"/>
  <c r="W28" i="2"/>
  <c r="V28" i="2"/>
  <c r="U28" i="2"/>
  <c r="T28" i="2"/>
  <c r="S28" i="2"/>
  <c r="R28" i="2"/>
  <c r="Q28" i="2"/>
  <c r="P28" i="2"/>
  <c r="O28" i="2"/>
  <c r="Z27" i="2"/>
  <c r="Y27" i="2"/>
  <c r="X27" i="2"/>
  <c r="W27" i="2"/>
  <c r="V27" i="2"/>
  <c r="U27" i="2"/>
  <c r="T27" i="2"/>
  <c r="S27" i="2"/>
  <c r="R27" i="2"/>
  <c r="Q27" i="2"/>
  <c r="P27" i="2"/>
  <c r="O27" i="2"/>
  <c r="Z26" i="2"/>
  <c r="Y26" i="2"/>
  <c r="X26" i="2"/>
  <c r="W26" i="2"/>
  <c r="V26" i="2"/>
  <c r="U26" i="2"/>
  <c r="T26" i="2"/>
  <c r="S26" i="2"/>
  <c r="R26" i="2"/>
  <c r="Q26" i="2"/>
  <c r="P26" i="2"/>
  <c r="O26" i="2"/>
  <c r="Z25" i="2"/>
  <c r="Y25" i="2"/>
  <c r="X25" i="2"/>
  <c r="W25" i="2"/>
  <c r="V25" i="2"/>
  <c r="U25" i="2"/>
  <c r="T25" i="2"/>
  <c r="S25" i="2"/>
  <c r="R25" i="2"/>
  <c r="Q25" i="2"/>
  <c r="P25" i="2"/>
  <c r="O25" i="2"/>
  <c r="Z23" i="2"/>
  <c r="Y23" i="2"/>
  <c r="X23" i="2"/>
  <c r="W23" i="2"/>
  <c r="V23" i="2"/>
  <c r="U23" i="2"/>
  <c r="T23" i="2"/>
  <c r="S23" i="2"/>
  <c r="R23" i="2"/>
  <c r="Q23" i="2"/>
  <c r="P23" i="2"/>
  <c r="O23" i="2"/>
  <c r="Z22" i="2"/>
  <c r="Y22" i="2"/>
  <c r="X22" i="2"/>
  <c r="W22" i="2"/>
  <c r="V22" i="2"/>
  <c r="U22" i="2"/>
  <c r="T22" i="2"/>
  <c r="S22" i="2"/>
  <c r="R22" i="2"/>
  <c r="Q22" i="2"/>
  <c r="P22" i="2"/>
  <c r="O22" i="2"/>
  <c r="Z24" i="2"/>
  <c r="Y24" i="2"/>
  <c r="X24" i="2"/>
  <c r="W24" i="2"/>
  <c r="V24" i="2"/>
  <c r="U24" i="2"/>
  <c r="T24" i="2"/>
  <c r="S24" i="2"/>
  <c r="R24" i="2"/>
  <c r="Q24" i="2"/>
  <c r="P24" i="2"/>
  <c r="O24" i="2"/>
  <c r="Z21" i="2"/>
  <c r="Y21" i="2"/>
  <c r="X21" i="2"/>
  <c r="W21" i="2"/>
  <c r="V21" i="2"/>
  <c r="U21" i="2"/>
  <c r="T21" i="2"/>
  <c r="S21" i="2"/>
  <c r="R21" i="2"/>
  <c r="Q21" i="2"/>
  <c r="P21" i="2"/>
  <c r="O21" i="2"/>
  <c r="Z20" i="2"/>
  <c r="Y20" i="2"/>
  <c r="X20" i="2"/>
  <c r="W20" i="2"/>
  <c r="V20" i="2"/>
  <c r="U20" i="2"/>
  <c r="T20" i="2"/>
  <c r="S20" i="2"/>
  <c r="R20" i="2"/>
  <c r="Q20" i="2"/>
  <c r="P20" i="2"/>
  <c r="O20" i="2"/>
  <c r="Z19" i="2"/>
  <c r="Y19" i="2"/>
  <c r="X19" i="2"/>
  <c r="W19" i="2"/>
  <c r="V19" i="2"/>
  <c r="U19" i="2"/>
  <c r="T19" i="2"/>
  <c r="S19" i="2"/>
  <c r="R19" i="2"/>
  <c r="Q19" i="2"/>
  <c r="P19" i="2"/>
  <c r="O19" i="2"/>
  <c r="Z18" i="2"/>
  <c r="Y18" i="2"/>
  <c r="X18" i="2"/>
  <c r="W18" i="2"/>
  <c r="V18" i="2"/>
  <c r="U18" i="2"/>
  <c r="T18" i="2"/>
  <c r="S18" i="2"/>
  <c r="R18" i="2"/>
  <c r="Q18" i="2"/>
  <c r="P18" i="2"/>
  <c r="O18" i="2"/>
  <c r="Z17" i="2"/>
  <c r="Y17" i="2"/>
  <c r="X17" i="2"/>
  <c r="W17" i="2"/>
  <c r="V17" i="2"/>
  <c r="U17" i="2"/>
  <c r="T17" i="2"/>
  <c r="S17" i="2"/>
  <c r="R17" i="2"/>
  <c r="Q17" i="2"/>
  <c r="P17" i="2"/>
  <c r="O17" i="2"/>
  <c r="Z16" i="2"/>
  <c r="Y16" i="2"/>
  <c r="X16" i="2"/>
  <c r="W16" i="2"/>
  <c r="V16" i="2"/>
  <c r="U16" i="2"/>
  <c r="T16" i="2"/>
  <c r="S16" i="2"/>
  <c r="R16" i="2"/>
  <c r="Q16" i="2"/>
  <c r="P16" i="2"/>
  <c r="O16" i="2"/>
  <c r="Z15" i="2"/>
  <c r="Y15" i="2"/>
  <c r="X15" i="2"/>
  <c r="W15" i="2"/>
  <c r="V15" i="2"/>
  <c r="U15" i="2"/>
  <c r="T15" i="2"/>
  <c r="S15" i="2"/>
  <c r="R15" i="2"/>
  <c r="Q15" i="2"/>
  <c r="P15" i="2"/>
  <c r="O15" i="2"/>
  <c r="Z14" i="2"/>
  <c r="Y14" i="2"/>
  <c r="X14" i="2"/>
  <c r="W14" i="2"/>
  <c r="V14" i="2"/>
  <c r="U14" i="2"/>
  <c r="T14" i="2"/>
  <c r="S14" i="2"/>
  <c r="R14" i="2"/>
  <c r="Q14" i="2"/>
  <c r="P14" i="2"/>
  <c r="O14" i="2"/>
  <c r="Z13" i="2"/>
  <c r="Y13" i="2"/>
  <c r="X13" i="2"/>
  <c r="W13" i="2"/>
  <c r="V13" i="2"/>
  <c r="U13" i="2"/>
  <c r="T13" i="2"/>
  <c r="S13" i="2"/>
  <c r="R13" i="2"/>
  <c r="Q13" i="2"/>
  <c r="P13" i="2"/>
  <c r="O13" i="2"/>
  <c r="Z12" i="2"/>
  <c r="Y12" i="2"/>
  <c r="X12" i="2"/>
  <c r="W12" i="2"/>
  <c r="V12" i="2"/>
  <c r="U12" i="2"/>
  <c r="T12" i="2"/>
  <c r="S12" i="2"/>
  <c r="R12" i="2"/>
  <c r="Q12" i="2"/>
  <c r="P12" i="2"/>
  <c r="O12" i="2"/>
  <c r="Z11" i="2"/>
  <c r="Y11" i="2"/>
  <c r="X11" i="2"/>
  <c r="W11" i="2"/>
  <c r="V11" i="2"/>
  <c r="U11" i="2"/>
  <c r="T11" i="2"/>
  <c r="S11" i="2"/>
  <c r="R11" i="2"/>
  <c r="Q11" i="2"/>
  <c r="P11" i="2"/>
  <c r="O11" i="2"/>
  <c r="Z10" i="2"/>
  <c r="Y10" i="2"/>
  <c r="X10" i="2"/>
  <c r="W10" i="2"/>
  <c r="V10" i="2"/>
  <c r="U10" i="2"/>
  <c r="T10" i="2"/>
  <c r="S10" i="2"/>
  <c r="R10" i="2"/>
  <c r="Q10" i="2"/>
  <c r="P10" i="2"/>
  <c r="O10" i="2"/>
  <c r="Z9" i="2"/>
  <c r="Y9" i="2"/>
  <c r="X9" i="2"/>
  <c r="W9" i="2"/>
  <c r="V9" i="2"/>
  <c r="U9" i="2"/>
  <c r="T9" i="2"/>
  <c r="S9" i="2"/>
  <c r="R9" i="2"/>
  <c r="Q9" i="2"/>
  <c r="P9" i="2"/>
  <c r="O9" i="2"/>
  <c r="Z8" i="2"/>
  <c r="Y8" i="2"/>
  <c r="X8" i="2"/>
  <c r="W8" i="2"/>
  <c r="V8" i="2"/>
  <c r="U8" i="2"/>
  <c r="T8" i="2"/>
  <c r="S8" i="2"/>
  <c r="R8" i="2"/>
  <c r="Q8" i="2"/>
  <c r="P8" i="2"/>
  <c r="O8" i="2"/>
  <c r="Z7" i="2"/>
  <c r="Y7" i="2"/>
  <c r="X7" i="2"/>
  <c r="W7" i="2"/>
  <c r="V7" i="2"/>
  <c r="U7" i="2"/>
  <c r="T7" i="2"/>
  <c r="S7" i="2"/>
  <c r="R7" i="2"/>
  <c r="Q7" i="2"/>
  <c r="P7" i="2"/>
  <c r="O7" i="2"/>
  <c r="AL92" i="28"/>
  <c r="AK92" i="28"/>
  <c r="N92" i="28"/>
  <c r="M92" i="28"/>
  <c r="L92" i="28"/>
  <c r="K92" i="28"/>
  <c r="J92" i="28"/>
  <c r="I92" i="28"/>
  <c r="H92" i="28"/>
  <c r="G92" i="28"/>
  <c r="F92" i="28"/>
  <c r="E92" i="28"/>
  <c r="D92" i="28"/>
  <c r="C92" i="28"/>
  <c r="N91" i="28"/>
  <c r="M91" i="28"/>
  <c r="L91" i="28"/>
  <c r="K91" i="28"/>
  <c r="J91" i="28"/>
  <c r="I91" i="28"/>
  <c r="H91" i="28"/>
  <c r="G91" i="28"/>
  <c r="F91" i="28"/>
  <c r="E91" i="28"/>
  <c r="D91" i="28"/>
  <c r="C91" i="28"/>
  <c r="AL90" i="28"/>
  <c r="AK90" i="28"/>
  <c r="N90" i="28"/>
  <c r="M90" i="28"/>
  <c r="L90" i="28"/>
  <c r="K90" i="28"/>
  <c r="J90" i="28"/>
  <c r="I90" i="28"/>
  <c r="H90" i="28"/>
  <c r="G90" i="28"/>
  <c r="F90" i="28"/>
  <c r="E90" i="28"/>
  <c r="D90" i="28"/>
  <c r="C90" i="28"/>
  <c r="AL89" i="28"/>
  <c r="AK89" i="28"/>
  <c r="N89" i="28"/>
  <c r="M89" i="28"/>
  <c r="L89" i="28"/>
  <c r="K89" i="28"/>
  <c r="J89" i="28"/>
  <c r="I89" i="28"/>
  <c r="H89" i="28"/>
  <c r="G89" i="28"/>
  <c r="F89" i="28"/>
  <c r="E89" i="28"/>
  <c r="D89" i="28"/>
  <c r="C89" i="28"/>
  <c r="AL88" i="28"/>
  <c r="AK88" i="28"/>
  <c r="N88" i="28"/>
  <c r="M88" i="28"/>
  <c r="L88" i="28"/>
  <c r="K88" i="28"/>
  <c r="J88" i="28"/>
  <c r="I88" i="28"/>
  <c r="H88" i="28"/>
  <c r="G88" i="28"/>
  <c r="F88" i="28"/>
  <c r="E88" i="28"/>
  <c r="D88" i="28"/>
  <c r="C88" i="28"/>
  <c r="AL87" i="28"/>
  <c r="AK87" i="28"/>
  <c r="N87" i="28"/>
  <c r="M87" i="28"/>
  <c r="L87" i="28"/>
  <c r="K87" i="28"/>
  <c r="J87" i="28"/>
  <c r="I87" i="28"/>
  <c r="H87" i="28"/>
  <c r="G87" i="28"/>
  <c r="F87" i="28"/>
  <c r="E87" i="28"/>
  <c r="D87" i="28"/>
  <c r="C87" i="28"/>
  <c r="AL86" i="28"/>
  <c r="AK86" i="28"/>
  <c r="N86" i="28"/>
  <c r="M86" i="28"/>
  <c r="L86" i="28"/>
  <c r="K86" i="28"/>
  <c r="J86" i="28"/>
  <c r="I86" i="28"/>
  <c r="H86" i="28"/>
  <c r="G86" i="28"/>
  <c r="F86" i="28"/>
  <c r="E86" i="28"/>
  <c r="D86" i="28"/>
  <c r="C86" i="28"/>
  <c r="AL85" i="28"/>
  <c r="AK85" i="28"/>
  <c r="N85" i="28"/>
  <c r="M85" i="28"/>
  <c r="L85" i="28"/>
  <c r="K85" i="28"/>
  <c r="J85" i="28"/>
  <c r="I85" i="28"/>
  <c r="H85" i="28"/>
  <c r="G85" i="28"/>
  <c r="F85" i="28"/>
  <c r="E85" i="28"/>
  <c r="D85" i="28"/>
  <c r="C85" i="28"/>
  <c r="AL84" i="28"/>
  <c r="AK84" i="28"/>
  <c r="N84" i="28"/>
  <c r="M84" i="28"/>
  <c r="L84" i="28"/>
  <c r="K84" i="28"/>
  <c r="J84" i="28"/>
  <c r="I84" i="28"/>
  <c r="H84" i="28"/>
  <c r="G84" i="28"/>
  <c r="F84" i="28"/>
  <c r="E84" i="28"/>
  <c r="D84" i="28"/>
  <c r="C84" i="28"/>
  <c r="AL83" i="28"/>
  <c r="AK83" i="28"/>
  <c r="N83" i="28"/>
  <c r="M83" i="28"/>
  <c r="L83" i="28"/>
  <c r="K83" i="28"/>
  <c r="J83" i="28"/>
  <c r="I83" i="28"/>
  <c r="H83" i="28"/>
  <c r="G83" i="28"/>
  <c r="F83" i="28"/>
  <c r="E83" i="28"/>
  <c r="D83" i="28"/>
  <c r="C83" i="28"/>
  <c r="AL82" i="28"/>
  <c r="AK82" i="28"/>
  <c r="N82" i="28"/>
  <c r="M82" i="28"/>
  <c r="L82" i="28"/>
  <c r="K82" i="28"/>
  <c r="J82" i="28"/>
  <c r="I82" i="28"/>
  <c r="H82" i="28"/>
  <c r="G82" i="28"/>
  <c r="F82" i="28"/>
  <c r="E82" i="28"/>
  <c r="D82" i="28"/>
  <c r="C82" i="28"/>
  <c r="AL81" i="28"/>
  <c r="AK81" i="28"/>
  <c r="N81" i="28"/>
  <c r="M81" i="28"/>
  <c r="L81" i="28"/>
  <c r="K81" i="28"/>
  <c r="J81" i="28"/>
  <c r="I81" i="28"/>
  <c r="H81" i="28"/>
  <c r="G81" i="28"/>
  <c r="F81" i="28"/>
  <c r="E81" i="28"/>
  <c r="D81" i="28"/>
  <c r="C81" i="28"/>
  <c r="AL80" i="28"/>
  <c r="AK80" i="28"/>
  <c r="N80" i="28"/>
  <c r="M80" i="28"/>
  <c r="L80" i="28"/>
  <c r="K80" i="28"/>
  <c r="J80" i="28"/>
  <c r="I80" i="28"/>
  <c r="H80" i="28"/>
  <c r="G80" i="28"/>
  <c r="F80" i="28"/>
  <c r="E80" i="28"/>
  <c r="D80" i="28"/>
  <c r="C80" i="28"/>
  <c r="K76" i="28"/>
  <c r="G76" i="28"/>
  <c r="C76" i="28"/>
  <c r="AL74" i="28"/>
  <c r="AK74" i="28"/>
  <c r="N74" i="28"/>
  <c r="M74" i="28"/>
  <c r="L74" i="28"/>
  <c r="K74" i="28"/>
  <c r="J74" i="28"/>
  <c r="I74" i="28"/>
  <c r="H74" i="28"/>
  <c r="G74" i="28"/>
  <c r="F74" i="28"/>
  <c r="E74" i="28"/>
  <c r="D74" i="28"/>
  <c r="C74" i="28"/>
  <c r="AL73" i="28"/>
  <c r="AK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AL72" i="28"/>
  <c r="AK72" i="28"/>
  <c r="N72" i="28"/>
  <c r="M72" i="28"/>
  <c r="L72" i="28"/>
  <c r="K72" i="28"/>
  <c r="J72" i="28"/>
  <c r="I72" i="28"/>
  <c r="H72" i="28"/>
  <c r="G72" i="28"/>
  <c r="F72" i="28"/>
  <c r="E72" i="28"/>
  <c r="D72" i="28"/>
  <c r="C72" i="28"/>
  <c r="AL71" i="28"/>
  <c r="AK71" i="28"/>
  <c r="N71" i="28"/>
  <c r="M71" i="28"/>
  <c r="L71" i="28"/>
  <c r="K71" i="28"/>
  <c r="J71" i="28"/>
  <c r="I71" i="28"/>
  <c r="H71" i="28"/>
  <c r="G71" i="28"/>
  <c r="F71" i="28"/>
  <c r="E71" i="28"/>
  <c r="D71" i="28"/>
  <c r="C71" i="28"/>
  <c r="AL70" i="28"/>
  <c r="AK70" i="28"/>
  <c r="N70" i="28"/>
  <c r="M70" i="28"/>
  <c r="L70" i="28"/>
  <c r="K70" i="28"/>
  <c r="J70" i="28"/>
  <c r="I70" i="28"/>
  <c r="H70" i="28"/>
  <c r="G70" i="28"/>
  <c r="F70" i="28"/>
  <c r="E70" i="28"/>
  <c r="D70" i="28"/>
  <c r="C70" i="28"/>
  <c r="AL69" i="28"/>
  <c r="AK69" i="28"/>
  <c r="N69" i="28"/>
  <c r="M69" i="28"/>
  <c r="L69" i="28"/>
  <c r="K69" i="28"/>
  <c r="J69" i="28"/>
  <c r="I69" i="28"/>
  <c r="H69" i="28"/>
  <c r="G69" i="28"/>
  <c r="F69" i="28"/>
  <c r="E69" i="28"/>
  <c r="D69" i="28"/>
  <c r="C69" i="28"/>
  <c r="AL68" i="28"/>
  <c r="AK68" i="28"/>
  <c r="N68" i="28"/>
  <c r="M68" i="28"/>
  <c r="L68" i="28"/>
  <c r="K68" i="28"/>
  <c r="J68" i="28"/>
  <c r="I68" i="28"/>
  <c r="H68" i="28"/>
  <c r="G68" i="28"/>
  <c r="F68" i="28"/>
  <c r="E68" i="28"/>
  <c r="D68" i="28"/>
  <c r="C68" i="28"/>
  <c r="AL67" i="28"/>
  <c r="AK67" i="28"/>
  <c r="N67" i="28"/>
  <c r="M67" i="28"/>
  <c r="L67" i="28"/>
  <c r="K67" i="28"/>
  <c r="J67" i="28"/>
  <c r="I67" i="28"/>
  <c r="H67" i="28"/>
  <c r="G67" i="28"/>
  <c r="F67" i="28"/>
  <c r="E67" i="28"/>
  <c r="D67" i="28"/>
  <c r="C67" i="28"/>
  <c r="AL66" i="28"/>
  <c r="AK66" i="28"/>
  <c r="N66" i="28"/>
  <c r="M66" i="28"/>
  <c r="L66" i="28"/>
  <c r="K66" i="28"/>
  <c r="J66" i="28"/>
  <c r="I66" i="28"/>
  <c r="H66" i="28"/>
  <c r="G66" i="28"/>
  <c r="F66" i="28"/>
  <c r="E66" i="28"/>
  <c r="D66" i="28"/>
  <c r="C66" i="28"/>
  <c r="AL65" i="28"/>
  <c r="AK65" i="28"/>
  <c r="N65" i="28"/>
  <c r="M65" i="28"/>
  <c r="L65" i="28"/>
  <c r="K65" i="28"/>
  <c r="J65" i="28"/>
  <c r="I65" i="28"/>
  <c r="H65" i="28"/>
  <c r="G65" i="28"/>
  <c r="F65" i="28"/>
  <c r="E65" i="28"/>
  <c r="D65" i="28"/>
  <c r="C65" i="28"/>
  <c r="AL64" i="28"/>
  <c r="AK64" i="28"/>
  <c r="N64" i="28"/>
  <c r="M64" i="28"/>
  <c r="L64" i="28"/>
  <c r="K64" i="28"/>
  <c r="J64" i="28"/>
  <c r="I64" i="28"/>
  <c r="H64" i="28"/>
  <c r="G64" i="28"/>
  <c r="F64" i="28"/>
  <c r="E64" i="28"/>
  <c r="D64" i="28"/>
  <c r="C64" i="28"/>
  <c r="AL63" i="28"/>
  <c r="AK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AL62" i="28"/>
  <c r="AK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AL61" i="28"/>
  <c r="AK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AL60" i="28"/>
  <c r="AK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AL59" i="28"/>
  <c r="AK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AL58" i="28"/>
  <c r="AK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AL57" i="28"/>
  <c r="AK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AL56" i="28"/>
  <c r="AK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AL55" i="28"/>
  <c r="AK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AL54" i="28"/>
  <c r="AK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AL53" i="28"/>
  <c r="AK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AL52" i="28"/>
  <c r="AK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AL51" i="28"/>
  <c r="AK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AL50" i="28"/>
  <c r="AK50" i="28"/>
  <c r="N50" i="28"/>
  <c r="M50" i="28"/>
  <c r="L50" i="28"/>
  <c r="K50" i="28"/>
  <c r="J50" i="28"/>
  <c r="I50" i="28"/>
  <c r="H50" i="28"/>
  <c r="G50" i="28"/>
  <c r="F50" i="28"/>
  <c r="E50" i="28"/>
  <c r="D50" i="28"/>
  <c r="C50" i="28"/>
  <c r="AL49" i="28"/>
  <c r="AK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AL48" i="28"/>
  <c r="AK48" i="28"/>
  <c r="N48" i="28"/>
  <c r="M48" i="28"/>
  <c r="L48" i="28"/>
  <c r="K48" i="28"/>
  <c r="J48" i="28"/>
  <c r="I48" i="28"/>
  <c r="H48" i="28"/>
  <c r="G48" i="28"/>
  <c r="F48" i="28"/>
  <c r="E48" i="28"/>
  <c r="D48" i="28"/>
  <c r="C48" i="28"/>
  <c r="AL47" i="28"/>
  <c r="AK47" i="28"/>
  <c r="N47" i="28"/>
  <c r="M47" i="28"/>
  <c r="L47" i="28"/>
  <c r="K47" i="28"/>
  <c r="J47" i="28"/>
  <c r="I47" i="28"/>
  <c r="H47" i="28"/>
  <c r="G47" i="28"/>
  <c r="F47" i="28"/>
  <c r="E47" i="28"/>
  <c r="D47" i="28"/>
  <c r="C47" i="28"/>
  <c r="AL46" i="28"/>
  <c r="AK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AL45" i="28"/>
  <c r="AK45" i="28"/>
  <c r="N45" i="28"/>
  <c r="M45" i="28"/>
  <c r="L45" i="28"/>
  <c r="K45" i="28"/>
  <c r="J45" i="28"/>
  <c r="I45" i="28"/>
  <c r="H45" i="28"/>
  <c r="G45" i="28"/>
  <c r="F45" i="28"/>
  <c r="E45" i="28"/>
  <c r="D45" i="28"/>
  <c r="C45" i="28"/>
  <c r="AL44" i="28"/>
  <c r="AK44" i="28"/>
  <c r="N44" i="28"/>
  <c r="M44" i="28"/>
  <c r="L44" i="28"/>
  <c r="K44" i="28"/>
  <c r="J44" i="28"/>
  <c r="I44" i="28"/>
  <c r="H44" i="28"/>
  <c r="G44" i="28"/>
  <c r="F44" i="28"/>
  <c r="E44" i="28"/>
  <c r="D44" i="28"/>
  <c r="C44" i="28"/>
  <c r="AL43" i="28"/>
  <c r="AK43" i="28"/>
  <c r="N43" i="28"/>
  <c r="M43" i="28"/>
  <c r="L43" i="28"/>
  <c r="K43" i="28"/>
  <c r="J43" i="28"/>
  <c r="I43" i="28"/>
  <c r="H43" i="28"/>
  <c r="G43" i="28"/>
  <c r="F43" i="28"/>
  <c r="E43" i="28"/>
  <c r="D43" i="28"/>
  <c r="C43" i="28"/>
  <c r="AL42" i="28"/>
  <c r="AK42" i="28"/>
  <c r="N42" i="28"/>
  <c r="M42" i="28"/>
  <c r="L42" i="28"/>
  <c r="K42" i="28"/>
  <c r="J42" i="28"/>
  <c r="I42" i="28"/>
  <c r="H42" i="28"/>
  <c r="G42" i="28"/>
  <c r="F42" i="28"/>
  <c r="E42" i="28"/>
  <c r="D42" i="28"/>
  <c r="C42" i="28"/>
  <c r="AL41" i="28"/>
  <c r="AK41" i="28"/>
  <c r="N41" i="28"/>
  <c r="M41" i="28"/>
  <c r="L41" i="28"/>
  <c r="K41" i="28"/>
  <c r="J41" i="28"/>
  <c r="I41" i="28"/>
  <c r="H41" i="28"/>
  <c r="G41" i="28"/>
  <c r="F41" i="28"/>
  <c r="E41" i="28"/>
  <c r="D41" i="28"/>
  <c r="C41" i="28"/>
  <c r="AL40" i="28"/>
  <c r="AK40" i="28"/>
  <c r="N40" i="28"/>
  <c r="M40" i="28"/>
  <c r="L40" i="28"/>
  <c r="K40" i="28"/>
  <c r="J40" i="28"/>
  <c r="I40" i="28"/>
  <c r="H40" i="28"/>
  <c r="G40" i="28"/>
  <c r="F40" i="28"/>
  <c r="E40" i="28"/>
  <c r="D40" i="28"/>
  <c r="C40" i="28"/>
  <c r="AL39" i="28"/>
  <c r="AK39" i="28"/>
  <c r="N39" i="28"/>
  <c r="M39" i="28"/>
  <c r="L39" i="28"/>
  <c r="K39" i="28"/>
  <c r="J39" i="28"/>
  <c r="I39" i="28"/>
  <c r="H39" i="28"/>
  <c r="G39" i="28"/>
  <c r="F39" i="28"/>
  <c r="E39" i="28"/>
  <c r="D39" i="28"/>
  <c r="C39" i="28"/>
  <c r="AL38" i="28"/>
  <c r="AK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AL37" i="28"/>
  <c r="AK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AL36" i="28"/>
  <c r="AK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AL35" i="28"/>
  <c r="AK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AL34" i="28"/>
  <c r="AK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AL33" i="28"/>
  <c r="AK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AL32" i="28"/>
  <c r="AK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AL31" i="28"/>
  <c r="AK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AL30" i="28"/>
  <c r="AK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AL29" i="28"/>
  <c r="AK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AL28" i="28"/>
  <c r="AK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AL27" i="28"/>
  <c r="AK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AL26" i="28"/>
  <c r="AK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AL25" i="28"/>
  <c r="AK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AL24" i="28"/>
  <c r="AK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AL23" i="28"/>
  <c r="AK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AL22" i="28"/>
  <c r="AK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AL21" i="28"/>
  <c r="AK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AL20" i="28"/>
  <c r="AK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AL19" i="28"/>
  <c r="AK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AL18" i="28"/>
  <c r="AK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AL17" i="28"/>
  <c r="AK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AL16" i="28"/>
  <c r="AK16" i="28"/>
  <c r="N16" i="28"/>
  <c r="M16" i="28"/>
  <c r="L16" i="28"/>
  <c r="K16" i="28"/>
  <c r="J16" i="28"/>
  <c r="I16" i="28"/>
  <c r="H16" i="28"/>
  <c r="G16" i="28"/>
  <c r="F16" i="28"/>
  <c r="E16" i="28"/>
  <c r="D16" i="28"/>
  <c r="C16" i="28"/>
  <c r="AL15" i="28"/>
  <c r="AK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AL14" i="28"/>
  <c r="AK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AL13" i="28"/>
  <c r="AK13" i="28"/>
  <c r="N13" i="28"/>
  <c r="M13" i="28"/>
  <c r="L13" i="28"/>
  <c r="K13" i="28"/>
  <c r="J13" i="28"/>
  <c r="I13" i="28"/>
  <c r="H13" i="28"/>
  <c r="G13" i="28"/>
  <c r="F13" i="28"/>
  <c r="E13" i="28"/>
  <c r="D13" i="28"/>
  <c r="C13" i="28"/>
  <c r="AL12" i="28"/>
  <c r="AK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AL11" i="28"/>
  <c r="AK11" i="28"/>
  <c r="N11" i="28"/>
  <c r="M11" i="28"/>
  <c r="L11" i="28"/>
  <c r="K11" i="28"/>
  <c r="J11" i="28"/>
  <c r="I11" i="28"/>
  <c r="H11" i="28"/>
  <c r="G11" i="28"/>
  <c r="F11" i="28"/>
  <c r="E11" i="28"/>
  <c r="D11" i="28"/>
  <c r="C11" i="28"/>
  <c r="AL10" i="28"/>
  <c r="AK10" i="28"/>
  <c r="N10" i="28"/>
  <c r="M10" i="28"/>
  <c r="L10" i="28"/>
  <c r="K10" i="28"/>
  <c r="J10" i="28"/>
  <c r="I10" i="28"/>
  <c r="H10" i="28"/>
  <c r="G10" i="28"/>
  <c r="F10" i="28"/>
  <c r="E10" i="28"/>
  <c r="D10" i="28"/>
  <c r="C10" i="28"/>
  <c r="AL9" i="28"/>
  <c r="AK9" i="28"/>
  <c r="N9" i="28"/>
  <c r="M9" i="28"/>
  <c r="L9" i="28"/>
  <c r="K9" i="28"/>
  <c r="J9" i="28"/>
  <c r="I9" i="28"/>
  <c r="H9" i="28"/>
  <c r="G9" i="28"/>
  <c r="F9" i="28"/>
  <c r="E9" i="28"/>
  <c r="D9" i="28"/>
  <c r="C9" i="28"/>
  <c r="AL8" i="28"/>
  <c r="AK8" i="28"/>
  <c r="N8" i="28"/>
  <c r="M8" i="28"/>
  <c r="L8" i="28"/>
  <c r="K8" i="28"/>
  <c r="J8" i="28"/>
  <c r="I8" i="28"/>
  <c r="H8" i="28"/>
  <c r="G8" i="28"/>
  <c r="F8" i="28"/>
  <c r="E8" i="28"/>
  <c r="D8" i="28"/>
  <c r="C8" i="28"/>
  <c r="AN7" i="28"/>
  <c r="AL7" i="28"/>
  <c r="AK7" i="28"/>
  <c r="N7" i="28"/>
  <c r="M7" i="28"/>
  <c r="L7" i="28"/>
  <c r="K7" i="28"/>
  <c r="J7" i="28"/>
  <c r="I7" i="28"/>
  <c r="H7" i="28"/>
  <c r="G7" i="28"/>
  <c r="F7" i="28"/>
  <c r="E7" i="28"/>
  <c r="D7" i="28"/>
  <c r="C7" i="28"/>
  <c r="C18" i="2"/>
  <c r="G18" i="2"/>
  <c r="D18" i="2"/>
  <c r="H18" i="2"/>
  <c r="K18" i="2"/>
  <c r="L18" i="2"/>
  <c r="L7" i="2"/>
  <c r="K7" i="2"/>
  <c r="H7" i="2"/>
  <c r="G7" i="2"/>
  <c r="D7" i="2"/>
  <c r="C7" i="2"/>
  <c r="L6" i="29" s="1"/>
  <c r="C92" i="2"/>
  <c r="AI68" i="27"/>
  <c r="AI67" i="27"/>
  <c r="AI66" i="27"/>
  <c r="AE68" i="27"/>
  <c r="AE67" i="27"/>
  <c r="AE66" i="27"/>
  <c r="AA68" i="27"/>
  <c r="AA67" i="27"/>
  <c r="AA66" i="27"/>
  <c r="W68" i="27"/>
  <c r="W67" i="27"/>
  <c r="W66" i="27"/>
  <c r="S68" i="27"/>
  <c r="S67" i="27"/>
  <c r="S66" i="27"/>
  <c r="O68" i="27"/>
  <c r="O67" i="27"/>
  <c r="O66" i="27"/>
  <c r="K68" i="27"/>
  <c r="K67" i="27"/>
  <c r="K66" i="27"/>
  <c r="G68" i="27"/>
  <c r="G67" i="27"/>
  <c r="G66" i="27"/>
  <c r="C68" i="27"/>
  <c r="C67" i="27"/>
  <c r="C66" i="27"/>
  <c r="AI41" i="27"/>
  <c r="AE41" i="27"/>
  <c r="AA41" i="27"/>
  <c r="W41" i="27"/>
  <c r="S41" i="27"/>
  <c r="O41" i="27"/>
  <c r="K41" i="27"/>
  <c r="H41" i="27"/>
  <c r="G41" i="27"/>
  <c r="C41" i="27"/>
  <c r="AJ92" i="27"/>
  <c r="AI92" i="27"/>
  <c r="AH92" i="27"/>
  <c r="AG92" i="27"/>
  <c r="AF92" i="27"/>
  <c r="AE92" i="27"/>
  <c r="AD92" i="27"/>
  <c r="AC92" i="27"/>
  <c r="AB92" i="27"/>
  <c r="AA92" i="27"/>
  <c r="X92" i="27"/>
  <c r="W92" i="27"/>
  <c r="V92" i="27"/>
  <c r="U92" i="27"/>
  <c r="T92" i="27"/>
  <c r="S92" i="27"/>
  <c r="R92" i="27"/>
  <c r="Q92" i="27"/>
  <c r="P92" i="27"/>
  <c r="O92" i="27"/>
  <c r="L92" i="27"/>
  <c r="K92" i="27"/>
  <c r="J92" i="27"/>
  <c r="I92" i="27"/>
  <c r="H92" i="27"/>
  <c r="G92" i="27"/>
  <c r="F92" i="27"/>
  <c r="E92" i="27"/>
  <c r="D92" i="27"/>
  <c r="C92" i="27"/>
  <c r="AJ91" i="27"/>
  <c r="AI91" i="27"/>
  <c r="AH91" i="27"/>
  <c r="AG91" i="27"/>
  <c r="AF91" i="27"/>
  <c r="AE91" i="27"/>
  <c r="AD91" i="27"/>
  <c r="AC91" i="27"/>
  <c r="AB91" i="27"/>
  <c r="AA91" i="27"/>
  <c r="X91" i="27"/>
  <c r="W91" i="27"/>
  <c r="V91" i="27"/>
  <c r="U91" i="27"/>
  <c r="T91" i="27"/>
  <c r="S91" i="27"/>
  <c r="R91" i="27"/>
  <c r="Q91" i="27"/>
  <c r="P91" i="27"/>
  <c r="O91" i="27"/>
  <c r="L91" i="27"/>
  <c r="K91" i="27"/>
  <c r="J91" i="27"/>
  <c r="I91" i="27"/>
  <c r="H91" i="27"/>
  <c r="G91" i="27"/>
  <c r="F91" i="27"/>
  <c r="E91" i="27"/>
  <c r="D91" i="27"/>
  <c r="C91" i="27"/>
  <c r="AJ90" i="27"/>
  <c r="AI90" i="27"/>
  <c r="AH90" i="27"/>
  <c r="AG90" i="27"/>
  <c r="AF90" i="27"/>
  <c r="AE90" i="27"/>
  <c r="AD90" i="27"/>
  <c r="AC90" i="27"/>
  <c r="AB90" i="27"/>
  <c r="AA90" i="27"/>
  <c r="X90" i="27"/>
  <c r="W90" i="27"/>
  <c r="V90" i="27"/>
  <c r="U90" i="27"/>
  <c r="T90" i="27"/>
  <c r="S90" i="27"/>
  <c r="R90" i="27"/>
  <c r="Q90" i="27"/>
  <c r="P90" i="27"/>
  <c r="O90" i="27"/>
  <c r="L90" i="27"/>
  <c r="K90" i="27"/>
  <c r="J90" i="27"/>
  <c r="I90" i="27"/>
  <c r="H90" i="27"/>
  <c r="G90" i="27"/>
  <c r="F90" i="27"/>
  <c r="E90" i="27"/>
  <c r="D90" i="27"/>
  <c r="C90" i="27"/>
  <c r="AJ89" i="27"/>
  <c r="AI89" i="27"/>
  <c r="AH89" i="27"/>
  <c r="AG89" i="27"/>
  <c r="AF89" i="27"/>
  <c r="AE89" i="27"/>
  <c r="AD89" i="27"/>
  <c r="AC89" i="27"/>
  <c r="AB89" i="27"/>
  <c r="AA89" i="27"/>
  <c r="X89" i="27"/>
  <c r="W89" i="27"/>
  <c r="V89" i="27"/>
  <c r="U89" i="27"/>
  <c r="T89" i="27"/>
  <c r="S89" i="27"/>
  <c r="R89" i="27"/>
  <c r="Q89" i="27"/>
  <c r="P89" i="27"/>
  <c r="O89" i="27"/>
  <c r="L89" i="27"/>
  <c r="K89" i="27"/>
  <c r="J89" i="27"/>
  <c r="I89" i="27"/>
  <c r="H89" i="27"/>
  <c r="G89" i="27"/>
  <c r="F89" i="27"/>
  <c r="E89" i="27"/>
  <c r="D89" i="27"/>
  <c r="C89" i="27"/>
  <c r="AJ88" i="27"/>
  <c r="AI88" i="27"/>
  <c r="AH88" i="27"/>
  <c r="AG88" i="27"/>
  <c r="AF88" i="27"/>
  <c r="AE88" i="27"/>
  <c r="AD88" i="27"/>
  <c r="AC88" i="27"/>
  <c r="AB88" i="27"/>
  <c r="AA88" i="27"/>
  <c r="X88" i="27"/>
  <c r="W88" i="27"/>
  <c r="V88" i="27"/>
  <c r="U88" i="27"/>
  <c r="T88" i="27"/>
  <c r="S88" i="27"/>
  <c r="R88" i="27"/>
  <c r="Q88" i="27"/>
  <c r="P88" i="27"/>
  <c r="O88" i="27"/>
  <c r="L88" i="27"/>
  <c r="K88" i="27"/>
  <c r="J88" i="27"/>
  <c r="I88" i="27"/>
  <c r="H88" i="27"/>
  <c r="G88" i="27"/>
  <c r="F88" i="27"/>
  <c r="E88" i="27"/>
  <c r="D88" i="27"/>
  <c r="C88" i="27"/>
  <c r="AJ87" i="27"/>
  <c r="AI87" i="27"/>
  <c r="AH87" i="27"/>
  <c r="AG87" i="27"/>
  <c r="AF87" i="27"/>
  <c r="AE87" i="27"/>
  <c r="AD87" i="27"/>
  <c r="AC87" i="27"/>
  <c r="AB87" i="27"/>
  <c r="AA87" i="27"/>
  <c r="X87" i="27"/>
  <c r="W87" i="27"/>
  <c r="V87" i="27"/>
  <c r="U87" i="27"/>
  <c r="T87" i="27"/>
  <c r="S87" i="27"/>
  <c r="R87" i="27"/>
  <c r="Q87" i="27"/>
  <c r="P87" i="27"/>
  <c r="O87" i="27"/>
  <c r="L87" i="27"/>
  <c r="K87" i="27"/>
  <c r="J87" i="27"/>
  <c r="I87" i="27"/>
  <c r="H87" i="27"/>
  <c r="G87" i="27"/>
  <c r="F87" i="27"/>
  <c r="E87" i="27"/>
  <c r="D87" i="27"/>
  <c r="C87" i="27"/>
  <c r="AJ86" i="27"/>
  <c r="AI86" i="27"/>
  <c r="AH86" i="27"/>
  <c r="AG86" i="27"/>
  <c r="AF86" i="27"/>
  <c r="AE86" i="27"/>
  <c r="AD86" i="27"/>
  <c r="AC86" i="27"/>
  <c r="AB86" i="27"/>
  <c r="AA86" i="27"/>
  <c r="X86" i="27"/>
  <c r="W86" i="27"/>
  <c r="V86" i="27"/>
  <c r="U86" i="27"/>
  <c r="T86" i="27"/>
  <c r="S86" i="27"/>
  <c r="R86" i="27"/>
  <c r="Q86" i="27"/>
  <c r="P86" i="27"/>
  <c r="O86" i="27"/>
  <c r="L86" i="27"/>
  <c r="K86" i="27"/>
  <c r="J86" i="27"/>
  <c r="I86" i="27"/>
  <c r="H86" i="27"/>
  <c r="G86" i="27"/>
  <c r="F86" i="27"/>
  <c r="E86" i="27"/>
  <c r="D86" i="27"/>
  <c r="C86" i="27"/>
  <c r="AJ85" i="27"/>
  <c r="AI85" i="27"/>
  <c r="AH85" i="27"/>
  <c r="AG85" i="27"/>
  <c r="AF85" i="27"/>
  <c r="AE85" i="27"/>
  <c r="AD85" i="27"/>
  <c r="AC85" i="27"/>
  <c r="AB85" i="27"/>
  <c r="AA85" i="27"/>
  <c r="X85" i="27"/>
  <c r="W85" i="27"/>
  <c r="V85" i="27"/>
  <c r="U85" i="27"/>
  <c r="T85" i="27"/>
  <c r="S85" i="27"/>
  <c r="R85" i="27"/>
  <c r="Q85" i="27"/>
  <c r="P85" i="27"/>
  <c r="O85" i="27"/>
  <c r="L85" i="27"/>
  <c r="K85" i="27"/>
  <c r="J85" i="27"/>
  <c r="I85" i="27"/>
  <c r="H85" i="27"/>
  <c r="G85" i="27"/>
  <c r="F85" i="27"/>
  <c r="E85" i="27"/>
  <c r="D85" i="27"/>
  <c r="C85" i="27"/>
  <c r="AI81" i="27"/>
  <c r="AE81" i="27"/>
  <c r="AA81" i="27"/>
  <c r="W81" i="27"/>
  <c r="S81" i="27"/>
  <c r="O81" i="27"/>
  <c r="K81" i="27"/>
  <c r="G81" i="27"/>
  <c r="C81" i="27"/>
  <c r="AJ79" i="27"/>
  <c r="AI79" i="27"/>
  <c r="AH79" i="27"/>
  <c r="AG79" i="27"/>
  <c r="AF79" i="27"/>
  <c r="AE79" i="27"/>
  <c r="AD79" i="27"/>
  <c r="AC79" i="27"/>
  <c r="AB79" i="27"/>
  <c r="AA79" i="27"/>
  <c r="X79" i="27"/>
  <c r="W79" i="27"/>
  <c r="V79" i="27"/>
  <c r="U79" i="27"/>
  <c r="T79" i="27"/>
  <c r="S79" i="27"/>
  <c r="R79" i="27"/>
  <c r="Q79" i="27"/>
  <c r="P79" i="27"/>
  <c r="O79" i="27"/>
  <c r="L79" i="27"/>
  <c r="K79" i="27"/>
  <c r="J79" i="27"/>
  <c r="I79" i="27"/>
  <c r="H79" i="27"/>
  <c r="G79" i="27"/>
  <c r="F79" i="27"/>
  <c r="E79" i="27"/>
  <c r="D79" i="27"/>
  <c r="C79" i="27"/>
  <c r="AJ78" i="27"/>
  <c r="AI78" i="27"/>
  <c r="AH78" i="27"/>
  <c r="AG78" i="27"/>
  <c r="AF78" i="27"/>
  <c r="AE78" i="27"/>
  <c r="AD78" i="27"/>
  <c r="AC78" i="27"/>
  <c r="AB78" i="27"/>
  <c r="AA78" i="27"/>
  <c r="X78" i="27"/>
  <c r="W78" i="27"/>
  <c r="V78" i="27"/>
  <c r="U78" i="27"/>
  <c r="T78" i="27"/>
  <c r="S78" i="27"/>
  <c r="R78" i="27"/>
  <c r="Q78" i="27"/>
  <c r="P78" i="27"/>
  <c r="O78" i="27"/>
  <c r="L78" i="27"/>
  <c r="K78" i="27"/>
  <c r="J78" i="27"/>
  <c r="I78" i="27"/>
  <c r="H78" i="27"/>
  <c r="G78" i="27"/>
  <c r="F78" i="27"/>
  <c r="E78" i="27"/>
  <c r="D78" i="27"/>
  <c r="C78" i="27"/>
  <c r="AJ77" i="27"/>
  <c r="AI77" i="27"/>
  <c r="AH77" i="27"/>
  <c r="AG77" i="27"/>
  <c r="AF77" i="27"/>
  <c r="AE77" i="27"/>
  <c r="AD77" i="27"/>
  <c r="AC77" i="27"/>
  <c r="AB77" i="27"/>
  <c r="AA77" i="27"/>
  <c r="X77" i="27"/>
  <c r="W77" i="27"/>
  <c r="V77" i="27"/>
  <c r="U77" i="27"/>
  <c r="T77" i="27"/>
  <c r="S77" i="27"/>
  <c r="R77" i="27"/>
  <c r="Q77" i="27"/>
  <c r="P77" i="27"/>
  <c r="O77" i="27"/>
  <c r="L77" i="27"/>
  <c r="K77" i="27"/>
  <c r="J77" i="27"/>
  <c r="I77" i="27"/>
  <c r="H77" i="27"/>
  <c r="G77" i="27"/>
  <c r="F77" i="27"/>
  <c r="E77" i="27"/>
  <c r="D77" i="27"/>
  <c r="C77" i="27"/>
  <c r="AJ76" i="27"/>
  <c r="AI76" i="27"/>
  <c r="AH76" i="27"/>
  <c r="AG76" i="27"/>
  <c r="AF76" i="27"/>
  <c r="AE76" i="27"/>
  <c r="AD76" i="27"/>
  <c r="AC76" i="27"/>
  <c r="AB76" i="27"/>
  <c r="AA76" i="27"/>
  <c r="X76" i="27"/>
  <c r="W76" i="27"/>
  <c r="V76" i="27"/>
  <c r="U76" i="27"/>
  <c r="T76" i="27"/>
  <c r="S76" i="27"/>
  <c r="R76" i="27"/>
  <c r="Q76" i="27"/>
  <c r="P76" i="27"/>
  <c r="O76" i="27"/>
  <c r="L76" i="27"/>
  <c r="K76" i="27"/>
  <c r="J76" i="27"/>
  <c r="I76" i="27"/>
  <c r="H76" i="27"/>
  <c r="G76" i="27"/>
  <c r="F76" i="27"/>
  <c r="E76" i="27"/>
  <c r="D76" i="27"/>
  <c r="C76" i="27"/>
  <c r="AJ75" i="27"/>
  <c r="AI75" i="27"/>
  <c r="AH75" i="27"/>
  <c r="AG75" i="27"/>
  <c r="AF75" i="27"/>
  <c r="AE75" i="27"/>
  <c r="AD75" i="27"/>
  <c r="AC75" i="27"/>
  <c r="AB75" i="27"/>
  <c r="AA75" i="27"/>
  <c r="X75" i="27"/>
  <c r="W75" i="27"/>
  <c r="V75" i="27"/>
  <c r="U75" i="27"/>
  <c r="T75" i="27"/>
  <c r="S75" i="27"/>
  <c r="R75" i="27"/>
  <c r="Q75" i="27"/>
  <c r="P75" i="27"/>
  <c r="O75" i="27"/>
  <c r="L75" i="27"/>
  <c r="K75" i="27"/>
  <c r="J75" i="27"/>
  <c r="I75" i="27"/>
  <c r="H75" i="27"/>
  <c r="G75" i="27"/>
  <c r="F75" i="27"/>
  <c r="E75" i="27"/>
  <c r="D75" i="27"/>
  <c r="C75" i="27"/>
  <c r="AJ74" i="27"/>
  <c r="AI74" i="27"/>
  <c r="AH74" i="27"/>
  <c r="AG74" i="27"/>
  <c r="AF74" i="27"/>
  <c r="AE74" i="27"/>
  <c r="AD74" i="27"/>
  <c r="AC74" i="27"/>
  <c r="AB74" i="27"/>
  <c r="AA74" i="27"/>
  <c r="X74" i="27"/>
  <c r="W74" i="27"/>
  <c r="V74" i="27"/>
  <c r="U74" i="27"/>
  <c r="T74" i="27"/>
  <c r="S74" i="27"/>
  <c r="R74" i="27"/>
  <c r="Q74" i="27"/>
  <c r="P74" i="27"/>
  <c r="O74" i="27"/>
  <c r="L74" i="27"/>
  <c r="K74" i="27"/>
  <c r="J74" i="27"/>
  <c r="I74" i="27"/>
  <c r="H74" i="27"/>
  <c r="G74" i="27"/>
  <c r="F74" i="27"/>
  <c r="E74" i="27"/>
  <c r="D74" i="27"/>
  <c r="C74" i="27"/>
  <c r="AJ73" i="27"/>
  <c r="AI73" i="27"/>
  <c r="AH73" i="27"/>
  <c r="AG73" i="27"/>
  <c r="AF73" i="27"/>
  <c r="AE73" i="27"/>
  <c r="AD73" i="27"/>
  <c r="AC73" i="27"/>
  <c r="AB73" i="27"/>
  <c r="AA73" i="27"/>
  <c r="X73" i="27"/>
  <c r="W73" i="27"/>
  <c r="V73" i="27"/>
  <c r="U73" i="27"/>
  <c r="T73" i="27"/>
  <c r="S73" i="27"/>
  <c r="R73" i="27"/>
  <c r="Q73" i="27"/>
  <c r="P73" i="27"/>
  <c r="O73" i="27"/>
  <c r="L73" i="27"/>
  <c r="K73" i="27"/>
  <c r="J73" i="27"/>
  <c r="I73" i="27"/>
  <c r="H73" i="27"/>
  <c r="G73" i="27"/>
  <c r="F73" i="27"/>
  <c r="E73" i="27"/>
  <c r="D73" i="27"/>
  <c r="C73" i="27"/>
  <c r="AJ72" i="27"/>
  <c r="AI72" i="27"/>
  <c r="AH72" i="27"/>
  <c r="AG72" i="27"/>
  <c r="AF72" i="27"/>
  <c r="AE72" i="27"/>
  <c r="AD72" i="27"/>
  <c r="AC72" i="27"/>
  <c r="AB72" i="27"/>
  <c r="AA72" i="27"/>
  <c r="X72" i="27"/>
  <c r="W72" i="27"/>
  <c r="V72" i="27"/>
  <c r="U72" i="27"/>
  <c r="T72" i="27"/>
  <c r="S72" i="27"/>
  <c r="R72" i="27"/>
  <c r="Q72" i="27"/>
  <c r="P72" i="27"/>
  <c r="O72" i="27"/>
  <c r="L72" i="27"/>
  <c r="K72" i="27"/>
  <c r="J72" i="27"/>
  <c r="I72" i="27"/>
  <c r="H72" i="27"/>
  <c r="G72" i="27"/>
  <c r="F72" i="27"/>
  <c r="E72" i="27"/>
  <c r="D72" i="27"/>
  <c r="C72" i="27"/>
  <c r="AJ71" i="27"/>
  <c r="AI71" i="27"/>
  <c r="AH71" i="27"/>
  <c r="AG71" i="27"/>
  <c r="AF71" i="27"/>
  <c r="AE71" i="27"/>
  <c r="AD71" i="27"/>
  <c r="AC71" i="27"/>
  <c r="AB71" i="27"/>
  <c r="AA71" i="27"/>
  <c r="X71" i="27"/>
  <c r="W71" i="27"/>
  <c r="V71" i="27"/>
  <c r="U71" i="27"/>
  <c r="T71" i="27"/>
  <c r="S71" i="27"/>
  <c r="R71" i="27"/>
  <c r="Q71" i="27"/>
  <c r="P71" i="27"/>
  <c r="O71" i="27"/>
  <c r="L71" i="27"/>
  <c r="K71" i="27"/>
  <c r="J71" i="27"/>
  <c r="I71" i="27"/>
  <c r="H71" i="27"/>
  <c r="G71" i="27"/>
  <c r="F71" i="27"/>
  <c r="E71" i="27"/>
  <c r="D71" i="27"/>
  <c r="C71" i="27"/>
  <c r="AJ70" i="27"/>
  <c r="AI70" i="27"/>
  <c r="AH70" i="27"/>
  <c r="AG70" i="27"/>
  <c r="AF70" i="27"/>
  <c r="AE70" i="27"/>
  <c r="AD70" i="27"/>
  <c r="AC70" i="27"/>
  <c r="AB70" i="27"/>
  <c r="AA70" i="27"/>
  <c r="X70" i="27"/>
  <c r="W70" i="27"/>
  <c r="V70" i="27"/>
  <c r="U70" i="27"/>
  <c r="T70" i="27"/>
  <c r="S70" i="27"/>
  <c r="R70" i="27"/>
  <c r="Q70" i="27"/>
  <c r="P70" i="27"/>
  <c r="O70" i="27"/>
  <c r="L70" i="27"/>
  <c r="K70" i="27"/>
  <c r="J70" i="27"/>
  <c r="I70" i="27"/>
  <c r="H70" i="27"/>
  <c r="G70" i="27"/>
  <c r="F70" i="27"/>
  <c r="E70" i="27"/>
  <c r="D70" i="27"/>
  <c r="C70" i="27"/>
  <c r="AJ69" i="27"/>
  <c r="AI69" i="27"/>
  <c r="AH69" i="27"/>
  <c r="AG69" i="27"/>
  <c r="AF69" i="27"/>
  <c r="AE69" i="27"/>
  <c r="AD69" i="27"/>
  <c r="AC69" i="27"/>
  <c r="AB69" i="27"/>
  <c r="AA69" i="27"/>
  <c r="X69" i="27"/>
  <c r="W69" i="27"/>
  <c r="V69" i="27"/>
  <c r="U69" i="27"/>
  <c r="T69" i="27"/>
  <c r="S69" i="27"/>
  <c r="R69" i="27"/>
  <c r="Q69" i="27"/>
  <c r="P69" i="27"/>
  <c r="O69" i="27"/>
  <c r="L69" i="27"/>
  <c r="K69" i="27"/>
  <c r="J69" i="27"/>
  <c r="I69" i="27"/>
  <c r="H69" i="27"/>
  <c r="G69" i="27"/>
  <c r="F69" i="27"/>
  <c r="E69" i="27"/>
  <c r="D69" i="27"/>
  <c r="C69" i="27"/>
  <c r="AJ68" i="27"/>
  <c r="AH68" i="27"/>
  <c r="AG68" i="27"/>
  <c r="AF68" i="27"/>
  <c r="AD68" i="27"/>
  <c r="AC68" i="27"/>
  <c r="AB68" i="27"/>
  <c r="X68" i="27"/>
  <c r="V68" i="27"/>
  <c r="U68" i="27"/>
  <c r="T68" i="27"/>
  <c r="R68" i="27"/>
  <c r="Q68" i="27"/>
  <c r="P68" i="27"/>
  <c r="L68" i="27"/>
  <c r="J68" i="27"/>
  <c r="I68" i="27"/>
  <c r="H68" i="27"/>
  <c r="F68" i="27"/>
  <c r="E68" i="27"/>
  <c r="D68" i="27"/>
  <c r="AJ67" i="27"/>
  <c r="AH67" i="27"/>
  <c r="AG67" i="27"/>
  <c r="AF67" i="27"/>
  <c r="AD67" i="27"/>
  <c r="AC67" i="27"/>
  <c r="AB67" i="27"/>
  <c r="X67" i="27"/>
  <c r="V67" i="27"/>
  <c r="U67" i="27"/>
  <c r="T67" i="27"/>
  <c r="R67" i="27"/>
  <c r="Q67" i="27"/>
  <c r="P67" i="27"/>
  <c r="L67" i="27"/>
  <c r="J67" i="27"/>
  <c r="I67" i="27"/>
  <c r="H67" i="27"/>
  <c r="F67" i="27"/>
  <c r="E67" i="27"/>
  <c r="D67" i="27"/>
  <c r="AJ66" i="27"/>
  <c r="AH66" i="27"/>
  <c r="AG66" i="27"/>
  <c r="AF66" i="27"/>
  <c r="AD66" i="27"/>
  <c r="AC66" i="27"/>
  <c r="AB66" i="27"/>
  <c r="X66" i="27"/>
  <c r="V66" i="27"/>
  <c r="U66" i="27"/>
  <c r="T66" i="27"/>
  <c r="R66" i="27"/>
  <c r="Q66" i="27"/>
  <c r="P66" i="27"/>
  <c r="L66" i="27"/>
  <c r="J66" i="27"/>
  <c r="I66" i="27"/>
  <c r="H66" i="27"/>
  <c r="F66" i="27"/>
  <c r="E66" i="27"/>
  <c r="D66" i="27"/>
  <c r="AJ65" i="27"/>
  <c r="AI65" i="27"/>
  <c r="AH65" i="27"/>
  <c r="AG65" i="27"/>
  <c r="AF65" i="27"/>
  <c r="AE65" i="27"/>
  <c r="AD65" i="27"/>
  <c r="AC65" i="27"/>
  <c r="AB65" i="27"/>
  <c r="AA65" i="27"/>
  <c r="X65" i="27"/>
  <c r="W65" i="27"/>
  <c r="V65" i="27"/>
  <c r="U65" i="27"/>
  <c r="T65" i="27"/>
  <c r="S65" i="27"/>
  <c r="R65" i="27"/>
  <c r="Q65" i="27"/>
  <c r="P65" i="27"/>
  <c r="O65" i="27"/>
  <c r="L65" i="27"/>
  <c r="K65" i="27"/>
  <c r="J65" i="27"/>
  <c r="I65" i="27"/>
  <c r="H65" i="27"/>
  <c r="G65" i="27"/>
  <c r="F65" i="27"/>
  <c r="E65" i="27"/>
  <c r="D65" i="27"/>
  <c r="C65" i="27"/>
  <c r="AJ64" i="27"/>
  <c r="AI64" i="27"/>
  <c r="AH64" i="27"/>
  <c r="AG64" i="27"/>
  <c r="AF64" i="27"/>
  <c r="AE64" i="27"/>
  <c r="AD64" i="27"/>
  <c r="AC64" i="27"/>
  <c r="AB64" i="27"/>
  <c r="AA64" i="27"/>
  <c r="X64" i="27"/>
  <c r="W64" i="27"/>
  <c r="V64" i="27"/>
  <c r="U64" i="27"/>
  <c r="T64" i="27"/>
  <c r="S64" i="27"/>
  <c r="R64" i="27"/>
  <c r="Q64" i="27"/>
  <c r="P64" i="27"/>
  <c r="O64" i="27"/>
  <c r="L64" i="27"/>
  <c r="K64" i="27"/>
  <c r="J64" i="27"/>
  <c r="I64" i="27"/>
  <c r="H64" i="27"/>
  <c r="G64" i="27"/>
  <c r="F64" i="27"/>
  <c r="E64" i="27"/>
  <c r="D64" i="27"/>
  <c r="C64" i="27"/>
  <c r="AJ63" i="27"/>
  <c r="AI63" i="27"/>
  <c r="AH63" i="27"/>
  <c r="AG63" i="27"/>
  <c r="AF63" i="27"/>
  <c r="AE63" i="27"/>
  <c r="AD63" i="27"/>
  <c r="AC63" i="27"/>
  <c r="AB63" i="27"/>
  <c r="AA63" i="27"/>
  <c r="X63" i="27"/>
  <c r="W63" i="27"/>
  <c r="V63" i="27"/>
  <c r="U63" i="27"/>
  <c r="T63" i="27"/>
  <c r="S63" i="27"/>
  <c r="R63" i="27"/>
  <c r="Q63" i="27"/>
  <c r="P63" i="27"/>
  <c r="O63" i="27"/>
  <c r="L63" i="27"/>
  <c r="K63" i="27"/>
  <c r="J63" i="27"/>
  <c r="I63" i="27"/>
  <c r="H63" i="27"/>
  <c r="G63" i="27"/>
  <c r="F63" i="27"/>
  <c r="E63" i="27"/>
  <c r="D63" i="27"/>
  <c r="C63" i="27"/>
  <c r="AJ62" i="27"/>
  <c r="AI62" i="27"/>
  <c r="AH62" i="27"/>
  <c r="AG62" i="27"/>
  <c r="AF62" i="27"/>
  <c r="AE62" i="27"/>
  <c r="AD62" i="27"/>
  <c r="AC62" i="27"/>
  <c r="AB62" i="27"/>
  <c r="AA62" i="27"/>
  <c r="X62" i="27"/>
  <c r="W62" i="27"/>
  <c r="V62" i="27"/>
  <c r="U62" i="27"/>
  <c r="T62" i="27"/>
  <c r="S62" i="27"/>
  <c r="R62" i="27"/>
  <c r="Q62" i="27"/>
  <c r="P62" i="27"/>
  <c r="O62" i="27"/>
  <c r="L62" i="27"/>
  <c r="K62" i="27"/>
  <c r="J62" i="27"/>
  <c r="I62" i="27"/>
  <c r="H62" i="27"/>
  <c r="G62" i="27"/>
  <c r="F62" i="27"/>
  <c r="E62" i="27"/>
  <c r="D62" i="27"/>
  <c r="C62" i="27"/>
  <c r="AJ61" i="27"/>
  <c r="AI61" i="27"/>
  <c r="AH61" i="27"/>
  <c r="AG61" i="27"/>
  <c r="AF61" i="27"/>
  <c r="AE61" i="27"/>
  <c r="AD61" i="27"/>
  <c r="AC61" i="27"/>
  <c r="AB61" i="27"/>
  <c r="AA61" i="27"/>
  <c r="X61" i="27"/>
  <c r="W61" i="27"/>
  <c r="V61" i="27"/>
  <c r="U61" i="27"/>
  <c r="T61" i="27"/>
  <c r="S61" i="27"/>
  <c r="R61" i="27"/>
  <c r="Q61" i="27"/>
  <c r="P61" i="27"/>
  <c r="O61" i="27"/>
  <c r="L61" i="27"/>
  <c r="K61" i="27"/>
  <c r="J61" i="27"/>
  <c r="I61" i="27"/>
  <c r="H61" i="27"/>
  <c r="G61" i="27"/>
  <c r="F61" i="27"/>
  <c r="E61" i="27"/>
  <c r="D61" i="27"/>
  <c r="C61" i="27"/>
  <c r="AJ60" i="27"/>
  <c r="AI60" i="27"/>
  <c r="AH60" i="27"/>
  <c r="AG60" i="27"/>
  <c r="AF60" i="27"/>
  <c r="AE60" i="27"/>
  <c r="AD60" i="27"/>
  <c r="AC60" i="27"/>
  <c r="AB60" i="27"/>
  <c r="AA60" i="27"/>
  <c r="X60" i="27"/>
  <c r="W60" i="27"/>
  <c r="V60" i="27"/>
  <c r="U60" i="27"/>
  <c r="T60" i="27"/>
  <c r="S60" i="27"/>
  <c r="R60" i="27"/>
  <c r="Q60" i="27"/>
  <c r="P60" i="27"/>
  <c r="O60" i="27"/>
  <c r="L60" i="27"/>
  <c r="K60" i="27"/>
  <c r="J60" i="27"/>
  <c r="I60" i="27"/>
  <c r="H60" i="27"/>
  <c r="G60" i="27"/>
  <c r="F60" i="27"/>
  <c r="E60" i="27"/>
  <c r="D60" i="27"/>
  <c r="C60" i="27"/>
  <c r="AJ59" i="27"/>
  <c r="AI59" i="27"/>
  <c r="AH59" i="27"/>
  <c r="AG59" i="27"/>
  <c r="AF59" i="27"/>
  <c r="AE59" i="27"/>
  <c r="AD59" i="27"/>
  <c r="AC59" i="27"/>
  <c r="AB59" i="27"/>
  <c r="AA59" i="27"/>
  <c r="X59" i="27"/>
  <c r="W59" i="27"/>
  <c r="V59" i="27"/>
  <c r="U59" i="27"/>
  <c r="T59" i="27"/>
  <c r="S59" i="27"/>
  <c r="R59" i="27"/>
  <c r="Q59" i="27"/>
  <c r="P59" i="27"/>
  <c r="O59" i="27"/>
  <c r="L59" i="27"/>
  <c r="K59" i="27"/>
  <c r="J59" i="27"/>
  <c r="I59" i="27"/>
  <c r="H59" i="27"/>
  <c r="G59" i="27"/>
  <c r="F59" i="27"/>
  <c r="E59" i="27"/>
  <c r="D59" i="27"/>
  <c r="C59" i="27"/>
  <c r="AJ58" i="27"/>
  <c r="AI58" i="27"/>
  <c r="AH58" i="27"/>
  <c r="AG58" i="27"/>
  <c r="AF58" i="27"/>
  <c r="AE58" i="27"/>
  <c r="AD58" i="27"/>
  <c r="AC58" i="27"/>
  <c r="AB58" i="27"/>
  <c r="AA58" i="27"/>
  <c r="X58" i="27"/>
  <c r="W58" i="27"/>
  <c r="V58" i="27"/>
  <c r="U58" i="27"/>
  <c r="T58" i="27"/>
  <c r="S58" i="27"/>
  <c r="R58" i="27"/>
  <c r="Q58" i="27"/>
  <c r="P58" i="27"/>
  <c r="O58" i="27"/>
  <c r="L58" i="27"/>
  <c r="K58" i="27"/>
  <c r="J58" i="27"/>
  <c r="I58" i="27"/>
  <c r="H58" i="27"/>
  <c r="G58" i="27"/>
  <c r="F58" i="27"/>
  <c r="E58" i="27"/>
  <c r="D58" i="27"/>
  <c r="C58" i="27"/>
  <c r="AJ57" i="27"/>
  <c r="AI57" i="27"/>
  <c r="AH57" i="27"/>
  <c r="AG57" i="27"/>
  <c r="AF57" i="27"/>
  <c r="AE57" i="27"/>
  <c r="AD57" i="27"/>
  <c r="AC57" i="27"/>
  <c r="AB57" i="27"/>
  <c r="AA57" i="27"/>
  <c r="X57" i="27"/>
  <c r="W57" i="27"/>
  <c r="V57" i="27"/>
  <c r="U57" i="27"/>
  <c r="T57" i="27"/>
  <c r="S57" i="27"/>
  <c r="R57" i="27"/>
  <c r="Q57" i="27"/>
  <c r="P57" i="27"/>
  <c r="O57" i="27"/>
  <c r="L57" i="27"/>
  <c r="K57" i="27"/>
  <c r="J57" i="27"/>
  <c r="I57" i="27"/>
  <c r="H57" i="27"/>
  <c r="G57" i="27"/>
  <c r="F57" i="27"/>
  <c r="E57" i="27"/>
  <c r="D57" i="27"/>
  <c r="C57" i="27"/>
  <c r="AJ56" i="27"/>
  <c r="AI56" i="27"/>
  <c r="AH56" i="27"/>
  <c r="AG56" i="27"/>
  <c r="AF56" i="27"/>
  <c r="AE56" i="27"/>
  <c r="AD56" i="27"/>
  <c r="AC56" i="27"/>
  <c r="AB56" i="27"/>
  <c r="AA56" i="27"/>
  <c r="X56" i="27"/>
  <c r="W56" i="27"/>
  <c r="V56" i="27"/>
  <c r="U56" i="27"/>
  <c r="T56" i="27"/>
  <c r="S56" i="27"/>
  <c r="R56" i="27"/>
  <c r="Q56" i="27"/>
  <c r="P56" i="27"/>
  <c r="O56" i="27"/>
  <c r="L56" i="27"/>
  <c r="K56" i="27"/>
  <c r="J56" i="27"/>
  <c r="I56" i="27"/>
  <c r="H56" i="27"/>
  <c r="G56" i="27"/>
  <c r="F56" i="27"/>
  <c r="E56" i="27"/>
  <c r="D56" i="27"/>
  <c r="C56" i="27"/>
  <c r="AJ55" i="27"/>
  <c r="AI55" i="27"/>
  <c r="AH55" i="27"/>
  <c r="AG55" i="27"/>
  <c r="AF55" i="27"/>
  <c r="AE55" i="27"/>
  <c r="AD55" i="27"/>
  <c r="AC55" i="27"/>
  <c r="AB55" i="27"/>
  <c r="AA55" i="27"/>
  <c r="X55" i="27"/>
  <c r="W55" i="27"/>
  <c r="V55" i="27"/>
  <c r="U55" i="27"/>
  <c r="T55" i="27"/>
  <c r="S55" i="27"/>
  <c r="R55" i="27"/>
  <c r="Q55" i="27"/>
  <c r="P55" i="27"/>
  <c r="O55" i="27"/>
  <c r="L55" i="27"/>
  <c r="K55" i="27"/>
  <c r="J55" i="27"/>
  <c r="I55" i="27"/>
  <c r="H55" i="27"/>
  <c r="G55" i="27"/>
  <c r="F55" i="27"/>
  <c r="E55" i="27"/>
  <c r="D55" i="27"/>
  <c r="C55" i="27"/>
  <c r="AJ54" i="27"/>
  <c r="AI54" i="27"/>
  <c r="AH54" i="27"/>
  <c r="AG54" i="27"/>
  <c r="AF54" i="27"/>
  <c r="AE54" i="27"/>
  <c r="AD54" i="27"/>
  <c r="AC54" i="27"/>
  <c r="AB54" i="27"/>
  <c r="AA54" i="27"/>
  <c r="X54" i="27"/>
  <c r="W54" i="27"/>
  <c r="V54" i="27"/>
  <c r="U54" i="27"/>
  <c r="T54" i="27"/>
  <c r="S54" i="27"/>
  <c r="R54" i="27"/>
  <c r="Q54" i="27"/>
  <c r="P54" i="27"/>
  <c r="O54" i="27"/>
  <c r="L54" i="27"/>
  <c r="K54" i="27"/>
  <c r="J54" i="27"/>
  <c r="I54" i="27"/>
  <c r="H54" i="27"/>
  <c r="G54" i="27"/>
  <c r="F54" i="27"/>
  <c r="E54" i="27"/>
  <c r="D54" i="27"/>
  <c r="C54" i="27"/>
  <c r="AJ53" i="27"/>
  <c r="AI53" i="27"/>
  <c r="AH53" i="27"/>
  <c r="AG53" i="27"/>
  <c r="AF53" i="27"/>
  <c r="AE53" i="27"/>
  <c r="AD53" i="27"/>
  <c r="AC53" i="27"/>
  <c r="AB53" i="27"/>
  <c r="AA53" i="27"/>
  <c r="X53" i="27"/>
  <c r="W53" i="27"/>
  <c r="V53" i="27"/>
  <c r="U53" i="27"/>
  <c r="T53" i="27"/>
  <c r="S53" i="27"/>
  <c r="R53" i="27"/>
  <c r="Q53" i="27"/>
  <c r="P53" i="27"/>
  <c r="O53" i="27"/>
  <c r="L53" i="27"/>
  <c r="K53" i="27"/>
  <c r="J53" i="27"/>
  <c r="I53" i="27"/>
  <c r="H53" i="27"/>
  <c r="G53" i="27"/>
  <c r="F53" i="27"/>
  <c r="E53" i="27"/>
  <c r="D53" i="27"/>
  <c r="C53" i="27"/>
  <c r="AJ52" i="27"/>
  <c r="AI52" i="27"/>
  <c r="AH52" i="27"/>
  <c r="AG52" i="27"/>
  <c r="AF52" i="27"/>
  <c r="AE52" i="27"/>
  <c r="AD52" i="27"/>
  <c r="AC52" i="27"/>
  <c r="AB52" i="27"/>
  <c r="AA52" i="27"/>
  <c r="X52" i="27"/>
  <c r="W52" i="27"/>
  <c r="V52" i="27"/>
  <c r="U52" i="27"/>
  <c r="T52" i="27"/>
  <c r="S52" i="27"/>
  <c r="R52" i="27"/>
  <c r="Q52" i="27"/>
  <c r="P52" i="27"/>
  <c r="O52" i="27"/>
  <c r="L52" i="27"/>
  <c r="K52" i="27"/>
  <c r="J52" i="27"/>
  <c r="I52" i="27"/>
  <c r="H52" i="27"/>
  <c r="G52" i="27"/>
  <c r="F52" i="27"/>
  <c r="E52" i="27"/>
  <c r="D52" i="27"/>
  <c r="C52" i="27"/>
  <c r="AJ51" i="27"/>
  <c r="AI51" i="27"/>
  <c r="AH51" i="27"/>
  <c r="AG51" i="27"/>
  <c r="AF51" i="27"/>
  <c r="AE51" i="27"/>
  <c r="AD51" i="27"/>
  <c r="AC51" i="27"/>
  <c r="AB51" i="27"/>
  <c r="AA51" i="27"/>
  <c r="X51" i="27"/>
  <c r="W51" i="27"/>
  <c r="V51" i="27"/>
  <c r="U51" i="27"/>
  <c r="T51" i="27"/>
  <c r="S51" i="27"/>
  <c r="R51" i="27"/>
  <c r="Q51" i="27"/>
  <c r="P51" i="27"/>
  <c r="O51" i="27"/>
  <c r="L51" i="27"/>
  <c r="K51" i="27"/>
  <c r="J51" i="27"/>
  <c r="I51" i="27"/>
  <c r="H51" i="27"/>
  <c r="G51" i="27"/>
  <c r="F51" i="27"/>
  <c r="E51" i="27"/>
  <c r="D51" i="27"/>
  <c r="C51" i="27"/>
  <c r="AJ50" i="27"/>
  <c r="AI50" i="27"/>
  <c r="AH50" i="27"/>
  <c r="AG50" i="27"/>
  <c r="AF50" i="27"/>
  <c r="AE50" i="27"/>
  <c r="AD50" i="27"/>
  <c r="AC50" i="27"/>
  <c r="AB50" i="27"/>
  <c r="AA50" i="27"/>
  <c r="X50" i="27"/>
  <c r="W50" i="27"/>
  <c r="V50" i="27"/>
  <c r="U50" i="27"/>
  <c r="T50" i="27"/>
  <c r="S50" i="27"/>
  <c r="R50" i="27"/>
  <c r="Q50" i="27"/>
  <c r="P50" i="27"/>
  <c r="O50" i="27"/>
  <c r="L50" i="27"/>
  <c r="K50" i="27"/>
  <c r="J50" i="27"/>
  <c r="I50" i="27"/>
  <c r="H50" i="27"/>
  <c r="G50" i="27"/>
  <c r="F50" i="27"/>
  <c r="E50" i="27"/>
  <c r="D50" i="27"/>
  <c r="C50" i="27"/>
  <c r="AJ49" i="27"/>
  <c r="AI49" i="27"/>
  <c r="AH49" i="27"/>
  <c r="AG49" i="27"/>
  <c r="AF49" i="27"/>
  <c r="AE49" i="27"/>
  <c r="AD49" i="27"/>
  <c r="AC49" i="27"/>
  <c r="AB49" i="27"/>
  <c r="AA49" i="27"/>
  <c r="X49" i="27"/>
  <c r="W49" i="27"/>
  <c r="V49" i="27"/>
  <c r="U49" i="27"/>
  <c r="T49" i="27"/>
  <c r="S49" i="27"/>
  <c r="R49" i="27"/>
  <c r="Q49" i="27"/>
  <c r="P49" i="27"/>
  <c r="O49" i="27"/>
  <c r="L49" i="27"/>
  <c r="K49" i="27"/>
  <c r="J49" i="27"/>
  <c r="I49" i="27"/>
  <c r="H49" i="27"/>
  <c r="G49" i="27"/>
  <c r="F49" i="27"/>
  <c r="E49" i="27"/>
  <c r="D49" i="27"/>
  <c r="C49" i="27"/>
  <c r="AJ48" i="27"/>
  <c r="AI48" i="27"/>
  <c r="AH48" i="27"/>
  <c r="AG48" i="27"/>
  <c r="AF48" i="27"/>
  <c r="AE48" i="27"/>
  <c r="AD48" i="27"/>
  <c r="AC48" i="27"/>
  <c r="AB48" i="27"/>
  <c r="AA48" i="27"/>
  <c r="X48" i="27"/>
  <c r="W48" i="27"/>
  <c r="V48" i="27"/>
  <c r="U48" i="27"/>
  <c r="T48" i="27"/>
  <c r="S48" i="27"/>
  <c r="R48" i="27"/>
  <c r="Q48" i="27"/>
  <c r="P48" i="27"/>
  <c r="O48" i="27"/>
  <c r="L48" i="27"/>
  <c r="K48" i="27"/>
  <c r="J48" i="27"/>
  <c r="I48" i="27"/>
  <c r="H48" i="27"/>
  <c r="G48" i="27"/>
  <c r="F48" i="27"/>
  <c r="E48" i="27"/>
  <c r="D48" i="27"/>
  <c r="C48" i="27"/>
  <c r="AJ47" i="27"/>
  <c r="AI47" i="27"/>
  <c r="AH47" i="27"/>
  <c r="AG47" i="27"/>
  <c r="AF47" i="27"/>
  <c r="AE47" i="27"/>
  <c r="AD47" i="27"/>
  <c r="AC47" i="27"/>
  <c r="AB47" i="27"/>
  <c r="AA47" i="27"/>
  <c r="X47" i="27"/>
  <c r="W47" i="27"/>
  <c r="V47" i="27"/>
  <c r="U47" i="27"/>
  <c r="T47" i="27"/>
  <c r="S47" i="27"/>
  <c r="R47" i="27"/>
  <c r="Q47" i="27"/>
  <c r="P47" i="27"/>
  <c r="O47" i="27"/>
  <c r="L47" i="27"/>
  <c r="K47" i="27"/>
  <c r="J47" i="27"/>
  <c r="I47" i="27"/>
  <c r="H47" i="27"/>
  <c r="G47" i="27"/>
  <c r="F47" i="27"/>
  <c r="E47" i="27"/>
  <c r="D47" i="27"/>
  <c r="C47" i="27"/>
  <c r="AJ46" i="27"/>
  <c r="AI46" i="27"/>
  <c r="AH46" i="27"/>
  <c r="AG46" i="27"/>
  <c r="AF46" i="27"/>
  <c r="AE46" i="27"/>
  <c r="AD46" i="27"/>
  <c r="AC46" i="27"/>
  <c r="AB46" i="27"/>
  <c r="AA46" i="27"/>
  <c r="X46" i="27"/>
  <c r="W46" i="27"/>
  <c r="V46" i="27"/>
  <c r="U46" i="27"/>
  <c r="T46" i="27"/>
  <c r="S46" i="27"/>
  <c r="R46" i="27"/>
  <c r="Q46" i="27"/>
  <c r="P46" i="27"/>
  <c r="O46" i="27"/>
  <c r="L46" i="27"/>
  <c r="K46" i="27"/>
  <c r="J46" i="27"/>
  <c r="I46" i="27"/>
  <c r="H46" i="27"/>
  <c r="G46" i="27"/>
  <c r="F46" i="27"/>
  <c r="E46" i="27"/>
  <c r="D46" i="27"/>
  <c r="C46" i="27"/>
  <c r="AJ45" i="27"/>
  <c r="AI45" i="27"/>
  <c r="AH45" i="27"/>
  <c r="AG45" i="27"/>
  <c r="AF45" i="27"/>
  <c r="AE45" i="27"/>
  <c r="AD45" i="27"/>
  <c r="AC45" i="27"/>
  <c r="AB45" i="27"/>
  <c r="AA45" i="27"/>
  <c r="X45" i="27"/>
  <c r="W45" i="27"/>
  <c r="V45" i="27"/>
  <c r="U45" i="27"/>
  <c r="T45" i="27"/>
  <c r="S45" i="27"/>
  <c r="R45" i="27"/>
  <c r="Q45" i="27"/>
  <c r="P45" i="27"/>
  <c r="O45" i="27"/>
  <c r="L45" i="27"/>
  <c r="K45" i="27"/>
  <c r="J45" i="27"/>
  <c r="I45" i="27"/>
  <c r="H45" i="27"/>
  <c r="G45" i="27"/>
  <c r="F45" i="27"/>
  <c r="E45" i="27"/>
  <c r="D45" i="27"/>
  <c r="C45" i="27"/>
  <c r="AJ44" i="27"/>
  <c r="AI44" i="27"/>
  <c r="AH44" i="27"/>
  <c r="AG44" i="27"/>
  <c r="AF44" i="27"/>
  <c r="AE44" i="27"/>
  <c r="AD44" i="27"/>
  <c r="AC44" i="27"/>
  <c r="AB44" i="27"/>
  <c r="AA44" i="27"/>
  <c r="X44" i="27"/>
  <c r="W44" i="27"/>
  <c r="V44" i="27"/>
  <c r="U44" i="27"/>
  <c r="T44" i="27"/>
  <c r="S44" i="27"/>
  <c r="R44" i="27"/>
  <c r="Q44" i="27"/>
  <c r="P44" i="27"/>
  <c r="O44" i="27"/>
  <c r="L44" i="27"/>
  <c r="K44" i="27"/>
  <c r="J44" i="27"/>
  <c r="I44" i="27"/>
  <c r="H44" i="27"/>
  <c r="G44" i="27"/>
  <c r="F44" i="27"/>
  <c r="E44" i="27"/>
  <c r="D44" i="27"/>
  <c r="C44" i="27"/>
  <c r="AJ43" i="27"/>
  <c r="AI43" i="27"/>
  <c r="AH43" i="27"/>
  <c r="AG43" i="27"/>
  <c r="AF43" i="27"/>
  <c r="AE43" i="27"/>
  <c r="AD43" i="27"/>
  <c r="AC43" i="27"/>
  <c r="AB43" i="27"/>
  <c r="AA43" i="27"/>
  <c r="X43" i="27"/>
  <c r="W43" i="27"/>
  <c r="V43" i="27"/>
  <c r="U43" i="27"/>
  <c r="T43" i="27"/>
  <c r="S43" i="27"/>
  <c r="R43" i="27"/>
  <c r="Q43" i="27"/>
  <c r="P43" i="27"/>
  <c r="O43" i="27"/>
  <c r="L43" i="27"/>
  <c r="K43" i="27"/>
  <c r="J43" i="27"/>
  <c r="I43" i="27"/>
  <c r="H43" i="27"/>
  <c r="G43" i="27"/>
  <c r="F43" i="27"/>
  <c r="E43" i="27"/>
  <c r="D43" i="27"/>
  <c r="C43" i="27"/>
  <c r="AJ42" i="27"/>
  <c r="AI42" i="27"/>
  <c r="AH42" i="27"/>
  <c r="AG42" i="27"/>
  <c r="AF42" i="27"/>
  <c r="AE42" i="27"/>
  <c r="AD42" i="27"/>
  <c r="AC42" i="27"/>
  <c r="AB42" i="27"/>
  <c r="AA42" i="27"/>
  <c r="X42" i="27"/>
  <c r="W42" i="27"/>
  <c r="V42" i="27"/>
  <c r="U42" i="27"/>
  <c r="T42" i="27"/>
  <c r="S42" i="27"/>
  <c r="R42" i="27"/>
  <c r="Q42" i="27"/>
  <c r="P42" i="27"/>
  <c r="O42" i="27"/>
  <c r="L42" i="27"/>
  <c r="K42" i="27"/>
  <c r="J42" i="27"/>
  <c r="I42" i="27"/>
  <c r="H42" i="27"/>
  <c r="G42" i="27"/>
  <c r="F42" i="27"/>
  <c r="E42" i="27"/>
  <c r="D42" i="27"/>
  <c r="C42" i="27"/>
  <c r="AJ41" i="27"/>
  <c r="AH41" i="27"/>
  <c r="AG41" i="27"/>
  <c r="AF41" i="27"/>
  <c r="AD41" i="27"/>
  <c r="AC41" i="27"/>
  <c r="AB41" i="27"/>
  <c r="X41" i="27"/>
  <c r="V41" i="27"/>
  <c r="U41" i="27"/>
  <c r="T41" i="27"/>
  <c r="R41" i="27"/>
  <c r="Q41" i="27"/>
  <c r="P41" i="27"/>
  <c r="L41" i="27"/>
  <c r="J41" i="27"/>
  <c r="I41" i="27"/>
  <c r="F41" i="27"/>
  <c r="E41" i="27"/>
  <c r="D41" i="27"/>
  <c r="AJ40" i="27"/>
  <c r="AI40" i="27"/>
  <c r="AH40" i="27"/>
  <c r="AG40" i="27"/>
  <c r="AF40" i="27"/>
  <c r="AE40" i="27"/>
  <c r="AD40" i="27"/>
  <c r="AC40" i="27"/>
  <c r="AB40" i="27"/>
  <c r="AA40" i="27"/>
  <c r="X40" i="27"/>
  <c r="W40" i="27"/>
  <c r="V40" i="27"/>
  <c r="U40" i="27"/>
  <c r="T40" i="27"/>
  <c r="S40" i="27"/>
  <c r="R40" i="27"/>
  <c r="Q40" i="27"/>
  <c r="P40" i="27"/>
  <c r="O40" i="27"/>
  <c r="L40" i="27"/>
  <c r="K40" i="27"/>
  <c r="J40" i="27"/>
  <c r="I40" i="27"/>
  <c r="H40" i="27"/>
  <c r="G40" i="27"/>
  <c r="F40" i="27"/>
  <c r="E40" i="27"/>
  <c r="D40" i="27"/>
  <c r="C40" i="27"/>
  <c r="AJ39" i="27"/>
  <c r="AI39" i="27"/>
  <c r="AH39" i="27"/>
  <c r="AG39" i="27"/>
  <c r="AF39" i="27"/>
  <c r="AE39" i="27"/>
  <c r="AD39" i="27"/>
  <c r="AC39" i="27"/>
  <c r="AB39" i="27"/>
  <c r="AA39" i="27"/>
  <c r="X39" i="27"/>
  <c r="W39" i="27"/>
  <c r="V39" i="27"/>
  <c r="U39" i="27"/>
  <c r="T39" i="27"/>
  <c r="S39" i="27"/>
  <c r="R39" i="27"/>
  <c r="Q39" i="27"/>
  <c r="P39" i="27"/>
  <c r="O39" i="27"/>
  <c r="L39" i="27"/>
  <c r="K39" i="27"/>
  <c r="J39" i="27"/>
  <c r="I39" i="27"/>
  <c r="H39" i="27"/>
  <c r="G39" i="27"/>
  <c r="F39" i="27"/>
  <c r="E39" i="27"/>
  <c r="D39" i="27"/>
  <c r="C39" i="27"/>
  <c r="AH38" i="27"/>
  <c r="AG38" i="27"/>
  <c r="AD38" i="27"/>
  <c r="AC38" i="27"/>
  <c r="V38" i="27"/>
  <c r="U38" i="27"/>
  <c r="R38" i="27"/>
  <c r="Q38" i="27"/>
  <c r="J38" i="27"/>
  <c r="I38" i="27"/>
  <c r="F38" i="27"/>
  <c r="E38" i="27"/>
  <c r="AJ37" i="27"/>
  <c r="AI37" i="27"/>
  <c r="AH37" i="27"/>
  <c r="AG37" i="27"/>
  <c r="AF37" i="27"/>
  <c r="AE37" i="27"/>
  <c r="AD37" i="27"/>
  <c r="AC37" i="27"/>
  <c r="AB37" i="27"/>
  <c r="AA37" i="27"/>
  <c r="X37" i="27"/>
  <c r="W37" i="27"/>
  <c r="V37" i="27"/>
  <c r="U37" i="27"/>
  <c r="T37" i="27"/>
  <c r="S37" i="27"/>
  <c r="R37" i="27"/>
  <c r="Q37" i="27"/>
  <c r="P37" i="27"/>
  <c r="O37" i="27"/>
  <c r="L37" i="27"/>
  <c r="K37" i="27"/>
  <c r="J37" i="27"/>
  <c r="I37" i="27"/>
  <c r="H37" i="27"/>
  <c r="G37" i="27"/>
  <c r="F37" i="27"/>
  <c r="E37" i="27"/>
  <c r="D37" i="27"/>
  <c r="C37" i="27"/>
  <c r="AJ36" i="27"/>
  <c r="AI36" i="27"/>
  <c r="AH36" i="27"/>
  <c r="AG36" i="27"/>
  <c r="AF36" i="27"/>
  <c r="AE36" i="27"/>
  <c r="AD36" i="27"/>
  <c r="AC36" i="27"/>
  <c r="AB36" i="27"/>
  <c r="AA36" i="27"/>
  <c r="X36" i="27"/>
  <c r="W36" i="27"/>
  <c r="V36" i="27"/>
  <c r="U36" i="27"/>
  <c r="T36" i="27"/>
  <c r="S36" i="27"/>
  <c r="R36" i="27"/>
  <c r="Q36" i="27"/>
  <c r="P36" i="27"/>
  <c r="O36" i="27"/>
  <c r="L36" i="27"/>
  <c r="K36" i="27"/>
  <c r="J36" i="27"/>
  <c r="I36" i="27"/>
  <c r="H36" i="27"/>
  <c r="G36" i="27"/>
  <c r="F36" i="27"/>
  <c r="E36" i="27"/>
  <c r="D36" i="27"/>
  <c r="C36" i="27"/>
  <c r="AJ35" i="27"/>
  <c r="AI35" i="27"/>
  <c r="AH35" i="27"/>
  <c r="AG35" i="27"/>
  <c r="AF35" i="27"/>
  <c r="AE35" i="27"/>
  <c r="AD35" i="27"/>
  <c r="AC35" i="27"/>
  <c r="AB35" i="27"/>
  <c r="AA35" i="27"/>
  <c r="X35" i="27"/>
  <c r="W35" i="27"/>
  <c r="V35" i="27"/>
  <c r="U35" i="27"/>
  <c r="T35" i="27"/>
  <c r="S35" i="27"/>
  <c r="R35" i="27"/>
  <c r="Q35" i="27"/>
  <c r="P35" i="27"/>
  <c r="O35" i="27"/>
  <c r="L35" i="27"/>
  <c r="K35" i="27"/>
  <c r="J35" i="27"/>
  <c r="I35" i="27"/>
  <c r="H35" i="27"/>
  <c r="G35" i="27"/>
  <c r="F35" i="27"/>
  <c r="E35" i="27"/>
  <c r="D35" i="27"/>
  <c r="C35" i="27"/>
  <c r="AH34" i="27"/>
  <c r="AG34" i="27"/>
  <c r="AD34" i="27"/>
  <c r="AC34" i="27"/>
  <c r="V34" i="27"/>
  <c r="U34" i="27"/>
  <c r="R34" i="27"/>
  <c r="Q34" i="27"/>
  <c r="J34" i="27"/>
  <c r="I34" i="27"/>
  <c r="F34" i="27"/>
  <c r="E34" i="27"/>
  <c r="AH33" i="27"/>
  <c r="AG33" i="27"/>
  <c r="AD33" i="27"/>
  <c r="AC33" i="27"/>
  <c r="V33" i="27"/>
  <c r="U33" i="27"/>
  <c r="R33" i="27"/>
  <c r="Q33" i="27"/>
  <c r="J33" i="27"/>
  <c r="I33" i="27"/>
  <c r="F33" i="27"/>
  <c r="E33" i="27"/>
  <c r="AH32" i="27"/>
  <c r="AG32" i="27"/>
  <c r="AD32" i="27"/>
  <c r="AC32" i="27"/>
  <c r="V32" i="27"/>
  <c r="U32" i="27"/>
  <c r="R32" i="27"/>
  <c r="Q32" i="27"/>
  <c r="J32" i="27"/>
  <c r="I32" i="27"/>
  <c r="F32" i="27"/>
  <c r="E32" i="27"/>
  <c r="AH31" i="27"/>
  <c r="AG31" i="27"/>
  <c r="AD31" i="27"/>
  <c r="AC31" i="27"/>
  <c r="V31" i="27"/>
  <c r="U31" i="27"/>
  <c r="R31" i="27"/>
  <c r="Q31" i="27"/>
  <c r="J31" i="27"/>
  <c r="I31" i="27"/>
  <c r="F31" i="27"/>
  <c r="E31" i="27"/>
  <c r="AJ30" i="27"/>
  <c r="AI30" i="27"/>
  <c r="AH30" i="27"/>
  <c r="AG30" i="27"/>
  <c r="AF30" i="27"/>
  <c r="AE30" i="27"/>
  <c r="AD30" i="27"/>
  <c r="AC30" i="27"/>
  <c r="AB30" i="27"/>
  <c r="AA30" i="27"/>
  <c r="X30" i="27"/>
  <c r="W30" i="27"/>
  <c r="V30" i="27"/>
  <c r="U30" i="27"/>
  <c r="T30" i="27"/>
  <c r="S30" i="27"/>
  <c r="R30" i="27"/>
  <c r="Q30" i="27"/>
  <c r="P30" i="27"/>
  <c r="O30" i="27"/>
  <c r="L30" i="27"/>
  <c r="K30" i="27"/>
  <c r="J30" i="27"/>
  <c r="I30" i="27"/>
  <c r="H30" i="27"/>
  <c r="G30" i="27"/>
  <c r="F30" i="27"/>
  <c r="E30" i="27"/>
  <c r="D30" i="27"/>
  <c r="C30" i="27"/>
  <c r="AJ29" i="27"/>
  <c r="AI29" i="27"/>
  <c r="AH29" i="27"/>
  <c r="AG29" i="27"/>
  <c r="AF29" i="27"/>
  <c r="AE29" i="27"/>
  <c r="AD29" i="27"/>
  <c r="AC29" i="27"/>
  <c r="AB29" i="27"/>
  <c r="AA29" i="27"/>
  <c r="X29" i="27"/>
  <c r="W29" i="27"/>
  <c r="V29" i="27"/>
  <c r="U29" i="27"/>
  <c r="T29" i="27"/>
  <c r="S29" i="27"/>
  <c r="R29" i="27"/>
  <c r="Q29" i="27"/>
  <c r="P29" i="27"/>
  <c r="O29" i="27"/>
  <c r="L29" i="27"/>
  <c r="K29" i="27"/>
  <c r="J29" i="27"/>
  <c r="I29" i="27"/>
  <c r="H29" i="27"/>
  <c r="G29" i="27"/>
  <c r="F29" i="27"/>
  <c r="E29" i="27"/>
  <c r="D29" i="27"/>
  <c r="C29" i="27"/>
  <c r="AJ28" i="27"/>
  <c r="AI28" i="27"/>
  <c r="AH28" i="27"/>
  <c r="AG28" i="27"/>
  <c r="AF28" i="27"/>
  <c r="AE28" i="27"/>
  <c r="AD28" i="27"/>
  <c r="AC28" i="27"/>
  <c r="AB28" i="27"/>
  <c r="AA28" i="27"/>
  <c r="X28" i="27"/>
  <c r="W28" i="27"/>
  <c r="V28" i="27"/>
  <c r="U28" i="27"/>
  <c r="T28" i="27"/>
  <c r="S28" i="27"/>
  <c r="R28" i="27"/>
  <c r="Q28" i="27"/>
  <c r="P28" i="27"/>
  <c r="O28" i="27"/>
  <c r="L28" i="27"/>
  <c r="K28" i="27"/>
  <c r="J28" i="27"/>
  <c r="I28" i="27"/>
  <c r="H28" i="27"/>
  <c r="G28" i="27"/>
  <c r="F28" i="27"/>
  <c r="E28" i="27"/>
  <c r="D28" i="27"/>
  <c r="C28" i="27"/>
  <c r="AJ27" i="27"/>
  <c r="AI27" i="27"/>
  <c r="AH27" i="27"/>
  <c r="AG27" i="27"/>
  <c r="AF27" i="27"/>
  <c r="AE27" i="27"/>
  <c r="AD27" i="27"/>
  <c r="AC27" i="27"/>
  <c r="AB27" i="27"/>
  <c r="AA27" i="27"/>
  <c r="X27" i="27"/>
  <c r="W27" i="27"/>
  <c r="V27" i="27"/>
  <c r="U27" i="27"/>
  <c r="T27" i="27"/>
  <c r="S27" i="27"/>
  <c r="R27" i="27"/>
  <c r="Q27" i="27"/>
  <c r="P27" i="27"/>
  <c r="O27" i="27"/>
  <c r="L27" i="27"/>
  <c r="K27" i="27"/>
  <c r="J27" i="27"/>
  <c r="I27" i="27"/>
  <c r="H27" i="27"/>
  <c r="G27" i="27"/>
  <c r="F27" i="27"/>
  <c r="E27" i="27"/>
  <c r="D27" i="27"/>
  <c r="C27" i="27"/>
  <c r="AJ26" i="27"/>
  <c r="AI26" i="27"/>
  <c r="AH26" i="27"/>
  <c r="AG26" i="27"/>
  <c r="AF26" i="27"/>
  <c r="AE26" i="27"/>
  <c r="AD26" i="27"/>
  <c r="AC26" i="27"/>
  <c r="AB26" i="27"/>
  <c r="AA26" i="27"/>
  <c r="X26" i="27"/>
  <c r="W26" i="27"/>
  <c r="V26" i="27"/>
  <c r="U26" i="27"/>
  <c r="T26" i="27"/>
  <c r="S26" i="27"/>
  <c r="R26" i="27"/>
  <c r="Q26" i="27"/>
  <c r="P26" i="27"/>
  <c r="O26" i="27"/>
  <c r="L26" i="27"/>
  <c r="K26" i="27"/>
  <c r="J26" i="27"/>
  <c r="I26" i="27"/>
  <c r="H26" i="27"/>
  <c r="G26" i="27"/>
  <c r="F26" i="27"/>
  <c r="E26" i="27"/>
  <c r="D26" i="27"/>
  <c r="C26" i="27"/>
  <c r="AJ25" i="27"/>
  <c r="AI25" i="27"/>
  <c r="AH25" i="27"/>
  <c r="AG25" i="27"/>
  <c r="AF25" i="27"/>
  <c r="AE25" i="27"/>
  <c r="AD25" i="27"/>
  <c r="AC25" i="27"/>
  <c r="AB25" i="27"/>
  <c r="AA25" i="27"/>
  <c r="X25" i="27"/>
  <c r="W25" i="27"/>
  <c r="V25" i="27"/>
  <c r="U25" i="27"/>
  <c r="T25" i="27"/>
  <c r="S25" i="27"/>
  <c r="R25" i="27"/>
  <c r="Q25" i="27"/>
  <c r="P25" i="27"/>
  <c r="O25" i="27"/>
  <c r="L25" i="27"/>
  <c r="K25" i="27"/>
  <c r="J25" i="27"/>
  <c r="I25" i="27"/>
  <c r="H25" i="27"/>
  <c r="G25" i="27"/>
  <c r="F25" i="27"/>
  <c r="E25" i="27"/>
  <c r="D25" i="27"/>
  <c r="C25" i="27"/>
  <c r="AJ24" i="27"/>
  <c r="AI24" i="27"/>
  <c r="AH24" i="27"/>
  <c r="AG24" i="27"/>
  <c r="AF24" i="27"/>
  <c r="AE24" i="27"/>
  <c r="AD24" i="27"/>
  <c r="AC24" i="27"/>
  <c r="AB24" i="27"/>
  <c r="AA24" i="27"/>
  <c r="X24" i="27"/>
  <c r="W24" i="27"/>
  <c r="V24" i="27"/>
  <c r="U24" i="27"/>
  <c r="T24" i="27"/>
  <c r="S24" i="27"/>
  <c r="R24" i="27"/>
  <c r="Q24" i="27"/>
  <c r="P24" i="27"/>
  <c r="O24" i="27"/>
  <c r="L24" i="27"/>
  <c r="K24" i="27"/>
  <c r="J24" i="27"/>
  <c r="I24" i="27"/>
  <c r="H24" i="27"/>
  <c r="G24" i="27"/>
  <c r="F24" i="27"/>
  <c r="E24" i="27"/>
  <c r="D24" i="27"/>
  <c r="C24" i="27"/>
  <c r="AJ23" i="27"/>
  <c r="AI23" i="27"/>
  <c r="AH23" i="27"/>
  <c r="AG23" i="27"/>
  <c r="AF23" i="27"/>
  <c r="AE23" i="27"/>
  <c r="AD23" i="27"/>
  <c r="AC23" i="27"/>
  <c r="AB23" i="27"/>
  <c r="AA23" i="27"/>
  <c r="X23" i="27"/>
  <c r="W23" i="27"/>
  <c r="V23" i="27"/>
  <c r="U23" i="27"/>
  <c r="T23" i="27"/>
  <c r="S23" i="27"/>
  <c r="R23" i="27"/>
  <c r="Q23" i="27"/>
  <c r="P23" i="27"/>
  <c r="O23" i="27"/>
  <c r="L23" i="27"/>
  <c r="K23" i="27"/>
  <c r="J23" i="27"/>
  <c r="I23" i="27"/>
  <c r="H23" i="27"/>
  <c r="G23" i="27"/>
  <c r="F23" i="27"/>
  <c r="E23" i="27"/>
  <c r="D23" i="27"/>
  <c r="C23" i="27"/>
  <c r="AJ22" i="27"/>
  <c r="AI22" i="27"/>
  <c r="AH22" i="27"/>
  <c r="AG22" i="27"/>
  <c r="AF22" i="27"/>
  <c r="AE22" i="27"/>
  <c r="AD22" i="27"/>
  <c r="AC22" i="27"/>
  <c r="AB22" i="27"/>
  <c r="AA22" i="27"/>
  <c r="X22" i="27"/>
  <c r="W22" i="27"/>
  <c r="V22" i="27"/>
  <c r="U22" i="27"/>
  <c r="T22" i="27"/>
  <c r="S22" i="27"/>
  <c r="R22" i="27"/>
  <c r="Q22" i="27"/>
  <c r="P22" i="27"/>
  <c r="O22" i="27"/>
  <c r="L22" i="27"/>
  <c r="K22" i="27"/>
  <c r="J22" i="27"/>
  <c r="I22" i="27"/>
  <c r="H22" i="27"/>
  <c r="G22" i="27"/>
  <c r="F22" i="27"/>
  <c r="E22" i="27"/>
  <c r="D22" i="27"/>
  <c r="C22" i="27"/>
  <c r="AJ21" i="27"/>
  <c r="AI21" i="27"/>
  <c r="AH21" i="27"/>
  <c r="AG21" i="27"/>
  <c r="AF21" i="27"/>
  <c r="AE21" i="27"/>
  <c r="AD21" i="27"/>
  <c r="AC21" i="27"/>
  <c r="AB21" i="27"/>
  <c r="AA21" i="27"/>
  <c r="X21" i="27"/>
  <c r="W21" i="27"/>
  <c r="V21" i="27"/>
  <c r="U21" i="27"/>
  <c r="T21" i="27"/>
  <c r="S21" i="27"/>
  <c r="R21" i="27"/>
  <c r="Q21" i="27"/>
  <c r="P21" i="27"/>
  <c r="O21" i="27"/>
  <c r="L21" i="27"/>
  <c r="K21" i="27"/>
  <c r="J21" i="27"/>
  <c r="I21" i="27"/>
  <c r="H21" i="27"/>
  <c r="G21" i="27"/>
  <c r="F21" i="27"/>
  <c r="E21" i="27"/>
  <c r="D21" i="27"/>
  <c r="C21" i="27"/>
  <c r="AJ20" i="27"/>
  <c r="AI20" i="27"/>
  <c r="AH20" i="27"/>
  <c r="AG20" i="27"/>
  <c r="AF20" i="27"/>
  <c r="AE20" i="27"/>
  <c r="AD20" i="27"/>
  <c r="AC20" i="27"/>
  <c r="AB20" i="27"/>
  <c r="AA20" i="27"/>
  <c r="X20" i="27"/>
  <c r="W20" i="27"/>
  <c r="V20" i="27"/>
  <c r="U20" i="27"/>
  <c r="T20" i="27"/>
  <c r="S20" i="27"/>
  <c r="R20" i="27"/>
  <c r="Q20" i="27"/>
  <c r="P20" i="27"/>
  <c r="O20" i="27"/>
  <c r="L20" i="27"/>
  <c r="K20" i="27"/>
  <c r="J20" i="27"/>
  <c r="I20" i="27"/>
  <c r="H20" i="27"/>
  <c r="G20" i="27"/>
  <c r="F20" i="27"/>
  <c r="E20" i="27"/>
  <c r="D20" i="27"/>
  <c r="C20" i="27"/>
  <c r="AJ19" i="27"/>
  <c r="AI19" i="27"/>
  <c r="AH19" i="27"/>
  <c r="AG19" i="27"/>
  <c r="AF19" i="27"/>
  <c r="AE19" i="27"/>
  <c r="AD19" i="27"/>
  <c r="AC19" i="27"/>
  <c r="AB19" i="27"/>
  <c r="AA19" i="27"/>
  <c r="X19" i="27"/>
  <c r="W19" i="27"/>
  <c r="V19" i="27"/>
  <c r="U19" i="27"/>
  <c r="T19" i="27"/>
  <c r="S19" i="27"/>
  <c r="R19" i="27"/>
  <c r="Q19" i="27"/>
  <c r="P19" i="27"/>
  <c r="O19" i="27"/>
  <c r="L19" i="27"/>
  <c r="K19" i="27"/>
  <c r="J19" i="27"/>
  <c r="I19" i="27"/>
  <c r="H19" i="27"/>
  <c r="G19" i="27"/>
  <c r="F19" i="27"/>
  <c r="E19" i="27"/>
  <c r="D19" i="27"/>
  <c r="C19" i="27"/>
  <c r="AJ18" i="27"/>
  <c r="AI18" i="27"/>
  <c r="AH18" i="27"/>
  <c r="AG18" i="27"/>
  <c r="AF18" i="27"/>
  <c r="AE18" i="27"/>
  <c r="AD18" i="27"/>
  <c r="AC18" i="27"/>
  <c r="AB18" i="27"/>
  <c r="AA18" i="27"/>
  <c r="X18" i="27"/>
  <c r="W18" i="27"/>
  <c r="V18" i="27"/>
  <c r="U18" i="27"/>
  <c r="T18" i="27"/>
  <c r="S18" i="27"/>
  <c r="R18" i="27"/>
  <c r="Q18" i="27"/>
  <c r="P18" i="27"/>
  <c r="O18" i="27"/>
  <c r="L18" i="27"/>
  <c r="K18" i="27"/>
  <c r="J18" i="27"/>
  <c r="I18" i="27"/>
  <c r="H18" i="27"/>
  <c r="G18" i="27"/>
  <c r="F18" i="27"/>
  <c r="E18" i="27"/>
  <c r="D18" i="27"/>
  <c r="C18" i="27"/>
  <c r="AJ17" i="27"/>
  <c r="AI17" i="27"/>
  <c r="AH17" i="27"/>
  <c r="AG17" i="27"/>
  <c r="AF17" i="27"/>
  <c r="AE17" i="27"/>
  <c r="AD17" i="27"/>
  <c r="AC17" i="27"/>
  <c r="AB17" i="27"/>
  <c r="AA17" i="27"/>
  <c r="X17" i="27"/>
  <c r="W17" i="27"/>
  <c r="V17" i="27"/>
  <c r="U17" i="27"/>
  <c r="T17" i="27"/>
  <c r="S17" i="27"/>
  <c r="R17" i="27"/>
  <c r="Q17" i="27"/>
  <c r="P17" i="27"/>
  <c r="O17" i="27"/>
  <c r="L17" i="27"/>
  <c r="K17" i="27"/>
  <c r="J17" i="27"/>
  <c r="I17" i="27"/>
  <c r="H17" i="27"/>
  <c r="G17" i="27"/>
  <c r="F17" i="27"/>
  <c r="E17" i="27"/>
  <c r="D17" i="27"/>
  <c r="C17" i="27"/>
  <c r="AJ16" i="27"/>
  <c r="AI16" i="27"/>
  <c r="AH16" i="27"/>
  <c r="AG16" i="27"/>
  <c r="AF16" i="27"/>
  <c r="AE16" i="27"/>
  <c r="AD16" i="27"/>
  <c r="AC16" i="27"/>
  <c r="AB16" i="27"/>
  <c r="AA16" i="27"/>
  <c r="X16" i="27"/>
  <c r="W16" i="27"/>
  <c r="V16" i="27"/>
  <c r="U16" i="27"/>
  <c r="T16" i="27"/>
  <c r="S16" i="27"/>
  <c r="R16" i="27"/>
  <c r="Q16" i="27"/>
  <c r="P16" i="27"/>
  <c r="O16" i="27"/>
  <c r="L16" i="27"/>
  <c r="K16" i="27"/>
  <c r="J16" i="27"/>
  <c r="I16" i="27"/>
  <c r="H16" i="27"/>
  <c r="G16" i="27"/>
  <c r="F16" i="27"/>
  <c r="E16" i="27"/>
  <c r="D16" i="27"/>
  <c r="C16" i="27"/>
  <c r="AJ15" i="27"/>
  <c r="AI15" i="27"/>
  <c r="AH15" i="27"/>
  <c r="AG15" i="27"/>
  <c r="AF15" i="27"/>
  <c r="AE15" i="27"/>
  <c r="AD15" i="27"/>
  <c r="AC15" i="27"/>
  <c r="AB15" i="27"/>
  <c r="AA15" i="27"/>
  <c r="X15" i="27"/>
  <c r="W15" i="27"/>
  <c r="V15" i="27"/>
  <c r="U15" i="27"/>
  <c r="T15" i="27"/>
  <c r="S15" i="27"/>
  <c r="R15" i="27"/>
  <c r="Q15" i="27"/>
  <c r="P15" i="27"/>
  <c r="O15" i="27"/>
  <c r="L15" i="27"/>
  <c r="K15" i="27"/>
  <c r="J15" i="27"/>
  <c r="I15" i="27"/>
  <c r="H15" i="27"/>
  <c r="G15" i="27"/>
  <c r="F15" i="27"/>
  <c r="E15" i="27"/>
  <c r="D15" i="27"/>
  <c r="C15" i="27"/>
  <c r="AJ14" i="27"/>
  <c r="AI14" i="27"/>
  <c r="AH14" i="27"/>
  <c r="AG14" i="27"/>
  <c r="AF14" i="27"/>
  <c r="AE14" i="27"/>
  <c r="AD14" i="27"/>
  <c r="AC14" i="27"/>
  <c r="AB14" i="27"/>
  <c r="AA14" i="27"/>
  <c r="X14" i="27"/>
  <c r="W14" i="27"/>
  <c r="V14" i="27"/>
  <c r="U14" i="27"/>
  <c r="T14" i="27"/>
  <c r="S14" i="27"/>
  <c r="R14" i="27"/>
  <c r="Q14" i="27"/>
  <c r="P14" i="27"/>
  <c r="O14" i="27"/>
  <c r="L14" i="27"/>
  <c r="K14" i="27"/>
  <c r="J14" i="27"/>
  <c r="I14" i="27"/>
  <c r="H14" i="27"/>
  <c r="G14" i="27"/>
  <c r="F14" i="27"/>
  <c r="E14" i="27"/>
  <c r="D14" i="27"/>
  <c r="C14" i="27"/>
  <c r="AJ13" i="27"/>
  <c r="AI13" i="27"/>
  <c r="AH13" i="27"/>
  <c r="AG13" i="27"/>
  <c r="AF13" i="27"/>
  <c r="AE13" i="27"/>
  <c r="AD13" i="27"/>
  <c r="AC13" i="27"/>
  <c r="AB13" i="27"/>
  <c r="AA13" i="27"/>
  <c r="X13" i="27"/>
  <c r="W13" i="27"/>
  <c r="V13" i="27"/>
  <c r="U13" i="27"/>
  <c r="T13" i="27"/>
  <c r="S13" i="27"/>
  <c r="R13" i="27"/>
  <c r="Q13" i="27"/>
  <c r="P13" i="27"/>
  <c r="O13" i="27"/>
  <c r="L13" i="27"/>
  <c r="K13" i="27"/>
  <c r="J13" i="27"/>
  <c r="I13" i="27"/>
  <c r="H13" i="27"/>
  <c r="G13" i="27"/>
  <c r="F13" i="27"/>
  <c r="E13" i="27"/>
  <c r="D13" i="27"/>
  <c r="C13" i="27"/>
  <c r="AJ12" i="27"/>
  <c r="AI12" i="27"/>
  <c r="AH12" i="27"/>
  <c r="AG12" i="27"/>
  <c r="AF12" i="27"/>
  <c r="AE12" i="27"/>
  <c r="AD12" i="27"/>
  <c r="AC12" i="27"/>
  <c r="AB12" i="27"/>
  <c r="AA12" i="27"/>
  <c r="X12" i="27"/>
  <c r="W12" i="27"/>
  <c r="V12" i="27"/>
  <c r="U12" i="27"/>
  <c r="T12" i="27"/>
  <c r="S12" i="27"/>
  <c r="R12" i="27"/>
  <c r="Q12" i="27"/>
  <c r="P12" i="27"/>
  <c r="O12" i="27"/>
  <c r="L12" i="27"/>
  <c r="K12" i="27"/>
  <c r="J12" i="27"/>
  <c r="I12" i="27"/>
  <c r="H12" i="27"/>
  <c r="G12" i="27"/>
  <c r="F12" i="27"/>
  <c r="E12" i="27"/>
  <c r="D12" i="27"/>
  <c r="C12" i="27"/>
  <c r="AJ11" i="27"/>
  <c r="AI11" i="27"/>
  <c r="AH11" i="27"/>
  <c r="AG11" i="27"/>
  <c r="AF11" i="27"/>
  <c r="AE11" i="27"/>
  <c r="AD11" i="27"/>
  <c r="AC11" i="27"/>
  <c r="AB11" i="27"/>
  <c r="AA11" i="27"/>
  <c r="X11" i="27"/>
  <c r="W11" i="27"/>
  <c r="V11" i="27"/>
  <c r="U11" i="27"/>
  <c r="T11" i="27"/>
  <c r="S11" i="27"/>
  <c r="R11" i="27"/>
  <c r="Q11" i="27"/>
  <c r="P11" i="27"/>
  <c r="O11" i="27"/>
  <c r="L11" i="27"/>
  <c r="K11" i="27"/>
  <c r="J11" i="27"/>
  <c r="I11" i="27"/>
  <c r="H11" i="27"/>
  <c r="G11" i="27"/>
  <c r="F11" i="27"/>
  <c r="E11" i="27"/>
  <c r="D11" i="27"/>
  <c r="C11" i="27"/>
  <c r="AJ10" i="27"/>
  <c r="AI10" i="27"/>
  <c r="AH10" i="27"/>
  <c r="AG10" i="27"/>
  <c r="AF10" i="27"/>
  <c r="AE10" i="27"/>
  <c r="AD10" i="27"/>
  <c r="AC10" i="27"/>
  <c r="AB10" i="27"/>
  <c r="AA10" i="27"/>
  <c r="X10" i="27"/>
  <c r="W10" i="27"/>
  <c r="V10" i="27"/>
  <c r="U10" i="27"/>
  <c r="T10" i="27"/>
  <c r="S10" i="27"/>
  <c r="R10" i="27"/>
  <c r="Q10" i="27"/>
  <c r="P10" i="27"/>
  <c r="O10" i="27"/>
  <c r="L10" i="27"/>
  <c r="K10" i="27"/>
  <c r="J10" i="27"/>
  <c r="I10" i="27"/>
  <c r="H10" i="27"/>
  <c r="G10" i="27"/>
  <c r="F10" i="27"/>
  <c r="E10" i="27"/>
  <c r="D10" i="27"/>
  <c r="C10" i="27"/>
  <c r="AJ9" i="27"/>
  <c r="AI9" i="27"/>
  <c r="AH9" i="27"/>
  <c r="AG9" i="27"/>
  <c r="AF9" i="27"/>
  <c r="AE9" i="27"/>
  <c r="AD9" i="27"/>
  <c r="AC9" i="27"/>
  <c r="AB9" i="27"/>
  <c r="AA9" i="27"/>
  <c r="X9" i="27"/>
  <c r="W9" i="27"/>
  <c r="V9" i="27"/>
  <c r="U9" i="27"/>
  <c r="T9" i="27"/>
  <c r="S9" i="27"/>
  <c r="R9" i="27"/>
  <c r="Q9" i="27"/>
  <c r="P9" i="27"/>
  <c r="O9" i="27"/>
  <c r="L9" i="27"/>
  <c r="K9" i="27"/>
  <c r="J9" i="27"/>
  <c r="I9" i="27"/>
  <c r="H9" i="27"/>
  <c r="G9" i="27"/>
  <c r="F9" i="27"/>
  <c r="E9" i="27"/>
  <c r="D9" i="27"/>
  <c r="C9" i="27"/>
  <c r="AJ8" i="27"/>
  <c r="AI8" i="27"/>
  <c r="AH8" i="27"/>
  <c r="AG8" i="27"/>
  <c r="AF8" i="27"/>
  <c r="AE8" i="27"/>
  <c r="AD8" i="27"/>
  <c r="AC8" i="27"/>
  <c r="AB8" i="27"/>
  <c r="AA8" i="27"/>
  <c r="X8" i="27"/>
  <c r="W8" i="27"/>
  <c r="V8" i="27"/>
  <c r="U8" i="27"/>
  <c r="T8" i="27"/>
  <c r="S8" i="27"/>
  <c r="R8" i="27"/>
  <c r="Q8" i="27"/>
  <c r="P8" i="27"/>
  <c r="O8" i="27"/>
  <c r="L8" i="27"/>
  <c r="K8" i="27"/>
  <c r="J8" i="27"/>
  <c r="I8" i="27"/>
  <c r="H8" i="27"/>
  <c r="G8" i="27"/>
  <c r="F8" i="27"/>
  <c r="E8" i="27"/>
  <c r="D8" i="27"/>
  <c r="C8" i="27"/>
  <c r="AJ7" i="27"/>
  <c r="AI7" i="27"/>
  <c r="AH7" i="27"/>
  <c r="AG7" i="27"/>
  <c r="AF7" i="27"/>
  <c r="AE7" i="27"/>
  <c r="AD7" i="27"/>
  <c r="AC7" i="27"/>
  <c r="AB7" i="27"/>
  <c r="AA7" i="27"/>
  <c r="X7" i="27"/>
  <c r="W7" i="27"/>
  <c r="V7" i="27"/>
  <c r="U7" i="27"/>
  <c r="T7" i="27"/>
  <c r="S7" i="27"/>
  <c r="R7" i="27"/>
  <c r="Q7" i="27"/>
  <c r="P7" i="27"/>
  <c r="O7" i="27"/>
  <c r="L7" i="27"/>
  <c r="K7" i="27"/>
  <c r="J7" i="27"/>
  <c r="I7" i="27"/>
  <c r="H7" i="27"/>
  <c r="G7" i="27"/>
  <c r="F7" i="27"/>
  <c r="E7" i="27"/>
  <c r="D7" i="27"/>
  <c r="C7" i="27"/>
  <c r="AL92" i="27"/>
  <c r="AK92" i="27"/>
  <c r="Z92" i="27"/>
  <c r="Y92" i="27"/>
  <c r="N92" i="27"/>
  <c r="M92" i="27"/>
  <c r="AL91" i="27"/>
  <c r="AK91" i="27"/>
  <c r="Z91" i="27"/>
  <c r="Y91" i="27"/>
  <c r="N91" i="27"/>
  <c r="M91" i="27"/>
  <c r="AL90" i="27"/>
  <c r="AK90" i="27"/>
  <c r="Z90" i="27"/>
  <c r="Y90" i="27"/>
  <c r="N90" i="27"/>
  <c r="M90" i="27"/>
  <c r="AL89" i="27"/>
  <c r="AK89" i="27"/>
  <c r="Z89" i="27"/>
  <c r="Y89" i="27"/>
  <c r="N89" i="27"/>
  <c r="M89" i="27"/>
  <c r="AL88" i="27"/>
  <c r="AK88" i="27"/>
  <c r="Z88" i="27"/>
  <c r="Y88" i="27"/>
  <c r="N88" i="27"/>
  <c r="M88" i="27"/>
  <c r="AL87" i="27"/>
  <c r="AK87" i="27"/>
  <c r="Z87" i="27"/>
  <c r="Y87" i="27"/>
  <c r="N87" i="27"/>
  <c r="M87" i="27"/>
  <c r="AL86" i="27"/>
  <c r="AK86" i="27"/>
  <c r="Z86" i="27"/>
  <c r="Y86" i="27"/>
  <c r="N86" i="27"/>
  <c r="M86" i="27"/>
  <c r="AL85" i="27"/>
  <c r="AK85" i="27"/>
  <c r="Z85" i="27"/>
  <c r="Y85" i="27"/>
  <c r="N85" i="27"/>
  <c r="M85" i="27"/>
  <c r="AL79" i="27"/>
  <c r="AK79" i="27"/>
  <c r="Z79" i="27"/>
  <c r="Y79" i="27"/>
  <c r="N79" i="27"/>
  <c r="M79" i="27"/>
  <c r="AL78" i="27"/>
  <c r="AK78" i="27"/>
  <c r="Z78" i="27"/>
  <c r="Y78" i="27"/>
  <c r="N78" i="27"/>
  <c r="M78" i="27"/>
  <c r="AL77" i="27"/>
  <c r="AK77" i="27"/>
  <c r="Z77" i="27"/>
  <c r="Y77" i="27"/>
  <c r="N77" i="27"/>
  <c r="M77" i="27"/>
  <c r="AL76" i="27"/>
  <c r="AK76" i="27"/>
  <c r="Z76" i="27"/>
  <c r="Y76" i="27"/>
  <c r="N76" i="27"/>
  <c r="M76" i="27"/>
  <c r="AL75" i="27"/>
  <c r="AK75" i="27"/>
  <c r="Z75" i="27"/>
  <c r="Y75" i="27"/>
  <c r="N75" i="27"/>
  <c r="M75" i="27"/>
  <c r="AL74" i="27"/>
  <c r="AK74" i="27"/>
  <c r="Z74" i="27"/>
  <c r="Y74" i="27"/>
  <c r="N74" i="27"/>
  <c r="M74" i="27"/>
  <c r="AL73" i="27"/>
  <c r="AK73" i="27"/>
  <c r="Z73" i="27"/>
  <c r="Y73" i="27"/>
  <c r="N73" i="27"/>
  <c r="M73" i="27"/>
  <c r="AL72" i="27"/>
  <c r="AK72" i="27"/>
  <c r="Z72" i="27"/>
  <c r="Y72" i="27"/>
  <c r="N72" i="27"/>
  <c r="M72" i="27"/>
  <c r="AL71" i="27"/>
  <c r="AK71" i="27"/>
  <c r="Z71" i="27"/>
  <c r="Y71" i="27"/>
  <c r="N71" i="27"/>
  <c r="M71" i="27"/>
  <c r="AL70" i="27"/>
  <c r="AK70" i="27"/>
  <c r="Z70" i="27"/>
  <c r="Y70" i="27"/>
  <c r="N70" i="27"/>
  <c r="M70" i="27"/>
  <c r="AL69" i="27"/>
  <c r="AK69" i="27"/>
  <c r="Z69" i="27"/>
  <c r="Y69" i="27"/>
  <c r="N69" i="27"/>
  <c r="M69" i="27"/>
  <c r="AL68" i="27"/>
  <c r="AK68" i="27"/>
  <c r="Z68" i="27"/>
  <c r="Y68" i="27"/>
  <c r="N68" i="27"/>
  <c r="M68" i="27"/>
  <c r="AL67" i="27"/>
  <c r="AK67" i="27"/>
  <c r="Z67" i="27"/>
  <c r="Y67" i="27"/>
  <c r="N67" i="27"/>
  <c r="M67" i="27"/>
  <c r="AL66" i="27"/>
  <c r="AK66" i="27"/>
  <c r="Z66" i="27"/>
  <c r="Y66" i="27"/>
  <c r="N66" i="27"/>
  <c r="M66" i="27"/>
  <c r="AL65" i="27"/>
  <c r="AK65" i="27"/>
  <c r="Z65" i="27"/>
  <c r="Y65" i="27"/>
  <c r="N65" i="27"/>
  <c r="M65" i="27"/>
  <c r="AL64" i="27"/>
  <c r="AK64" i="27"/>
  <c r="Z64" i="27"/>
  <c r="Y64" i="27"/>
  <c r="N64" i="27"/>
  <c r="M64" i="27"/>
  <c r="AL63" i="27"/>
  <c r="AK63" i="27"/>
  <c r="Z63" i="27"/>
  <c r="Y63" i="27"/>
  <c r="N63" i="27"/>
  <c r="M63" i="27"/>
  <c r="AL62" i="27"/>
  <c r="AK62" i="27"/>
  <c r="Z62" i="27"/>
  <c r="Y62" i="27"/>
  <c r="N62" i="27"/>
  <c r="M62" i="27"/>
  <c r="AL61" i="27"/>
  <c r="AK61" i="27"/>
  <c r="Z61" i="27"/>
  <c r="Y61" i="27"/>
  <c r="N61" i="27"/>
  <c r="M61" i="27"/>
  <c r="AL60" i="27"/>
  <c r="AK60" i="27"/>
  <c r="Z60" i="27"/>
  <c r="Y60" i="27"/>
  <c r="N60" i="27"/>
  <c r="M60" i="27"/>
  <c r="AL59" i="27"/>
  <c r="AK59" i="27"/>
  <c r="Z59" i="27"/>
  <c r="Y59" i="27"/>
  <c r="N59" i="27"/>
  <c r="M59" i="27"/>
  <c r="AL58" i="27"/>
  <c r="AK58" i="27"/>
  <c r="Z58" i="27"/>
  <c r="Y58" i="27"/>
  <c r="N58" i="27"/>
  <c r="M58" i="27"/>
  <c r="AL57" i="27"/>
  <c r="AK57" i="27"/>
  <c r="Z57" i="27"/>
  <c r="Y57" i="27"/>
  <c r="N57" i="27"/>
  <c r="M57" i="27"/>
  <c r="AL56" i="27"/>
  <c r="AK56" i="27"/>
  <c r="Z56" i="27"/>
  <c r="Y56" i="27"/>
  <c r="N56" i="27"/>
  <c r="M56" i="27"/>
  <c r="AL55" i="27"/>
  <c r="AK55" i="27"/>
  <c r="Z55" i="27"/>
  <c r="Y55" i="27"/>
  <c r="N55" i="27"/>
  <c r="M55" i="27"/>
  <c r="AL54" i="27"/>
  <c r="AK54" i="27"/>
  <c r="Z54" i="27"/>
  <c r="Y54" i="27"/>
  <c r="N54" i="27"/>
  <c r="M54" i="27"/>
  <c r="AL53" i="27"/>
  <c r="AK53" i="27"/>
  <c r="Z53" i="27"/>
  <c r="Y53" i="27"/>
  <c r="N53" i="27"/>
  <c r="M53" i="27"/>
  <c r="AL52" i="27"/>
  <c r="AK52" i="27"/>
  <c r="Z52" i="27"/>
  <c r="Y52" i="27"/>
  <c r="N52" i="27"/>
  <c r="M52" i="27"/>
  <c r="AL51" i="27"/>
  <c r="AK51" i="27"/>
  <c r="Z51" i="27"/>
  <c r="Y51" i="27"/>
  <c r="N51" i="27"/>
  <c r="M51" i="27"/>
  <c r="AL50" i="27"/>
  <c r="AK50" i="27"/>
  <c r="Z50" i="27"/>
  <c r="Y50" i="27"/>
  <c r="N50" i="27"/>
  <c r="M50" i="27"/>
  <c r="AL49" i="27"/>
  <c r="AK49" i="27"/>
  <c r="Z49" i="27"/>
  <c r="Y49" i="27"/>
  <c r="N49" i="27"/>
  <c r="M49" i="27"/>
  <c r="AL48" i="27"/>
  <c r="AK48" i="27"/>
  <c r="Z48" i="27"/>
  <c r="Y48" i="27"/>
  <c r="N48" i="27"/>
  <c r="M48" i="27"/>
  <c r="AL47" i="27"/>
  <c r="AK47" i="27"/>
  <c r="Z47" i="27"/>
  <c r="Y47" i="27"/>
  <c r="N47" i="27"/>
  <c r="M47" i="27"/>
  <c r="AL46" i="27"/>
  <c r="AK46" i="27"/>
  <c r="Z46" i="27"/>
  <c r="Y46" i="27"/>
  <c r="N46" i="27"/>
  <c r="M46" i="27"/>
  <c r="AL45" i="27"/>
  <c r="AK45" i="27"/>
  <c r="Z45" i="27"/>
  <c r="Y45" i="27"/>
  <c r="N45" i="27"/>
  <c r="M45" i="27"/>
  <c r="AL44" i="27"/>
  <c r="AK44" i="27"/>
  <c r="Z44" i="27"/>
  <c r="Y44" i="27"/>
  <c r="N44" i="27"/>
  <c r="M44" i="27"/>
  <c r="AL43" i="27"/>
  <c r="AK43" i="27"/>
  <c r="Z43" i="27"/>
  <c r="Y43" i="27"/>
  <c r="N43" i="27"/>
  <c r="M43" i="27"/>
  <c r="AL42" i="27"/>
  <c r="AK42" i="27"/>
  <c r="Z42" i="27"/>
  <c r="Y42" i="27"/>
  <c r="N42" i="27"/>
  <c r="M42" i="27"/>
  <c r="AL41" i="27"/>
  <c r="AK41" i="27"/>
  <c r="Z41" i="27"/>
  <c r="Y41" i="27"/>
  <c r="N41" i="27"/>
  <c r="M41" i="27"/>
  <c r="AL40" i="27"/>
  <c r="AK40" i="27"/>
  <c r="Z40" i="27"/>
  <c r="Y40" i="27"/>
  <c r="N40" i="27"/>
  <c r="M40" i="27"/>
  <c r="AL39" i="27"/>
  <c r="AK39" i="27"/>
  <c r="Z39" i="27"/>
  <c r="Y39" i="27"/>
  <c r="N39" i="27"/>
  <c r="M39" i="27"/>
  <c r="AL38" i="27"/>
  <c r="AK38" i="27"/>
  <c r="Z38" i="27"/>
  <c r="Y38" i="27"/>
  <c r="N38" i="27"/>
  <c r="M38" i="27"/>
  <c r="AL37" i="27"/>
  <c r="AK37" i="27"/>
  <c r="Z37" i="27"/>
  <c r="Y37" i="27"/>
  <c r="N37" i="27"/>
  <c r="M37" i="27"/>
  <c r="AL36" i="27"/>
  <c r="AK36" i="27"/>
  <c r="Z36" i="27"/>
  <c r="Y36" i="27"/>
  <c r="N36" i="27"/>
  <c r="M36" i="27"/>
  <c r="AL35" i="27"/>
  <c r="AK35" i="27"/>
  <c r="Z35" i="27"/>
  <c r="Y35" i="27"/>
  <c r="N35" i="27"/>
  <c r="M35" i="27"/>
  <c r="AL34" i="27"/>
  <c r="AK34" i="27"/>
  <c r="Z34" i="27"/>
  <c r="Y34" i="27"/>
  <c r="N34" i="27"/>
  <c r="M34" i="27"/>
  <c r="AL33" i="27"/>
  <c r="AK33" i="27"/>
  <c r="Z33" i="27"/>
  <c r="Y33" i="27"/>
  <c r="N33" i="27"/>
  <c r="M33" i="27"/>
  <c r="AL32" i="27"/>
  <c r="AK32" i="27"/>
  <c r="Z32" i="27"/>
  <c r="Y32" i="27"/>
  <c r="N32" i="27"/>
  <c r="M32" i="27"/>
  <c r="AL31" i="27"/>
  <c r="AK31" i="27"/>
  <c r="Z31" i="27"/>
  <c r="Y31" i="27"/>
  <c r="N31" i="27"/>
  <c r="M31" i="27"/>
  <c r="AL30" i="27"/>
  <c r="AK30" i="27"/>
  <c r="Z30" i="27"/>
  <c r="Y30" i="27"/>
  <c r="N30" i="27"/>
  <c r="M30" i="27"/>
  <c r="AL29" i="27"/>
  <c r="AK29" i="27"/>
  <c r="Z29" i="27"/>
  <c r="Y29" i="27"/>
  <c r="N29" i="27"/>
  <c r="M29" i="27"/>
  <c r="AL28" i="27"/>
  <c r="AK28" i="27"/>
  <c r="Z28" i="27"/>
  <c r="Y28" i="27"/>
  <c r="N28" i="27"/>
  <c r="M28" i="27"/>
  <c r="AL27" i="27"/>
  <c r="AK27" i="27"/>
  <c r="Z27" i="27"/>
  <c r="Y27" i="27"/>
  <c r="N27" i="27"/>
  <c r="M27" i="27"/>
  <c r="AL26" i="27"/>
  <c r="AK26" i="27"/>
  <c r="Z26" i="27"/>
  <c r="Y26" i="27"/>
  <c r="N26" i="27"/>
  <c r="M26" i="27"/>
  <c r="AL25" i="27"/>
  <c r="AK25" i="27"/>
  <c r="Z25" i="27"/>
  <c r="Y25" i="27"/>
  <c r="N25" i="27"/>
  <c r="M25" i="27"/>
  <c r="AL24" i="27"/>
  <c r="AK24" i="27"/>
  <c r="Z24" i="27"/>
  <c r="Y24" i="27"/>
  <c r="N24" i="27"/>
  <c r="M24" i="27"/>
  <c r="AL23" i="27"/>
  <c r="AK23" i="27"/>
  <c r="Z23" i="27"/>
  <c r="Y23" i="27"/>
  <c r="N23" i="27"/>
  <c r="M23" i="27"/>
  <c r="AL22" i="27"/>
  <c r="AK22" i="27"/>
  <c r="Z22" i="27"/>
  <c r="Y22" i="27"/>
  <c r="N22" i="27"/>
  <c r="M22" i="27"/>
  <c r="AL21" i="27"/>
  <c r="AK21" i="27"/>
  <c r="Z21" i="27"/>
  <c r="Y21" i="27"/>
  <c r="N21" i="27"/>
  <c r="M21" i="27"/>
  <c r="AL20" i="27"/>
  <c r="AK20" i="27"/>
  <c r="Z20" i="27"/>
  <c r="Y20" i="27"/>
  <c r="N20" i="27"/>
  <c r="M20" i="27"/>
  <c r="AL19" i="27"/>
  <c r="AK19" i="27"/>
  <c r="Z19" i="27"/>
  <c r="Y19" i="27"/>
  <c r="N19" i="27"/>
  <c r="M19" i="27"/>
  <c r="AL18" i="27"/>
  <c r="AK18" i="27"/>
  <c r="Z18" i="27"/>
  <c r="Y18" i="27"/>
  <c r="N18" i="27"/>
  <c r="M18" i="27"/>
  <c r="AL17" i="27"/>
  <c r="AK17" i="27"/>
  <c r="Z17" i="27"/>
  <c r="Y17" i="27"/>
  <c r="N17" i="27"/>
  <c r="M17" i="27"/>
  <c r="AL16" i="27"/>
  <c r="AK16" i="27"/>
  <c r="Z16" i="27"/>
  <c r="Y16" i="27"/>
  <c r="N16" i="27"/>
  <c r="M16" i="27"/>
  <c r="AL15" i="27"/>
  <c r="AK15" i="27"/>
  <c r="Z15" i="27"/>
  <c r="Y15" i="27"/>
  <c r="N15" i="27"/>
  <c r="M15" i="27"/>
  <c r="AL14" i="27"/>
  <c r="AK14" i="27"/>
  <c r="Z14" i="27"/>
  <c r="Y14" i="27"/>
  <c r="N14" i="27"/>
  <c r="M14" i="27"/>
  <c r="AL13" i="27"/>
  <c r="AK13" i="27"/>
  <c r="Z13" i="27"/>
  <c r="Y13" i="27"/>
  <c r="N13" i="27"/>
  <c r="M13" i="27"/>
  <c r="AL12" i="27"/>
  <c r="AK12" i="27"/>
  <c r="Z12" i="27"/>
  <c r="Y12" i="27"/>
  <c r="N12" i="27"/>
  <c r="M12" i="27"/>
  <c r="AL11" i="27"/>
  <c r="AK11" i="27"/>
  <c r="Z11" i="27"/>
  <c r="Y11" i="27"/>
  <c r="N11" i="27"/>
  <c r="M11" i="27"/>
  <c r="AL10" i="27"/>
  <c r="AK10" i="27"/>
  <c r="Z10" i="27"/>
  <c r="Y10" i="27"/>
  <c r="N10" i="27"/>
  <c r="M10" i="27"/>
  <c r="N9" i="27"/>
  <c r="M9" i="27"/>
  <c r="AN8" i="27"/>
  <c r="AL8" i="27"/>
  <c r="AK8" i="27"/>
  <c r="Z8" i="27"/>
  <c r="Y8" i="27"/>
  <c r="N8" i="27"/>
  <c r="M8" i="27"/>
  <c r="AL7" i="27"/>
  <c r="AK7" i="27"/>
  <c r="Z7" i="27"/>
  <c r="Y7" i="27"/>
  <c r="N7" i="27"/>
  <c r="M7" i="27"/>
  <c r="AJ92" i="26"/>
  <c r="AI92" i="26"/>
  <c r="AH92" i="26"/>
  <c r="AG92" i="26"/>
  <c r="AF92" i="26"/>
  <c r="AE92" i="26"/>
  <c r="AD92" i="26"/>
  <c r="AC92" i="26"/>
  <c r="AB92" i="26"/>
  <c r="AA92" i="26"/>
  <c r="AJ91" i="26"/>
  <c r="AI91" i="26"/>
  <c r="AH91" i="26"/>
  <c r="AG91" i="26"/>
  <c r="AF91" i="26"/>
  <c r="AE91" i="26"/>
  <c r="AD91" i="26"/>
  <c r="AC91" i="26"/>
  <c r="AB91" i="26"/>
  <c r="AA91" i="26"/>
  <c r="AJ90" i="26"/>
  <c r="AI90" i="26"/>
  <c r="AH90" i="26"/>
  <c r="AG90" i="26"/>
  <c r="AF90" i="26"/>
  <c r="AE90" i="26"/>
  <c r="AD90" i="26"/>
  <c r="AC90" i="26"/>
  <c r="AB90" i="26"/>
  <c r="AA90" i="26"/>
  <c r="AJ89" i="26"/>
  <c r="AI89" i="26"/>
  <c r="AH89" i="26"/>
  <c r="AG89" i="26"/>
  <c r="AF89" i="26"/>
  <c r="AE89" i="26"/>
  <c r="AD89" i="26"/>
  <c r="AC89" i="26"/>
  <c r="AB89" i="26"/>
  <c r="AA89" i="26"/>
  <c r="AJ88" i="26"/>
  <c r="AI88" i="26"/>
  <c r="AH88" i="26"/>
  <c r="AG88" i="26"/>
  <c r="AF88" i="26"/>
  <c r="AE88" i="26"/>
  <c r="AD88" i="26"/>
  <c r="AC88" i="26"/>
  <c r="AB88" i="26"/>
  <c r="AA88" i="26"/>
  <c r="AJ87" i="26"/>
  <c r="AI87" i="26"/>
  <c r="AH87" i="26"/>
  <c r="AG87" i="26"/>
  <c r="AF87" i="26"/>
  <c r="AE87" i="26"/>
  <c r="AD87" i="26"/>
  <c r="AC87" i="26"/>
  <c r="AB87" i="26"/>
  <c r="AA87" i="26"/>
  <c r="AJ86" i="26"/>
  <c r="AI86" i="26"/>
  <c r="AH86" i="26"/>
  <c r="AG86" i="26"/>
  <c r="AF86" i="26"/>
  <c r="AE86" i="26"/>
  <c r="AD86" i="26"/>
  <c r="AC86" i="26"/>
  <c r="AB86" i="26"/>
  <c r="AA86" i="26"/>
  <c r="AJ85" i="26"/>
  <c r="AI85" i="26"/>
  <c r="AH85" i="26"/>
  <c r="AG85" i="26"/>
  <c r="AF85" i="26"/>
  <c r="AE85" i="26"/>
  <c r="AD85" i="26"/>
  <c r="AC85" i="26"/>
  <c r="AB85" i="26"/>
  <c r="AA85" i="26"/>
  <c r="AI81" i="26"/>
  <c r="AE81" i="26"/>
  <c r="AA81" i="26"/>
  <c r="AJ79" i="26"/>
  <c r="AI79" i="26"/>
  <c r="AH79" i="26"/>
  <c r="AG79" i="26"/>
  <c r="AF79" i="26"/>
  <c r="AE79" i="26"/>
  <c r="AD79" i="26"/>
  <c r="AC79" i="26"/>
  <c r="AB79" i="26"/>
  <c r="AA79" i="26"/>
  <c r="AJ78" i="26"/>
  <c r="AI78" i="26"/>
  <c r="AH78" i="26"/>
  <c r="AG78" i="26"/>
  <c r="AF78" i="26"/>
  <c r="AE78" i="26"/>
  <c r="AD78" i="26"/>
  <c r="AC78" i="26"/>
  <c r="AB78" i="26"/>
  <c r="AA78" i="26"/>
  <c r="AJ77" i="26"/>
  <c r="AI77" i="26"/>
  <c r="AH77" i="26"/>
  <c r="AG77" i="26"/>
  <c r="AF77" i="26"/>
  <c r="AE77" i="26"/>
  <c r="AD77" i="26"/>
  <c r="AC77" i="26"/>
  <c r="AB77" i="26"/>
  <c r="AA77" i="26"/>
  <c r="AJ76" i="26"/>
  <c r="AI76" i="26"/>
  <c r="AH76" i="26"/>
  <c r="AG76" i="26"/>
  <c r="AF76" i="26"/>
  <c r="AE76" i="26"/>
  <c r="AD76" i="26"/>
  <c r="AC76" i="26"/>
  <c r="AB76" i="26"/>
  <c r="AA76" i="26"/>
  <c r="AJ75" i="26"/>
  <c r="AI75" i="26"/>
  <c r="AH75" i="26"/>
  <c r="AG75" i="26"/>
  <c r="AF75" i="26"/>
  <c r="AE75" i="26"/>
  <c r="AD75" i="26"/>
  <c r="AC75" i="26"/>
  <c r="AB75" i="26"/>
  <c r="AA75" i="26"/>
  <c r="AJ74" i="26"/>
  <c r="AI74" i="26"/>
  <c r="AH74" i="26"/>
  <c r="AG74" i="26"/>
  <c r="AF74" i="26"/>
  <c r="AE74" i="26"/>
  <c r="AD74" i="26"/>
  <c r="AC74" i="26"/>
  <c r="AB74" i="26"/>
  <c r="AA74" i="26"/>
  <c r="AJ73" i="26"/>
  <c r="AI73" i="26"/>
  <c r="AH73" i="26"/>
  <c r="AG73" i="26"/>
  <c r="AF73" i="26"/>
  <c r="AE73" i="26"/>
  <c r="AD73" i="26"/>
  <c r="AC73" i="26"/>
  <c r="AB73" i="26"/>
  <c r="AA73" i="26"/>
  <c r="AJ72" i="26"/>
  <c r="AI72" i="26"/>
  <c r="AH72" i="26"/>
  <c r="AG72" i="26"/>
  <c r="AF72" i="26"/>
  <c r="AE72" i="26"/>
  <c r="AD72" i="26"/>
  <c r="AC72" i="26"/>
  <c r="AB72" i="26"/>
  <c r="AA72" i="26"/>
  <c r="AJ71" i="26"/>
  <c r="AI71" i="26"/>
  <c r="AH71" i="26"/>
  <c r="AG71" i="26"/>
  <c r="AF71" i="26"/>
  <c r="AE71" i="26"/>
  <c r="AD71" i="26"/>
  <c r="AC71" i="26"/>
  <c r="AB71" i="26"/>
  <c r="AA71" i="26"/>
  <c r="AJ70" i="26"/>
  <c r="AI70" i="26"/>
  <c r="AH70" i="26"/>
  <c r="AG70" i="26"/>
  <c r="AF70" i="26"/>
  <c r="AE70" i="26"/>
  <c r="AD70" i="26"/>
  <c r="AC70" i="26"/>
  <c r="AB70" i="26"/>
  <c r="AA70" i="26"/>
  <c r="AJ69" i="26"/>
  <c r="AI69" i="26"/>
  <c r="AH69" i="26"/>
  <c r="AG69" i="26"/>
  <c r="AF69" i="26"/>
  <c r="AE69" i="26"/>
  <c r="AD69" i="26"/>
  <c r="AC69" i="26"/>
  <c r="AB69" i="26"/>
  <c r="AA69" i="26"/>
  <c r="AJ68" i="26"/>
  <c r="AI68" i="26"/>
  <c r="AH68" i="26"/>
  <c r="AG68" i="26"/>
  <c r="AF68" i="26"/>
  <c r="AE68" i="26"/>
  <c r="AD68" i="26"/>
  <c r="AC68" i="26"/>
  <c r="AB68" i="26"/>
  <c r="AA68" i="26"/>
  <c r="AJ67" i="26"/>
  <c r="AI67" i="26"/>
  <c r="AH67" i="26"/>
  <c r="AG67" i="26"/>
  <c r="AF67" i="26"/>
  <c r="AE67" i="26"/>
  <c r="AD67" i="26"/>
  <c r="AC67" i="26"/>
  <c r="AB67" i="26"/>
  <c r="AA67" i="26"/>
  <c r="AJ66" i="26"/>
  <c r="AI66" i="26"/>
  <c r="AH66" i="26"/>
  <c r="AG66" i="26"/>
  <c r="AF66" i="26"/>
  <c r="AE66" i="26"/>
  <c r="AD66" i="26"/>
  <c r="AC66" i="26"/>
  <c r="AB66" i="26"/>
  <c r="AA66" i="26"/>
  <c r="AJ65" i="26"/>
  <c r="AI65" i="26"/>
  <c r="AH65" i="26"/>
  <c r="AG65" i="26"/>
  <c r="AF65" i="26"/>
  <c r="AE65" i="26"/>
  <c r="AD65" i="26"/>
  <c r="AC65" i="26"/>
  <c r="AB65" i="26"/>
  <c r="AA65" i="26"/>
  <c r="AJ64" i="26"/>
  <c r="AI64" i="26"/>
  <c r="AH64" i="26"/>
  <c r="AG64" i="26"/>
  <c r="AF64" i="26"/>
  <c r="AE64" i="26"/>
  <c r="AD64" i="26"/>
  <c r="AC64" i="26"/>
  <c r="AB64" i="26"/>
  <c r="AA64" i="26"/>
  <c r="AJ63" i="26"/>
  <c r="AI63" i="26"/>
  <c r="AH63" i="26"/>
  <c r="AG63" i="26"/>
  <c r="AF63" i="26"/>
  <c r="AE63" i="26"/>
  <c r="AD63" i="26"/>
  <c r="AC63" i="26"/>
  <c r="AB63" i="26"/>
  <c r="AA63" i="26"/>
  <c r="AJ62" i="26"/>
  <c r="AI62" i="26"/>
  <c r="AH62" i="26"/>
  <c r="AG62" i="26"/>
  <c r="AF62" i="26"/>
  <c r="AE62" i="26"/>
  <c r="AD62" i="26"/>
  <c r="AC62" i="26"/>
  <c r="AB62" i="26"/>
  <c r="AA62" i="26"/>
  <c r="AJ61" i="26"/>
  <c r="AI61" i="26"/>
  <c r="AH61" i="26"/>
  <c r="AG61" i="26"/>
  <c r="AF61" i="26"/>
  <c r="AE61" i="26"/>
  <c r="AD61" i="26"/>
  <c r="AC61" i="26"/>
  <c r="AB61" i="26"/>
  <c r="AA61" i="26"/>
  <c r="AJ60" i="26"/>
  <c r="AI60" i="26"/>
  <c r="AH60" i="26"/>
  <c r="AG60" i="26"/>
  <c r="AF60" i="26"/>
  <c r="AE60" i="26"/>
  <c r="AD60" i="26"/>
  <c r="AC60" i="26"/>
  <c r="AB60" i="26"/>
  <c r="AA60" i="26"/>
  <c r="AJ59" i="26"/>
  <c r="AI59" i="26"/>
  <c r="AH59" i="26"/>
  <c r="AG59" i="26"/>
  <c r="AF59" i="26"/>
  <c r="AE59" i="26"/>
  <c r="AD59" i="26"/>
  <c r="AC59" i="26"/>
  <c r="AB59" i="26"/>
  <c r="AA59" i="26"/>
  <c r="AJ58" i="26"/>
  <c r="AI58" i="26"/>
  <c r="AH58" i="26"/>
  <c r="AG58" i="26"/>
  <c r="AF58" i="26"/>
  <c r="AE58" i="26"/>
  <c r="AD58" i="26"/>
  <c r="AC58" i="26"/>
  <c r="AB58" i="26"/>
  <c r="AA58" i="26"/>
  <c r="AJ57" i="26"/>
  <c r="AI57" i="26"/>
  <c r="AH57" i="26"/>
  <c r="AG57" i="26"/>
  <c r="AF57" i="26"/>
  <c r="AE57" i="26"/>
  <c r="AD57" i="26"/>
  <c r="AC57" i="26"/>
  <c r="AB57" i="26"/>
  <c r="AA57" i="26"/>
  <c r="AJ56" i="26"/>
  <c r="AI56" i="26"/>
  <c r="AH56" i="26"/>
  <c r="AG56" i="26"/>
  <c r="AF56" i="26"/>
  <c r="AE56" i="26"/>
  <c r="AD56" i="26"/>
  <c r="AC56" i="26"/>
  <c r="AB56" i="26"/>
  <c r="AA56" i="26"/>
  <c r="AJ55" i="26"/>
  <c r="AI55" i="26"/>
  <c r="AH55" i="26"/>
  <c r="AG55" i="26"/>
  <c r="AF55" i="26"/>
  <c r="AE55" i="26"/>
  <c r="AD55" i="26"/>
  <c r="AC55" i="26"/>
  <c r="AB55" i="26"/>
  <c r="AA55" i="26"/>
  <c r="AJ54" i="26"/>
  <c r="AI54" i="26"/>
  <c r="AH54" i="26"/>
  <c r="AG54" i="26"/>
  <c r="AF54" i="26"/>
  <c r="AE54" i="26"/>
  <c r="AD54" i="26"/>
  <c r="AC54" i="26"/>
  <c r="AB54" i="26"/>
  <c r="AA54" i="26"/>
  <c r="AJ53" i="26"/>
  <c r="AI53" i="26"/>
  <c r="AH53" i="26"/>
  <c r="AG53" i="26"/>
  <c r="AF53" i="26"/>
  <c r="AE53" i="26"/>
  <c r="AD53" i="26"/>
  <c r="AC53" i="26"/>
  <c r="AB53" i="26"/>
  <c r="AA53" i="26"/>
  <c r="AJ52" i="26"/>
  <c r="AI52" i="26"/>
  <c r="AH52" i="26"/>
  <c r="AG52" i="26"/>
  <c r="AF52" i="26"/>
  <c r="AE52" i="26"/>
  <c r="AD52" i="26"/>
  <c r="AC52" i="26"/>
  <c r="AB52" i="26"/>
  <c r="AA52" i="26"/>
  <c r="AJ51" i="26"/>
  <c r="AI51" i="26"/>
  <c r="AH51" i="26"/>
  <c r="AG51" i="26"/>
  <c r="AF51" i="26"/>
  <c r="AE51" i="26"/>
  <c r="AD51" i="26"/>
  <c r="AC51" i="26"/>
  <c r="AB51" i="26"/>
  <c r="AA51" i="26"/>
  <c r="AJ50" i="26"/>
  <c r="AI50" i="26"/>
  <c r="AH50" i="26"/>
  <c r="AG50" i="26"/>
  <c r="AF50" i="26"/>
  <c r="AE50" i="26"/>
  <c r="AD50" i="26"/>
  <c r="AC50" i="26"/>
  <c r="AB50" i="26"/>
  <c r="AA50" i="26"/>
  <c r="AJ49" i="26"/>
  <c r="AI49" i="26"/>
  <c r="AH49" i="26"/>
  <c r="AG49" i="26"/>
  <c r="AF49" i="26"/>
  <c r="AE49" i="26"/>
  <c r="AD49" i="26"/>
  <c r="AC49" i="26"/>
  <c r="AB49" i="26"/>
  <c r="AA49" i="26"/>
  <c r="AJ48" i="26"/>
  <c r="AI48" i="26"/>
  <c r="AH48" i="26"/>
  <c r="AG48" i="26"/>
  <c r="AF48" i="26"/>
  <c r="AE48" i="26"/>
  <c r="AD48" i="26"/>
  <c r="AC48" i="26"/>
  <c r="AB48" i="26"/>
  <c r="AA48" i="26"/>
  <c r="AJ47" i="26"/>
  <c r="AI47" i="26"/>
  <c r="AH47" i="26"/>
  <c r="AG47" i="26"/>
  <c r="AF47" i="26"/>
  <c r="AE47" i="26"/>
  <c r="AD47" i="26"/>
  <c r="AC47" i="26"/>
  <c r="AB47" i="26"/>
  <c r="AA47" i="26"/>
  <c r="AJ46" i="26"/>
  <c r="AI46" i="26"/>
  <c r="AH46" i="26"/>
  <c r="AG46" i="26"/>
  <c r="AF46" i="26"/>
  <c r="AE46" i="26"/>
  <c r="AD46" i="26"/>
  <c r="AC46" i="26"/>
  <c r="AB46" i="26"/>
  <c r="AA46" i="26"/>
  <c r="AJ45" i="26"/>
  <c r="AI45" i="26"/>
  <c r="AH45" i="26"/>
  <c r="AG45" i="26"/>
  <c r="AF45" i="26"/>
  <c r="AE45" i="26"/>
  <c r="AD45" i="26"/>
  <c r="AC45" i="26"/>
  <c r="AB45" i="26"/>
  <c r="AA45" i="26"/>
  <c r="AJ44" i="26"/>
  <c r="AI44" i="26"/>
  <c r="AH44" i="26"/>
  <c r="AG44" i="26"/>
  <c r="AF44" i="26"/>
  <c r="AE44" i="26"/>
  <c r="AD44" i="26"/>
  <c r="AC44" i="26"/>
  <c r="AB44" i="26"/>
  <c r="AA44" i="26"/>
  <c r="AJ43" i="26"/>
  <c r="AI43" i="26"/>
  <c r="AH43" i="26"/>
  <c r="AG43" i="26"/>
  <c r="AF43" i="26"/>
  <c r="AE43" i="26"/>
  <c r="AD43" i="26"/>
  <c r="AC43" i="26"/>
  <c r="AB43" i="26"/>
  <c r="AA43" i="26"/>
  <c r="AJ42" i="26"/>
  <c r="AI42" i="26"/>
  <c r="AH42" i="26"/>
  <c r="AG42" i="26"/>
  <c r="AF42" i="26"/>
  <c r="AE42" i="26"/>
  <c r="AD42" i="26"/>
  <c r="AC42" i="26"/>
  <c r="AB42" i="26"/>
  <c r="AA42" i="26"/>
  <c r="AJ41" i="26"/>
  <c r="AI41" i="26"/>
  <c r="AH41" i="26"/>
  <c r="AG41" i="26"/>
  <c r="AF41" i="26"/>
  <c r="AE41" i="26"/>
  <c r="AD41" i="26"/>
  <c r="AC41" i="26"/>
  <c r="AB41" i="26"/>
  <c r="AA41" i="26"/>
  <c r="AJ40" i="26"/>
  <c r="AI40" i="26"/>
  <c r="AH40" i="26"/>
  <c r="AG40" i="26"/>
  <c r="AF40" i="26"/>
  <c r="AE40" i="26"/>
  <c r="AD40" i="26"/>
  <c r="AC40" i="26"/>
  <c r="AB40" i="26"/>
  <c r="AA40" i="26"/>
  <c r="AJ39" i="26"/>
  <c r="AI39" i="26"/>
  <c r="AH39" i="26"/>
  <c r="AG39" i="26"/>
  <c r="AF39" i="26"/>
  <c r="AE39" i="26"/>
  <c r="AD39" i="26"/>
  <c r="AC39" i="26"/>
  <c r="AB39" i="26"/>
  <c r="AA39" i="26"/>
  <c r="AJ38" i="26"/>
  <c r="AI38" i="26"/>
  <c r="AH38" i="26"/>
  <c r="AG38" i="26"/>
  <c r="AF38" i="26"/>
  <c r="AE38" i="26"/>
  <c r="AD38" i="26"/>
  <c r="AC38" i="26"/>
  <c r="AB38" i="26"/>
  <c r="AA38" i="26"/>
  <c r="AJ37" i="26"/>
  <c r="AI37" i="26"/>
  <c r="AH37" i="26"/>
  <c r="AG37" i="26"/>
  <c r="AF37" i="26"/>
  <c r="AE37" i="26"/>
  <c r="AD37" i="26"/>
  <c r="AC37" i="26"/>
  <c r="AB37" i="26"/>
  <c r="AA37" i="26"/>
  <c r="AJ36" i="26"/>
  <c r="AI36" i="26"/>
  <c r="AH36" i="26"/>
  <c r="AG36" i="26"/>
  <c r="AF36" i="26"/>
  <c r="AE36" i="26"/>
  <c r="AD36" i="26"/>
  <c r="AC36" i="26"/>
  <c r="AB36" i="26"/>
  <c r="AA36" i="26"/>
  <c r="AJ35" i="26"/>
  <c r="AI35" i="26"/>
  <c r="AH35" i="26"/>
  <c r="AG35" i="26"/>
  <c r="AF35" i="26"/>
  <c r="AE35" i="26"/>
  <c r="AD35" i="26"/>
  <c r="AC35" i="26"/>
  <c r="AB35" i="26"/>
  <c r="AA35" i="26"/>
  <c r="AJ34" i="26"/>
  <c r="AI34" i="26"/>
  <c r="AH34" i="26"/>
  <c r="AG34" i="26"/>
  <c r="AF34" i="26"/>
  <c r="AE34" i="26"/>
  <c r="AD34" i="26"/>
  <c r="AC34" i="26"/>
  <c r="AB34" i="26"/>
  <c r="AA34" i="26"/>
  <c r="AJ33" i="26"/>
  <c r="AI33" i="26"/>
  <c r="AH33" i="26"/>
  <c r="AG33" i="26"/>
  <c r="AF33" i="26"/>
  <c r="AE33" i="26"/>
  <c r="AD33" i="26"/>
  <c r="AC33" i="26"/>
  <c r="AB33" i="26"/>
  <c r="AA33" i="26"/>
  <c r="AJ32" i="26"/>
  <c r="AI32" i="26"/>
  <c r="AH32" i="26"/>
  <c r="AG32" i="26"/>
  <c r="AF32" i="26"/>
  <c r="AE32" i="26"/>
  <c r="AD32" i="26"/>
  <c r="AC32" i="26"/>
  <c r="AB32" i="26"/>
  <c r="AA32" i="26"/>
  <c r="AJ31" i="26"/>
  <c r="AI31" i="26"/>
  <c r="AH31" i="26"/>
  <c r="AG31" i="26"/>
  <c r="AF31" i="26"/>
  <c r="AE31" i="26"/>
  <c r="AD31" i="26"/>
  <c r="AC31" i="26"/>
  <c r="AB31" i="26"/>
  <c r="AA31" i="26"/>
  <c r="AJ30" i="26"/>
  <c r="AI30" i="26"/>
  <c r="AH30" i="26"/>
  <c r="AG30" i="26"/>
  <c r="AF30" i="26"/>
  <c r="AE30" i="26"/>
  <c r="AD30" i="26"/>
  <c r="AC30" i="26"/>
  <c r="AB30" i="26"/>
  <c r="AA30" i="26"/>
  <c r="AJ29" i="26"/>
  <c r="AI29" i="26"/>
  <c r="AH29" i="26"/>
  <c r="AG29" i="26"/>
  <c r="AF29" i="26"/>
  <c r="AE29" i="26"/>
  <c r="AD29" i="26"/>
  <c r="AC29" i="26"/>
  <c r="AB29" i="26"/>
  <c r="AA29" i="26"/>
  <c r="AJ28" i="26"/>
  <c r="AI28" i="26"/>
  <c r="AH28" i="26"/>
  <c r="AG28" i="26"/>
  <c r="AF28" i="26"/>
  <c r="AE28" i="26"/>
  <c r="AD28" i="26"/>
  <c r="AC28" i="26"/>
  <c r="AB28" i="26"/>
  <c r="AA28" i="26"/>
  <c r="AJ27" i="26"/>
  <c r="AI27" i="26"/>
  <c r="AH27" i="26"/>
  <c r="AG27" i="26"/>
  <c r="AF27" i="26"/>
  <c r="AE27" i="26"/>
  <c r="AD27" i="26"/>
  <c r="AC27" i="26"/>
  <c r="AB27" i="26"/>
  <c r="AA27" i="26"/>
  <c r="AJ26" i="26"/>
  <c r="AI26" i="26"/>
  <c r="AH26" i="26"/>
  <c r="AG26" i="26"/>
  <c r="AF26" i="26"/>
  <c r="AE26" i="26"/>
  <c r="AD26" i="26"/>
  <c r="AC26" i="26"/>
  <c r="AB26" i="26"/>
  <c r="AA26" i="26"/>
  <c r="AJ25" i="26"/>
  <c r="AI25" i="26"/>
  <c r="AH25" i="26"/>
  <c r="AG25" i="26"/>
  <c r="AF25" i="26"/>
  <c r="AE25" i="26"/>
  <c r="AD25" i="26"/>
  <c r="AC25" i="26"/>
  <c r="AB25" i="26"/>
  <c r="AA25" i="26"/>
  <c r="AJ24" i="26"/>
  <c r="AI24" i="26"/>
  <c r="AH24" i="26"/>
  <c r="AG24" i="26"/>
  <c r="AF24" i="26"/>
  <c r="AE24" i="26"/>
  <c r="AD24" i="26"/>
  <c r="AC24" i="26"/>
  <c r="AB24" i="26"/>
  <c r="AA24" i="26"/>
  <c r="AJ23" i="26"/>
  <c r="AI23" i="26"/>
  <c r="AH23" i="26"/>
  <c r="AG23" i="26"/>
  <c r="AF23" i="26"/>
  <c r="AE23" i="26"/>
  <c r="AD23" i="26"/>
  <c r="AC23" i="26"/>
  <c r="AB23" i="26"/>
  <c r="AA23" i="26"/>
  <c r="AJ22" i="26"/>
  <c r="AI22" i="26"/>
  <c r="AH22" i="26"/>
  <c r="AG22" i="26"/>
  <c r="AF22" i="26"/>
  <c r="AE22" i="26"/>
  <c r="AD22" i="26"/>
  <c r="AC22" i="26"/>
  <c r="AB22" i="26"/>
  <c r="AA22" i="26"/>
  <c r="AJ21" i="26"/>
  <c r="AI21" i="26"/>
  <c r="AH21" i="26"/>
  <c r="AG21" i="26"/>
  <c r="AF21" i="26"/>
  <c r="AE21" i="26"/>
  <c r="AD21" i="26"/>
  <c r="AC21" i="26"/>
  <c r="AB21" i="26"/>
  <c r="AA21" i="26"/>
  <c r="AJ20" i="26"/>
  <c r="AI20" i="26"/>
  <c r="AH20" i="26"/>
  <c r="AG20" i="26"/>
  <c r="AF20" i="26"/>
  <c r="AE20" i="26"/>
  <c r="AD20" i="26"/>
  <c r="AC20" i="26"/>
  <c r="AB20" i="26"/>
  <c r="AA20" i="26"/>
  <c r="AJ19" i="26"/>
  <c r="AI19" i="26"/>
  <c r="AH19" i="26"/>
  <c r="AG19" i="26"/>
  <c r="AF19" i="26"/>
  <c r="AE19" i="26"/>
  <c r="AD19" i="26"/>
  <c r="AC19" i="26"/>
  <c r="AB19" i="26"/>
  <c r="AA19" i="26"/>
  <c r="AJ18" i="26"/>
  <c r="AI18" i="26"/>
  <c r="AH18" i="26"/>
  <c r="AG18" i="26"/>
  <c r="AF18" i="26"/>
  <c r="AE18" i="26"/>
  <c r="AD18" i="26"/>
  <c r="AC18" i="26"/>
  <c r="AB18" i="26"/>
  <c r="AA18" i="26"/>
  <c r="AJ17" i="26"/>
  <c r="AI17" i="26"/>
  <c r="AH17" i="26"/>
  <c r="AG17" i="26"/>
  <c r="AF17" i="26"/>
  <c r="AE17" i="26"/>
  <c r="AD17" i="26"/>
  <c r="AC17" i="26"/>
  <c r="AB17" i="26"/>
  <c r="AA17" i="26"/>
  <c r="AJ16" i="26"/>
  <c r="AI16" i="26"/>
  <c r="AH16" i="26"/>
  <c r="AG16" i="26"/>
  <c r="AF16" i="26"/>
  <c r="AE16" i="26"/>
  <c r="AD16" i="26"/>
  <c r="AC16" i="26"/>
  <c r="AB16" i="26"/>
  <c r="AA16" i="26"/>
  <c r="AJ15" i="26"/>
  <c r="AI15" i="26"/>
  <c r="AH15" i="26"/>
  <c r="AG15" i="26"/>
  <c r="AF15" i="26"/>
  <c r="AE15" i="26"/>
  <c r="AD15" i="26"/>
  <c r="AC15" i="26"/>
  <c r="AB15" i="26"/>
  <c r="AA15" i="26"/>
  <c r="AJ14" i="26"/>
  <c r="AI14" i="26"/>
  <c r="AH14" i="26"/>
  <c r="AG14" i="26"/>
  <c r="AF14" i="26"/>
  <c r="AE14" i="26"/>
  <c r="AD14" i="26"/>
  <c r="AC14" i="26"/>
  <c r="AB14" i="26"/>
  <c r="AA14" i="26"/>
  <c r="AJ13" i="26"/>
  <c r="AI13" i="26"/>
  <c r="AH13" i="26"/>
  <c r="AG13" i="26"/>
  <c r="AF13" i="26"/>
  <c r="AE13" i="26"/>
  <c r="AD13" i="26"/>
  <c r="AC13" i="26"/>
  <c r="AB13" i="26"/>
  <c r="AA13" i="26"/>
  <c r="AJ12" i="26"/>
  <c r="AI12" i="26"/>
  <c r="AH12" i="26"/>
  <c r="AG12" i="26"/>
  <c r="AF12" i="26"/>
  <c r="AE12" i="26"/>
  <c r="AD12" i="26"/>
  <c r="AC12" i="26"/>
  <c r="AB12" i="26"/>
  <c r="AA12" i="26"/>
  <c r="AJ11" i="26"/>
  <c r="AI11" i="26"/>
  <c r="AH11" i="26"/>
  <c r="AG11" i="26"/>
  <c r="AF11" i="26"/>
  <c r="AE11" i="26"/>
  <c r="AD11" i="26"/>
  <c r="AC11" i="26"/>
  <c r="AB11" i="26"/>
  <c r="AA11" i="26"/>
  <c r="AJ10" i="26"/>
  <c r="AI10" i="26"/>
  <c r="AH10" i="26"/>
  <c r="AG10" i="26"/>
  <c r="AF10" i="26"/>
  <c r="AE10" i="26"/>
  <c r="AD10" i="26"/>
  <c r="AC10" i="26"/>
  <c r="AB10" i="26"/>
  <c r="AA10" i="26"/>
  <c r="AJ9" i="26"/>
  <c r="AI9" i="26"/>
  <c r="AH9" i="26"/>
  <c r="AG9" i="26"/>
  <c r="AF9" i="26"/>
  <c r="AE9" i="26"/>
  <c r="AD9" i="26"/>
  <c r="AC9" i="26"/>
  <c r="AB9" i="26"/>
  <c r="AA9" i="26"/>
  <c r="AJ8" i="26"/>
  <c r="AI8" i="26"/>
  <c r="AH8" i="26"/>
  <c r="AG8" i="26"/>
  <c r="AF8" i="26"/>
  <c r="AE8" i="26"/>
  <c r="AD8" i="26"/>
  <c r="AC8" i="26"/>
  <c r="AB8" i="26"/>
  <c r="AA8" i="26"/>
  <c r="AJ7" i="26"/>
  <c r="AI7" i="26"/>
  <c r="AH7" i="26"/>
  <c r="AG7" i="26"/>
  <c r="AF7" i="26"/>
  <c r="AE7" i="26"/>
  <c r="AD7" i="26"/>
  <c r="AC7" i="26"/>
  <c r="AB7" i="26"/>
  <c r="AA7" i="26"/>
  <c r="X92" i="26"/>
  <c r="W92" i="26"/>
  <c r="V92" i="26"/>
  <c r="U92" i="26"/>
  <c r="T92" i="26"/>
  <c r="S92" i="26"/>
  <c r="R92" i="26"/>
  <c r="Q92" i="26"/>
  <c r="P92" i="26"/>
  <c r="O92" i="26"/>
  <c r="X91" i="26"/>
  <c r="W91" i="26"/>
  <c r="V91" i="26"/>
  <c r="U91" i="26"/>
  <c r="T91" i="26"/>
  <c r="S91" i="26"/>
  <c r="R91" i="26"/>
  <c r="Q91" i="26"/>
  <c r="P91" i="26"/>
  <c r="O91" i="26"/>
  <c r="X90" i="26"/>
  <c r="W90" i="26"/>
  <c r="V90" i="26"/>
  <c r="U90" i="26"/>
  <c r="T90" i="26"/>
  <c r="S90" i="26"/>
  <c r="R90" i="26"/>
  <c r="Q90" i="26"/>
  <c r="P90" i="26"/>
  <c r="O90" i="26"/>
  <c r="X89" i="26"/>
  <c r="W89" i="26"/>
  <c r="V89" i="26"/>
  <c r="U89" i="26"/>
  <c r="T89" i="26"/>
  <c r="S89" i="26"/>
  <c r="R89" i="26"/>
  <c r="Q89" i="26"/>
  <c r="P89" i="26"/>
  <c r="O89" i="26"/>
  <c r="X88" i="26"/>
  <c r="W88" i="26"/>
  <c r="V88" i="26"/>
  <c r="U88" i="26"/>
  <c r="T88" i="26"/>
  <c r="S88" i="26"/>
  <c r="R88" i="26"/>
  <c r="Q88" i="26"/>
  <c r="P88" i="26"/>
  <c r="O88" i="26"/>
  <c r="X87" i="26"/>
  <c r="W87" i="26"/>
  <c r="V87" i="26"/>
  <c r="U87" i="26"/>
  <c r="T87" i="26"/>
  <c r="S87" i="26"/>
  <c r="R87" i="26"/>
  <c r="Q87" i="26"/>
  <c r="P87" i="26"/>
  <c r="O87" i="26"/>
  <c r="X86" i="26"/>
  <c r="W86" i="26"/>
  <c r="V86" i="26"/>
  <c r="U86" i="26"/>
  <c r="T86" i="26"/>
  <c r="S86" i="26"/>
  <c r="R86" i="26"/>
  <c r="Q86" i="26"/>
  <c r="P86" i="26"/>
  <c r="O86" i="26"/>
  <c r="X85" i="26"/>
  <c r="W85" i="26"/>
  <c r="V85" i="26"/>
  <c r="U85" i="26"/>
  <c r="T85" i="26"/>
  <c r="S85" i="26"/>
  <c r="R85" i="26"/>
  <c r="Q85" i="26"/>
  <c r="P85" i="26"/>
  <c r="O85" i="26"/>
  <c r="W81" i="26"/>
  <c r="S81" i="26"/>
  <c r="O81" i="26"/>
  <c r="X79" i="26"/>
  <c r="W79" i="26"/>
  <c r="V79" i="26"/>
  <c r="U79" i="26"/>
  <c r="T79" i="26"/>
  <c r="S79" i="26"/>
  <c r="R79" i="26"/>
  <c r="Q79" i="26"/>
  <c r="P79" i="26"/>
  <c r="O79" i="26"/>
  <c r="X78" i="26"/>
  <c r="W78" i="26"/>
  <c r="V78" i="26"/>
  <c r="U78" i="26"/>
  <c r="T78" i="26"/>
  <c r="S78" i="26"/>
  <c r="R78" i="26"/>
  <c r="Q78" i="26"/>
  <c r="P78" i="26"/>
  <c r="O78" i="26"/>
  <c r="X77" i="26"/>
  <c r="W77" i="26"/>
  <c r="V77" i="26"/>
  <c r="U77" i="26"/>
  <c r="T77" i="26"/>
  <c r="S77" i="26"/>
  <c r="R77" i="26"/>
  <c r="Q77" i="26"/>
  <c r="P77" i="26"/>
  <c r="O77" i="26"/>
  <c r="X76" i="26"/>
  <c r="W76" i="26"/>
  <c r="V76" i="26"/>
  <c r="U76" i="26"/>
  <c r="T76" i="26"/>
  <c r="S76" i="26"/>
  <c r="R76" i="26"/>
  <c r="Q76" i="26"/>
  <c r="P76" i="26"/>
  <c r="O76" i="26"/>
  <c r="X75" i="26"/>
  <c r="W75" i="26"/>
  <c r="V75" i="26"/>
  <c r="U75" i="26"/>
  <c r="T75" i="26"/>
  <c r="S75" i="26"/>
  <c r="R75" i="26"/>
  <c r="Q75" i="26"/>
  <c r="P75" i="26"/>
  <c r="O75" i="26"/>
  <c r="X74" i="26"/>
  <c r="W74" i="26"/>
  <c r="V74" i="26"/>
  <c r="U74" i="26"/>
  <c r="T74" i="26"/>
  <c r="S74" i="26"/>
  <c r="R74" i="26"/>
  <c r="Q74" i="26"/>
  <c r="P74" i="26"/>
  <c r="O74" i="26"/>
  <c r="X73" i="26"/>
  <c r="W73" i="26"/>
  <c r="V73" i="26"/>
  <c r="U73" i="26"/>
  <c r="T73" i="26"/>
  <c r="S73" i="26"/>
  <c r="R73" i="26"/>
  <c r="Q73" i="26"/>
  <c r="P73" i="26"/>
  <c r="O73" i="26"/>
  <c r="X72" i="26"/>
  <c r="W72" i="26"/>
  <c r="V72" i="26"/>
  <c r="U72" i="26"/>
  <c r="T72" i="26"/>
  <c r="S72" i="26"/>
  <c r="R72" i="26"/>
  <c r="Q72" i="26"/>
  <c r="P72" i="26"/>
  <c r="O72" i="26"/>
  <c r="X71" i="26"/>
  <c r="W71" i="26"/>
  <c r="V71" i="26"/>
  <c r="U71" i="26"/>
  <c r="T71" i="26"/>
  <c r="S71" i="26"/>
  <c r="R71" i="26"/>
  <c r="Q71" i="26"/>
  <c r="P71" i="26"/>
  <c r="O71" i="26"/>
  <c r="X70" i="26"/>
  <c r="W70" i="26"/>
  <c r="V70" i="26"/>
  <c r="U70" i="26"/>
  <c r="T70" i="26"/>
  <c r="S70" i="26"/>
  <c r="R70" i="26"/>
  <c r="Q70" i="26"/>
  <c r="P70" i="26"/>
  <c r="O70" i="26"/>
  <c r="X69" i="26"/>
  <c r="W69" i="26"/>
  <c r="V69" i="26"/>
  <c r="U69" i="26"/>
  <c r="T69" i="26"/>
  <c r="S69" i="26"/>
  <c r="R69" i="26"/>
  <c r="Q69" i="26"/>
  <c r="P69" i="26"/>
  <c r="O69" i="26"/>
  <c r="X68" i="26"/>
  <c r="W68" i="26"/>
  <c r="V68" i="26"/>
  <c r="U68" i="26"/>
  <c r="T68" i="26"/>
  <c r="S68" i="26"/>
  <c r="R68" i="26"/>
  <c r="Q68" i="26"/>
  <c r="P68" i="26"/>
  <c r="O68" i="26"/>
  <c r="X67" i="26"/>
  <c r="W67" i="26"/>
  <c r="V67" i="26"/>
  <c r="U67" i="26"/>
  <c r="T67" i="26"/>
  <c r="S67" i="26"/>
  <c r="R67" i="26"/>
  <c r="Q67" i="26"/>
  <c r="P67" i="26"/>
  <c r="O67" i="26"/>
  <c r="X66" i="26"/>
  <c r="W66" i="26"/>
  <c r="V66" i="26"/>
  <c r="U66" i="26"/>
  <c r="T66" i="26"/>
  <c r="S66" i="26"/>
  <c r="R66" i="26"/>
  <c r="Q66" i="26"/>
  <c r="P66" i="26"/>
  <c r="O66" i="26"/>
  <c r="X65" i="26"/>
  <c r="W65" i="26"/>
  <c r="V65" i="26"/>
  <c r="U65" i="26"/>
  <c r="T65" i="26"/>
  <c r="S65" i="26"/>
  <c r="R65" i="26"/>
  <c r="Q65" i="26"/>
  <c r="P65" i="26"/>
  <c r="O65" i="26"/>
  <c r="X64" i="26"/>
  <c r="W64" i="26"/>
  <c r="V64" i="26"/>
  <c r="U64" i="26"/>
  <c r="T64" i="26"/>
  <c r="S64" i="26"/>
  <c r="R64" i="26"/>
  <c r="Q64" i="26"/>
  <c r="P64" i="26"/>
  <c r="O64" i="26"/>
  <c r="X63" i="26"/>
  <c r="W63" i="26"/>
  <c r="V63" i="26"/>
  <c r="U63" i="26"/>
  <c r="T63" i="26"/>
  <c r="S63" i="26"/>
  <c r="R63" i="26"/>
  <c r="Q63" i="26"/>
  <c r="P63" i="26"/>
  <c r="O63" i="26"/>
  <c r="X62" i="26"/>
  <c r="W62" i="26"/>
  <c r="V62" i="26"/>
  <c r="U62" i="26"/>
  <c r="T62" i="26"/>
  <c r="S62" i="26"/>
  <c r="R62" i="26"/>
  <c r="Q62" i="26"/>
  <c r="P62" i="26"/>
  <c r="O62" i="26"/>
  <c r="X61" i="26"/>
  <c r="W61" i="26"/>
  <c r="V61" i="26"/>
  <c r="U61" i="26"/>
  <c r="T61" i="26"/>
  <c r="S61" i="26"/>
  <c r="R61" i="26"/>
  <c r="Q61" i="26"/>
  <c r="P61" i="26"/>
  <c r="O61" i="26"/>
  <c r="X60" i="26"/>
  <c r="W60" i="26"/>
  <c r="V60" i="26"/>
  <c r="U60" i="26"/>
  <c r="T60" i="26"/>
  <c r="S60" i="26"/>
  <c r="R60" i="26"/>
  <c r="Q60" i="26"/>
  <c r="P60" i="26"/>
  <c r="O60" i="26"/>
  <c r="X59" i="26"/>
  <c r="W59" i="26"/>
  <c r="V59" i="26"/>
  <c r="U59" i="26"/>
  <c r="T59" i="26"/>
  <c r="S59" i="26"/>
  <c r="R59" i="26"/>
  <c r="Q59" i="26"/>
  <c r="P59" i="26"/>
  <c r="O59" i="26"/>
  <c r="X58" i="26"/>
  <c r="W58" i="26"/>
  <c r="V58" i="26"/>
  <c r="U58" i="26"/>
  <c r="T58" i="26"/>
  <c r="S58" i="26"/>
  <c r="R58" i="26"/>
  <c r="Q58" i="26"/>
  <c r="P58" i="26"/>
  <c r="O58" i="26"/>
  <c r="X57" i="26"/>
  <c r="W57" i="26"/>
  <c r="V57" i="26"/>
  <c r="U57" i="26"/>
  <c r="T57" i="26"/>
  <c r="S57" i="26"/>
  <c r="R57" i="26"/>
  <c r="Q57" i="26"/>
  <c r="P57" i="26"/>
  <c r="O57" i="26"/>
  <c r="X56" i="26"/>
  <c r="W56" i="26"/>
  <c r="V56" i="26"/>
  <c r="U56" i="26"/>
  <c r="T56" i="26"/>
  <c r="S56" i="26"/>
  <c r="R56" i="26"/>
  <c r="Q56" i="26"/>
  <c r="P56" i="26"/>
  <c r="O56" i="26"/>
  <c r="X55" i="26"/>
  <c r="W55" i="26"/>
  <c r="V55" i="26"/>
  <c r="U55" i="26"/>
  <c r="T55" i="26"/>
  <c r="S55" i="26"/>
  <c r="R55" i="26"/>
  <c r="Q55" i="26"/>
  <c r="P55" i="26"/>
  <c r="O55" i="26"/>
  <c r="X54" i="26"/>
  <c r="W54" i="26"/>
  <c r="V54" i="26"/>
  <c r="U54" i="26"/>
  <c r="T54" i="26"/>
  <c r="S54" i="26"/>
  <c r="R54" i="26"/>
  <c r="Q54" i="26"/>
  <c r="P54" i="26"/>
  <c r="O54" i="26"/>
  <c r="X53" i="26"/>
  <c r="W53" i="26"/>
  <c r="V53" i="26"/>
  <c r="U53" i="26"/>
  <c r="T53" i="26"/>
  <c r="S53" i="26"/>
  <c r="R53" i="26"/>
  <c r="Q53" i="26"/>
  <c r="P53" i="26"/>
  <c r="O53" i="26"/>
  <c r="X52" i="26"/>
  <c r="W52" i="26"/>
  <c r="V52" i="26"/>
  <c r="U52" i="26"/>
  <c r="T52" i="26"/>
  <c r="S52" i="26"/>
  <c r="R52" i="26"/>
  <c r="Q52" i="26"/>
  <c r="P52" i="26"/>
  <c r="O52" i="26"/>
  <c r="X51" i="26"/>
  <c r="W51" i="26"/>
  <c r="V51" i="26"/>
  <c r="U51" i="26"/>
  <c r="T51" i="26"/>
  <c r="S51" i="26"/>
  <c r="R51" i="26"/>
  <c r="Q51" i="26"/>
  <c r="P51" i="26"/>
  <c r="O51" i="26"/>
  <c r="X50" i="26"/>
  <c r="W50" i="26"/>
  <c r="V50" i="26"/>
  <c r="U50" i="26"/>
  <c r="T50" i="26"/>
  <c r="S50" i="26"/>
  <c r="R50" i="26"/>
  <c r="Q50" i="26"/>
  <c r="P50" i="26"/>
  <c r="O50" i="26"/>
  <c r="X49" i="26"/>
  <c r="W49" i="26"/>
  <c r="V49" i="26"/>
  <c r="U49" i="26"/>
  <c r="T49" i="26"/>
  <c r="S49" i="26"/>
  <c r="R49" i="26"/>
  <c r="Q49" i="26"/>
  <c r="P49" i="26"/>
  <c r="O49" i="26"/>
  <c r="X48" i="26"/>
  <c r="W48" i="26"/>
  <c r="V48" i="26"/>
  <c r="U48" i="26"/>
  <c r="T48" i="26"/>
  <c r="S48" i="26"/>
  <c r="R48" i="26"/>
  <c r="Q48" i="26"/>
  <c r="P48" i="26"/>
  <c r="O48" i="26"/>
  <c r="X47" i="26"/>
  <c r="W47" i="26"/>
  <c r="V47" i="26"/>
  <c r="U47" i="26"/>
  <c r="T47" i="26"/>
  <c r="S47" i="26"/>
  <c r="R47" i="26"/>
  <c r="Q47" i="26"/>
  <c r="P47" i="26"/>
  <c r="O47" i="26"/>
  <c r="X46" i="26"/>
  <c r="W46" i="26"/>
  <c r="V46" i="26"/>
  <c r="U46" i="26"/>
  <c r="T46" i="26"/>
  <c r="S46" i="26"/>
  <c r="R46" i="26"/>
  <c r="Q46" i="26"/>
  <c r="P46" i="26"/>
  <c r="O46" i="26"/>
  <c r="X45" i="26"/>
  <c r="W45" i="26"/>
  <c r="V45" i="26"/>
  <c r="U45" i="26"/>
  <c r="T45" i="26"/>
  <c r="S45" i="26"/>
  <c r="R45" i="26"/>
  <c r="Q45" i="26"/>
  <c r="P45" i="26"/>
  <c r="O45" i="26"/>
  <c r="X44" i="26"/>
  <c r="W44" i="26"/>
  <c r="V44" i="26"/>
  <c r="U44" i="26"/>
  <c r="T44" i="26"/>
  <c r="S44" i="26"/>
  <c r="R44" i="26"/>
  <c r="Q44" i="26"/>
  <c r="P44" i="26"/>
  <c r="O44" i="26"/>
  <c r="X43" i="26"/>
  <c r="W43" i="26"/>
  <c r="V43" i="26"/>
  <c r="U43" i="26"/>
  <c r="T43" i="26"/>
  <c r="S43" i="26"/>
  <c r="R43" i="26"/>
  <c r="Q43" i="26"/>
  <c r="P43" i="26"/>
  <c r="O43" i="26"/>
  <c r="X42" i="26"/>
  <c r="W42" i="26"/>
  <c r="V42" i="26"/>
  <c r="U42" i="26"/>
  <c r="T42" i="26"/>
  <c r="S42" i="26"/>
  <c r="R42" i="26"/>
  <c r="Q42" i="26"/>
  <c r="P42" i="26"/>
  <c r="O42" i="26"/>
  <c r="X41" i="26"/>
  <c r="W41" i="26"/>
  <c r="V41" i="26"/>
  <c r="U41" i="26"/>
  <c r="T41" i="26"/>
  <c r="S41" i="26"/>
  <c r="R41" i="26"/>
  <c r="Q41" i="26"/>
  <c r="P41" i="26"/>
  <c r="O41" i="26"/>
  <c r="X40" i="26"/>
  <c r="W40" i="26"/>
  <c r="V40" i="26"/>
  <c r="U40" i="26"/>
  <c r="T40" i="26"/>
  <c r="S40" i="26"/>
  <c r="R40" i="26"/>
  <c r="Q40" i="26"/>
  <c r="P40" i="26"/>
  <c r="O40" i="26"/>
  <c r="X39" i="26"/>
  <c r="W39" i="26"/>
  <c r="V39" i="26"/>
  <c r="U39" i="26"/>
  <c r="T39" i="26"/>
  <c r="S39" i="26"/>
  <c r="R39" i="26"/>
  <c r="Q39" i="26"/>
  <c r="P39" i="26"/>
  <c r="O39" i="26"/>
  <c r="X38" i="26"/>
  <c r="W38" i="26"/>
  <c r="V38" i="26"/>
  <c r="U38" i="26"/>
  <c r="T38" i="26"/>
  <c r="S38" i="26"/>
  <c r="R38" i="26"/>
  <c r="Q38" i="26"/>
  <c r="P38" i="26"/>
  <c r="O38" i="26"/>
  <c r="X37" i="26"/>
  <c r="W37" i="26"/>
  <c r="V37" i="26"/>
  <c r="U37" i="26"/>
  <c r="T37" i="26"/>
  <c r="S37" i="26"/>
  <c r="R37" i="26"/>
  <c r="Q37" i="26"/>
  <c r="P37" i="26"/>
  <c r="O37" i="26"/>
  <c r="X36" i="26"/>
  <c r="W36" i="26"/>
  <c r="V36" i="26"/>
  <c r="U36" i="26"/>
  <c r="T36" i="26"/>
  <c r="S36" i="26"/>
  <c r="R36" i="26"/>
  <c r="Q36" i="26"/>
  <c r="P36" i="26"/>
  <c r="O36" i="26"/>
  <c r="X35" i="26"/>
  <c r="W35" i="26"/>
  <c r="V35" i="26"/>
  <c r="U35" i="26"/>
  <c r="T35" i="26"/>
  <c r="S35" i="26"/>
  <c r="R35" i="26"/>
  <c r="Q35" i="26"/>
  <c r="P35" i="26"/>
  <c r="O35" i="26"/>
  <c r="X34" i="26"/>
  <c r="W34" i="26"/>
  <c r="V34" i="26"/>
  <c r="U34" i="26"/>
  <c r="T34" i="26"/>
  <c r="S34" i="26"/>
  <c r="R34" i="26"/>
  <c r="Q34" i="26"/>
  <c r="P34" i="26"/>
  <c r="O34" i="26"/>
  <c r="X33" i="26"/>
  <c r="W33" i="26"/>
  <c r="V33" i="26"/>
  <c r="U33" i="26"/>
  <c r="T33" i="26"/>
  <c r="S33" i="26"/>
  <c r="R33" i="26"/>
  <c r="Q33" i="26"/>
  <c r="P33" i="26"/>
  <c r="O33" i="26"/>
  <c r="X32" i="26"/>
  <c r="W32" i="26"/>
  <c r="V32" i="26"/>
  <c r="U32" i="26"/>
  <c r="T32" i="26"/>
  <c r="S32" i="26"/>
  <c r="R32" i="26"/>
  <c r="Q32" i="26"/>
  <c r="P32" i="26"/>
  <c r="O32" i="26"/>
  <c r="X31" i="26"/>
  <c r="W31" i="26"/>
  <c r="V31" i="26"/>
  <c r="U31" i="26"/>
  <c r="T31" i="26"/>
  <c r="S31" i="26"/>
  <c r="R31" i="26"/>
  <c r="Q31" i="26"/>
  <c r="P31" i="26"/>
  <c r="O31" i="26"/>
  <c r="X30" i="26"/>
  <c r="W30" i="26"/>
  <c r="V30" i="26"/>
  <c r="U30" i="26"/>
  <c r="T30" i="26"/>
  <c r="S30" i="26"/>
  <c r="R30" i="26"/>
  <c r="Q30" i="26"/>
  <c r="P30" i="26"/>
  <c r="O30" i="26"/>
  <c r="X29" i="26"/>
  <c r="W29" i="26"/>
  <c r="V29" i="26"/>
  <c r="U29" i="26"/>
  <c r="T29" i="26"/>
  <c r="S29" i="26"/>
  <c r="R29" i="26"/>
  <c r="Q29" i="26"/>
  <c r="P29" i="26"/>
  <c r="O29" i="26"/>
  <c r="X28" i="26"/>
  <c r="W28" i="26"/>
  <c r="V28" i="26"/>
  <c r="U28" i="26"/>
  <c r="T28" i="26"/>
  <c r="S28" i="26"/>
  <c r="R28" i="26"/>
  <c r="Q28" i="26"/>
  <c r="P28" i="26"/>
  <c r="O28" i="26"/>
  <c r="X27" i="26"/>
  <c r="W27" i="26"/>
  <c r="V27" i="26"/>
  <c r="U27" i="26"/>
  <c r="T27" i="26"/>
  <c r="S27" i="26"/>
  <c r="R27" i="26"/>
  <c r="Q27" i="26"/>
  <c r="P27" i="26"/>
  <c r="O27" i="26"/>
  <c r="X26" i="26"/>
  <c r="W26" i="26"/>
  <c r="V26" i="26"/>
  <c r="U26" i="26"/>
  <c r="T26" i="26"/>
  <c r="S26" i="26"/>
  <c r="R26" i="26"/>
  <c r="Q26" i="26"/>
  <c r="P26" i="26"/>
  <c r="O26" i="26"/>
  <c r="X25" i="26"/>
  <c r="W25" i="26"/>
  <c r="V25" i="26"/>
  <c r="U25" i="26"/>
  <c r="T25" i="26"/>
  <c r="S25" i="26"/>
  <c r="R25" i="26"/>
  <c r="Q25" i="26"/>
  <c r="P25" i="26"/>
  <c r="O25" i="26"/>
  <c r="X24" i="26"/>
  <c r="W24" i="26"/>
  <c r="V24" i="26"/>
  <c r="U24" i="26"/>
  <c r="T24" i="26"/>
  <c r="S24" i="26"/>
  <c r="R24" i="26"/>
  <c r="Q24" i="26"/>
  <c r="P24" i="26"/>
  <c r="O24" i="26"/>
  <c r="X23" i="26"/>
  <c r="W23" i="26"/>
  <c r="V23" i="26"/>
  <c r="U23" i="26"/>
  <c r="T23" i="26"/>
  <c r="S23" i="26"/>
  <c r="R23" i="26"/>
  <c r="Q23" i="26"/>
  <c r="P23" i="26"/>
  <c r="O23" i="26"/>
  <c r="X22" i="26"/>
  <c r="W22" i="26"/>
  <c r="V22" i="26"/>
  <c r="U22" i="26"/>
  <c r="T22" i="26"/>
  <c r="S22" i="26"/>
  <c r="R22" i="26"/>
  <c r="Q22" i="26"/>
  <c r="P22" i="26"/>
  <c r="O22" i="26"/>
  <c r="X21" i="26"/>
  <c r="W21" i="26"/>
  <c r="V21" i="26"/>
  <c r="U21" i="26"/>
  <c r="T21" i="26"/>
  <c r="S21" i="26"/>
  <c r="R21" i="26"/>
  <c r="Q21" i="26"/>
  <c r="P21" i="26"/>
  <c r="O21" i="26"/>
  <c r="X20" i="26"/>
  <c r="W20" i="26"/>
  <c r="V20" i="26"/>
  <c r="U20" i="26"/>
  <c r="T20" i="26"/>
  <c r="S20" i="26"/>
  <c r="R20" i="26"/>
  <c r="Q20" i="26"/>
  <c r="P20" i="26"/>
  <c r="O20" i="26"/>
  <c r="X19" i="26"/>
  <c r="W19" i="26"/>
  <c r="V19" i="26"/>
  <c r="U19" i="26"/>
  <c r="T19" i="26"/>
  <c r="S19" i="26"/>
  <c r="R19" i="26"/>
  <c r="Q19" i="26"/>
  <c r="P19" i="26"/>
  <c r="O19" i="26"/>
  <c r="X18" i="26"/>
  <c r="W18" i="26"/>
  <c r="V18" i="26"/>
  <c r="U18" i="26"/>
  <c r="T18" i="26"/>
  <c r="S18" i="26"/>
  <c r="R18" i="26"/>
  <c r="Q18" i="26"/>
  <c r="P18" i="26"/>
  <c r="O18" i="26"/>
  <c r="X17" i="26"/>
  <c r="W17" i="26"/>
  <c r="V17" i="26"/>
  <c r="U17" i="26"/>
  <c r="T17" i="26"/>
  <c r="S17" i="26"/>
  <c r="R17" i="26"/>
  <c r="Q17" i="26"/>
  <c r="P17" i="26"/>
  <c r="O17" i="26"/>
  <c r="X16" i="26"/>
  <c r="W16" i="26"/>
  <c r="V16" i="26"/>
  <c r="U16" i="26"/>
  <c r="T16" i="26"/>
  <c r="S16" i="26"/>
  <c r="R16" i="26"/>
  <c r="Q16" i="26"/>
  <c r="P16" i="26"/>
  <c r="O16" i="26"/>
  <c r="X15" i="26"/>
  <c r="W15" i="26"/>
  <c r="V15" i="26"/>
  <c r="U15" i="26"/>
  <c r="T15" i="26"/>
  <c r="S15" i="26"/>
  <c r="R15" i="26"/>
  <c r="Q15" i="26"/>
  <c r="P15" i="26"/>
  <c r="O15" i="26"/>
  <c r="X14" i="26"/>
  <c r="W14" i="26"/>
  <c r="V14" i="26"/>
  <c r="U14" i="26"/>
  <c r="T14" i="26"/>
  <c r="S14" i="26"/>
  <c r="R14" i="26"/>
  <c r="Q14" i="26"/>
  <c r="P14" i="26"/>
  <c r="O14" i="26"/>
  <c r="X13" i="26"/>
  <c r="W13" i="26"/>
  <c r="V13" i="26"/>
  <c r="U13" i="26"/>
  <c r="T13" i="26"/>
  <c r="S13" i="26"/>
  <c r="R13" i="26"/>
  <c r="Q13" i="26"/>
  <c r="P13" i="26"/>
  <c r="O13" i="26"/>
  <c r="X12" i="26"/>
  <c r="W12" i="26"/>
  <c r="V12" i="26"/>
  <c r="U12" i="26"/>
  <c r="T12" i="26"/>
  <c r="S12" i="26"/>
  <c r="R12" i="26"/>
  <c r="Q12" i="26"/>
  <c r="P12" i="26"/>
  <c r="O12" i="26"/>
  <c r="X11" i="26"/>
  <c r="W11" i="26"/>
  <c r="V11" i="26"/>
  <c r="U11" i="26"/>
  <c r="T11" i="26"/>
  <c r="S11" i="26"/>
  <c r="R11" i="26"/>
  <c r="Q11" i="26"/>
  <c r="P11" i="26"/>
  <c r="O11" i="26"/>
  <c r="X10" i="26"/>
  <c r="W10" i="26"/>
  <c r="V10" i="26"/>
  <c r="U10" i="26"/>
  <c r="T10" i="26"/>
  <c r="S10" i="26"/>
  <c r="R10" i="26"/>
  <c r="Q10" i="26"/>
  <c r="P10" i="26"/>
  <c r="O10" i="26"/>
  <c r="X9" i="26"/>
  <c r="W9" i="26"/>
  <c r="V9" i="26"/>
  <c r="U9" i="26"/>
  <c r="T9" i="26"/>
  <c r="S9" i="26"/>
  <c r="R9" i="26"/>
  <c r="Q9" i="26"/>
  <c r="P9" i="26"/>
  <c r="O9" i="26"/>
  <c r="X8" i="26"/>
  <c r="W8" i="26"/>
  <c r="V8" i="26"/>
  <c r="U8" i="26"/>
  <c r="T8" i="26"/>
  <c r="S8" i="26"/>
  <c r="R8" i="26"/>
  <c r="Q8" i="26"/>
  <c r="P8" i="26"/>
  <c r="O8" i="26"/>
  <c r="X7" i="26"/>
  <c r="W7" i="26"/>
  <c r="V7" i="26"/>
  <c r="U7" i="26"/>
  <c r="T7" i="26"/>
  <c r="S7" i="26"/>
  <c r="R7" i="26"/>
  <c r="Q7" i="26"/>
  <c r="P7" i="26"/>
  <c r="O7" i="26"/>
  <c r="L92" i="26"/>
  <c r="K92" i="26"/>
  <c r="J92" i="26"/>
  <c r="I92" i="26"/>
  <c r="H92" i="26"/>
  <c r="G92" i="26"/>
  <c r="F92" i="26"/>
  <c r="E92" i="26"/>
  <c r="D92" i="26"/>
  <c r="C92" i="26"/>
  <c r="L91" i="26"/>
  <c r="K91" i="26"/>
  <c r="J91" i="26"/>
  <c r="I91" i="26"/>
  <c r="H91" i="26"/>
  <c r="G91" i="26"/>
  <c r="F91" i="26"/>
  <c r="E91" i="26"/>
  <c r="D91" i="26"/>
  <c r="C91" i="26"/>
  <c r="L90" i="26"/>
  <c r="K90" i="26"/>
  <c r="J90" i="26"/>
  <c r="I90" i="26"/>
  <c r="H90" i="26"/>
  <c r="G90" i="26"/>
  <c r="F90" i="26"/>
  <c r="E90" i="26"/>
  <c r="D90" i="26"/>
  <c r="C90" i="26"/>
  <c r="L89" i="26"/>
  <c r="K89" i="26"/>
  <c r="J89" i="26"/>
  <c r="I89" i="26"/>
  <c r="H89" i="26"/>
  <c r="G89" i="26"/>
  <c r="F89" i="26"/>
  <c r="E89" i="26"/>
  <c r="D89" i="26"/>
  <c r="C89" i="26"/>
  <c r="L88" i="26"/>
  <c r="K88" i="26"/>
  <c r="J88" i="26"/>
  <c r="I88" i="26"/>
  <c r="H88" i="26"/>
  <c r="G88" i="26"/>
  <c r="F88" i="26"/>
  <c r="E88" i="26"/>
  <c r="D88" i="26"/>
  <c r="C88" i="26"/>
  <c r="L87" i="26"/>
  <c r="K87" i="26"/>
  <c r="J87" i="26"/>
  <c r="I87" i="26"/>
  <c r="H87" i="26"/>
  <c r="G87" i="26"/>
  <c r="F87" i="26"/>
  <c r="E87" i="26"/>
  <c r="D87" i="26"/>
  <c r="C87" i="26"/>
  <c r="L86" i="26"/>
  <c r="K86" i="26"/>
  <c r="J86" i="26"/>
  <c r="I86" i="26"/>
  <c r="H86" i="26"/>
  <c r="G86" i="26"/>
  <c r="F86" i="26"/>
  <c r="E86" i="26"/>
  <c r="D86" i="26"/>
  <c r="C86" i="26"/>
  <c r="L85" i="26"/>
  <c r="K85" i="26"/>
  <c r="J85" i="26"/>
  <c r="I85" i="26"/>
  <c r="H85" i="26"/>
  <c r="G85" i="26"/>
  <c r="F85" i="26"/>
  <c r="E85" i="26"/>
  <c r="D85" i="26"/>
  <c r="C85" i="26"/>
  <c r="K81" i="26"/>
  <c r="G81" i="26"/>
  <c r="C81" i="26"/>
  <c r="L79" i="26"/>
  <c r="K79" i="26"/>
  <c r="J79" i="26"/>
  <c r="I79" i="26"/>
  <c r="H79" i="26"/>
  <c r="G79" i="26"/>
  <c r="F79" i="26"/>
  <c r="E79" i="26"/>
  <c r="D79" i="26"/>
  <c r="C79" i="26"/>
  <c r="L78" i="26"/>
  <c r="K78" i="26"/>
  <c r="J78" i="26"/>
  <c r="I78" i="26"/>
  <c r="H78" i="26"/>
  <c r="G78" i="26"/>
  <c r="F78" i="26"/>
  <c r="E78" i="26"/>
  <c r="D78" i="26"/>
  <c r="C78" i="26"/>
  <c r="L77" i="26"/>
  <c r="K77" i="26"/>
  <c r="J77" i="26"/>
  <c r="I77" i="26"/>
  <c r="H77" i="26"/>
  <c r="G77" i="26"/>
  <c r="F77" i="26"/>
  <c r="E77" i="26"/>
  <c r="D77" i="26"/>
  <c r="C77" i="26"/>
  <c r="L76" i="26"/>
  <c r="K76" i="26"/>
  <c r="J76" i="26"/>
  <c r="I76" i="26"/>
  <c r="H76" i="26"/>
  <c r="G76" i="26"/>
  <c r="F76" i="26"/>
  <c r="E76" i="26"/>
  <c r="D76" i="26"/>
  <c r="C76" i="26"/>
  <c r="L75" i="26"/>
  <c r="K75" i="26"/>
  <c r="J75" i="26"/>
  <c r="I75" i="26"/>
  <c r="H75" i="26"/>
  <c r="G75" i="26"/>
  <c r="F75" i="26"/>
  <c r="E75" i="26"/>
  <c r="D75" i="26"/>
  <c r="C75" i="26"/>
  <c r="L74" i="26"/>
  <c r="K74" i="26"/>
  <c r="J74" i="26"/>
  <c r="I74" i="26"/>
  <c r="H74" i="26"/>
  <c r="G74" i="26"/>
  <c r="F74" i="26"/>
  <c r="E74" i="26"/>
  <c r="D74" i="26"/>
  <c r="C74" i="26"/>
  <c r="L73" i="26"/>
  <c r="K73" i="26"/>
  <c r="J73" i="26"/>
  <c r="I73" i="26"/>
  <c r="H73" i="26"/>
  <c r="G73" i="26"/>
  <c r="F73" i="26"/>
  <c r="E73" i="26"/>
  <c r="D73" i="26"/>
  <c r="C73" i="26"/>
  <c r="L72" i="26"/>
  <c r="K72" i="26"/>
  <c r="J72" i="26"/>
  <c r="I72" i="26"/>
  <c r="H72" i="26"/>
  <c r="G72" i="26"/>
  <c r="F72" i="26"/>
  <c r="E72" i="26"/>
  <c r="D72" i="26"/>
  <c r="C72" i="26"/>
  <c r="L71" i="26"/>
  <c r="K71" i="26"/>
  <c r="J71" i="26"/>
  <c r="I71" i="26"/>
  <c r="H71" i="26"/>
  <c r="G71" i="26"/>
  <c r="F71" i="26"/>
  <c r="E71" i="26"/>
  <c r="D71" i="26"/>
  <c r="C71" i="26"/>
  <c r="L70" i="26"/>
  <c r="K70" i="26"/>
  <c r="J70" i="26"/>
  <c r="I70" i="26"/>
  <c r="H70" i="26"/>
  <c r="G70" i="26"/>
  <c r="F70" i="26"/>
  <c r="E70" i="26"/>
  <c r="D70" i="26"/>
  <c r="C70" i="26"/>
  <c r="L69" i="26"/>
  <c r="K69" i="26"/>
  <c r="J69" i="26"/>
  <c r="I69" i="26"/>
  <c r="H69" i="26"/>
  <c r="G69" i="26"/>
  <c r="F69" i="26"/>
  <c r="E69" i="26"/>
  <c r="D69" i="26"/>
  <c r="C69" i="26"/>
  <c r="L68" i="26"/>
  <c r="K68" i="26"/>
  <c r="J68" i="26"/>
  <c r="I68" i="26"/>
  <c r="H68" i="26"/>
  <c r="G68" i="26"/>
  <c r="F68" i="26"/>
  <c r="E68" i="26"/>
  <c r="D68" i="26"/>
  <c r="C68" i="26"/>
  <c r="L67" i="26"/>
  <c r="K67" i="26"/>
  <c r="J67" i="26"/>
  <c r="I67" i="26"/>
  <c r="H67" i="26"/>
  <c r="G67" i="26"/>
  <c r="F67" i="26"/>
  <c r="E67" i="26"/>
  <c r="D67" i="26"/>
  <c r="C67" i="26"/>
  <c r="L66" i="26"/>
  <c r="K66" i="26"/>
  <c r="J66" i="26"/>
  <c r="I66" i="26"/>
  <c r="H66" i="26"/>
  <c r="G66" i="26"/>
  <c r="F66" i="26"/>
  <c r="E66" i="26"/>
  <c r="D66" i="26"/>
  <c r="C66" i="26"/>
  <c r="L65" i="26"/>
  <c r="K65" i="26"/>
  <c r="J65" i="26"/>
  <c r="I65" i="26"/>
  <c r="H65" i="26"/>
  <c r="G65" i="26"/>
  <c r="F65" i="26"/>
  <c r="E65" i="26"/>
  <c r="D65" i="26"/>
  <c r="C65" i="26"/>
  <c r="L64" i="26"/>
  <c r="K64" i="26"/>
  <c r="J64" i="26"/>
  <c r="I64" i="26"/>
  <c r="H64" i="26"/>
  <c r="G64" i="26"/>
  <c r="F64" i="26"/>
  <c r="E64" i="26"/>
  <c r="D64" i="26"/>
  <c r="C64" i="26"/>
  <c r="L63" i="26"/>
  <c r="K63" i="26"/>
  <c r="J63" i="26"/>
  <c r="I63" i="26"/>
  <c r="H63" i="26"/>
  <c r="G63" i="26"/>
  <c r="F63" i="26"/>
  <c r="E63" i="26"/>
  <c r="D63" i="26"/>
  <c r="C63" i="26"/>
  <c r="L62" i="26"/>
  <c r="K62" i="26"/>
  <c r="J62" i="26"/>
  <c r="I62" i="26"/>
  <c r="H62" i="26"/>
  <c r="G62" i="26"/>
  <c r="F62" i="26"/>
  <c r="E62" i="26"/>
  <c r="D62" i="26"/>
  <c r="C62" i="26"/>
  <c r="L61" i="26"/>
  <c r="K61" i="26"/>
  <c r="J61" i="26"/>
  <c r="I61" i="26"/>
  <c r="H61" i="26"/>
  <c r="G61" i="26"/>
  <c r="F61" i="26"/>
  <c r="E61" i="26"/>
  <c r="D61" i="26"/>
  <c r="C61" i="26"/>
  <c r="L60" i="26"/>
  <c r="K60" i="26"/>
  <c r="J60" i="26"/>
  <c r="I60" i="26"/>
  <c r="H60" i="26"/>
  <c r="G60" i="26"/>
  <c r="F60" i="26"/>
  <c r="E60" i="26"/>
  <c r="D60" i="26"/>
  <c r="C60" i="26"/>
  <c r="L59" i="26"/>
  <c r="K59" i="26"/>
  <c r="J59" i="26"/>
  <c r="I59" i="26"/>
  <c r="H59" i="26"/>
  <c r="G59" i="26"/>
  <c r="F59" i="26"/>
  <c r="E59" i="26"/>
  <c r="D59" i="26"/>
  <c r="C59" i="26"/>
  <c r="L58" i="26"/>
  <c r="K58" i="26"/>
  <c r="J58" i="26"/>
  <c r="I58" i="26"/>
  <c r="H58" i="26"/>
  <c r="G58" i="26"/>
  <c r="F58" i="26"/>
  <c r="E58" i="26"/>
  <c r="D58" i="26"/>
  <c r="C58" i="26"/>
  <c r="L57" i="26"/>
  <c r="K57" i="26"/>
  <c r="J57" i="26"/>
  <c r="I57" i="26"/>
  <c r="H57" i="26"/>
  <c r="G57" i="26"/>
  <c r="F57" i="26"/>
  <c r="E57" i="26"/>
  <c r="D57" i="26"/>
  <c r="C57" i="26"/>
  <c r="L56" i="26"/>
  <c r="K56" i="26"/>
  <c r="J56" i="26"/>
  <c r="I56" i="26"/>
  <c r="H56" i="26"/>
  <c r="G56" i="26"/>
  <c r="F56" i="26"/>
  <c r="E56" i="26"/>
  <c r="D56" i="26"/>
  <c r="C56" i="26"/>
  <c r="L55" i="26"/>
  <c r="K55" i="26"/>
  <c r="J55" i="26"/>
  <c r="I55" i="26"/>
  <c r="H55" i="26"/>
  <c r="G55" i="26"/>
  <c r="F55" i="26"/>
  <c r="E55" i="26"/>
  <c r="D55" i="26"/>
  <c r="C55" i="26"/>
  <c r="L54" i="26"/>
  <c r="K54" i="26"/>
  <c r="J54" i="26"/>
  <c r="I54" i="26"/>
  <c r="H54" i="26"/>
  <c r="G54" i="26"/>
  <c r="F54" i="26"/>
  <c r="E54" i="26"/>
  <c r="D54" i="26"/>
  <c r="C54" i="26"/>
  <c r="L53" i="26"/>
  <c r="K53" i="26"/>
  <c r="J53" i="26"/>
  <c r="I53" i="26"/>
  <c r="H53" i="26"/>
  <c r="G53" i="26"/>
  <c r="F53" i="26"/>
  <c r="E53" i="26"/>
  <c r="D53" i="26"/>
  <c r="C53" i="26"/>
  <c r="L52" i="26"/>
  <c r="K52" i="26"/>
  <c r="J52" i="26"/>
  <c r="I52" i="26"/>
  <c r="H52" i="26"/>
  <c r="G52" i="26"/>
  <c r="F52" i="26"/>
  <c r="E52" i="26"/>
  <c r="D52" i="26"/>
  <c r="C52" i="26"/>
  <c r="L51" i="26"/>
  <c r="K51" i="26"/>
  <c r="J51" i="26"/>
  <c r="I51" i="26"/>
  <c r="H51" i="26"/>
  <c r="G51" i="26"/>
  <c r="F51" i="26"/>
  <c r="E51" i="26"/>
  <c r="D51" i="26"/>
  <c r="C51" i="26"/>
  <c r="L50" i="26"/>
  <c r="K50" i="26"/>
  <c r="J50" i="26"/>
  <c r="I50" i="26"/>
  <c r="H50" i="26"/>
  <c r="G50" i="26"/>
  <c r="F50" i="26"/>
  <c r="E50" i="26"/>
  <c r="D50" i="26"/>
  <c r="C50" i="26"/>
  <c r="L49" i="26"/>
  <c r="K49" i="26"/>
  <c r="J49" i="26"/>
  <c r="I49" i="26"/>
  <c r="H49" i="26"/>
  <c r="G49" i="26"/>
  <c r="F49" i="26"/>
  <c r="E49" i="26"/>
  <c r="D49" i="26"/>
  <c r="C49" i="26"/>
  <c r="L48" i="26"/>
  <c r="K48" i="26"/>
  <c r="J48" i="26"/>
  <c r="I48" i="26"/>
  <c r="H48" i="26"/>
  <c r="G48" i="26"/>
  <c r="F48" i="26"/>
  <c r="E48" i="26"/>
  <c r="D48" i="26"/>
  <c r="C48" i="26"/>
  <c r="L47" i="26"/>
  <c r="K47" i="26"/>
  <c r="J47" i="26"/>
  <c r="I47" i="26"/>
  <c r="H47" i="26"/>
  <c r="G47" i="26"/>
  <c r="F47" i="26"/>
  <c r="E47" i="26"/>
  <c r="D47" i="26"/>
  <c r="C47" i="26"/>
  <c r="L46" i="26"/>
  <c r="K46" i="26"/>
  <c r="J46" i="26"/>
  <c r="I46" i="26"/>
  <c r="H46" i="26"/>
  <c r="G46" i="26"/>
  <c r="F46" i="26"/>
  <c r="E46" i="26"/>
  <c r="D46" i="26"/>
  <c r="C46" i="26"/>
  <c r="L45" i="26"/>
  <c r="K45" i="26"/>
  <c r="J45" i="26"/>
  <c r="I45" i="26"/>
  <c r="H45" i="26"/>
  <c r="G45" i="26"/>
  <c r="F45" i="26"/>
  <c r="E45" i="26"/>
  <c r="D45" i="26"/>
  <c r="C45" i="26"/>
  <c r="L44" i="26"/>
  <c r="K44" i="26"/>
  <c r="J44" i="26"/>
  <c r="I44" i="26"/>
  <c r="H44" i="26"/>
  <c r="G44" i="26"/>
  <c r="F44" i="26"/>
  <c r="E44" i="26"/>
  <c r="D44" i="26"/>
  <c r="C44" i="26"/>
  <c r="L43" i="26"/>
  <c r="K43" i="26"/>
  <c r="J43" i="26"/>
  <c r="I43" i="26"/>
  <c r="H43" i="26"/>
  <c r="G43" i="26"/>
  <c r="F43" i="26"/>
  <c r="E43" i="26"/>
  <c r="D43" i="26"/>
  <c r="C43" i="26"/>
  <c r="L42" i="26"/>
  <c r="K42" i="26"/>
  <c r="J42" i="26"/>
  <c r="I42" i="26"/>
  <c r="H42" i="26"/>
  <c r="G42" i="26"/>
  <c r="F42" i="26"/>
  <c r="E42" i="26"/>
  <c r="D42" i="26"/>
  <c r="C42" i="26"/>
  <c r="L41" i="26"/>
  <c r="K41" i="26"/>
  <c r="J41" i="26"/>
  <c r="I41" i="26"/>
  <c r="H41" i="26"/>
  <c r="G41" i="26"/>
  <c r="F41" i="26"/>
  <c r="E41" i="26"/>
  <c r="D41" i="26"/>
  <c r="C41" i="26"/>
  <c r="L40" i="26"/>
  <c r="K40" i="26"/>
  <c r="J40" i="26"/>
  <c r="I40" i="26"/>
  <c r="H40" i="26"/>
  <c r="G40" i="26"/>
  <c r="F40" i="26"/>
  <c r="E40" i="26"/>
  <c r="D40" i="26"/>
  <c r="C40" i="26"/>
  <c r="L39" i="26"/>
  <c r="K39" i="26"/>
  <c r="J39" i="26"/>
  <c r="I39" i="26"/>
  <c r="H39" i="26"/>
  <c r="G39" i="26"/>
  <c r="F39" i="26"/>
  <c r="E39" i="26"/>
  <c r="D39" i="26"/>
  <c r="C39" i="26"/>
  <c r="L38" i="26"/>
  <c r="K38" i="26"/>
  <c r="J38" i="26"/>
  <c r="I38" i="26"/>
  <c r="H38" i="26"/>
  <c r="G38" i="26"/>
  <c r="F38" i="26"/>
  <c r="E38" i="26"/>
  <c r="D38" i="26"/>
  <c r="C38" i="26"/>
  <c r="L37" i="26"/>
  <c r="K37" i="26"/>
  <c r="J37" i="26"/>
  <c r="I37" i="26"/>
  <c r="H37" i="26"/>
  <c r="G37" i="26"/>
  <c r="F37" i="26"/>
  <c r="E37" i="26"/>
  <c r="D37" i="26"/>
  <c r="C37" i="26"/>
  <c r="L36" i="26"/>
  <c r="K36" i="26"/>
  <c r="J36" i="26"/>
  <c r="I36" i="26"/>
  <c r="H36" i="26"/>
  <c r="G36" i="26"/>
  <c r="F36" i="26"/>
  <c r="E36" i="26"/>
  <c r="D36" i="26"/>
  <c r="C36" i="26"/>
  <c r="L35" i="26"/>
  <c r="K35" i="26"/>
  <c r="J35" i="26"/>
  <c r="I35" i="26"/>
  <c r="H35" i="26"/>
  <c r="G35" i="26"/>
  <c r="F35" i="26"/>
  <c r="E35" i="26"/>
  <c r="D35" i="26"/>
  <c r="C35" i="26"/>
  <c r="L34" i="26"/>
  <c r="K34" i="26"/>
  <c r="J34" i="26"/>
  <c r="I34" i="26"/>
  <c r="H34" i="26"/>
  <c r="G34" i="26"/>
  <c r="F34" i="26"/>
  <c r="E34" i="26"/>
  <c r="D34" i="26"/>
  <c r="C34" i="26"/>
  <c r="L33" i="26"/>
  <c r="K33" i="26"/>
  <c r="J33" i="26"/>
  <c r="I33" i="26"/>
  <c r="H33" i="26"/>
  <c r="G33" i="26"/>
  <c r="F33" i="26"/>
  <c r="E33" i="26"/>
  <c r="D33" i="26"/>
  <c r="C33" i="26"/>
  <c r="L32" i="26"/>
  <c r="K32" i="26"/>
  <c r="J32" i="26"/>
  <c r="I32" i="26"/>
  <c r="H32" i="26"/>
  <c r="G32" i="26"/>
  <c r="F32" i="26"/>
  <c r="E32" i="26"/>
  <c r="D32" i="26"/>
  <c r="C32" i="26"/>
  <c r="L31" i="26"/>
  <c r="K31" i="26"/>
  <c r="J31" i="26"/>
  <c r="I31" i="26"/>
  <c r="H31" i="26"/>
  <c r="G31" i="26"/>
  <c r="F31" i="26"/>
  <c r="E31" i="26"/>
  <c r="D31" i="26"/>
  <c r="C31" i="26"/>
  <c r="L30" i="26"/>
  <c r="K30" i="26"/>
  <c r="J30" i="26"/>
  <c r="I30" i="26"/>
  <c r="H30" i="26"/>
  <c r="G30" i="26"/>
  <c r="F30" i="26"/>
  <c r="E30" i="26"/>
  <c r="D30" i="26"/>
  <c r="C30" i="26"/>
  <c r="L29" i="26"/>
  <c r="K29" i="26"/>
  <c r="J29" i="26"/>
  <c r="I29" i="26"/>
  <c r="H29" i="26"/>
  <c r="G29" i="26"/>
  <c r="F29" i="26"/>
  <c r="E29" i="26"/>
  <c r="D29" i="26"/>
  <c r="C29" i="26"/>
  <c r="L28" i="26"/>
  <c r="K28" i="26"/>
  <c r="J28" i="26"/>
  <c r="I28" i="26"/>
  <c r="H28" i="26"/>
  <c r="G28" i="26"/>
  <c r="F28" i="26"/>
  <c r="E28" i="26"/>
  <c r="D28" i="26"/>
  <c r="C28" i="26"/>
  <c r="L27" i="26"/>
  <c r="K27" i="26"/>
  <c r="J27" i="26"/>
  <c r="I27" i="26"/>
  <c r="H27" i="26"/>
  <c r="G27" i="26"/>
  <c r="F27" i="26"/>
  <c r="E27" i="26"/>
  <c r="D27" i="26"/>
  <c r="C27" i="26"/>
  <c r="L26" i="26"/>
  <c r="K26" i="26"/>
  <c r="J26" i="26"/>
  <c r="I26" i="26"/>
  <c r="H26" i="26"/>
  <c r="G26" i="26"/>
  <c r="F26" i="26"/>
  <c r="E26" i="26"/>
  <c r="D26" i="26"/>
  <c r="C26" i="26"/>
  <c r="L25" i="26"/>
  <c r="K25" i="26"/>
  <c r="J25" i="26"/>
  <c r="I25" i="26"/>
  <c r="H25" i="26"/>
  <c r="G25" i="26"/>
  <c r="F25" i="26"/>
  <c r="E25" i="26"/>
  <c r="D25" i="26"/>
  <c r="C25" i="26"/>
  <c r="L24" i="26"/>
  <c r="K24" i="26"/>
  <c r="J24" i="26"/>
  <c r="I24" i="26"/>
  <c r="H24" i="26"/>
  <c r="G24" i="26"/>
  <c r="F24" i="26"/>
  <c r="E24" i="26"/>
  <c r="D24" i="26"/>
  <c r="C24" i="26"/>
  <c r="L23" i="26"/>
  <c r="K23" i="26"/>
  <c r="J23" i="26"/>
  <c r="I23" i="26"/>
  <c r="H23" i="26"/>
  <c r="G23" i="26"/>
  <c r="F23" i="26"/>
  <c r="E23" i="26"/>
  <c r="D23" i="26"/>
  <c r="C23" i="26"/>
  <c r="L22" i="26"/>
  <c r="K22" i="26"/>
  <c r="J22" i="26"/>
  <c r="I22" i="26"/>
  <c r="H22" i="26"/>
  <c r="G22" i="26"/>
  <c r="F22" i="26"/>
  <c r="E22" i="26"/>
  <c r="D22" i="26"/>
  <c r="C22" i="26"/>
  <c r="L21" i="26"/>
  <c r="K21" i="26"/>
  <c r="J21" i="26"/>
  <c r="I21" i="26"/>
  <c r="H21" i="26"/>
  <c r="G21" i="26"/>
  <c r="F21" i="26"/>
  <c r="E21" i="26"/>
  <c r="D21" i="26"/>
  <c r="C21" i="26"/>
  <c r="L20" i="26"/>
  <c r="K20" i="26"/>
  <c r="J20" i="26"/>
  <c r="I20" i="26"/>
  <c r="H20" i="26"/>
  <c r="G20" i="26"/>
  <c r="F20" i="26"/>
  <c r="E20" i="26"/>
  <c r="D20" i="26"/>
  <c r="C20" i="26"/>
  <c r="L19" i="26"/>
  <c r="K19" i="26"/>
  <c r="J19" i="26"/>
  <c r="I19" i="26"/>
  <c r="H19" i="26"/>
  <c r="G19" i="26"/>
  <c r="F19" i="26"/>
  <c r="E19" i="26"/>
  <c r="D19" i="26"/>
  <c r="C19" i="26"/>
  <c r="L18" i="26"/>
  <c r="K18" i="26"/>
  <c r="J18" i="26"/>
  <c r="I18" i="26"/>
  <c r="H18" i="26"/>
  <c r="G18" i="26"/>
  <c r="F18" i="26"/>
  <c r="E18" i="26"/>
  <c r="D18" i="26"/>
  <c r="C18" i="26"/>
  <c r="L17" i="26"/>
  <c r="K17" i="26"/>
  <c r="J17" i="26"/>
  <c r="I17" i="26"/>
  <c r="H17" i="26"/>
  <c r="G17" i="26"/>
  <c r="F17" i="26"/>
  <c r="E17" i="26"/>
  <c r="D17" i="26"/>
  <c r="C17" i="26"/>
  <c r="L16" i="26"/>
  <c r="K16" i="26"/>
  <c r="J16" i="26"/>
  <c r="I16" i="26"/>
  <c r="H16" i="26"/>
  <c r="G16" i="26"/>
  <c r="F16" i="26"/>
  <c r="E16" i="26"/>
  <c r="D16" i="26"/>
  <c r="C16" i="26"/>
  <c r="L15" i="26"/>
  <c r="K15" i="26"/>
  <c r="J15" i="26"/>
  <c r="I15" i="26"/>
  <c r="H15" i="26"/>
  <c r="G15" i="26"/>
  <c r="F15" i="26"/>
  <c r="E15" i="26"/>
  <c r="D15" i="26"/>
  <c r="C15" i="26"/>
  <c r="L14" i="26"/>
  <c r="K14" i="26"/>
  <c r="J14" i="26"/>
  <c r="I14" i="26"/>
  <c r="H14" i="26"/>
  <c r="G14" i="26"/>
  <c r="F14" i="26"/>
  <c r="E14" i="26"/>
  <c r="D14" i="26"/>
  <c r="C14" i="26"/>
  <c r="L13" i="26"/>
  <c r="K13" i="26"/>
  <c r="J13" i="26"/>
  <c r="I13" i="26"/>
  <c r="H13" i="26"/>
  <c r="G13" i="26"/>
  <c r="F13" i="26"/>
  <c r="E13" i="26"/>
  <c r="D13" i="26"/>
  <c r="C13" i="26"/>
  <c r="L12" i="26"/>
  <c r="K12" i="26"/>
  <c r="J12" i="26"/>
  <c r="I12" i="26"/>
  <c r="H12" i="26"/>
  <c r="G12" i="26"/>
  <c r="F12" i="26"/>
  <c r="E12" i="26"/>
  <c r="D12" i="26"/>
  <c r="C12" i="26"/>
  <c r="L11" i="26"/>
  <c r="K11" i="26"/>
  <c r="J11" i="26"/>
  <c r="I11" i="26"/>
  <c r="H11" i="26"/>
  <c r="G11" i="26"/>
  <c r="F11" i="26"/>
  <c r="E11" i="26"/>
  <c r="D11" i="26"/>
  <c r="C11" i="26"/>
  <c r="L10" i="26"/>
  <c r="K10" i="26"/>
  <c r="J10" i="26"/>
  <c r="I10" i="26"/>
  <c r="H10" i="26"/>
  <c r="G10" i="26"/>
  <c r="F10" i="26"/>
  <c r="E10" i="26"/>
  <c r="D10" i="26"/>
  <c r="C10" i="26"/>
  <c r="L9" i="26"/>
  <c r="K9" i="26"/>
  <c r="J9" i="26"/>
  <c r="I9" i="26"/>
  <c r="H9" i="26"/>
  <c r="G9" i="26"/>
  <c r="F9" i="26"/>
  <c r="E9" i="26"/>
  <c r="D9" i="26"/>
  <c r="C9" i="26"/>
  <c r="L8" i="26"/>
  <c r="K8" i="26"/>
  <c r="J8" i="26"/>
  <c r="I8" i="26"/>
  <c r="H8" i="26"/>
  <c r="G8" i="26"/>
  <c r="F8" i="26"/>
  <c r="E8" i="26"/>
  <c r="D8" i="26"/>
  <c r="C8" i="26"/>
  <c r="L7" i="26"/>
  <c r="K7" i="26"/>
  <c r="J7" i="26"/>
  <c r="I7" i="26"/>
  <c r="H7" i="26"/>
  <c r="G7" i="26"/>
  <c r="F7" i="26"/>
  <c r="E7" i="26"/>
  <c r="D7" i="26"/>
  <c r="C7" i="26"/>
  <c r="AL92" i="26"/>
  <c r="AK92" i="26"/>
  <c r="Z92" i="26"/>
  <c r="Y92" i="26"/>
  <c r="N92" i="26"/>
  <c r="M92" i="26"/>
  <c r="AL91" i="26"/>
  <c r="AK91" i="26"/>
  <c r="Z91" i="26"/>
  <c r="Y91" i="26"/>
  <c r="N91" i="26"/>
  <c r="M91" i="26"/>
  <c r="AL90" i="26"/>
  <c r="AK90" i="26"/>
  <c r="Z90" i="26"/>
  <c r="Y90" i="26"/>
  <c r="N90" i="26"/>
  <c r="M90" i="26"/>
  <c r="AL89" i="26"/>
  <c r="AK89" i="26"/>
  <c r="Z89" i="26"/>
  <c r="Y89" i="26"/>
  <c r="N89" i="26"/>
  <c r="M89" i="26"/>
  <c r="AL88" i="26"/>
  <c r="AK88" i="26"/>
  <c r="Z88" i="26"/>
  <c r="Y88" i="26"/>
  <c r="N88" i="26"/>
  <c r="M88" i="26"/>
  <c r="AL87" i="26"/>
  <c r="AK87" i="26"/>
  <c r="Z87" i="26"/>
  <c r="Y87" i="26"/>
  <c r="N87" i="26"/>
  <c r="M87" i="26"/>
  <c r="AL86" i="26"/>
  <c r="AK86" i="26"/>
  <c r="Z86" i="26"/>
  <c r="Y86" i="26"/>
  <c r="N86" i="26"/>
  <c r="M86" i="26"/>
  <c r="AL85" i="26"/>
  <c r="AK85" i="26"/>
  <c r="Z85" i="26"/>
  <c r="Y85" i="26"/>
  <c r="N85" i="26"/>
  <c r="M85" i="26"/>
  <c r="AL79" i="26"/>
  <c r="AK79" i="26"/>
  <c r="Z79" i="26"/>
  <c r="Y79" i="26"/>
  <c r="N79" i="26"/>
  <c r="M79" i="26"/>
  <c r="AL78" i="26"/>
  <c r="AK78" i="26"/>
  <c r="Z78" i="26"/>
  <c r="Y78" i="26"/>
  <c r="N78" i="26"/>
  <c r="M78" i="26"/>
  <c r="AL77" i="26"/>
  <c r="AK77" i="26"/>
  <c r="Z77" i="26"/>
  <c r="Y77" i="26"/>
  <c r="N77" i="26"/>
  <c r="M77" i="26"/>
  <c r="AL76" i="26"/>
  <c r="AK76" i="26"/>
  <c r="Z76" i="26"/>
  <c r="Y76" i="26"/>
  <c r="N76" i="26"/>
  <c r="M76" i="26"/>
  <c r="AL75" i="26"/>
  <c r="AK75" i="26"/>
  <c r="Z75" i="26"/>
  <c r="Y75" i="26"/>
  <c r="N75" i="26"/>
  <c r="M75" i="26"/>
  <c r="AL74" i="26"/>
  <c r="AK74" i="26"/>
  <c r="Z74" i="26"/>
  <c r="Y74" i="26"/>
  <c r="N74" i="26"/>
  <c r="M74" i="26"/>
  <c r="AL73" i="26"/>
  <c r="AK73" i="26"/>
  <c r="Z73" i="26"/>
  <c r="Y73" i="26"/>
  <c r="N73" i="26"/>
  <c r="M73" i="26"/>
  <c r="AL72" i="26"/>
  <c r="AK72" i="26"/>
  <c r="Z72" i="26"/>
  <c r="Y72" i="26"/>
  <c r="N72" i="26"/>
  <c r="M72" i="26"/>
  <c r="AL71" i="26"/>
  <c r="AK71" i="26"/>
  <c r="Z71" i="26"/>
  <c r="Y71" i="26"/>
  <c r="N71" i="26"/>
  <c r="M71" i="26"/>
  <c r="AL70" i="26"/>
  <c r="AK70" i="26"/>
  <c r="Z70" i="26"/>
  <c r="Y70" i="26"/>
  <c r="N70" i="26"/>
  <c r="M70" i="26"/>
  <c r="AL69" i="26"/>
  <c r="AK69" i="26"/>
  <c r="Z69" i="26"/>
  <c r="Y69" i="26"/>
  <c r="N69" i="26"/>
  <c r="M69" i="26"/>
  <c r="AL68" i="26"/>
  <c r="AK68" i="26"/>
  <c r="Z68" i="26"/>
  <c r="Y68" i="26"/>
  <c r="N68" i="26"/>
  <c r="M68" i="26"/>
  <c r="AL67" i="26"/>
  <c r="AK67" i="26"/>
  <c r="Z67" i="26"/>
  <c r="Y67" i="26"/>
  <c r="N67" i="26"/>
  <c r="M67" i="26"/>
  <c r="AL66" i="26"/>
  <c r="AK66" i="26"/>
  <c r="Z66" i="26"/>
  <c r="Y66" i="26"/>
  <c r="N66" i="26"/>
  <c r="M66" i="26"/>
  <c r="AL65" i="26"/>
  <c r="AK65" i="26"/>
  <c r="Z65" i="26"/>
  <c r="Y65" i="26"/>
  <c r="N65" i="26"/>
  <c r="M65" i="26"/>
  <c r="AL64" i="26"/>
  <c r="AK64" i="26"/>
  <c r="Z64" i="26"/>
  <c r="Y64" i="26"/>
  <c r="N64" i="26"/>
  <c r="M64" i="26"/>
  <c r="AL63" i="26"/>
  <c r="AK63" i="26"/>
  <c r="Z63" i="26"/>
  <c r="Y63" i="26"/>
  <c r="N63" i="26"/>
  <c r="M63" i="26"/>
  <c r="AL62" i="26"/>
  <c r="AK62" i="26"/>
  <c r="Z62" i="26"/>
  <c r="Y62" i="26"/>
  <c r="N62" i="26"/>
  <c r="M62" i="26"/>
  <c r="AL61" i="26"/>
  <c r="AK61" i="26"/>
  <c r="Z61" i="26"/>
  <c r="Y61" i="26"/>
  <c r="N61" i="26"/>
  <c r="M61" i="26"/>
  <c r="AL60" i="26"/>
  <c r="AK60" i="26"/>
  <c r="Z60" i="26"/>
  <c r="Y60" i="26"/>
  <c r="N60" i="26"/>
  <c r="M60" i="26"/>
  <c r="AL59" i="26"/>
  <c r="AK59" i="26"/>
  <c r="Z59" i="26"/>
  <c r="Y59" i="26"/>
  <c r="N59" i="26"/>
  <c r="M59" i="26"/>
  <c r="AL58" i="26"/>
  <c r="AK58" i="26"/>
  <c r="Z58" i="26"/>
  <c r="Y58" i="26"/>
  <c r="N58" i="26"/>
  <c r="M58" i="26"/>
  <c r="AL57" i="26"/>
  <c r="AK57" i="26"/>
  <c r="Z57" i="26"/>
  <c r="Y57" i="26"/>
  <c r="N57" i="26"/>
  <c r="M57" i="26"/>
  <c r="AL56" i="26"/>
  <c r="AK56" i="26"/>
  <c r="Z56" i="26"/>
  <c r="Y56" i="26"/>
  <c r="N56" i="26"/>
  <c r="M56" i="26"/>
  <c r="AL55" i="26"/>
  <c r="AK55" i="26"/>
  <c r="Z55" i="26"/>
  <c r="Y55" i="26"/>
  <c r="N55" i="26"/>
  <c r="M55" i="26"/>
  <c r="AL54" i="26"/>
  <c r="AK54" i="26"/>
  <c r="Z54" i="26"/>
  <c r="Y54" i="26"/>
  <c r="N54" i="26"/>
  <c r="M54" i="26"/>
  <c r="AL53" i="26"/>
  <c r="AK53" i="26"/>
  <c r="Z53" i="26"/>
  <c r="Y53" i="26"/>
  <c r="N53" i="26"/>
  <c r="M53" i="26"/>
  <c r="AL52" i="26"/>
  <c r="AK52" i="26"/>
  <c r="Z52" i="26"/>
  <c r="Y52" i="26"/>
  <c r="N52" i="26"/>
  <c r="M52" i="26"/>
  <c r="AL51" i="26"/>
  <c r="AK51" i="26"/>
  <c r="Z51" i="26"/>
  <c r="Y51" i="26"/>
  <c r="N51" i="26"/>
  <c r="M51" i="26"/>
  <c r="AL50" i="26"/>
  <c r="AK50" i="26"/>
  <c r="Z50" i="26"/>
  <c r="Y50" i="26"/>
  <c r="N50" i="26"/>
  <c r="M50" i="26"/>
  <c r="AL49" i="26"/>
  <c r="AK49" i="26"/>
  <c r="Z49" i="26"/>
  <c r="Y49" i="26"/>
  <c r="N49" i="26"/>
  <c r="M49" i="26"/>
  <c r="AL48" i="26"/>
  <c r="AK48" i="26"/>
  <c r="Z48" i="26"/>
  <c r="Y48" i="26"/>
  <c r="N48" i="26"/>
  <c r="M48" i="26"/>
  <c r="AL47" i="26"/>
  <c r="AK47" i="26"/>
  <c r="Z47" i="26"/>
  <c r="Y47" i="26"/>
  <c r="N47" i="26"/>
  <c r="M47" i="26"/>
  <c r="AL46" i="26"/>
  <c r="AK46" i="26"/>
  <c r="Z46" i="26"/>
  <c r="Y46" i="26"/>
  <c r="N46" i="26"/>
  <c r="M46" i="26"/>
  <c r="AL45" i="26"/>
  <c r="AK45" i="26"/>
  <c r="Z45" i="26"/>
  <c r="Y45" i="26"/>
  <c r="N45" i="26"/>
  <c r="M45" i="26"/>
  <c r="AL44" i="26"/>
  <c r="AK44" i="26"/>
  <c r="Z44" i="26"/>
  <c r="Y44" i="26"/>
  <c r="N44" i="26"/>
  <c r="M44" i="26"/>
  <c r="AL43" i="26"/>
  <c r="AK43" i="26"/>
  <c r="Z43" i="26"/>
  <c r="Y43" i="26"/>
  <c r="N43" i="26"/>
  <c r="M43" i="26"/>
  <c r="AL42" i="26"/>
  <c r="AK42" i="26"/>
  <c r="Z42" i="26"/>
  <c r="Y42" i="26"/>
  <c r="N42" i="26"/>
  <c r="M42" i="26"/>
  <c r="AL41" i="26"/>
  <c r="AK41" i="26"/>
  <c r="Z41" i="26"/>
  <c r="Y41" i="26"/>
  <c r="N41" i="26"/>
  <c r="M41" i="26"/>
  <c r="AL40" i="26"/>
  <c r="AK40" i="26"/>
  <c r="Z40" i="26"/>
  <c r="Y40" i="26"/>
  <c r="N40" i="26"/>
  <c r="M40" i="26"/>
  <c r="AL39" i="26"/>
  <c r="AK39" i="26"/>
  <c r="Z39" i="26"/>
  <c r="Y39" i="26"/>
  <c r="N39" i="26"/>
  <c r="M39" i="26"/>
  <c r="AL38" i="26"/>
  <c r="AK38" i="26"/>
  <c r="Z38" i="26"/>
  <c r="Y38" i="26"/>
  <c r="N38" i="26"/>
  <c r="M38" i="26"/>
  <c r="AL37" i="26"/>
  <c r="AK37" i="26"/>
  <c r="Z37" i="26"/>
  <c r="Y37" i="26"/>
  <c r="N37" i="26"/>
  <c r="M37" i="26"/>
  <c r="AL36" i="26"/>
  <c r="AK36" i="26"/>
  <c r="Z36" i="26"/>
  <c r="Y36" i="26"/>
  <c r="N36" i="26"/>
  <c r="M36" i="26"/>
  <c r="AL35" i="26"/>
  <c r="AK35" i="26"/>
  <c r="Z35" i="26"/>
  <c r="Y35" i="26"/>
  <c r="N35" i="26"/>
  <c r="M35" i="26"/>
  <c r="AL34" i="26"/>
  <c r="AK34" i="26"/>
  <c r="Z34" i="26"/>
  <c r="Y34" i="26"/>
  <c r="N34" i="26"/>
  <c r="M34" i="26"/>
  <c r="AL33" i="26"/>
  <c r="AK33" i="26"/>
  <c r="Z33" i="26"/>
  <c r="Y33" i="26"/>
  <c r="N33" i="26"/>
  <c r="M33" i="26"/>
  <c r="AL32" i="26"/>
  <c r="AK32" i="26"/>
  <c r="Z32" i="26"/>
  <c r="Y32" i="26"/>
  <c r="N32" i="26"/>
  <c r="M32" i="26"/>
  <c r="AL31" i="26"/>
  <c r="AK31" i="26"/>
  <c r="Z31" i="26"/>
  <c r="Y31" i="26"/>
  <c r="N31" i="26"/>
  <c r="M31" i="26"/>
  <c r="AL30" i="26"/>
  <c r="AK30" i="26"/>
  <c r="Z30" i="26"/>
  <c r="Y30" i="26"/>
  <c r="N30" i="26"/>
  <c r="M30" i="26"/>
  <c r="AL29" i="26"/>
  <c r="AK29" i="26"/>
  <c r="Z29" i="26"/>
  <c r="Y29" i="26"/>
  <c r="N29" i="26"/>
  <c r="M29" i="26"/>
  <c r="AL28" i="26"/>
  <c r="AK28" i="26"/>
  <c r="Z28" i="26"/>
  <c r="Y28" i="26"/>
  <c r="N28" i="26"/>
  <c r="M28" i="26"/>
  <c r="AL27" i="26"/>
  <c r="AK27" i="26"/>
  <c r="Z27" i="26"/>
  <c r="Y27" i="26"/>
  <c r="N27" i="26"/>
  <c r="M27" i="26"/>
  <c r="AL26" i="26"/>
  <c r="AK26" i="26"/>
  <c r="Z26" i="26"/>
  <c r="Y26" i="26"/>
  <c r="N26" i="26"/>
  <c r="M26" i="26"/>
  <c r="AL25" i="26"/>
  <c r="AK25" i="26"/>
  <c r="Z25" i="26"/>
  <c r="Y25" i="26"/>
  <c r="N25" i="26"/>
  <c r="M25" i="26"/>
  <c r="AL24" i="26"/>
  <c r="AK24" i="26"/>
  <c r="Z24" i="26"/>
  <c r="Y24" i="26"/>
  <c r="N24" i="26"/>
  <c r="M24" i="26"/>
  <c r="AL23" i="26"/>
  <c r="AK23" i="26"/>
  <c r="Z23" i="26"/>
  <c r="Y23" i="26"/>
  <c r="N23" i="26"/>
  <c r="M23" i="26"/>
  <c r="AL22" i="26"/>
  <c r="AK22" i="26"/>
  <c r="Z22" i="26"/>
  <c r="Y22" i="26"/>
  <c r="N22" i="26"/>
  <c r="M22" i="26"/>
  <c r="AL21" i="26"/>
  <c r="AK21" i="26"/>
  <c r="Z21" i="26"/>
  <c r="Y21" i="26"/>
  <c r="N21" i="26"/>
  <c r="M21" i="26"/>
  <c r="AL20" i="26"/>
  <c r="AK20" i="26"/>
  <c r="Z20" i="26"/>
  <c r="Y20" i="26"/>
  <c r="N20" i="26"/>
  <c r="M20" i="26"/>
  <c r="AL19" i="26"/>
  <c r="AK19" i="26"/>
  <c r="Z19" i="26"/>
  <c r="Y19" i="26"/>
  <c r="N19" i="26"/>
  <c r="M19" i="26"/>
  <c r="AL18" i="26"/>
  <c r="AK18" i="26"/>
  <c r="Z18" i="26"/>
  <c r="Y18" i="26"/>
  <c r="N18" i="26"/>
  <c r="M18" i="26"/>
  <c r="AL17" i="26"/>
  <c r="AK17" i="26"/>
  <c r="Z17" i="26"/>
  <c r="Y17" i="26"/>
  <c r="N17" i="26"/>
  <c r="M17" i="26"/>
  <c r="AL16" i="26"/>
  <c r="AK16" i="26"/>
  <c r="Z16" i="26"/>
  <c r="Y16" i="26"/>
  <c r="N16" i="26"/>
  <c r="M16" i="26"/>
  <c r="AL15" i="26"/>
  <c r="AK15" i="26"/>
  <c r="Z15" i="26"/>
  <c r="Y15" i="26"/>
  <c r="N15" i="26"/>
  <c r="M15" i="26"/>
  <c r="AL14" i="26"/>
  <c r="AK14" i="26"/>
  <c r="Z14" i="26"/>
  <c r="Y14" i="26"/>
  <c r="N14" i="26"/>
  <c r="M14" i="26"/>
  <c r="AL13" i="26"/>
  <c r="AK13" i="26"/>
  <c r="Z13" i="26"/>
  <c r="Y13" i="26"/>
  <c r="N13" i="26"/>
  <c r="M13" i="26"/>
  <c r="AL12" i="26"/>
  <c r="AK12" i="26"/>
  <c r="Z12" i="26"/>
  <c r="Y12" i="26"/>
  <c r="N12" i="26"/>
  <c r="M12" i="26"/>
  <c r="AL11" i="26"/>
  <c r="AK11" i="26"/>
  <c r="Z11" i="26"/>
  <c r="Y11" i="26"/>
  <c r="N11" i="26"/>
  <c r="M11" i="26"/>
  <c r="AL10" i="26"/>
  <c r="AK10" i="26"/>
  <c r="Z10" i="26"/>
  <c r="Y10" i="26"/>
  <c r="N10" i="26"/>
  <c r="M10" i="26"/>
  <c r="N9" i="26"/>
  <c r="M9" i="26"/>
  <c r="AN8" i="26"/>
  <c r="AL8" i="26"/>
  <c r="AK8" i="26"/>
  <c r="Z8" i="26"/>
  <c r="Y8" i="26"/>
  <c r="N8" i="26"/>
  <c r="M8" i="26"/>
  <c r="AL7" i="26"/>
  <c r="AK7" i="26"/>
  <c r="Z7" i="26"/>
  <c r="Y7" i="26"/>
  <c r="N7" i="26"/>
  <c r="M7" i="26"/>
  <c r="AL87" i="2"/>
  <c r="AK87" i="2"/>
  <c r="AL86" i="2"/>
  <c r="AK86" i="2"/>
  <c r="AL85" i="2"/>
  <c r="AK85" i="2"/>
  <c r="AL84" i="2"/>
  <c r="AK84" i="2"/>
  <c r="AL83" i="2"/>
  <c r="AK83" i="2"/>
  <c r="AL82" i="2"/>
  <c r="AK82" i="2"/>
  <c r="AL81" i="2"/>
  <c r="AK81" i="2"/>
  <c r="AL80" i="2"/>
  <c r="AK80" i="2"/>
  <c r="AL74" i="2"/>
  <c r="AK74" i="2"/>
  <c r="AL73" i="2"/>
  <c r="AK73" i="2"/>
  <c r="AL72" i="2"/>
  <c r="AK72" i="2"/>
  <c r="AL71" i="2"/>
  <c r="AK71" i="2"/>
  <c r="AL70" i="2"/>
  <c r="AK70" i="2"/>
  <c r="AL69" i="2"/>
  <c r="AK69" i="2"/>
  <c r="AL68" i="2"/>
  <c r="AK68" i="2"/>
  <c r="AL67" i="2"/>
  <c r="AK67" i="2"/>
  <c r="AL66" i="2"/>
  <c r="AK66" i="2"/>
  <c r="AL65" i="2"/>
  <c r="AK65" i="2"/>
  <c r="AL64" i="2"/>
  <c r="AK64" i="2"/>
  <c r="AL63" i="2"/>
  <c r="AK63" i="2"/>
  <c r="AL62" i="2"/>
  <c r="AK62" i="2"/>
  <c r="AL61" i="2"/>
  <c r="AK61" i="2"/>
  <c r="AL60" i="2"/>
  <c r="AK60" i="2"/>
  <c r="AL89" i="2"/>
  <c r="AK89" i="2"/>
  <c r="AL88" i="2"/>
  <c r="AK88" i="2"/>
  <c r="AL59" i="2"/>
  <c r="AK59" i="2"/>
  <c r="AL58" i="2"/>
  <c r="AK58" i="2"/>
  <c r="AL57" i="2"/>
  <c r="AK57" i="2"/>
  <c r="AL56" i="2"/>
  <c r="AK56" i="2"/>
  <c r="AL55" i="2"/>
  <c r="AK55" i="2"/>
  <c r="AL54" i="2"/>
  <c r="AK54" i="2"/>
  <c r="AL53" i="2"/>
  <c r="AK53" i="2"/>
  <c r="AL52" i="2"/>
  <c r="AK52" i="2"/>
  <c r="AL51" i="2"/>
  <c r="AK51" i="2"/>
  <c r="AL50" i="2"/>
  <c r="AK50" i="2"/>
  <c r="AL49" i="2"/>
  <c r="AK49" i="2"/>
  <c r="AL48" i="2"/>
  <c r="AK48" i="2"/>
  <c r="AL47" i="2"/>
  <c r="AK47" i="2"/>
  <c r="AL46" i="2"/>
  <c r="AK46" i="2"/>
  <c r="AL45" i="2"/>
  <c r="AK45" i="2"/>
  <c r="AL44" i="2"/>
  <c r="AK44" i="2"/>
  <c r="AL43" i="2"/>
  <c r="AK43" i="2"/>
  <c r="AL42" i="2"/>
  <c r="AK42" i="2"/>
  <c r="AL41" i="2"/>
  <c r="AK41" i="2"/>
  <c r="AL40" i="2"/>
  <c r="AK40" i="2"/>
  <c r="AL39" i="2"/>
  <c r="AK39" i="2"/>
  <c r="AL38" i="2"/>
  <c r="AK38" i="2"/>
  <c r="AL37" i="2"/>
  <c r="AK37" i="2"/>
  <c r="AL36" i="2"/>
  <c r="AK36" i="2"/>
  <c r="AL35" i="2"/>
  <c r="AK35" i="2"/>
  <c r="AL34" i="2"/>
  <c r="AK34" i="2"/>
  <c r="AL33" i="2"/>
  <c r="AK33" i="2"/>
  <c r="AL32" i="2"/>
  <c r="AK32" i="2"/>
  <c r="AL31" i="2"/>
  <c r="AK31" i="2"/>
  <c r="AL30" i="2"/>
  <c r="AK30" i="2"/>
  <c r="AL29" i="2"/>
  <c r="AK29" i="2"/>
  <c r="AL28" i="2"/>
  <c r="AK28" i="2"/>
  <c r="AL27" i="2"/>
  <c r="AK27" i="2"/>
  <c r="AL26" i="2"/>
  <c r="AK26" i="2"/>
  <c r="AL25" i="2"/>
  <c r="AK25" i="2"/>
  <c r="AL23" i="2"/>
  <c r="AK23" i="2"/>
  <c r="AL22" i="2"/>
  <c r="AK22" i="2"/>
  <c r="AL24" i="2"/>
  <c r="AK24" i="2"/>
  <c r="AL21" i="2"/>
  <c r="AK21" i="2"/>
  <c r="AL20" i="2"/>
  <c r="AK20" i="2"/>
  <c r="AL19" i="2"/>
  <c r="AK19" i="2"/>
  <c r="AL18" i="2"/>
  <c r="AK18" i="2"/>
  <c r="AL17" i="2"/>
  <c r="AK17" i="2"/>
  <c r="AL16" i="2"/>
  <c r="AK16" i="2"/>
  <c r="AL15" i="2"/>
  <c r="AK15" i="2"/>
  <c r="AL14" i="2"/>
  <c r="AK14" i="2"/>
  <c r="AL13" i="2"/>
  <c r="AK13" i="2"/>
  <c r="AL12" i="2"/>
  <c r="AK12" i="2"/>
  <c r="AL90" i="2"/>
  <c r="AK90" i="2"/>
  <c r="AL11" i="2"/>
  <c r="AK11" i="2"/>
  <c r="AL10" i="2"/>
  <c r="AK10" i="2"/>
  <c r="AL9" i="2"/>
  <c r="AK9" i="2"/>
  <c r="AL8" i="2"/>
  <c r="AK8" i="2"/>
  <c r="AL7" i="2"/>
  <c r="AK7" i="2"/>
  <c r="AL92" i="2"/>
  <c r="AK92" i="2"/>
  <c r="F58" i="35" l="1"/>
  <c r="H131" i="29"/>
  <c r="D131" i="29"/>
  <c r="F130" i="29"/>
  <c r="G131" i="29"/>
  <c r="I130" i="29"/>
  <c r="E130" i="29"/>
  <c r="F131" i="29"/>
  <c r="H130" i="29"/>
  <c r="C91" i="2" l="1"/>
  <c r="D91" i="2"/>
  <c r="E91" i="2"/>
  <c r="F91" i="2"/>
  <c r="G91" i="2"/>
  <c r="H91" i="2"/>
  <c r="I91" i="2"/>
  <c r="J91" i="2"/>
  <c r="K91" i="2"/>
  <c r="L91" i="2"/>
  <c r="M91" i="2"/>
  <c r="N91" i="2"/>
  <c r="K76" i="2"/>
  <c r="G76" i="2"/>
  <c r="C76" i="2"/>
  <c r="E7" i="2"/>
  <c r="F7" i="2"/>
  <c r="I7" i="2"/>
  <c r="J7" i="2"/>
  <c r="M7" i="2"/>
  <c r="N7" i="2"/>
  <c r="C8" i="2"/>
  <c r="D8" i="2"/>
  <c r="E8" i="2"/>
  <c r="F8" i="2"/>
  <c r="G8" i="2"/>
  <c r="H8" i="2"/>
  <c r="I8" i="2"/>
  <c r="J8" i="2"/>
  <c r="K8" i="2"/>
  <c r="L8" i="2"/>
  <c r="M8" i="2"/>
  <c r="N8" i="2"/>
  <c r="C9" i="2"/>
  <c r="D9" i="2"/>
  <c r="E9" i="2"/>
  <c r="F9" i="2"/>
  <c r="G9" i="2"/>
  <c r="H9" i="2"/>
  <c r="I9" i="2"/>
  <c r="J9" i="2"/>
  <c r="K9" i="2"/>
  <c r="L9" i="2"/>
  <c r="M9" i="2"/>
  <c r="N9" i="2"/>
  <c r="C10" i="2"/>
  <c r="D10" i="2"/>
  <c r="E10" i="2"/>
  <c r="F10" i="2"/>
  <c r="G10" i="2"/>
  <c r="H10" i="2"/>
  <c r="I10" i="2"/>
  <c r="J10" i="2"/>
  <c r="K10" i="2"/>
  <c r="L10" i="2"/>
  <c r="M10" i="2"/>
  <c r="N10" i="2"/>
  <c r="C11" i="2"/>
  <c r="D11" i="2"/>
  <c r="E11" i="2"/>
  <c r="F11" i="2"/>
  <c r="G11" i="2"/>
  <c r="H11" i="2"/>
  <c r="I11" i="2"/>
  <c r="J11" i="2"/>
  <c r="K11" i="2"/>
  <c r="L11" i="2"/>
  <c r="M11" i="2"/>
  <c r="N11" i="2"/>
  <c r="C90" i="2"/>
  <c r="D90" i="2"/>
  <c r="E90" i="2"/>
  <c r="F90" i="2"/>
  <c r="G90" i="2"/>
  <c r="H90" i="2"/>
  <c r="I90" i="2"/>
  <c r="J90" i="2"/>
  <c r="K90" i="2"/>
  <c r="L90" i="2"/>
  <c r="M90" i="2"/>
  <c r="N90" i="2"/>
  <c r="C12" i="2"/>
  <c r="D12" i="2"/>
  <c r="E12" i="2"/>
  <c r="F12" i="2"/>
  <c r="G12" i="2"/>
  <c r="H12" i="2"/>
  <c r="I12" i="2"/>
  <c r="J12" i="2"/>
  <c r="K12" i="2"/>
  <c r="L12" i="2"/>
  <c r="M12" i="2"/>
  <c r="N12" i="2"/>
  <c r="C13" i="2"/>
  <c r="D13" i="2"/>
  <c r="E13" i="2"/>
  <c r="F13" i="2"/>
  <c r="G13" i="2"/>
  <c r="H13" i="2"/>
  <c r="I13" i="2"/>
  <c r="J13" i="2"/>
  <c r="K13" i="2"/>
  <c r="L13" i="2"/>
  <c r="M13" i="2"/>
  <c r="N13" i="2"/>
  <c r="C14" i="2"/>
  <c r="D14" i="2"/>
  <c r="E14" i="2"/>
  <c r="F14" i="2"/>
  <c r="G14" i="2"/>
  <c r="H14" i="2"/>
  <c r="I14" i="2"/>
  <c r="J14" i="2"/>
  <c r="K14" i="2"/>
  <c r="L14" i="2"/>
  <c r="M14" i="2"/>
  <c r="N14" i="2"/>
  <c r="C15" i="2"/>
  <c r="D15" i="2"/>
  <c r="E15" i="2"/>
  <c r="F15" i="2"/>
  <c r="G15" i="2"/>
  <c r="H15" i="2"/>
  <c r="I15" i="2"/>
  <c r="J15" i="2"/>
  <c r="K15" i="2"/>
  <c r="L15" i="2"/>
  <c r="M15" i="2"/>
  <c r="N15" i="2"/>
  <c r="C16" i="2"/>
  <c r="D16" i="2"/>
  <c r="E16" i="2"/>
  <c r="F16" i="2"/>
  <c r="G16" i="2"/>
  <c r="H16" i="2"/>
  <c r="I16" i="2"/>
  <c r="J16" i="2"/>
  <c r="K16" i="2"/>
  <c r="L16" i="2"/>
  <c r="M16" i="2"/>
  <c r="N16" i="2"/>
  <c r="C17" i="2"/>
  <c r="D17" i="2"/>
  <c r="E17" i="2"/>
  <c r="F17" i="2"/>
  <c r="G17" i="2"/>
  <c r="H17" i="2"/>
  <c r="I17" i="2"/>
  <c r="J17" i="2"/>
  <c r="K17" i="2"/>
  <c r="L17" i="2"/>
  <c r="M17" i="2"/>
  <c r="N17" i="2"/>
  <c r="E18" i="2"/>
  <c r="F18" i="2"/>
  <c r="I18" i="2"/>
  <c r="J18" i="2"/>
  <c r="M18" i="2"/>
  <c r="N18" i="2"/>
  <c r="C19" i="2"/>
  <c r="D19" i="2"/>
  <c r="E19" i="2"/>
  <c r="F19" i="2"/>
  <c r="G19" i="2"/>
  <c r="H19" i="2"/>
  <c r="I19" i="2"/>
  <c r="J19" i="2"/>
  <c r="K19" i="2"/>
  <c r="L19" i="2"/>
  <c r="M19" i="2"/>
  <c r="N19" i="2"/>
  <c r="C20" i="2"/>
  <c r="D20" i="2"/>
  <c r="E20" i="2"/>
  <c r="F20" i="2"/>
  <c r="G20" i="2"/>
  <c r="H20" i="2"/>
  <c r="I20" i="2"/>
  <c r="J20" i="2"/>
  <c r="K20" i="2"/>
  <c r="L20" i="2"/>
  <c r="M20" i="2"/>
  <c r="N20" i="2"/>
  <c r="C21" i="2"/>
  <c r="D21" i="2"/>
  <c r="E21" i="2"/>
  <c r="F21" i="2"/>
  <c r="G21" i="2"/>
  <c r="H21" i="2"/>
  <c r="I21" i="2"/>
  <c r="J21" i="2"/>
  <c r="K21" i="2"/>
  <c r="L21" i="2"/>
  <c r="M21" i="2"/>
  <c r="N21" i="2"/>
  <c r="C24" i="2"/>
  <c r="D24" i="2"/>
  <c r="E24" i="2"/>
  <c r="F24" i="2"/>
  <c r="G24" i="2"/>
  <c r="H24" i="2"/>
  <c r="I24" i="2"/>
  <c r="J24" i="2"/>
  <c r="K24" i="2"/>
  <c r="L24" i="2"/>
  <c r="M24" i="2"/>
  <c r="N24" i="2"/>
  <c r="C22" i="2"/>
  <c r="D22" i="2"/>
  <c r="E22" i="2"/>
  <c r="F22" i="2"/>
  <c r="G22" i="2"/>
  <c r="H22" i="2"/>
  <c r="I22" i="2"/>
  <c r="J22" i="2"/>
  <c r="K22" i="2"/>
  <c r="L22" i="2"/>
  <c r="M22" i="2"/>
  <c r="N22" i="2"/>
  <c r="C23" i="2"/>
  <c r="D23" i="2"/>
  <c r="E23" i="2"/>
  <c r="F23" i="2"/>
  <c r="G23" i="2"/>
  <c r="H23" i="2"/>
  <c r="I23" i="2"/>
  <c r="J23" i="2"/>
  <c r="K23" i="2"/>
  <c r="L23" i="2"/>
  <c r="M23" i="2"/>
  <c r="N23" i="2"/>
  <c r="C25" i="2"/>
  <c r="D25" i="2"/>
  <c r="E25" i="2"/>
  <c r="F25" i="2"/>
  <c r="G25" i="2"/>
  <c r="H25" i="2"/>
  <c r="I25" i="2"/>
  <c r="J25" i="2"/>
  <c r="K25" i="2"/>
  <c r="L25" i="2"/>
  <c r="M25" i="2"/>
  <c r="N25" i="2"/>
  <c r="C26" i="2"/>
  <c r="D26" i="2"/>
  <c r="E26" i="2"/>
  <c r="F26" i="2"/>
  <c r="G26" i="2"/>
  <c r="H26" i="2"/>
  <c r="I26" i="2"/>
  <c r="J26" i="2"/>
  <c r="K26" i="2"/>
  <c r="L26" i="2"/>
  <c r="M26" i="2"/>
  <c r="N26" i="2"/>
  <c r="C27" i="2"/>
  <c r="D27" i="2"/>
  <c r="E27" i="2"/>
  <c r="F27" i="2"/>
  <c r="G27" i="2"/>
  <c r="H27" i="2"/>
  <c r="I27" i="2"/>
  <c r="J27" i="2"/>
  <c r="K27" i="2"/>
  <c r="L27" i="2"/>
  <c r="M27" i="2"/>
  <c r="N27" i="2"/>
  <c r="C28" i="2"/>
  <c r="D28" i="2"/>
  <c r="E28" i="2"/>
  <c r="F28" i="2"/>
  <c r="G28" i="2"/>
  <c r="H28" i="2"/>
  <c r="I28" i="2"/>
  <c r="J28" i="2"/>
  <c r="K28" i="2"/>
  <c r="L28" i="2"/>
  <c r="M28" i="2"/>
  <c r="N28" i="2"/>
  <c r="C29" i="2"/>
  <c r="D29" i="2"/>
  <c r="E29" i="2"/>
  <c r="F29" i="2"/>
  <c r="G29" i="2"/>
  <c r="H29" i="2"/>
  <c r="I29" i="2"/>
  <c r="J29" i="2"/>
  <c r="K29" i="2"/>
  <c r="L29" i="2"/>
  <c r="M29" i="2"/>
  <c r="N29" i="2"/>
  <c r="C30" i="2"/>
  <c r="D30" i="2"/>
  <c r="E30" i="2"/>
  <c r="F30" i="2"/>
  <c r="G30" i="2"/>
  <c r="H30" i="2"/>
  <c r="I30" i="2"/>
  <c r="J30" i="2"/>
  <c r="K30" i="2"/>
  <c r="L30" i="2"/>
  <c r="M30" i="2"/>
  <c r="N30" i="2"/>
  <c r="C31" i="2"/>
  <c r="D31" i="2"/>
  <c r="E31" i="2"/>
  <c r="F31" i="2"/>
  <c r="G31" i="2"/>
  <c r="H31" i="2"/>
  <c r="I31" i="2"/>
  <c r="J31" i="2"/>
  <c r="K31" i="2"/>
  <c r="L31" i="2"/>
  <c r="M31" i="2"/>
  <c r="N31" i="2"/>
  <c r="C32" i="2"/>
  <c r="D32" i="2"/>
  <c r="E32" i="2"/>
  <c r="F32" i="2"/>
  <c r="G32" i="2"/>
  <c r="H32" i="2"/>
  <c r="I32" i="2"/>
  <c r="J32" i="2"/>
  <c r="K32" i="2"/>
  <c r="L32" i="2"/>
  <c r="M32" i="2"/>
  <c r="N32" i="2"/>
  <c r="C33" i="2"/>
  <c r="D33" i="2"/>
  <c r="E33" i="2"/>
  <c r="F33" i="2"/>
  <c r="G33" i="2"/>
  <c r="H33" i="2"/>
  <c r="I33" i="2"/>
  <c r="J33" i="2"/>
  <c r="K33" i="2"/>
  <c r="L33" i="2"/>
  <c r="M33" i="2"/>
  <c r="N33" i="2"/>
  <c r="C34" i="2"/>
  <c r="D34" i="2"/>
  <c r="E34" i="2"/>
  <c r="F34" i="2"/>
  <c r="G34" i="2"/>
  <c r="H34" i="2"/>
  <c r="I34" i="2"/>
  <c r="J34" i="2"/>
  <c r="K34" i="2"/>
  <c r="L34" i="2"/>
  <c r="M34" i="2"/>
  <c r="N34" i="2"/>
  <c r="C35" i="2"/>
  <c r="D35" i="2"/>
  <c r="E35" i="2"/>
  <c r="F35" i="2"/>
  <c r="G35" i="2"/>
  <c r="H35" i="2"/>
  <c r="I35" i="2"/>
  <c r="J35" i="2"/>
  <c r="K35" i="2"/>
  <c r="L35" i="2"/>
  <c r="M35" i="2"/>
  <c r="N35" i="2"/>
  <c r="C36" i="2"/>
  <c r="D36" i="2"/>
  <c r="E36" i="2"/>
  <c r="F36" i="2"/>
  <c r="G36" i="2"/>
  <c r="H36" i="2"/>
  <c r="I36" i="2"/>
  <c r="J36" i="2"/>
  <c r="K36" i="2"/>
  <c r="L36" i="2"/>
  <c r="M36" i="2"/>
  <c r="N36" i="2"/>
  <c r="C37" i="2"/>
  <c r="D37" i="2"/>
  <c r="E37" i="2"/>
  <c r="F37" i="2"/>
  <c r="G37" i="2"/>
  <c r="H37" i="2"/>
  <c r="I37" i="2"/>
  <c r="J37" i="2"/>
  <c r="K37" i="2"/>
  <c r="L37" i="2"/>
  <c r="M37" i="2"/>
  <c r="N37" i="2"/>
  <c r="C38" i="2"/>
  <c r="D38" i="2"/>
  <c r="E38" i="2"/>
  <c r="F38" i="2"/>
  <c r="G38" i="2"/>
  <c r="H38" i="2"/>
  <c r="I38" i="2"/>
  <c r="J38" i="2"/>
  <c r="K38" i="2"/>
  <c r="L38" i="2"/>
  <c r="M38" i="2"/>
  <c r="N38" i="2"/>
  <c r="C39" i="2"/>
  <c r="D39" i="2"/>
  <c r="E39" i="2"/>
  <c r="F39" i="2"/>
  <c r="G39" i="2"/>
  <c r="H39" i="2"/>
  <c r="I39" i="2"/>
  <c r="J39" i="2"/>
  <c r="K39" i="2"/>
  <c r="L39" i="2"/>
  <c r="M39" i="2"/>
  <c r="N39" i="2"/>
  <c r="C40" i="2"/>
  <c r="D40" i="2"/>
  <c r="E40" i="2"/>
  <c r="F40" i="2"/>
  <c r="G40" i="2"/>
  <c r="H40" i="2"/>
  <c r="I40" i="2"/>
  <c r="J40" i="2"/>
  <c r="K40" i="2"/>
  <c r="L40" i="2"/>
  <c r="M40" i="2"/>
  <c r="N40" i="2"/>
  <c r="C41" i="2"/>
  <c r="D41" i="2"/>
  <c r="E41" i="2"/>
  <c r="F41" i="2"/>
  <c r="G41" i="2"/>
  <c r="H41" i="2"/>
  <c r="I41" i="2"/>
  <c r="J41" i="2"/>
  <c r="K41" i="2"/>
  <c r="L41" i="2"/>
  <c r="M41" i="2"/>
  <c r="N41" i="2"/>
  <c r="C42" i="2"/>
  <c r="D42" i="2"/>
  <c r="E42" i="2"/>
  <c r="F42" i="2"/>
  <c r="G42" i="2"/>
  <c r="H42" i="2"/>
  <c r="I42" i="2"/>
  <c r="J42" i="2"/>
  <c r="K42" i="2"/>
  <c r="L42" i="2"/>
  <c r="M42" i="2"/>
  <c r="N42" i="2"/>
  <c r="C43" i="2"/>
  <c r="D43" i="2"/>
  <c r="E43" i="2"/>
  <c r="F43" i="2"/>
  <c r="G43" i="2"/>
  <c r="H43" i="2"/>
  <c r="I43" i="2"/>
  <c r="J43" i="2"/>
  <c r="K43" i="2"/>
  <c r="L43" i="2"/>
  <c r="M43" i="2"/>
  <c r="N43" i="2"/>
  <c r="C44" i="2"/>
  <c r="D44" i="2"/>
  <c r="E44" i="2"/>
  <c r="F44" i="2"/>
  <c r="G44" i="2"/>
  <c r="H44" i="2"/>
  <c r="I44" i="2"/>
  <c r="J44" i="2"/>
  <c r="K44" i="2"/>
  <c r="L44" i="2"/>
  <c r="M44" i="2"/>
  <c r="N44" i="2"/>
  <c r="C45" i="2"/>
  <c r="D45" i="2"/>
  <c r="E45" i="2"/>
  <c r="F45" i="2"/>
  <c r="G45" i="2"/>
  <c r="H45" i="2"/>
  <c r="I45" i="2"/>
  <c r="J45" i="2"/>
  <c r="K45" i="2"/>
  <c r="L45" i="2"/>
  <c r="M45" i="2"/>
  <c r="N45" i="2"/>
  <c r="C46" i="2"/>
  <c r="D46" i="2"/>
  <c r="E46" i="2"/>
  <c r="F46" i="2"/>
  <c r="G46" i="2"/>
  <c r="H46" i="2"/>
  <c r="I46" i="2"/>
  <c r="J46" i="2"/>
  <c r="K46" i="2"/>
  <c r="L46" i="2"/>
  <c r="M46" i="2"/>
  <c r="N46" i="2"/>
  <c r="C47" i="2"/>
  <c r="D47" i="2"/>
  <c r="E47" i="2"/>
  <c r="F47" i="2"/>
  <c r="G47" i="2"/>
  <c r="H47" i="2"/>
  <c r="I47" i="2"/>
  <c r="J47" i="2"/>
  <c r="K47" i="2"/>
  <c r="L47" i="2"/>
  <c r="M47" i="2"/>
  <c r="N47" i="2"/>
  <c r="C48" i="2"/>
  <c r="D48" i="2"/>
  <c r="E48" i="2"/>
  <c r="F48" i="2"/>
  <c r="G48" i="2"/>
  <c r="H48" i="2"/>
  <c r="I48" i="2"/>
  <c r="J48" i="2"/>
  <c r="K48" i="2"/>
  <c r="L48" i="2"/>
  <c r="M48" i="2"/>
  <c r="N48" i="2"/>
  <c r="C49" i="2"/>
  <c r="D49" i="2"/>
  <c r="E49" i="2"/>
  <c r="F49" i="2"/>
  <c r="G49" i="2"/>
  <c r="H49" i="2"/>
  <c r="I49" i="2"/>
  <c r="J49" i="2"/>
  <c r="K49" i="2"/>
  <c r="L49" i="2"/>
  <c r="M49" i="2"/>
  <c r="N49" i="2"/>
  <c r="C50" i="2"/>
  <c r="D50" i="2"/>
  <c r="E50" i="2"/>
  <c r="F50" i="2"/>
  <c r="G50" i="2"/>
  <c r="H50" i="2"/>
  <c r="I50" i="2"/>
  <c r="J50" i="2"/>
  <c r="K50" i="2"/>
  <c r="L50" i="2"/>
  <c r="M50" i="2"/>
  <c r="N50" i="2"/>
  <c r="C51" i="2"/>
  <c r="D51" i="2"/>
  <c r="E51" i="2"/>
  <c r="F51" i="2"/>
  <c r="G51" i="2"/>
  <c r="H51" i="2"/>
  <c r="I51" i="2"/>
  <c r="J51" i="2"/>
  <c r="K51" i="2"/>
  <c r="L51" i="2"/>
  <c r="M51" i="2"/>
  <c r="N51" i="2"/>
  <c r="C52" i="2"/>
  <c r="D52" i="2"/>
  <c r="E52" i="2"/>
  <c r="F52" i="2"/>
  <c r="G52" i="2"/>
  <c r="H52" i="2"/>
  <c r="I52" i="2"/>
  <c r="J52" i="2"/>
  <c r="K52" i="2"/>
  <c r="L52" i="2"/>
  <c r="M52" i="2"/>
  <c r="N52" i="2"/>
  <c r="C53" i="2"/>
  <c r="D53" i="2"/>
  <c r="E53" i="2"/>
  <c r="F53" i="2"/>
  <c r="G53" i="2"/>
  <c r="H53" i="2"/>
  <c r="I53" i="2"/>
  <c r="J53" i="2"/>
  <c r="K53" i="2"/>
  <c r="L53" i="2"/>
  <c r="M53" i="2"/>
  <c r="N53" i="2"/>
  <c r="C54" i="2"/>
  <c r="D54" i="2"/>
  <c r="E54" i="2"/>
  <c r="F54" i="2"/>
  <c r="G54" i="2"/>
  <c r="H54" i="2"/>
  <c r="I54" i="2"/>
  <c r="J54" i="2"/>
  <c r="K54" i="2"/>
  <c r="L54" i="2"/>
  <c r="M54" i="2"/>
  <c r="N54" i="2"/>
  <c r="C55" i="2"/>
  <c r="D55" i="2"/>
  <c r="E55" i="2"/>
  <c r="F55" i="2"/>
  <c r="G55" i="2"/>
  <c r="H55" i="2"/>
  <c r="I55" i="2"/>
  <c r="J55" i="2"/>
  <c r="K55" i="2"/>
  <c r="L55" i="2"/>
  <c r="M55" i="2"/>
  <c r="N55" i="2"/>
  <c r="C56" i="2"/>
  <c r="D56" i="2"/>
  <c r="E56" i="2"/>
  <c r="F56" i="2"/>
  <c r="G56" i="2"/>
  <c r="H56" i="2"/>
  <c r="I56" i="2"/>
  <c r="J56" i="2"/>
  <c r="K56" i="2"/>
  <c r="L56" i="2"/>
  <c r="M56" i="2"/>
  <c r="N56" i="2"/>
  <c r="C57" i="2"/>
  <c r="D57" i="2"/>
  <c r="E57" i="2"/>
  <c r="F57" i="2"/>
  <c r="G57" i="2"/>
  <c r="H57" i="2"/>
  <c r="I57" i="2"/>
  <c r="J57" i="2"/>
  <c r="K57" i="2"/>
  <c r="L57" i="2"/>
  <c r="M57" i="2"/>
  <c r="N57" i="2"/>
  <c r="C58" i="2"/>
  <c r="D58" i="2"/>
  <c r="E58" i="2"/>
  <c r="F58" i="2"/>
  <c r="G58" i="2"/>
  <c r="H58" i="2"/>
  <c r="I58" i="2"/>
  <c r="J58" i="2"/>
  <c r="K58" i="2"/>
  <c r="L58" i="2"/>
  <c r="M58" i="2"/>
  <c r="N58" i="2"/>
  <c r="C59" i="2"/>
  <c r="D59" i="2"/>
  <c r="E59" i="2"/>
  <c r="F59" i="2"/>
  <c r="G59" i="2"/>
  <c r="H59" i="2"/>
  <c r="I59" i="2"/>
  <c r="J59" i="2"/>
  <c r="K59" i="2"/>
  <c r="L59" i="2"/>
  <c r="M59" i="2"/>
  <c r="N59" i="2"/>
  <c r="C88" i="2"/>
  <c r="D88" i="2"/>
  <c r="E88" i="2"/>
  <c r="F88" i="2"/>
  <c r="G88" i="2"/>
  <c r="H88" i="2"/>
  <c r="I88" i="2"/>
  <c r="J88" i="2"/>
  <c r="K88" i="2"/>
  <c r="L88" i="2"/>
  <c r="M88" i="2"/>
  <c r="N88" i="2"/>
  <c r="C89" i="2"/>
  <c r="D89" i="2"/>
  <c r="E89" i="2"/>
  <c r="F89" i="2"/>
  <c r="G89" i="2"/>
  <c r="H89" i="2"/>
  <c r="I89" i="2"/>
  <c r="J89" i="2"/>
  <c r="K89" i="2"/>
  <c r="L89" i="2"/>
  <c r="M89" i="2"/>
  <c r="N89" i="2"/>
  <c r="C60" i="2"/>
  <c r="D60" i="2"/>
  <c r="E60" i="2"/>
  <c r="F60" i="2"/>
  <c r="G60" i="2"/>
  <c r="H60" i="2"/>
  <c r="I60" i="2"/>
  <c r="J60" i="2"/>
  <c r="K60" i="2"/>
  <c r="L60" i="2"/>
  <c r="M60" i="2"/>
  <c r="N60" i="2"/>
  <c r="C61" i="2"/>
  <c r="D61" i="2"/>
  <c r="E61" i="2"/>
  <c r="F61" i="2"/>
  <c r="G61" i="2"/>
  <c r="H61" i="2"/>
  <c r="I61" i="2"/>
  <c r="J61" i="2"/>
  <c r="K61" i="2"/>
  <c r="L61" i="2"/>
  <c r="M61" i="2"/>
  <c r="N61" i="2"/>
  <c r="C62" i="2"/>
  <c r="D62" i="2"/>
  <c r="E62" i="2"/>
  <c r="F62" i="2"/>
  <c r="G62" i="2"/>
  <c r="H62" i="2"/>
  <c r="I62" i="2"/>
  <c r="J62" i="2"/>
  <c r="K62" i="2"/>
  <c r="L62" i="2"/>
  <c r="M62" i="2"/>
  <c r="N62" i="2"/>
  <c r="C63" i="2"/>
  <c r="D63" i="2"/>
  <c r="E63" i="2"/>
  <c r="F63" i="2"/>
  <c r="G63" i="2"/>
  <c r="H63" i="2"/>
  <c r="I63" i="2"/>
  <c r="J63" i="2"/>
  <c r="K63" i="2"/>
  <c r="L63" i="2"/>
  <c r="M63" i="2"/>
  <c r="N63" i="2"/>
  <c r="C64" i="2"/>
  <c r="D64" i="2"/>
  <c r="E64" i="2"/>
  <c r="F64" i="2"/>
  <c r="G64" i="2"/>
  <c r="H64" i="2"/>
  <c r="I64" i="2"/>
  <c r="J64" i="2"/>
  <c r="K64" i="2"/>
  <c r="L64" i="2"/>
  <c r="M64" i="2"/>
  <c r="N64" i="2"/>
  <c r="C65" i="2"/>
  <c r="D65" i="2"/>
  <c r="E65" i="2"/>
  <c r="F65" i="2"/>
  <c r="G65" i="2"/>
  <c r="H65" i="2"/>
  <c r="I65" i="2"/>
  <c r="J65" i="2"/>
  <c r="K65" i="2"/>
  <c r="L65" i="2"/>
  <c r="M65" i="2"/>
  <c r="N65" i="2"/>
  <c r="C66" i="2"/>
  <c r="D66" i="2"/>
  <c r="E66" i="2"/>
  <c r="F66" i="2"/>
  <c r="G66" i="2"/>
  <c r="H66" i="2"/>
  <c r="I66" i="2"/>
  <c r="J66" i="2"/>
  <c r="K66" i="2"/>
  <c r="L66" i="2"/>
  <c r="M66" i="2"/>
  <c r="N66" i="2"/>
  <c r="C67" i="2"/>
  <c r="D67" i="2"/>
  <c r="E67" i="2"/>
  <c r="F67" i="2"/>
  <c r="G67" i="2"/>
  <c r="H67" i="2"/>
  <c r="I67" i="2"/>
  <c r="J67" i="2"/>
  <c r="K67" i="2"/>
  <c r="L67" i="2"/>
  <c r="M67" i="2"/>
  <c r="N67" i="2"/>
  <c r="C68" i="2"/>
  <c r="D68" i="2"/>
  <c r="E68" i="2"/>
  <c r="F68" i="2"/>
  <c r="G68" i="2"/>
  <c r="H68" i="2"/>
  <c r="I68" i="2"/>
  <c r="J68" i="2"/>
  <c r="K68" i="2"/>
  <c r="L68" i="2"/>
  <c r="M68" i="2"/>
  <c r="N68" i="2"/>
  <c r="C69" i="2"/>
  <c r="D69" i="2"/>
  <c r="E69" i="2"/>
  <c r="F69" i="2"/>
  <c r="G69" i="2"/>
  <c r="H69" i="2"/>
  <c r="I69" i="2"/>
  <c r="J69" i="2"/>
  <c r="K69" i="2"/>
  <c r="L69" i="2"/>
  <c r="M69" i="2"/>
  <c r="N69" i="2"/>
  <c r="C70" i="2"/>
  <c r="D70" i="2"/>
  <c r="E70" i="2"/>
  <c r="F70" i="2"/>
  <c r="G70" i="2"/>
  <c r="H70" i="2"/>
  <c r="I70" i="2"/>
  <c r="J70" i="2"/>
  <c r="K70" i="2"/>
  <c r="L70" i="2"/>
  <c r="M70" i="2"/>
  <c r="N70" i="2"/>
  <c r="C71" i="2"/>
  <c r="D71" i="2"/>
  <c r="E71" i="2"/>
  <c r="F71" i="2"/>
  <c r="G71" i="2"/>
  <c r="H71" i="2"/>
  <c r="I71" i="2"/>
  <c r="J71" i="2"/>
  <c r="K71" i="2"/>
  <c r="L71" i="2"/>
  <c r="M71" i="2"/>
  <c r="N71" i="2"/>
  <c r="C72" i="2"/>
  <c r="D72" i="2"/>
  <c r="E72" i="2"/>
  <c r="F72" i="2"/>
  <c r="G72" i="2"/>
  <c r="H72" i="2"/>
  <c r="I72" i="2"/>
  <c r="J72" i="2"/>
  <c r="K72" i="2"/>
  <c r="L72" i="2"/>
  <c r="M72" i="2"/>
  <c r="N72" i="2"/>
  <c r="C73" i="2"/>
  <c r="D73" i="2"/>
  <c r="E73" i="2"/>
  <c r="F73" i="2"/>
  <c r="G73" i="2"/>
  <c r="H73" i="2"/>
  <c r="I73" i="2"/>
  <c r="J73" i="2"/>
  <c r="K73" i="2"/>
  <c r="L73" i="2"/>
  <c r="M73" i="2"/>
  <c r="N73" i="2"/>
  <c r="C74" i="2"/>
  <c r="D74" i="2"/>
  <c r="E74" i="2"/>
  <c r="F74" i="2"/>
  <c r="G74" i="2"/>
  <c r="H74" i="2"/>
  <c r="I74" i="2"/>
  <c r="J74" i="2"/>
  <c r="K74" i="2"/>
  <c r="L74" i="2"/>
  <c r="M74" i="2"/>
  <c r="N74" i="2"/>
  <c r="C80" i="2"/>
  <c r="D80" i="2"/>
  <c r="E80" i="2"/>
  <c r="F80" i="2"/>
  <c r="G80" i="2"/>
  <c r="H80" i="2"/>
  <c r="I80" i="2"/>
  <c r="J80" i="2"/>
  <c r="K80" i="2"/>
  <c r="L80" i="2"/>
  <c r="M80" i="2"/>
  <c r="N80" i="2"/>
  <c r="C81" i="2"/>
  <c r="D81" i="2"/>
  <c r="E81" i="2"/>
  <c r="F81" i="2"/>
  <c r="G81" i="2"/>
  <c r="H81" i="2"/>
  <c r="I81" i="2"/>
  <c r="J81" i="2"/>
  <c r="K81" i="2"/>
  <c r="L81" i="2"/>
  <c r="M81" i="2"/>
  <c r="N81" i="2"/>
  <c r="C82" i="2"/>
  <c r="D82" i="2"/>
  <c r="E82" i="2"/>
  <c r="F82" i="2"/>
  <c r="G82" i="2"/>
  <c r="H82" i="2"/>
  <c r="I82" i="2"/>
  <c r="J82" i="2"/>
  <c r="K82" i="2"/>
  <c r="L82" i="2"/>
  <c r="M82" i="2"/>
  <c r="N82" i="2"/>
  <c r="C83" i="2"/>
  <c r="D83" i="2"/>
  <c r="E83" i="2"/>
  <c r="F83" i="2"/>
  <c r="G83" i="2"/>
  <c r="H83" i="2"/>
  <c r="I83" i="2"/>
  <c r="J83" i="2"/>
  <c r="K83" i="2"/>
  <c r="L83" i="2"/>
  <c r="M83" i="2"/>
  <c r="N83" i="2"/>
  <c r="C84" i="2"/>
  <c r="D84" i="2"/>
  <c r="E84" i="2"/>
  <c r="F84" i="2"/>
  <c r="G84" i="2"/>
  <c r="H84" i="2"/>
  <c r="I84" i="2"/>
  <c r="J84" i="2"/>
  <c r="K84" i="2"/>
  <c r="L84" i="2"/>
  <c r="M84" i="2"/>
  <c r="N84" i="2"/>
  <c r="C85" i="2"/>
  <c r="D85" i="2"/>
  <c r="E85" i="2"/>
  <c r="F85" i="2"/>
  <c r="G85" i="2"/>
  <c r="H85" i="2"/>
  <c r="I85" i="2"/>
  <c r="J85" i="2"/>
  <c r="K85" i="2"/>
  <c r="L85" i="2"/>
  <c r="M85" i="2"/>
  <c r="N85" i="2"/>
  <c r="C86" i="2"/>
  <c r="D86" i="2"/>
  <c r="E86" i="2"/>
  <c r="F86" i="2"/>
  <c r="G86" i="2"/>
  <c r="H86" i="2"/>
  <c r="I86" i="2"/>
  <c r="J86" i="2"/>
  <c r="K86" i="2"/>
  <c r="L86" i="2"/>
  <c r="M86" i="2"/>
  <c r="N86" i="2"/>
  <c r="C87" i="2"/>
  <c r="D87" i="2"/>
  <c r="E87" i="2"/>
  <c r="F87" i="2"/>
  <c r="G87" i="2"/>
  <c r="H87" i="2"/>
  <c r="I87" i="2"/>
  <c r="J87" i="2"/>
  <c r="K87" i="2"/>
  <c r="L87" i="2"/>
  <c r="M87" i="2"/>
  <c r="N87" i="2"/>
  <c r="K92" i="2"/>
  <c r="L92" i="2"/>
  <c r="M92" i="2"/>
  <c r="N92" i="2"/>
  <c r="D92" i="2"/>
  <c r="E92" i="2"/>
  <c r="F92" i="2"/>
  <c r="G92" i="2"/>
  <c r="H92" i="2"/>
  <c r="I92" i="2"/>
  <c r="J92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<sst xmlns="http://schemas.openxmlformats.org/spreadsheetml/2006/main" count="5484" uniqueCount="698">
  <si>
    <t>Statistic</t>
  </si>
  <si>
    <t>N</t>
  </si>
  <si>
    <t>Mean</t>
  </si>
  <si>
    <t>St. Dev.</t>
  </si>
  <si>
    <t>Min</t>
  </si>
  <si>
    <t>Max</t>
  </si>
  <si>
    <t>----------------------------</t>
  </si>
  <si>
    <t>------</t>
  </si>
  <si>
    <t>--------------</t>
  </si>
  <si>
    <t>---------------</t>
  </si>
  <si>
    <t>num_sale</t>
  </si>
  <si>
    <t>Covid</t>
  </si>
  <si>
    <t>Covid2</t>
  </si>
  <si>
    <t>BathsFull</t>
  </si>
  <si>
    <t>BathsHalf</t>
  </si>
  <si>
    <t>BedsTotal</t>
  </si>
  <si>
    <t>DOM</t>
  </si>
  <si>
    <t>SQFTGarageCarport</t>
  </si>
  <si>
    <t>SqftTotal</t>
  </si>
  <si>
    <t>real.list.price</t>
  </si>
  <si>
    <t>real.close.price</t>
  </si>
  <si>
    <t>Basement</t>
  </si>
  <si>
    <t>Split</t>
  </si>
  <si>
    <t>PUD</t>
  </si>
  <si>
    <t>LowRise</t>
  </si>
  <si>
    <t>HighRise</t>
  </si>
  <si>
    <t>Townhouse</t>
  </si>
  <si>
    <t>Condotel</t>
  </si>
  <si>
    <t>SingleFam</t>
  </si>
  <si>
    <t>Duplex</t>
  </si>
  <si>
    <t>MultiDwell</t>
  </si>
  <si>
    <t>WalkUP</t>
  </si>
  <si>
    <t>pool</t>
  </si>
  <si>
    <t>Age</t>
  </si>
  <si>
    <t>Age2</t>
  </si>
  <si>
    <t>Age.r</t>
  </si>
  <si>
    <t>Cases</t>
  </si>
  <si>
    <t>par_area</t>
  </si>
  <si>
    <t>Beach</t>
  </si>
  <si>
    <t>park</t>
  </si>
  <si>
    <t>hospital</t>
  </si>
  <si>
    <t>airport</t>
  </si>
  <si>
    <t>per_white</t>
  </si>
  <si>
    <t>per_black</t>
  </si>
  <si>
    <t>per_asian</t>
  </si>
  <si>
    <t>per_hawaian</t>
  </si>
  <si>
    <t>per_occupied</t>
  </si>
  <si>
    <t>per_vacant</t>
  </si>
  <si>
    <t>per_owner</t>
  </si>
  <si>
    <t>per_renter</t>
  </si>
  <si>
    <t>HOA</t>
  </si>
  <si>
    <t>Elevator</t>
  </si>
  <si>
    <t>remod</t>
  </si>
  <si>
    <t>lat</t>
  </si>
  <si>
    <t>lon</t>
  </si>
  <si>
    <t>PropertyTypeCondo/Townhouse</t>
  </si>
  <si>
    <t>PropertyTypeCondo_Townhouse</t>
  </si>
  <si>
    <t>PropertyTypeSingle Family</t>
  </si>
  <si>
    <t>StoriesOne</t>
  </si>
  <si>
    <t>StoriesTwo</t>
  </si>
  <si>
    <t>StoriesMulti</t>
  </si>
  <si>
    <t>year</t>
  </si>
  <si>
    <t>LUCResidential</t>
  </si>
  <si>
    <t>LUCAgriculture</t>
  </si>
  <si>
    <t>LUCApartment-HD</t>
  </si>
  <si>
    <t>LUCApartment-LD</t>
  </si>
  <si>
    <t>LUCApartment-MD</t>
  </si>
  <si>
    <t>LUCBusiness</t>
  </si>
  <si>
    <t>LUCOther</t>
  </si>
  <si>
    <t>LUCResort</t>
  </si>
  <si>
    <t>condAverage</t>
  </si>
  <si>
    <t>condExcellent</t>
  </si>
  <si>
    <t>condAbove Average</t>
  </si>
  <si>
    <t>condFair</t>
  </si>
  <si>
    <t>parking0</t>
  </si>
  <si>
    <t>parking1</t>
  </si>
  <si>
    <t>parking2</t>
  </si>
  <si>
    <t>parking3</t>
  </si>
  <si>
    <t>parking4</t>
  </si>
  <si>
    <t>fld_zoneAE</t>
  </si>
  <si>
    <t>fld_zoneA</t>
  </si>
  <si>
    <t>fld_zoneAH</t>
  </si>
  <si>
    <t>fld_zoneAO</t>
  </si>
  <si>
    <t>fld_zoneD</t>
  </si>
  <si>
    <t>fld_zoneVE</t>
  </si>
  <si>
    <t>fld_zoneX</t>
  </si>
  <si>
    <t>Number of times sold</t>
  </si>
  <si>
    <t>Variable</t>
  </si>
  <si>
    <t>Description</t>
  </si>
  <si>
    <t>Std. Dev.</t>
  </si>
  <si>
    <t>Min.</t>
  </si>
  <si>
    <t>Max.</t>
  </si>
  <si>
    <t>Full Sample</t>
  </si>
  <si>
    <t>Post Covid (March, 2020 and after)</t>
  </si>
  <si>
    <t>Pre Covid (upto March, 2022)</t>
  </si>
  <si>
    <t>=1 for sales during or after 3/2020</t>
  </si>
  <si>
    <t>=1 for sales during or after 3/2020 but before 1/2023</t>
  </si>
  <si>
    <t>Number of Full Bathrooms</t>
  </si>
  <si>
    <t>Number of Half Bathrooms</t>
  </si>
  <si>
    <t>Total Number of Bedrooms</t>
  </si>
  <si>
    <t>Days on the Market</t>
  </si>
  <si>
    <t>Squarefootage of Garage or Carport</t>
  </si>
  <si>
    <t>Total Squarefootage</t>
  </si>
  <si>
    <t>Real List Price</t>
  </si>
  <si>
    <t>Real Closing Price</t>
  </si>
  <si>
    <t>=1 if Basement Exists</t>
  </si>
  <si>
    <t>=1 for Splitlevel Home</t>
  </si>
  <si>
    <t>=1 for PUD type Home</t>
  </si>
  <si>
    <t>=1 for unit in Low Rise building</t>
  </si>
  <si>
    <t>=1 for unit in High Rise Building</t>
  </si>
  <si>
    <t>=1 for Townhouse Home</t>
  </si>
  <si>
    <t>=1 for classification as Condo-Hotel</t>
  </si>
  <si>
    <t>=1 for Classification as Single Family Unit</t>
  </si>
  <si>
    <t>=1 for Classification as a Duplex</t>
  </si>
  <si>
    <t>=1 for Classification as a Multi-Dwelling Unit</t>
  </si>
  <si>
    <t>=1 for Classification as a Walk up Unit</t>
  </si>
  <si>
    <t>=1 if Pool is included</t>
  </si>
  <si>
    <t>Age of the home</t>
  </si>
  <si>
    <t>Age of the home - squared</t>
  </si>
  <si>
    <t>Age of most recent remodel</t>
  </si>
  <si>
    <t>Number of Covid Cases when Home Sold</t>
  </si>
  <si>
    <t>Census Tract Percentage of Whites</t>
  </si>
  <si>
    <t>Census Tract Percentage of Blacks</t>
  </si>
  <si>
    <t>Census Tract Percentage of Asian</t>
  </si>
  <si>
    <t>Census Tract Percentage of Hawaian</t>
  </si>
  <si>
    <t>Census Tract Propertytypecondocentage of Townhouse</t>
  </si>
  <si>
    <t>Census Tract Percentage of Housing Units Occupied</t>
  </si>
  <si>
    <t>Census Tract Percentage of Housing Units Vacant</t>
  </si>
  <si>
    <t>Census Tract Percentage of Housing Units Owner Occupied</t>
  </si>
  <si>
    <t>Census Tract Percentage of Housing Units Renter Occupied</t>
  </si>
  <si>
    <t>=1 if HOA fees are listed</t>
  </si>
  <si>
    <t>Number of Elevators in Building</t>
  </si>
  <si>
    <t>=1 if Remodeled</t>
  </si>
  <si>
    <t>=1 if Property Type Listed as Condo/Townhouse</t>
  </si>
  <si>
    <t>=1 if Property Type listed as Single Family</t>
  </si>
  <si>
    <t>=1 if One Story Unit</t>
  </si>
  <si>
    <t>=1 if Two Story Unit</t>
  </si>
  <si>
    <t>Squarefootage of the Parcel (m2)</t>
  </si>
  <si>
    <t>=1 if LUC is Residential</t>
  </si>
  <si>
    <t>=1 if LUC is Apartment-HD</t>
  </si>
  <si>
    <t>=1 if LUC is Apartment-LD</t>
  </si>
  <si>
    <t>=1 if LUC is Apartment-MD</t>
  </si>
  <si>
    <t>=1 if LUC is Business</t>
  </si>
  <si>
    <t>=1 if LUC is Other</t>
  </si>
  <si>
    <t>=1 if LUC is Resort</t>
  </si>
  <si>
    <t>=1 if LUC is Agriculture</t>
  </si>
  <si>
    <t>=1 if Building Condition is Average</t>
  </si>
  <si>
    <t>=1 if Building Condition is Excellent</t>
  </si>
  <si>
    <t>=1 if Building Condition is Above Average</t>
  </si>
  <si>
    <t>=1 if Building Condition is Fair</t>
  </si>
  <si>
    <t>=1 if there are zero parking spaces</t>
  </si>
  <si>
    <t>=1 if there is one parking space</t>
  </si>
  <si>
    <t>=1 if there are two parking spaces</t>
  </si>
  <si>
    <t>=1 if there are three parking spaces</t>
  </si>
  <si>
    <t>=1 if there are four parking spaces</t>
  </si>
  <si>
    <t>=1 if located in flood zone AE</t>
  </si>
  <si>
    <t>=1 if located in flood zone A</t>
  </si>
  <si>
    <t>=1 if located in flood zone AH</t>
  </si>
  <si>
    <t>=1 if located in flood zone AO</t>
  </si>
  <si>
    <t>=1 if located in flood zone D</t>
  </si>
  <si>
    <t>=1 if located in flood zone VE</t>
  </si>
  <si>
    <t>=1 if located in flood zone X</t>
  </si>
  <si>
    <t>------------</t>
  </si>
  <si>
    <t>livSQFT</t>
  </si>
  <si>
    <t>beach</t>
  </si>
  <si>
    <t>Parking0</t>
  </si>
  <si>
    <t>Parking1</t>
  </si>
  <si>
    <t>Parking2</t>
  </si>
  <si>
    <t>Parking3</t>
  </si>
  <si>
    <t>Parking4</t>
  </si>
  <si>
    <t>Parking5 or More</t>
  </si>
  <si>
    <t>-----</t>
  </si>
  <si>
    <t>=1 if more than Two Stories</t>
  </si>
  <si>
    <t>elem_sch</t>
  </si>
  <si>
    <t>mid_sch</t>
  </si>
  <si>
    <t>high_sch</t>
  </si>
  <si>
    <t>=1 if there are five or more parking spaces</t>
  </si>
  <si>
    <t>Distance to closest park (km)</t>
  </si>
  <si>
    <t>Distance to closest hospital (km)</t>
  </si>
  <si>
    <t>Distance to closest airport (km)</t>
  </si>
  <si>
    <t>Distance to assigned Elementary School (km)</t>
  </si>
  <si>
    <t>Distance to assigned Middle School (km)</t>
  </si>
  <si>
    <t>Distance to assigned High School (km)</t>
  </si>
  <si>
    <t>Latitude of Parcel Centroid (per projection)</t>
  </si>
  <si>
    <t>Longitude of Parcel Centroid (per projection)</t>
  </si>
  <si>
    <t>Shortest, straight line distance to Ocean (km)</t>
  </si>
  <si>
    <t>n</t>
  </si>
  <si>
    <t>Observations</t>
  </si>
  <si>
    <t>Table One</t>
  </si>
  <si>
    <t>Summary Statistics for Full and Restricted Samples for entire sample period and pre- and post-Covid Subsamples</t>
  </si>
  <si>
    <t>diff.price</t>
  </si>
  <si>
    <t>Difference betweeen real list and real close price</t>
  </si>
  <si>
    <t>=========================</t>
  </si>
  <si>
    <t>==========================</t>
  </si>
  <si>
    <t>==============================</t>
  </si>
  <si>
    <t>-------------------------</t>
  </si>
  <si>
    <t>------------------------------</t>
  </si>
  <si>
    <t>--------------------------</t>
  </si>
  <si>
    <t>0.019**</t>
  </si>
  <si>
    <t>0.095***</t>
  </si>
  <si>
    <t>factor(year)2017</t>
  </si>
  <si>
    <t>0.055***</t>
  </si>
  <si>
    <t>0.025***</t>
  </si>
  <si>
    <t>factor(year)2018</t>
  </si>
  <si>
    <t>0.044***</t>
  </si>
  <si>
    <t>0.026***</t>
  </si>
  <si>
    <t>0.037***</t>
  </si>
  <si>
    <t>factor(year)2019</t>
  </si>
  <si>
    <t>0.016***</t>
  </si>
  <si>
    <t>0.010*</t>
  </si>
  <si>
    <t>factor(year)2020</t>
  </si>
  <si>
    <t>factor(year)2021</t>
  </si>
  <si>
    <t>0.071***</t>
  </si>
  <si>
    <t>0.061***</t>
  </si>
  <si>
    <t>factor(year)2022</t>
  </si>
  <si>
    <t>0.101***</t>
  </si>
  <si>
    <t>0.107***</t>
  </si>
  <si>
    <t>0.117***</t>
  </si>
  <si>
    <t>0.114***</t>
  </si>
  <si>
    <t>factor(year)2023</t>
  </si>
  <si>
    <t>0.078***</t>
  </si>
  <si>
    <t>0.086***</t>
  </si>
  <si>
    <t>0.031***</t>
  </si>
  <si>
    <t>0.093***</t>
  </si>
  <si>
    <t>0.058***</t>
  </si>
  <si>
    <t>0.049***</t>
  </si>
  <si>
    <t>0.075***</t>
  </si>
  <si>
    <t>0.059***</t>
  </si>
  <si>
    <t>0.069***</t>
  </si>
  <si>
    <t>-0.040***</t>
  </si>
  <si>
    <t>0.0003***</t>
  </si>
  <si>
    <t>0.0002***</t>
  </si>
  <si>
    <t>-0.018***</t>
  </si>
  <si>
    <t>0.170***</t>
  </si>
  <si>
    <t>0.179***</t>
  </si>
  <si>
    <t>-0.056***</t>
  </si>
  <si>
    <t>factor(cond)Excellent</t>
  </si>
  <si>
    <t>0.152***</t>
  </si>
  <si>
    <t>0.120***</t>
  </si>
  <si>
    <t>factor(cond)Above Average</t>
  </si>
  <si>
    <t>0.065***</t>
  </si>
  <si>
    <t>0.068***</t>
  </si>
  <si>
    <t>0.052***</t>
  </si>
  <si>
    <t>factor(cond)Fair</t>
  </si>
  <si>
    <t>-0.054***</t>
  </si>
  <si>
    <t>0.042***</t>
  </si>
  <si>
    <t>0.020***</t>
  </si>
  <si>
    <t>-0.057***</t>
  </si>
  <si>
    <t>-0.101***</t>
  </si>
  <si>
    <t>-0.059***</t>
  </si>
  <si>
    <t>factor(LUC)Agriculture</t>
  </si>
  <si>
    <t>factor(LUC)Apartment-HD</t>
  </si>
  <si>
    <t>-0.095***</t>
  </si>
  <si>
    <t>factor(LUC)Apartment-LD</t>
  </si>
  <si>
    <t>-0.084***</t>
  </si>
  <si>
    <t>-0.063***</t>
  </si>
  <si>
    <t>factor(LUC)Apartment-MD</t>
  </si>
  <si>
    <t>factor(LUC)Business</t>
  </si>
  <si>
    <t>-0.046***</t>
  </si>
  <si>
    <t>factor(LUC)Other</t>
  </si>
  <si>
    <t>0.056***</t>
  </si>
  <si>
    <t>factor(LUC)Resort</t>
  </si>
  <si>
    <t>0.350***</t>
  </si>
  <si>
    <t>0.395***</t>
  </si>
  <si>
    <t>0.615***</t>
  </si>
  <si>
    <t>-0.0002***</t>
  </si>
  <si>
    <t>0.0001***</t>
  </si>
  <si>
    <t>-0.011***</t>
  </si>
  <si>
    <t>0.017***</t>
  </si>
  <si>
    <t>0.013***</t>
  </si>
  <si>
    <t>-0.010***</t>
  </si>
  <si>
    <t>-0.007***</t>
  </si>
  <si>
    <t>-0.026***</t>
  </si>
  <si>
    <t>-0.009***</t>
  </si>
  <si>
    <t>-0.006***</t>
  </si>
  <si>
    <t>-0.001*</t>
  </si>
  <si>
    <t>-0.001***</t>
  </si>
  <si>
    <t>0.027***</t>
  </si>
  <si>
    <t>0.021***</t>
  </si>
  <si>
    <t>0.007***</t>
  </si>
  <si>
    <t>0.00001***</t>
  </si>
  <si>
    <t>0.00000***</t>
  </si>
  <si>
    <t>Constant</t>
  </si>
  <si>
    <t>R2</t>
  </si>
  <si>
    <t>Adjusted R2</t>
  </si>
  <si>
    <t>Residual Std. Error</t>
  </si>
  <si>
    <t>F Statistic</t>
  </si>
  <si>
    <t>Note:</t>
  </si>
  <si>
    <t>*p&lt;0.1; **p&lt;0.05; ***p&lt;0.01</t>
  </si>
  <si>
    <t>(1)</t>
  </si>
  <si>
    <t>(2)</t>
  </si>
  <si>
    <t>(3)</t>
  </si>
  <si>
    <t>(4)</t>
  </si>
  <si>
    <t>(5)</t>
  </si>
  <si>
    <t>Table Two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</si>
  <si>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</si>
  <si>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Adjusted R</t>
    </r>
    <r>
      <rPr>
        <vertAlign val="superscript"/>
        <sz val="11"/>
        <color theme="1"/>
        <rFont val="Calibri"/>
        <family val="2"/>
        <scheme val="minor"/>
      </rPr>
      <t>2</t>
    </r>
  </si>
  <si>
    <t>(Intercept)</t>
  </si>
  <si>
    <t>term</t>
  </si>
  <si>
    <t>estimate.x</t>
  </si>
  <si>
    <t>std.error.x</t>
  </si>
  <si>
    <t>statistic.x</t>
  </si>
  <si>
    <t>p.value.x</t>
  </si>
  <si>
    <t>estimate.y</t>
  </si>
  <si>
    <t>std.error.y</t>
  </si>
  <si>
    <t>statistic.y</t>
  </si>
  <si>
    <t>p.value.y</t>
  </si>
  <si>
    <t>estimate.x.x</t>
  </si>
  <si>
    <t>std.error.x.x</t>
  </si>
  <si>
    <t>statistic.x.x</t>
  </si>
  <si>
    <t>p.value.x.x</t>
  </si>
  <si>
    <t>estimate.y.y</t>
  </si>
  <si>
    <t>std.error.y.y</t>
  </si>
  <si>
    <t>statistic.y.y</t>
  </si>
  <si>
    <t>p.value.y.y</t>
  </si>
  <si>
    <t>estimate.x.x.x</t>
  </si>
  <si>
    <t>std.error.x.x.x</t>
  </si>
  <si>
    <t>statistic.x.x.x</t>
  </si>
  <si>
    <t>p.value.x.x.x</t>
  </si>
  <si>
    <t>estimate.y.y.y</t>
  </si>
  <si>
    <t>std.error.y.y.y</t>
  </si>
  <si>
    <t>statistic.y.y.y</t>
  </si>
  <si>
    <t>p.value.y.y.y</t>
  </si>
  <si>
    <t>(6)</t>
  </si>
  <si>
    <t>Restricted Sample (First Sale)</t>
  </si>
  <si>
    <t>Restricted Sample (Last Sale)</t>
  </si>
  <si>
    <t>956,534.00</t>
  </si>
  <si>
    <t>===========================</t>
  </si>
  <si>
    <t>Depend</t>
  </si>
  <si>
    <t>ent variable:</t>
  </si>
  <si>
    <t>l</t>
  </si>
  <si>
    <t>n.r.close</t>
  </si>
  <si>
    <t>---------------------------</t>
  </si>
  <si>
    <t>0.064***</t>
  </si>
  <si>
    <t>0.001***</t>
  </si>
  <si>
    <t>(7)</t>
  </si>
  <si>
    <t>No</t>
  </si>
  <si>
    <t>Yes</t>
  </si>
  <si>
    <t>Table Three</t>
  </si>
  <si>
    <t>Table Four</t>
  </si>
  <si>
    <t>Year of Home Sale</t>
  </si>
  <si>
    <t>-</t>
  </si>
  <si>
    <t>Real List Price (100K)</t>
  </si>
  <si>
    <t>Real Closing Price (100K)</t>
  </si>
  <si>
    <t>Total Squarefootage (1K)</t>
  </si>
  <si>
    <t>Pre-Covid</t>
  </si>
  <si>
    <t>Post-Covid</t>
  </si>
  <si>
    <t>Townhouse Subsample</t>
  </si>
  <si>
    <t>Single Family Subsample</t>
  </si>
  <si>
    <t>Townhouse Sub Sample</t>
  </si>
  <si>
    <t>Single Family Sub Sample</t>
  </si>
  <si>
    <t>Summary Statistics for Full Sample and Townhouse and Single Family Subsamples for  pre- and post-Covid Subsamples</t>
  </si>
  <si>
    <t>Summary Statistics for Full Sample and Townhouse and Single Family Subsamples for entire sample period</t>
  </si>
  <si>
    <t>=============================</t>
  </si>
  <si>
    <t>-----------------------------</t>
  </si>
  <si>
    <t>0.072***</t>
  </si>
  <si>
    <t>0.038*</t>
  </si>
  <si>
    <t>0.022*</t>
  </si>
  <si>
    <t>0.021**</t>
  </si>
  <si>
    <t>0.080***</t>
  </si>
  <si>
    <t>0.038***</t>
  </si>
  <si>
    <t>0.046***</t>
  </si>
  <si>
    <t>0.043***</t>
  </si>
  <si>
    <t>0.051***</t>
  </si>
  <si>
    <t>0.032***</t>
  </si>
  <si>
    <t>0.110***</t>
  </si>
  <si>
    <t>0.126***</t>
  </si>
  <si>
    <t>0.122***</t>
  </si>
  <si>
    <t>0.132***</t>
  </si>
  <si>
    <t>0.447***</t>
  </si>
  <si>
    <t>0.125***</t>
  </si>
  <si>
    <t>0.057***</t>
  </si>
  <si>
    <t>0.092***</t>
  </si>
  <si>
    <t>0.034***</t>
  </si>
  <si>
    <t>0.029***</t>
  </si>
  <si>
    <t>0.090***</t>
  </si>
  <si>
    <t>0.063***</t>
  </si>
  <si>
    <t>0.048***</t>
  </si>
  <si>
    <t>-0.186***</t>
  </si>
  <si>
    <t>-0.079***</t>
  </si>
  <si>
    <t>-0.017***</t>
  </si>
  <si>
    <t>-0.015***</t>
  </si>
  <si>
    <t>0.207***</t>
  </si>
  <si>
    <t>-0.052***</t>
  </si>
  <si>
    <t>-0.037***</t>
  </si>
  <si>
    <t>0.151***</t>
  </si>
  <si>
    <t>-0.029***</t>
  </si>
  <si>
    <t>-0.078***</t>
  </si>
  <si>
    <t>-0.108***</t>
  </si>
  <si>
    <t>0.134***</t>
  </si>
  <si>
    <t>0.355***</t>
  </si>
  <si>
    <t>0.597***</t>
  </si>
  <si>
    <t>0.613***</t>
  </si>
  <si>
    <t>0.005*</t>
  </si>
  <si>
    <t>0.010***</t>
  </si>
  <si>
    <t>-0.005***</t>
  </si>
  <si>
    <t>0.018***</t>
  </si>
  <si>
    <t>0.014***</t>
  </si>
  <si>
    <t>0.008***</t>
  </si>
  <si>
    <t>13.521***</t>
  </si>
  <si>
    <t>13.415***</t>
  </si>
  <si>
    <t>12.983***</t>
  </si>
  <si>
    <t>0.582 (df = 50623)</t>
  </si>
  <si>
    <t>0.578 (df = 50615)</t>
  </si>
  <si>
    <t>0.351 (df = 50603)</t>
  </si>
  <si>
    <t>189.640*** (df = 1; 50623)</t>
  </si>
  <si>
    <t>95.578*** (df = 9; 50615)</t>
  </si>
  <si>
    <t>4,222.744*** (df = 21; 50603)</t>
  </si>
  <si>
    <t>Year Fixed Effects</t>
  </si>
  <si>
    <t>Lat/Long Variables</t>
  </si>
  <si>
    <t>Total Beds</t>
  </si>
  <si>
    <t>Full Baths</t>
  </si>
  <si>
    <t>Half Baths</t>
  </si>
  <si>
    <t>2 Stories</t>
  </si>
  <si>
    <t>Multi-Story</t>
  </si>
  <si>
    <t>Total Square Footage</t>
  </si>
  <si>
    <t>Excellent Cond.</t>
  </si>
  <si>
    <t>Above Average Cond.</t>
  </si>
  <si>
    <t>Fair Cond.</t>
  </si>
  <si>
    <t>Split Level</t>
  </si>
  <si>
    <t>Low-Rise</t>
  </si>
  <si>
    <t>High-Rise</t>
  </si>
  <si>
    <t>Condo-Hotel</t>
  </si>
  <si>
    <t>Walk-Up</t>
  </si>
  <si>
    <t>Agriculture LUC</t>
  </si>
  <si>
    <t>High Denseity Apt. LUC</t>
  </si>
  <si>
    <t>Medium Density Apt. LUC</t>
  </si>
  <si>
    <t>Low Density Apt. LUC</t>
  </si>
  <si>
    <t>Business LUC</t>
  </si>
  <si>
    <t>Other LUC</t>
  </si>
  <si>
    <t>Resort LUC</t>
  </si>
  <si>
    <t>One Parking Spot</t>
  </si>
  <si>
    <t>Two Parking Spots</t>
  </si>
  <si>
    <t>Three Parking Spots</t>
  </si>
  <si>
    <t>Four Parking Spots</t>
  </si>
  <si>
    <t>5 or more Parking Spots</t>
  </si>
  <si>
    <t>HOA Fees</t>
  </si>
  <si>
    <t>Remodeled</t>
  </si>
  <si>
    <t>Number of Elevators</t>
  </si>
  <si>
    <t>Dist. To Beach (KM)</t>
  </si>
  <si>
    <t>Dist. To Park (KM)</t>
  </si>
  <si>
    <t>Dist. To Hospital (KM)</t>
  </si>
  <si>
    <t>Dist. To Airport (KM)</t>
  </si>
  <si>
    <t>Dist. To Elementry Sch. (KM)</t>
  </si>
  <si>
    <t>Dist. To Middle Sch. (KM)</t>
  </si>
  <si>
    <t>Dist. To High Sch. (KM)</t>
  </si>
  <si>
    <t>Percentage Black</t>
  </si>
  <si>
    <t>Percentage Asian</t>
  </si>
  <si>
    <t>Percentage Hawaiian</t>
  </si>
  <si>
    <t>Percent Owner Occupied</t>
  </si>
  <si>
    <t>Percent Occupied</t>
  </si>
  <si>
    <t>Varaible</t>
  </si>
  <si>
    <t>Linear OLS Estimates of natural log of sale price for full sample</t>
  </si>
  <si>
    <t>-----------------------</t>
  </si>
  <si>
    <t>0.040***</t>
  </si>
  <si>
    <t>0.054***</t>
  </si>
  <si>
    <t>0.079***</t>
  </si>
  <si>
    <t>0.094***</t>
  </si>
  <si>
    <t>0.137***</t>
  </si>
  <si>
    <t>0.135***</t>
  </si>
  <si>
    <t>-0.014***</t>
  </si>
  <si>
    <t>-0.099***</t>
  </si>
  <si>
    <t>-0.097***</t>
  </si>
  <si>
    <t>-0.030***</t>
  </si>
  <si>
    <t>-0.049***</t>
  </si>
  <si>
    <t>0.154***</t>
  </si>
  <si>
    <t>0.162***</t>
  </si>
  <si>
    <t>-0.027**</t>
  </si>
  <si>
    <t>0.111***</t>
  </si>
  <si>
    <t>factor(cond)Above Avera</t>
  </si>
  <si>
    <t>ge</t>
  </si>
  <si>
    <t>-0.029*</t>
  </si>
  <si>
    <t>-0.035**</t>
  </si>
  <si>
    <t>-0.031**</t>
  </si>
  <si>
    <t>-0.070***</t>
  </si>
  <si>
    <t>-0.098***</t>
  </si>
  <si>
    <t>-0.045***</t>
  </si>
  <si>
    <t>0.013**</t>
  </si>
  <si>
    <t>-0.092***</t>
  </si>
  <si>
    <t>-0.116***</t>
  </si>
  <si>
    <t>0.032**</t>
  </si>
  <si>
    <t>-0.091***</t>
  </si>
  <si>
    <t>0.199***</t>
  </si>
  <si>
    <t>-0.038***</t>
  </si>
  <si>
    <t>-0.074***</t>
  </si>
  <si>
    <t>0.634***</t>
  </si>
  <si>
    <t>0.557***</t>
  </si>
  <si>
    <t>0.260***</t>
  </si>
  <si>
    <t>0.575***</t>
  </si>
  <si>
    <t>0.583***</t>
  </si>
  <si>
    <t>0.569***</t>
  </si>
  <si>
    <t>0.599***</t>
  </si>
  <si>
    <t>0.589***</t>
  </si>
  <si>
    <t>0.629***</t>
  </si>
  <si>
    <t>0.521***</t>
  </si>
  <si>
    <t>0.519***</t>
  </si>
  <si>
    <t>0.570***</t>
  </si>
  <si>
    <t>0.019***</t>
  </si>
  <si>
    <t>-0.521***</t>
  </si>
  <si>
    <t>-0.212***</t>
  </si>
  <si>
    <t>-0.367***</t>
  </si>
  <si>
    <t>0.258***</t>
  </si>
  <si>
    <t>-0.623***</t>
  </si>
  <si>
    <t>12.427***</t>
  </si>
  <si>
    <t>-7.447***</t>
  </si>
  <si>
    <t>-4.411***</t>
  </si>
  <si>
    <t>0.307 (df = 50579)</t>
  </si>
  <si>
    <t>0.267 (df = 50570)</t>
  </si>
  <si>
    <t>0.251 (df = 50565)</t>
  </si>
  <si>
    <t>2,921.280*** (df = 45; 50579)</t>
  </si>
  <si>
    <t>3,523.001*** (df = 54; 50570)</t>
  </si>
  <si>
    <t>3,752.347*** (df = 59; 50565)</t>
  </si>
  <si>
    <t>=======================</t>
  </si>
  <si>
    <t>Single Family</t>
  </si>
  <si>
    <t>======================</t>
  </si>
  <si>
    <t>Dep</t>
  </si>
  <si>
    <t>endent variable:</t>
  </si>
  <si>
    <t>---------------------</t>
  </si>
  <si>
    <t>ln.r.close</t>
  </si>
  <si>
    <t>----------------------</t>
  </si>
  <si>
    <t>0.039***</t>
  </si>
  <si>
    <t>0.066***</t>
  </si>
  <si>
    <t>0.035**</t>
  </si>
  <si>
    <t>0.027**</t>
  </si>
  <si>
    <t>0.024**</t>
  </si>
  <si>
    <t>0.130***</t>
  </si>
  <si>
    <t>0.103***</t>
  </si>
  <si>
    <t>0.180**</t>
  </si>
  <si>
    <t>0.057*</t>
  </si>
  <si>
    <t>-0.035***</t>
  </si>
  <si>
    <t>0.050***</t>
  </si>
  <si>
    <t>0.060***</t>
  </si>
  <si>
    <t>0.084***</t>
  </si>
  <si>
    <t>0.023***</t>
  </si>
  <si>
    <t>-0.036***</t>
  </si>
  <si>
    <t>-0.031***</t>
  </si>
  <si>
    <t>-0.032***</t>
  </si>
  <si>
    <t>-0.008**</t>
  </si>
  <si>
    <t>-0.007**</t>
  </si>
  <si>
    <t>-0.024***</t>
  </si>
  <si>
    <t>-0.020***</t>
  </si>
  <si>
    <t>-0.023***</t>
  </si>
  <si>
    <t>-0.022***</t>
  </si>
  <si>
    <t>0.268***</t>
  </si>
  <si>
    <t>0.239***</t>
  </si>
  <si>
    <t>0.240***</t>
  </si>
  <si>
    <t>0.221***</t>
  </si>
  <si>
    <t>0.100***</t>
  </si>
  <si>
    <t>-0.096***</t>
  </si>
  <si>
    <t>-0.110***</t>
  </si>
  <si>
    <t>-0.020**</t>
  </si>
  <si>
    <t>-0.016**</t>
  </si>
  <si>
    <t>-0.034***</t>
  </si>
  <si>
    <t>0.013*</t>
  </si>
  <si>
    <t>-0.138**</t>
  </si>
  <si>
    <t>0.102***</t>
  </si>
  <si>
    <t>0.030***</t>
  </si>
  <si>
    <t>0.136***</t>
  </si>
  <si>
    <t>0.235***</t>
  </si>
  <si>
    <t>0.588***</t>
  </si>
  <si>
    <t>0.500***</t>
  </si>
  <si>
    <t>0.249***</t>
  </si>
  <si>
    <t>0.220***</t>
  </si>
  <si>
    <t>0.224***</t>
  </si>
  <si>
    <t>0.278***</t>
  </si>
  <si>
    <t>0.274***</t>
  </si>
  <si>
    <t>0.323***</t>
  </si>
  <si>
    <t>0.245***</t>
  </si>
  <si>
    <t>0.313***</t>
  </si>
  <si>
    <t>0.374***</t>
  </si>
  <si>
    <t>0.175***</t>
  </si>
  <si>
    <t>0.219***</t>
  </si>
  <si>
    <t>0.287***</t>
  </si>
  <si>
    <t>-0.168***</t>
  </si>
  <si>
    <t>-0.003***</t>
  </si>
  <si>
    <t>-0.002***</t>
  </si>
  <si>
    <t>0.033***</t>
  </si>
  <si>
    <t>-0.402***</t>
  </si>
  <si>
    <t>-0.159***</t>
  </si>
  <si>
    <t>-0.238***</t>
  </si>
  <si>
    <t>0.210***</t>
  </si>
  <si>
    <t>-0.516***</t>
  </si>
  <si>
    <t>13.253***</t>
  </si>
  <si>
    <t>13.144***</t>
  </si>
  <si>
    <t>12.739***</t>
  </si>
  <si>
    <t>12.331***</t>
  </si>
  <si>
    <t>3.360***</t>
  </si>
  <si>
    <t>0.506 (df = 27630)</t>
  </si>
  <si>
    <t>0.503 (df = 27622)</t>
  </si>
  <si>
    <t>0.296 (df = 27610)</t>
  </si>
  <si>
    <t>0.262 (df = 27587)</t>
  </si>
  <si>
    <t>0.230 (df = 27578)</t>
  </si>
  <si>
    <t>0.217 (df = 27573)</t>
  </si>
  <si>
    <t>0.168 (df = 1; 27630)</t>
  </si>
  <si>
    <t>38.441*** (df = 9; 27622)</t>
  </si>
  <si>
    <t>2,536.828*** (df = 21; 27610)</t>
  </si>
  <si>
    <t>1,710.363*** (df = 44; 27587)</t>
  </si>
  <si>
    <t>2,002.542*** (df = 53; 27578)</t>
  </si>
  <si>
    <t>2,110.768*** (df = 58; 27573)</t>
  </si>
  <si>
    <t>Linear OLS Estimates with Robust Standard Errors</t>
  </si>
  <si>
    <t>Full</t>
  </si>
  <si>
    <t>Recent Sale</t>
  </si>
  <si>
    <t>First Sale</t>
  </si>
  <si>
    <t>Townhouse/Condo Units</t>
  </si>
  <si>
    <t>============================</t>
  </si>
  <si>
    <t>Depende</t>
  </si>
  <si>
    <t>nt variable:</t>
  </si>
  <si>
    <t>ln.</t>
  </si>
  <si>
    <t>r.close</t>
  </si>
  <si>
    <t>0.158***</t>
  </si>
  <si>
    <t>0.045***</t>
  </si>
  <si>
    <t>0.036***</t>
  </si>
  <si>
    <t>0.002***</t>
  </si>
  <si>
    <t>0.087***</t>
  </si>
  <si>
    <t>0.022***</t>
  </si>
  <si>
    <t>0.028***</t>
  </si>
  <si>
    <t>0.024***</t>
  </si>
  <si>
    <t>0.116***</t>
  </si>
  <si>
    <t>0.085***</t>
  </si>
  <si>
    <t>0.015***</t>
  </si>
  <si>
    <t>0.012**</t>
  </si>
  <si>
    <t>0.049**</t>
  </si>
  <si>
    <t>0.108***</t>
  </si>
  <si>
    <t>0.106***</t>
  </si>
  <si>
    <t>0.129***</t>
  </si>
  <si>
    <t>0.244***</t>
  </si>
  <si>
    <t>0.138***</t>
  </si>
  <si>
    <t>0.173***</t>
  </si>
  <si>
    <t>0.099***</t>
  </si>
  <si>
    <t>0.139***</t>
  </si>
  <si>
    <t>-0.071***</t>
  </si>
  <si>
    <t>0.074***</t>
  </si>
  <si>
    <t>-0.047***</t>
  </si>
  <si>
    <t>-0.042***</t>
  </si>
  <si>
    <t>-0.051***</t>
  </si>
  <si>
    <t>-0.076***</t>
  </si>
  <si>
    <t>0.004***</t>
  </si>
  <si>
    <t>0.005***</t>
  </si>
  <si>
    <t>-0.033***</t>
  </si>
  <si>
    <t>-0.061***</t>
  </si>
  <si>
    <t>0.156***</t>
  </si>
  <si>
    <t>0.115***</t>
  </si>
  <si>
    <t>0.076***</t>
  </si>
  <si>
    <t>-0.065***</t>
  </si>
  <si>
    <t>-0.069***</t>
  </si>
  <si>
    <t>0.017**</t>
  </si>
  <si>
    <t>-0.073***</t>
  </si>
  <si>
    <t>-0.048***</t>
  </si>
  <si>
    <t>-0.041***</t>
  </si>
  <si>
    <t>-0.022**</t>
  </si>
  <si>
    <t>0.023**</t>
  </si>
  <si>
    <t>0.327**</t>
  </si>
  <si>
    <t>0.241*</t>
  </si>
  <si>
    <t>-0.085***</t>
  </si>
  <si>
    <t>0.348**</t>
  </si>
  <si>
    <t>0.509***</t>
  </si>
  <si>
    <t>0.365***</t>
  </si>
  <si>
    <t>0.081***</t>
  </si>
  <si>
    <t>0.050**</t>
  </si>
  <si>
    <t>0.043**</t>
  </si>
  <si>
    <t>0.118***</t>
  </si>
  <si>
    <t>0.109***</t>
  </si>
  <si>
    <t>0.148***</t>
  </si>
  <si>
    <t>0.155***</t>
  </si>
  <si>
    <t>0.150***</t>
  </si>
  <si>
    <t>-0.019***</t>
  </si>
  <si>
    <t>-0.072***</t>
  </si>
  <si>
    <t>-0.082***</t>
  </si>
  <si>
    <t>-0.060***</t>
  </si>
  <si>
    <t>0.001**</t>
  </si>
  <si>
    <t>-0.008***</t>
  </si>
  <si>
    <t>0.00002***</t>
  </si>
  <si>
    <t>-0.346***</t>
  </si>
  <si>
    <t>-0.218***</t>
  </si>
  <si>
    <t>-0.614***</t>
  </si>
  <si>
    <t>-0.716***</t>
  </si>
  <si>
    <t>13.845***</t>
  </si>
  <si>
    <t>13.678***</t>
  </si>
  <si>
    <t>13.082***</t>
  </si>
  <si>
    <t>12.871***</t>
  </si>
  <si>
    <t>-9.234***</t>
  </si>
  <si>
    <t>1.390*</t>
  </si>
  <si>
    <t>0.443 (df = 22991)</t>
  </si>
  <si>
    <t>0.429 (df = 22983)</t>
  </si>
  <si>
    <t>0.277 (df = 22971)</t>
  </si>
  <si>
    <t>0.275 (df = 22952)</t>
  </si>
  <si>
    <t>0.218 (df = 22943)</t>
  </si>
  <si>
    <t>0.202 (df = 22938)</t>
  </si>
  <si>
    <t>717.729*** (df = 1; 22991)</t>
  </si>
  <si>
    <t>256.780*** (df = 9; 22983)</t>
  </si>
  <si>
    <t>1,780.504*** (df = 21; 22971)</t>
  </si>
  <si>
    <t>966.513*** (df = 40; 22952)</t>
  </si>
  <si>
    <t>1,535.123*** (df = 49; 22943)</t>
  </si>
  <si>
    <t>1,685.454*** (df = 54; 22938)</t>
  </si>
  <si>
    <t>AIC</t>
  </si>
  <si>
    <t>LogLike</t>
  </si>
  <si>
    <t>Single Family Unit</t>
  </si>
  <si>
    <t>tatistic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</si>
</sst>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49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/>
    <xf numFmtId="0" fontId="5" fillId="0" borderId="1" xfId="0" applyFont="1" applyBorder="1"/>
    <xf numFmtId="0" fontId="5" fillId="0" borderId="1" xfId="0" quotePrefix="1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11" fontId="0" fillId="0" borderId="2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43" fontId="0" fillId="0" borderId="0" xfId="1" applyFont="1"/>
    <xf numFmtId="3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7" fillId="0" borderId="1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8" Type="http://schemas.openxmlformats.org/officeDocument/2006/relationships/worksheet" Target="worksheets/sheet8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78BD-2186-436E-AEB3-368A6ACCD17F}">
  <sheetPr codeName="Sheet1"/>
  <dimension ref="A1:X87"/>
  <sheetViews>
    <sheetView workbookViewId="0">
      <selection activeCell="H13" sqref="H13"/>
    </sheetView>
  </sheetViews>
  <sheetFormatPr defaultRowHeight="15" x14ac:dyDescent="0.25"/>
  <cols>
    <col min="1" max="1" width="30.7109375" bestFit="1" customWidth="1"/>
    <col min="2" max="2" width="6.5703125" bestFit="1" customWidth="1"/>
    <col min="3" max="5" width="11.7109375" bestFit="1" customWidth="1"/>
    <col min="6" max="6" width="12.7109375" bestFit="1" customWidth="1"/>
    <col min="7" max="7" width="30.7109375" bestFit="1" customWidth="1"/>
    <col min="8" max="8" width="6.5703125" bestFit="1" customWidth="1"/>
    <col min="9" max="11" width="11.7109375" bestFit="1" customWidth="1"/>
    <col min="12" max="12" width="12.71093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0</v>
      </c>
    </row>
    <row r="2" spans="1:24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  <c r="S2" t="s">
        <v>6</v>
      </c>
    </row>
    <row r="3" spans="1:24" x14ac:dyDescent="0.25">
      <c r="A3" t="s">
        <v>10</v>
      </c>
      <c r="B3" s="1">
        <v>50625</v>
      </c>
      <c r="C3">
        <v>1.319</v>
      </c>
      <c r="D3">
        <v>0.54900000000000004</v>
      </c>
      <c r="E3">
        <v>1</v>
      </c>
      <c r="F3">
        <v>5</v>
      </c>
      <c r="G3" t="s">
        <v>10</v>
      </c>
      <c r="H3" s="1">
        <v>29295</v>
      </c>
      <c r="I3">
        <v>1.3160000000000001</v>
      </c>
      <c r="J3">
        <v>0.54900000000000004</v>
      </c>
      <c r="K3">
        <v>1</v>
      </c>
      <c r="L3">
        <v>5</v>
      </c>
      <c r="M3" t="s">
        <v>10</v>
      </c>
      <c r="N3" s="1">
        <v>21330</v>
      </c>
      <c r="O3">
        <v>1.3220000000000001</v>
      </c>
      <c r="P3">
        <v>0.55000000000000004</v>
      </c>
      <c r="Q3">
        <v>1</v>
      </c>
      <c r="R3">
        <v>5</v>
      </c>
      <c r="S3" t="s">
        <v>10</v>
      </c>
      <c r="T3" s="1"/>
    </row>
    <row r="4" spans="1:24" x14ac:dyDescent="0.25">
      <c r="A4" t="s">
        <v>11</v>
      </c>
      <c r="B4" s="1">
        <v>50625</v>
      </c>
      <c r="C4">
        <v>0.42099999999999999</v>
      </c>
      <c r="D4">
        <v>0.49399999999999999</v>
      </c>
      <c r="E4">
        <v>0</v>
      </c>
      <c r="F4">
        <v>1</v>
      </c>
      <c r="G4" t="s">
        <v>11</v>
      </c>
      <c r="H4" s="1">
        <v>29295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21330</v>
      </c>
      <c r="O4">
        <v>1</v>
      </c>
      <c r="P4">
        <v>0</v>
      </c>
      <c r="Q4">
        <v>1</v>
      </c>
      <c r="R4">
        <v>1</v>
      </c>
      <c r="S4" t="s">
        <v>11</v>
      </c>
      <c r="T4" s="1"/>
    </row>
    <row r="5" spans="1:24" x14ac:dyDescent="0.25">
      <c r="A5" t="s">
        <v>12</v>
      </c>
      <c r="B5" s="1">
        <v>50625</v>
      </c>
      <c r="C5">
        <v>0.373</v>
      </c>
      <c r="D5">
        <v>0.48399999999999999</v>
      </c>
      <c r="E5">
        <v>0</v>
      </c>
      <c r="F5">
        <v>1</v>
      </c>
      <c r="G5" t="s">
        <v>12</v>
      </c>
      <c r="H5" s="1">
        <v>29295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21330</v>
      </c>
      <c r="O5">
        <v>0.88400000000000001</v>
      </c>
      <c r="P5">
        <v>0.32</v>
      </c>
      <c r="Q5">
        <v>0</v>
      </c>
      <c r="R5">
        <v>1</v>
      </c>
      <c r="S5" t="s">
        <v>12</v>
      </c>
      <c r="T5" s="1"/>
    </row>
    <row r="6" spans="1:24" x14ac:dyDescent="0.25">
      <c r="A6" t="s">
        <v>36</v>
      </c>
      <c r="B6" s="1">
        <v>21330</v>
      </c>
      <c r="C6">
        <v>301.72500000000002</v>
      </c>
      <c r="D6">
        <v>558.96400000000006</v>
      </c>
      <c r="E6">
        <v>0</v>
      </c>
      <c r="F6" s="1">
        <v>4021</v>
      </c>
      <c r="H6" s="1"/>
      <c r="M6" t="s">
        <v>36</v>
      </c>
      <c r="N6" s="1">
        <v>21330</v>
      </c>
      <c r="O6">
        <v>301.72500000000002</v>
      </c>
      <c r="P6">
        <v>558.96400000000006</v>
      </c>
      <c r="Q6">
        <v>0</v>
      </c>
      <c r="R6" s="1">
        <v>4021</v>
      </c>
      <c r="S6" t="s">
        <v>36</v>
      </c>
      <c r="T6" s="1"/>
      <c r="X6" s="1"/>
    </row>
    <row r="7" spans="1:24" x14ac:dyDescent="0.25">
      <c r="A7" t="s">
        <v>13</v>
      </c>
      <c r="B7" s="1">
        <v>50625</v>
      </c>
      <c r="C7">
        <v>1.907</v>
      </c>
      <c r="D7">
        <v>0.89100000000000001</v>
      </c>
      <c r="E7">
        <v>0</v>
      </c>
      <c r="F7">
        <v>17</v>
      </c>
      <c r="G7" t="s">
        <v>13</v>
      </c>
      <c r="H7" s="1">
        <v>29295</v>
      </c>
      <c r="I7">
        <v>1.8919999999999999</v>
      </c>
      <c r="J7">
        <v>0.86499999999999999</v>
      </c>
      <c r="K7">
        <v>0</v>
      </c>
      <c r="L7">
        <v>17</v>
      </c>
      <c r="M7" t="s">
        <v>13</v>
      </c>
      <c r="N7" s="1">
        <v>21330</v>
      </c>
      <c r="O7">
        <v>1.929</v>
      </c>
      <c r="P7">
        <v>0.92600000000000005</v>
      </c>
      <c r="Q7">
        <v>0</v>
      </c>
      <c r="R7">
        <v>15</v>
      </c>
      <c r="S7" t="s">
        <v>13</v>
      </c>
      <c r="T7" s="1"/>
    </row>
    <row r="8" spans="1:24" x14ac:dyDescent="0.25">
      <c r="A8" t="s">
        <v>14</v>
      </c>
      <c r="B8" s="1">
        <v>50625</v>
      </c>
      <c r="C8">
        <v>0.27500000000000002</v>
      </c>
      <c r="D8">
        <v>0.46800000000000003</v>
      </c>
      <c r="E8">
        <v>0</v>
      </c>
      <c r="F8">
        <v>5</v>
      </c>
      <c r="G8" t="s">
        <v>14</v>
      </c>
      <c r="H8" s="1">
        <v>29295</v>
      </c>
      <c r="I8">
        <v>0.27700000000000002</v>
      </c>
      <c r="J8">
        <v>0.46500000000000002</v>
      </c>
      <c r="K8">
        <v>0</v>
      </c>
      <c r="L8">
        <v>5</v>
      </c>
      <c r="M8" t="s">
        <v>14</v>
      </c>
      <c r="N8" s="1">
        <v>21330</v>
      </c>
      <c r="O8">
        <v>0.27300000000000002</v>
      </c>
      <c r="P8">
        <v>0.47099999999999997</v>
      </c>
      <c r="Q8">
        <v>0</v>
      </c>
      <c r="R8">
        <v>5</v>
      </c>
      <c r="S8" t="s">
        <v>14</v>
      </c>
      <c r="T8" s="1"/>
    </row>
    <row r="9" spans="1:24" x14ac:dyDescent="0.25">
      <c r="A9" t="s">
        <v>15</v>
      </c>
      <c r="B9" s="1">
        <v>50625</v>
      </c>
      <c r="C9">
        <v>2.7130000000000001</v>
      </c>
      <c r="D9">
        <v>1.4570000000000001</v>
      </c>
      <c r="E9">
        <v>0</v>
      </c>
      <c r="F9" s="1">
        <v>25</v>
      </c>
      <c r="G9" t="s">
        <v>15</v>
      </c>
      <c r="H9" s="1">
        <v>29295</v>
      </c>
      <c r="I9">
        <v>2.694</v>
      </c>
      <c r="J9">
        <v>1.4179999999999999</v>
      </c>
      <c r="K9">
        <v>0</v>
      </c>
      <c r="L9">
        <v>18</v>
      </c>
      <c r="M9" t="s">
        <v>15</v>
      </c>
      <c r="N9" s="1">
        <v>21330</v>
      </c>
      <c r="O9">
        <v>2.74</v>
      </c>
      <c r="P9">
        <v>1.508</v>
      </c>
      <c r="Q9">
        <v>0</v>
      </c>
      <c r="R9" s="1">
        <v>25</v>
      </c>
      <c r="S9" t="s">
        <v>15</v>
      </c>
      <c r="T9" s="1"/>
    </row>
    <row r="10" spans="1:24" x14ac:dyDescent="0.25">
      <c r="A10" t="s">
        <v>16</v>
      </c>
      <c r="B10" s="1">
        <v>50625</v>
      </c>
      <c r="C10">
        <v>44.201999999999998</v>
      </c>
      <c r="D10">
        <v>58.805</v>
      </c>
      <c r="E10">
        <v>0</v>
      </c>
      <c r="F10" s="1">
        <v>1402</v>
      </c>
      <c r="G10" t="s">
        <v>16</v>
      </c>
      <c r="H10" s="1">
        <v>29295</v>
      </c>
      <c r="I10">
        <v>50.779000000000003</v>
      </c>
      <c r="J10">
        <v>59.033000000000001</v>
      </c>
      <c r="K10">
        <v>0</v>
      </c>
      <c r="L10" s="1">
        <v>1402</v>
      </c>
      <c r="M10" t="s">
        <v>16</v>
      </c>
      <c r="N10" s="1">
        <v>21330</v>
      </c>
      <c r="O10">
        <v>35.17</v>
      </c>
      <c r="P10">
        <v>57.274000000000001</v>
      </c>
      <c r="Q10">
        <v>0</v>
      </c>
      <c r="R10" s="1">
        <v>946</v>
      </c>
      <c r="S10" t="s">
        <v>16</v>
      </c>
      <c r="T10" s="1"/>
    </row>
    <row r="11" spans="1:24" x14ac:dyDescent="0.25">
      <c r="A11" t="s">
        <v>163</v>
      </c>
      <c r="B11" s="1">
        <v>50625</v>
      </c>
      <c r="C11" s="2">
        <v>1330.1559999999999</v>
      </c>
      <c r="D11">
        <v>829.90099999999995</v>
      </c>
      <c r="E11">
        <v>120</v>
      </c>
      <c r="F11" s="1">
        <v>17408</v>
      </c>
      <c r="G11" t="s">
        <v>163</v>
      </c>
      <c r="H11" s="1">
        <v>29295</v>
      </c>
      <c r="I11" s="2">
        <v>1318.576</v>
      </c>
      <c r="J11">
        <v>802.51199999999994</v>
      </c>
      <c r="K11">
        <v>160</v>
      </c>
      <c r="L11" s="1">
        <v>17408</v>
      </c>
      <c r="M11" t="s">
        <v>163</v>
      </c>
      <c r="N11" s="1">
        <v>21330</v>
      </c>
      <c r="O11" s="2">
        <v>1346.06</v>
      </c>
      <c r="P11" s="2">
        <v>865.87300000000005</v>
      </c>
      <c r="Q11">
        <v>120</v>
      </c>
      <c r="R11" s="1">
        <v>16703</v>
      </c>
      <c r="S11" t="s">
        <v>163</v>
      </c>
      <c r="T11" s="1"/>
      <c r="X11" s="1"/>
    </row>
    <row r="12" spans="1:24" x14ac:dyDescent="0.25">
      <c r="A12" t="s">
        <v>17</v>
      </c>
      <c r="B12" s="1">
        <v>50625</v>
      </c>
      <c r="C12" s="2">
        <v>163.93600000000001</v>
      </c>
      <c r="D12" s="2">
        <v>229.119</v>
      </c>
      <c r="E12" s="2">
        <v>0</v>
      </c>
      <c r="F12" s="2">
        <v>5000</v>
      </c>
      <c r="G12" t="s">
        <v>17</v>
      </c>
      <c r="H12" s="1">
        <v>29295</v>
      </c>
      <c r="I12" s="2">
        <v>161.06700000000001</v>
      </c>
      <c r="J12">
        <v>228.429</v>
      </c>
      <c r="K12">
        <v>0</v>
      </c>
      <c r="L12" s="1">
        <v>5000</v>
      </c>
      <c r="M12" t="s">
        <v>17</v>
      </c>
      <c r="N12" s="1">
        <v>21330</v>
      </c>
      <c r="O12" s="2">
        <v>167.87700000000001</v>
      </c>
      <c r="P12" s="2">
        <v>230.012</v>
      </c>
      <c r="Q12" s="2">
        <v>0</v>
      </c>
      <c r="R12" s="2">
        <v>3200</v>
      </c>
      <c r="S12" t="s">
        <v>17</v>
      </c>
      <c r="T12" s="1"/>
      <c r="X12" s="1"/>
    </row>
    <row r="13" spans="1:24" x14ac:dyDescent="0.25">
      <c r="A13" t="s">
        <v>19</v>
      </c>
      <c r="B13" s="1">
        <v>50625</v>
      </c>
      <c r="C13" s="2">
        <v>942966.8</v>
      </c>
      <c r="D13" s="2">
        <v>878631.4</v>
      </c>
      <c r="E13" s="2">
        <v>85418.51</v>
      </c>
      <c r="F13" s="2">
        <v>28197546</v>
      </c>
      <c r="G13" t="s">
        <v>19</v>
      </c>
      <c r="H13" s="1">
        <v>29295</v>
      </c>
      <c r="I13" s="2">
        <v>911437.5</v>
      </c>
      <c r="J13" s="2">
        <v>844248</v>
      </c>
      <c r="K13" s="2">
        <v>99684.44</v>
      </c>
      <c r="L13" s="1">
        <v>28197546</v>
      </c>
      <c r="M13" t="s">
        <v>19</v>
      </c>
      <c r="N13" s="1">
        <v>21330</v>
      </c>
      <c r="O13" s="2">
        <v>986269.8</v>
      </c>
      <c r="P13" s="2">
        <v>922035.19999999995</v>
      </c>
      <c r="Q13" s="2">
        <v>85418.51</v>
      </c>
      <c r="R13" s="2">
        <v>22166108</v>
      </c>
      <c r="S13" t="s">
        <v>19</v>
      </c>
      <c r="T13" s="1"/>
      <c r="U13" s="2"/>
      <c r="V13" s="2"/>
      <c r="W13" s="2"/>
      <c r="X13" s="2"/>
    </row>
    <row r="14" spans="1:24" x14ac:dyDescent="0.25">
      <c r="A14" t="s">
        <v>20</v>
      </c>
      <c r="B14" s="1">
        <v>50625</v>
      </c>
      <c r="C14" s="2">
        <v>932014.4</v>
      </c>
      <c r="D14" s="2">
        <v>829437</v>
      </c>
      <c r="E14" s="2">
        <v>85418.51</v>
      </c>
      <c r="F14" s="2">
        <v>28197546</v>
      </c>
      <c r="G14" t="s">
        <v>20</v>
      </c>
      <c r="H14" s="1">
        <v>29295</v>
      </c>
      <c r="I14" s="2">
        <v>893794.2</v>
      </c>
      <c r="J14" s="2">
        <v>793484.80000000005</v>
      </c>
      <c r="K14" s="2">
        <v>118448.6</v>
      </c>
      <c r="L14" s="1">
        <v>28197546</v>
      </c>
      <c r="M14" t="s">
        <v>20</v>
      </c>
      <c r="N14" s="1">
        <v>21330</v>
      </c>
      <c r="O14" s="2">
        <v>984506.6</v>
      </c>
      <c r="P14" s="2">
        <v>873712</v>
      </c>
      <c r="Q14" s="2">
        <v>85418.51</v>
      </c>
      <c r="R14" s="2">
        <v>22166108</v>
      </c>
      <c r="S14" t="s">
        <v>20</v>
      </c>
      <c r="T14" s="1"/>
      <c r="U14" s="2"/>
      <c r="V14" s="2"/>
      <c r="W14" s="2"/>
      <c r="X14" s="2"/>
    </row>
    <row r="15" spans="1:24" x14ac:dyDescent="0.25">
      <c r="A15" t="s">
        <v>190</v>
      </c>
      <c r="B15" s="1">
        <v>50625</v>
      </c>
      <c r="C15" s="2">
        <v>8946.2070000000003</v>
      </c>
      <c r="D15" s="2">
        <v>88866.63</v>
      </c>
      <c r="E15" s="2">
        <v>-2010000</v>
      </c>
      <c r="F15" s="2">
        <v>6900000</v>
      </c>
      <c r="G15" t="s">
        <v>190</v>
      </c>
      <c r="H15" s="1">
        <v>29295</v>
      </c>
      <c r="I15" s="2">
        <v>14495.07</v>
      </c>
      <c r="J15" s="2">
        <v>68263.399999999994</v>
      </c>
      <c r="K15" s="2">
        <v>-1850000</v>
      </c>
      <c r="L15" s="1">
        <v>2950000</v>
      </c>
      <c r="M15" t="s">
        <v>190</v>
      </c>
      <c r="N15" s="1">
        <v>21330</v>
      </c>
      <c r="O15" s="2">
        <v>1325.308</v>
      </c>
      <c r="P15" s="2">
        <v>110650.9</v>
      </c>
      <c r="Q15" s="2">
        <v>-2010000</v>
      </c>
      <c r="R15" s="2">
        <v>6900000</v>
      </c>
      <c r="S15" t="s">
        <v>190</v>
      </c>
      <c r="T15" s="1"/>
      <c r="U15" s="2"/>
      <c r="V15" s="2"/>
      <c r="W15" s="1"/>
      <c r="X15" s="1"/>
    </row>
    <row r="16" spans="1:24" x14ac:dyDescent="0.25">
      <c r="A16" t="s">
        <v>21</v>
      </c>
      <c r="B16" s="1">
        <v>50625</v>
      </c>
      <c r="C16">
        <v>1.2999999999999999E-2</v>
      </c>
      <c r="D16">
        <v>0.111</v>
      </c>
      <c r="E16">
        <v>0</v>
      </c>
      <c r="F16">
        <v>1</v>
      </c>
      <c r="G16" t="s">
        <v>21</v>
      </c>
      <c r="H16" s="1">
        <v>29295</v>
      </c>
      <c r="I16" s="2">
        <v>1.0999999999999999E-2</v>
      </c>
      <c r="J16" s="2">
        <v>0.105</v>
      </c>
      <c r="K16" s="2">
        <v>0</v>
      </c>
      <c r="L16" s="2">
        <v>1</v>
      </c>
      <c r="M16" t="s">
        <v>21</v>
      </c>
      <c r="N16" s="1">
        <v>21330</v>
      </c>
      <c r="O16">
        <v>1.4E-2</v>
      </c>
      <c r="P16">
        <v>0.11899999999999999</v>
      </c>
      <c r="Q16">
        <v>0</v>
      </c>
      <c r="R16">
        <v>1</v>
      </c>
      <c r="S16" t="s">
        <v>21</v>
      </c>
      <c r="T16" s="1"/>
    </row>
    <row r="17" spans="1:24" x14ac:dyDescent="0.25">
      <c r="A17" t="s">
        <v>22</v>
      </c>
      <c r="B17" s="1">
        <v>50625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29295</v>
      </c>
      <c r="I17" s="2">
        <v>3.5999999999999997E-2</v>
      </c>
      <c r="J17" s="2">
        <v>0.186</v>
      </c>
      <c r="K17" s="2">
        <v>0</v>
      </c>
      <c r="L17" s="2">
        <v>1</v>
      </c>
      <c r="M17" t="s">
        <v>22</v>
      </c>
      <c r="N17" s="1">
        <v>21330</v>
      </c>
      <c r="O17">
        <v>3.5999999999999997E-2</v>
      </c>
      <c r="P17">
        <v>0.185</v>
      </c>
      <c r="Q17">
        <v>0</v>
      </c>
      <c r="R17">
        <v>1</v>
      </c>
      <c r="S17" t="s">
        <v>22</v>
      </c>
      <c r="T17" s="1"/>
    </row>
    <row r="18" spans="1:24" x14ac:dyDescent="0.25">
      <c r="A18" t="s">
        <v>23</v>
      </c>
      <c r="B18" s="1">
        <v>50625</v>
      </c>
      <c r="C18">
        <v>7.0000000000000001E-3</v>
      </c>
      <c r="D18">
        <v>8.5999999999999993E-2</v>
      </c>
      <c r="E18">
        <v>0</v>
      </c>
      <c r="F18">
        <v>1</v>
      </c>
      <c r="G18" t="s">
        <v>23</v>
      </c>
      <c r="H18" s="1">
        <v>29295</v>
      </c>
      <c r="I18">
        <v>8.0000000000000002E-3</v>
      </c>
      <c r="J18">
        <v>8.7999999999999995E-2</v>
      </c>
      <c r="K18">
        <v>0</v>
      </c>
      <c r="L18">
        <v>1</v>
      </c>
      <c r="M18" t="s">
        <v>23</v>
      </c>
      <c r="N18" s="1">
        <v>21330</v>
      </c>
      <c r="O18">
        <v>7.0000000000000001E-3</v>
      </c>
      <c r="P18">
        <v>8.3000000000000004E-2</v>
      </c>
      <c r="Q18">
        <v>0</v>
      </c>
      <c r="R18">
        <v>1</v>
      </c>
      <c r="S18" t="s">
        <v>23</v>
      </c>
      <c r="T18" s="1"/>
    </row>
    <row r="19" spans="1:24" x14ac:dyDescent="0.25">
      <c r="A19" t="s">
        <v>24</v>
      </c>
      <c r="B19" s="1">
        <v>50625</v>
      </c>
      <c r="C19">
        <v>9.1999999999999998E-2</v>
      </c>
      <c r="D19">
        <v>0.28899999999999998</v>
      </c>
      <c r="E19">
        <v>0</v>
      </c>
      <c r="F19">
        <v>1</v>
      </c>
      <c r="G19" t="s">
        <v>24</v>
      </c>
      <c r="H19" s="1">
        <v>29295</v>
      </c>
      <c r="I19">
        <v>9.4E-2</v>
      </c>
      <c r="J19">
        <v>0.29199999999999998</v>
      </c>
      <c r="K19">
        <v>0</v>
      </c>
      <c r="L19">
        <v>1</v>
      </c>
      <c r="M19" t="s">
        <v>24</v>
      </c>
      <c r="N19" s="1">
        <v>21330</v>
      </c>
      <c r="O19">
        <v>8.7999999999999995E-2</v>
      </c>
      <c r="P19">
        <v>0.28299999999999997</v>
      </c>
      <c r="Q19">
        <v>0</v>
      </c>
      <c r="R19">
        <v>1</v>
      </c>
      <c r="S19" t="s">
        <v>24</v>
      </c>
      <c r="T19" s="1"/>
    </row>
    <row r="20" spans="1:24" x14ac:dyDescent="0.25">
      <c r="A20" t="s">
        <v>25</v>
      </c>
      <c r="B20" s="1">
        <v>50625</v>
      </c>
      <c r="C20">
        <v>0.28499999999999998</v>
      </c>
      <c r="D20">
        <v>0.45100000000000001</v>
      </c>
      <c r="E20">
        <v>0</v>
      </c>
      <c r="F20">
        <v>1</v>
      </c>
      <c r="G20" t="s">
        <v>25</v>
      </c>
      <c r="H20" s="1">
        <v>29295</v>
      </c>
      <c r="I20">
        <v>0.28000000000000003</v>
      </c>
      <c r="J20">
        <v>0.44900000000000001</v>
      </c>
      <c r="K20">
        <v>0</v>
      </c>
      <c r="L20">
        <v>1</v>
      </c>
      <c r="M20" t="s">
        <v>25</v>
      </c>
      <c r="N20" s="1">
        <v>21330</v>
      </c>
      <c r="O20">
        <v>0.29099999999999998</v>
      </c>
      <c r="P20">
        <v>0.45400000000000001</v>
      </c>
      <c r="Q20">
        <v>0</v>
      </c>
      <c r="R20">
        <v>1</v>
      </c>
      <c r="S20" t="s">
        <v>25</v>
      </c>
      <c r="T20" s="1"/>
    </row>
    <row r="21" spans="1:24" x14ac:dyDescent="0.25">
      <c r="A21" t="s">
        <v>26</v>
      </c>
      <c r="B21" s="1">
        <v>50625</v>
      </c>
      <c r="C21">
        <v>0.17199999999999999</v>
      </c>
      <c r="D21">
        <v>0.377</v>
      </c>
      <c r="E21">
        <v>0</v>
      </c>
      <c r="F21">
        <v>1</v>
      </c>
      <c r="G21" t="s">
        <v>26</v>
      </c>
      <c r="H21" s="1">
        <v>29295</v>
      </c>
      <c r="I21">
        <v>0.17599999999999999</v>
      </c>
      <c r="J21">
        <v>0.38100000000000001</v>
      </c>
      <c r="K21">
        <v>0</v>
      </c>
      <c r="L21">
        <v>1</v>
      </c>
      <c r="M21" t="s">
        <v>26</v>
      </c>
      <c r="N21" s="1">
        <v>21330</v>
      </c>
      <c r="O21">
        <v>0.16600000000000001</v>
      </c>
      <c r="P21">
        <v>0.372</v>
      </c>
      <c r="Q21">
        <v>0</v>
      </c>
      <c r="R21">
        <v>1</v>
      </c>
      <c r="S21" t="s">
        <v>26</v>
      </c>
      <c r="T21" s="1"/>
    </row>
    <row r="22" spans="1:24" x14ac:dyDescent="0.25">
      <c r="A22" t="s">
        <v>27</v>
      </c>
      <c r="B22" s="1">
        <v>50625</v>
      </c>
      <c r="C22">
        <v>3.5000000000000003E-2</v>
      </c>
      <c r="D22">
        <v>0.184</v>
      </c>
      <c r="E22">
        <v>0</v>
      </c>
      <c r="F22">
        <v>1</v>
      </c>
      <c r="G22" t="s">
        <v>27</v>
      </c>
      <c r="H22" s="1">
        <v>29295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21330</v>
      </c>
      <c r="O22">
        <v>3.4000000000000002E-2</v>
      </c>
      <c r="P22">
        <v>0.18099999999999999</v>
      </c>
      <c r="Q22">
        <v>0</v>
      </c>
      <c r="R22">
        <v>1</v>
      </c>
      <c r="S22" t="s">
        <v>27</v>
      </c>
      <c r="T22" s="1"/>
    </row>
    <row r="23" spans="1:24" x14ac:dyDescent="0.25">
      <c r="A23" t="s">
        <v>28</v>
      </c>
      <c r="B23" s="1">
        <v>50625</v>
      </c>
      <c r="C23">
        <v>0.41799999999999998</v>
      </c>
      <c r="D23">
        <v>0.49299999999999999</v>
      </c>
      <c r="E23">
        <v>0</v>
      </c>
      <c r="F23">
        <v>1</v>
      </c>
      <c r="G23" t="s">
        <v>28</v>
      </c>
      <c r="H23" s="1">
        <v>29295</v>
      </c>
      <c r="I23">
        <v>0.41699999999999998</v>
      </c>
      <c r="J23">
        <v>0.49299999999999999</v>
      </c>
      <c r="K23">
        <v>0</v>
      </c>
      <c r="L23">
        <v>1</v>
      </c>
      <c r="M23" t="s">
        <v>28</v>
      </c>
      <c r="N23" s="1">
        <v>21330</v>
      </c>
      <c r="O23">
        <v>0.42</v>
      </c>
      <c r="P23">
        <v>0.49399999999999999</v>
      </c>
      <c r="Q23">
        <v>0</v>
      </c>
      <c r="R23">
        <v>1</v>
      </c>
      <c r="S23" t="s">
        <v>28</v>
      </c>
      <c r="T23" s="1"/>
    </row>
    <row r="24" spans="1:24" x14ac:dyDescent="0.25">
      <c r="A24" t="s">
        <v>29</v>
      </c>
      <c r="B24" s="1">
        <v>50625</v>
      </c>
      <c r="C24">
        <v>8.9999999999999993E-3</v>
      </c>
      <c r="D24">
        <v>9.1999999999999998E-2</v>
      </c>
      <c r="E24">
        <v>0</v>
      </c>
      <c r="F24">
        <v>1</v>
      </c>
      <c r="G24" t="s">
        <v>29</v>
      </c>
      <c r="H24" s="1">
        <v>29295</v>
      </c>
      <c r="I24">
        <v>8.9999999999999993E-3</v>
      </c>
      <c r="J24">
        <v>9.5000000000000001E-2</v>
      </c>
      <c r="K24">
        <v>0</v>
      </c>
      <c r="L24">
        <v>1</v>
      </c>
      <c r="M24" t="s">
        <v>29</v>
      </c>
      <c r="N24" s="1">
        <v>21330</v>
      </c>
      <c r="O24">
        <v>8.0000000000000002E-3</v>
      </c>
      <c r="P24">
        <v>8.8999999999999996E-2</v>
      </c>
      <c r="Q24">
        <v>0</v>
      </c>
      <c r="R24">
        <v>1</v>
      </c>
      <c r="S24" t="s">
        <v>29</v>
      </c>
      <c r="T24" s="1"/>
    </row>
    <row r="25" spans="1:24" x14ac:dyDescent="0.25">
      <c r="A25" t="s">
        <v>30</v>
      </c>
      <c r="B25" s="1">
        <v>50625</v>
      </c>
      <c r="C25">
        <v>1.7999999999999999E-2</v>
      </c>
      <c r="D25">
        <v>0.13100000000000001</v>
      </c>
      <c r="E25">
        <v>0</v>
      </c>
      <c r="F25">
        <v>1</v>
      </c>
      <c r="G25" t="s">
        <v>30</v>
      </c>
      <c r="H25" s="1">
        <v>29295</v>
      </c>
      <c r="I25">
        <v>1.4999999999999999E-2</v>
      </c>
      <c r="J25">
        <v>0.122</v>
      </c>
      <c r="K25">
        <v>0</v>
      </c>
      <c r="L25">
        <v>1</v>
      </c>
      <c r="M25" t="s">
        <v>30</v>
      </c>
      <c r="N25" s="1">
        <v>21330</v>
      </c>
      <c r="O25">
        <v>2.1000000000000001E-2</v>
      </c>
      <c r="P25">
        <v>0.14299999999999999</v>
      </c>
      <c r="Q25">
        <v>0</v>
      </c>
      <c r="R25">
        <v>1</v>
      </c>
      <c r="S25" t="s">
        <v>30</v>
      </c>
      <c r="T25" s="1"/>
    </row>
    <row r="26" spans="1:24" x14ac:dyDescent="0.25">
      <c r="A26" t="s">
        <v>31</v>
      </c>
      <c r="B26" s="1">
        <v>50625</v>
      </c>
      <c r="C26">
        <v>4.4999999999999998E-2</v>
      </c>
      <c r="D26">
        <v>0.20599999999999999</v>
      </c>
      <c r="E26">
        <v>0</v>
      </c>
      <c r="F26">
        <v>1</v>
      </c>
      <c r="G26" t="s">
        <v>31</v>
      </c>
      <c r="H26" s="1">
        <v>29295</v>
      </c>
      <c r="I26">
        <v>4.5999999999999999E-2</v>
      </c>
      <c r="J26">
        <v>0.20899999999999999</v>
      </c>
      <c r="K26">
        <v>0</v>
      </c>
      <c r="L26">
        <v>1</v>
      </c>
      <c r="M26" t="s">
        <v>31</v>
      </c>
      <c r="N26" s="1">
        <v>21330</v>
      </c>
      <c r="O26">
        <v>4.2999999999999997E-2</v>
      </c>
      <c r="P26">
        <v>0.20300000000000001</v>
      </c>
      <c r="Q26">
        <v>0</v>
      </c>
      <c r="R26">
        <v>1</v>
      </c>
      <c r="S26" t="s">
        <v>31</v>
      </c>
      <c r="T26" s="1"/>
    </row>
    <row r="27" spans="1:24" x14ac:dyDescent="0.25">
      <c r="A27" t="s">
        <v>32</v>
      </c>
      <c r="B27" s="1">
        <v>50625</v>
      </c>
      <c r="C27">
        <v>0.45400000000000001</v>
      </c>
      <c r="D27">
        <v>0.498</v>
      </c>
      <c r="E27">
        <v>0</v>
      </c>
      <c r="F27">
        <v>1</v>
      </c>
      <c r="G27" t="s">
        <v>32</v>
      </c>
      <c r="H27" s="1">
        <v>29295</v>
      </c>
      <c r="I27">
        <v>0.45300000000000001</v>
      </c>
      <c r="J27">
        <v>0.498</v>
      </c>
      <c r="K27">
        <v>0</v>
      </c>
      <c r="L27">
        <v>1</v>
      </c>
      <c r="M27" t="s">
        <v>32</v>
      </c>
      <c r="N27" s="1">
        <v>21330</v>
      </c>
      <c r="O27">
        <v>0.45600000000000002</v>
      </c>
      <c r="P27">
        <v>0.498</v>
      </c>
      <c r="Q27">
        <v>0</v>
      </c>
      <c r="R27">
        <v>1</v>
      </c>
      <c r="S27" t="s">
        <v>32</v>
      </c>
      <c r="T27" s="1"/>
    </row>
    <row r="28" spans="1:24" x14ac:dyDescent="0.25">
      <c r="A28" t="s">
        <v>33</v>
      </c>
      <c r="B28" s="1">
        <v>50625</v>
      </c>
      <c r="C28">
        <v>36.707999999999998</v>
      </c>
      <c r="D28">
        <v>19.786000000000001</v>
      </c>
      <c r="E28">
        <v>0</v>
      </c>
      <c r="F28">
        <v>123</v>
      </c>
      <c r="G28" t="s">
        <v>33</v>
      </c>
      <c r="H28" s="1">
        <v>29295</v>
      </c>
      <c r="I28">
        <v>34.923999999999999</v>
      </c>
      <c r="J28">
        <v>19.527000000000001</v>
      </c>
      <c r="K28">
        <v>0</v>
      </c>
      <c r="L28">
        <v>112</v>
      </c>
      <c r="M28" t="s">
        <v>33</v>
      </c>
      <c r="N28" s="1">
        <v>21330</v>
      </c>
      <c r="O28">
        <v>39.158000000000001</v>
      </c>
      <c r="P28">
        <v>19.879000000000001</v>
      </c>
      <c r="Q28">
        <v>0</v>
      </c>
      <c r="R28">
        <v>123</v>
      </c>
      <c r="S28" t="s">
        <v>33</v>
      </c>
      <c r="T28" s="1"/>
    </row>
    <row r="29" spans="1:24" x14ac:dyDescent="0.25">
      <c r="A29" t="s">
        <v>34</v>
      </c>
      <c r="B29" s="1">
        <v>50625</v>
      </c>
      <c r="C29">
        <v>1.7390000000000001</v>
      </c>
      <c r="D29">
        <v>1.56</v>
      </c>
      <c r="E29">
        <v>0</v>
      </c>
      <c r="F29" s="1">
        <v>15.129</v>
      </c>
      <c r="G29" t="s">
        <v>34</v>
      </c>
      <c r="H29" s="1">
        <v>29295</v>
      </c>
      <c r="I29">
        <v>1.601</v>
      </c>
      <c r="J29">
        <v>1.478</v>
      </c>
      <c r="K29">
        <v>0</v>
      </c>
      <c r="L29">
        <v>12.544</v>
      </c>
      <c r="M29" t="s">
        <v>34</v>
      </c>
      <c r="N29" s="1">
        <v>21330</v>
      </c>
      <c r="O29">
        <v>1.929</v>
      </c>
      <c r="P29">
        <v>1.6479999999999999</v>
      </c>
      <c r="Q29">
        <v>0</v>
      </c>
      <c r="R29" s="1">
        <v>15.129</v>
      </c>
      <c r="S29" t="s">
        <v>34</v>
      </c>
      <c r="T29" s="1"/>
    </row>
    <row r="30" spans="1:24" x14ac:dyDescent="0.25">
      <c r="A30" t="s">
        <v>35</v>
      </c>
      <c r="B30" s="1">
        <v>50625</v>
      </c>
      <c r="C30" s="2">
        <v>3.024</v>
      </c>
      <c r="D30" s="2">
        <v>9.1649999999999991</v>
      </c>
      <c r="E30">
        <v>0</v>
      </c>
      <c r="F30" s="2">
        <v>94</v>
      </c>
      <c r="G30" t="s">
        <v>35</v>
      </c>
      <c r="H30" s="1">
        <v>29295</v>
      </c>
      <c r="I30">
        <v>2.794</v>
      </c>
      <c r="J30">
        <v>8.7439999999999998</v>
      </c>
      <c r="K30">
        <v>0</v>
      </c>
      <c r="L30">
        <v>88</v>
      </c>
      <c r="M30" t="s">
        <v>35</v>
      </c>
      <c r="N30" s="1">
        <v>21330</v>
      </c>
      <c r="O30" s="2">
        <v>3.34</v>
      </c>
      <c r="P30" s="2">
        <v>9.7050000000000001</v>
      </c>
      <c r="Q30">
        <v>0</v>
      </c>
      <c r="R30" s="2">
        <v>94</v>
      </c>
      <c r="S30" t="s">
        <v>35</v>
      </c>
      <c r="T30" s="1"/>
    </row>
    <row r="31" spans="1:24" x14ac:dyDescent="0.25">
      <c r="A31" t="s">
        <v>18</v>
      </c>
      <c r="B31" s="1">
        <v>50625</v>
      </c>
      <c r="C31" s="2">
        <v>1472.424</v>
      </c>
      <c r="D31" s="2">
        <v>980.20100000000002</v>
      </c>
      <c r="E31">
        <v>175</v>
      </c>
      <c r="F31" s="2">
        <v>23350</v>
      </c>
      <c r="G31" t="s">
        <v>18</v>
      </c>
      <c r="H31" s="1">
        <v>29295</v>
      </c>
      <c r="I31" s="2">
        <v>1457.672</v>
      </c>
      <c r="J31">
        <v>947.46900000000005</v>
      </c>
      <c r="K31">
        <v>195</v>
      </c>
      <c r="L31" s="1">
        <v>23350</v>
      </c>
      <c r="M31" t="s">
        <v>18</v>
      </c>
      <c r="N31" s="1">
        <v>21330</v>
      </c>
      <c r="O31" s="2">
        <v>1492.684</v>
      </c>
      <c r="P31" s="2">
        <v>1023.128</v>
      </c>
      <c r="Q31">
        <v>175</v>
      </c>
      <c r="R31" s="2">
        <v>18919</v>
      </c>
      <c r="S31" t="s">
        <v>18</v>
      </c>
      <c r="T31" s="1"/>
      <c r="X31" s="1"/>
    </row>
    <row r="32" spans="1:24" x14ac:dyDescent="0.25">
      <c r="A32" t="s">
        <v>37</v>
      </c>
      <c r="B32" s="1">
        <v>50625</v>
      </c>
      <c r="C32">
        <v>3.1320000000000001</v>
      </c>
      <c r="D32">
        <v>5.9690000000000003</v>
      </c>
      <c r="E32">
        <v>1.4E-2</v>
      </c>
      <c r="F32" s="2">
        <v>128.91800000000001</v>
      </c>
      <c r="G32" t="s">
        <v>37</v>
      </c>
      <c r="H32" s="1">
        <v>29295</v>
      </c>
      <c r="I32" s="2">
        <v>3.125</v>
      </c>
      <c r="J32">
        <v>5.8970000000000002</v>
      </c>
      <c r="K32">
        <v>1.4E-2</v>
      </c>
      <c r="L32" s="1">
        <v>128.91800000000001</v>
      </c>
      <c r="M32" t="s">
        <v>37</v>
      </c>
      <c r="N32" s="1">
        <v>21330</v>
      </c>
      <c r="O32">
        <v>3.141</v>
      </c>
      <c r="P32">
        <v>6.0670000000000002</v>
      </c>
      <c r="Q32">
        <v>1.4E-2</v>
      </c>
      <c r="R32" s="2">
        <v>111.96899999999999</v>
      </c>
      <c r="S32" t="s">
        <v>37</v>
      </c>
      <c r="T32" s="1"/>
    </row>
    <row r="33" spans="1:24" x14ac:dyDescent="0.25">
      <c r="A33" t="s">
        <v>164</v>
      </c>
      <c r="B33" s="1">
        <v>50625</v>
      </c>
      <c r="C33" s="2">
        <v>2.0910000000000002</v>
      </c>
      <c r="D33" s="2">
        <v>2.4409999999999998</v>
      </c>
      <c r="E33">
        <v>0</v>
      </c>
      <c r="F33" s="2">
        <v>13.552</v>
      </c>
      <c r="G33" t="s">
        <v>164</v>
      </c>
      <c r="H33" s="1">
        <v>29295</v>
      </c>
      <c r="I33" s="2">
        <v>2.13</v>
      </c>
      <c r="J33">
        <v>2.4849999999999999</v>
      </c>
      <c r="K33">
        <v>0</v>
      </c>
      <c r="L33" s="1">
        <v>13.552</v>
      </c>
      <c r="M33" t="s">
        <v>164</v>
      </c>
      <c r="N33" s="1">
        <v>21330</v>
      </c>
      <c r="O33" s="2">
        <v>2.0379999999999998</v>
      </c>
      <c r="P33" s="2">
        <v>2.379</v>
      </c>
      <c r="Q33">
        <v>0</v>
      </c>
      <c r="R33" s="2">
        <v>13.477</v>
      </c>
      <c r="S33" t="s">
        <v>164</v>
      </c>
      <c r="T33" s="1"/>
    </row>
    <row r="34" spans="1:24" x14ac:dyDescent="0.25">
      <c r="A34" t="s">
        <v>39</v>
      </c>
      <c r="B34" s="1">
        <v>50625</v>
      </c>
      <c r="C34" s="2">
        <v>0.42699999999999999</v>
      </c>
      <c r="D34" s="2">
        <v>0.312</v>
      </c>
      <c r="E34">
        <v>0</v>
      </c>
      <c r="F34" s="2">
        <v>3.56</v>
      </c>
      <c r="G34" t="s">
        <v>39</v>
      </c>
      <c r="H34" s="1">
        <v>29295</v>
      </c>
      <c r="I34" s="2">
        <v>0.42699999999999999</v>
      </c>
      <c r="J34" s="2">
        <v>0.308</v>
      </c>
      <c r="K34">
        <v>0</v>
      </c>
      <c r="L34" s="2">
        <v>3.302</v>
      </c>
      <c r="M34" t="s">
        <v>39</v>
      </c>
      <c r="N34" s="1">
        <v>21330</v>
      </c>
      <c r="O34" s="2">
        <v>0.42799999999999999</v>
      </c>
      <c r="P34" s="2">
        <v>0.317</v>
      </c>
      <c r="Q34">
        <v>0</v>
      </c>
      <c r="R34" s="2">
        <v>3.56</v>
      </c>
      <c r="S34" t="s">
        <v>39</v>
      </c>
      <c r="T34" s="1"/>
    </row>
    <row r="35" spans="1:24" x14ac:dyDescent="0.25">
      <c r="A35" t="s">
        <v>40</v>
      </c>
      <c r="B35" s="1">
        <v>50625</v>
      </c>
      <c r="C35">
        <v>4.1280000000000001</v>
      </c>
      <c r="D35">
        <v>3.9660000000000002</v>
      </c>
      <c r="E35">
        <v>0.01</v>
      </c>
      <c r="F35">
        <v>20.997</v>
      </c>
      <c r="G35" t="s">
        <v>40</v>
      </c>
      <c r="H35" s="1">
        <v>29295</v>
      </c>
      <c r="I35" s="2">
        <v>4.0869999999999997</v>
      </c>
      <c r="J35" s="2">
        <v>3.8959999999999999</v>
      </c>
      <c r="K35">
        <v>0.01</v>
      </c>
      <c r="L35" s="2">
        <v>20.997</v>
      </c>
      <c r="M35" t="s">
        <v>40</v>
      </c>
      <c r="N35" s="1">
        <v>21330</v>
      </c>
      <c r="O35">
        <v>4.1829999999999998</v>
      </c>
      <c r="P35">
        <v>4.0599999999999996</v>
      </c>
      <c r="Q35">
        <v>0.01</v>
      </c>
      <c r="R35">
        <v>20.927</v>
      </c>
      <c r="S35" t="s">
        <v>40</v>
      </c>
      <c r="T35" s="1"/>
    </row>
    <row r="36" spans="1:24" x14ac:dyDescent="0.25">
      <c r="A36" t="s">
        <v>41</v>
      </c>
      <c r="B36" s="1">
        <v>50625</v>
      </c>
      <c r="C36">
        <v>9.0709999999999997</v>
      </c>
      <c r="D36">
        <v>5.601</v>
      </c>
      <c r="E36">
        <v>0.99299999999999999</v>
      </c>
      <c r="F36">
        <v>30.986000000000001</v>
      </c>
      <c r="G36" t="s">
        <v>41</v>
      </c>
      <c r="H36" s="1">
        <v>29295</v>
      </c>
      <c r="I36">
        <v>9.0470000000000006</v>
      </c>
      <c r="J36">
        <v>5.6</v>
      </c>
      <c r="K36">
        <v>0.99299999999999999</v>
      </c>
      <c r="L36" s="2">
        <v>30.003</v>
      </c>
      <c r="M36" t="s">
        <v>41</v>
      </c>
      <c r="N36" s="1">
        <v>21330</v>
      </c>
      <c r="O36">
        <v>9.1029999999999998</v>
      </c>
      <c r="P36">
        <v>5.6020000000000003</v>
      </c>
      <c r="Q36">
        <v>0.99299999999999999</v>
      </c>
      <c r="R36">
        <v>30.986000000000001</v>
      </c>
      <c r="S36" t="s">
        <v>41</v>
      </c>
      <c r="T36" s="1"/>
    </row>
    <row r="37" spans="1:24" x14ac:dyDescent="0.25">
      <c r="A37" t="s">
        <v>173</v>
      </c>
      <c r="B37" s="1">
        <v>50625</v>
      </c>
      <c r="C37">
        <v>1.169</v>
      </c>
      <c r="D37">
        <v>4.51</v>
      </c>
      <c r="E37">
        <v>1.6E-2</v>
      </c>
      <c r="F37">
        <v>196.49</v>
      </c>
      <c r="G37" t="s">
        <v>173</v>
      </c>
      <c r="H37" s="1">
        <v>29295</v>
      </c>
      <c r="I37" s="2">
        <v>1.1779999999999999</v>
      </c>
      <c r="J37" s="2">
        <v>4.6449999999999996</v>
      </c>
      <c r="K37">
        <v>2.5999999999999999E-2</v>
      </c>
      <c r="L37" s="2">
        <v>196.49</v>
      </c>
      <c r="M37" t="s">
        <v>173</v>
      </c>
      <c r="N37" s="1">
        <v>21330</v>
      </c>
      <c r="O37">
        <v>1.1579999999999999</v>
      </c>
      <c r="P37">
        <v>4.3170000000000002</v>
      </c>
      <c r="Q37">
        <v>1.6E-2</v>
      </c>
      <c r="R37">
        <v>196.49</v>
      </c>
      <c r="S37" t="s">
        <v>173</v>
      </c>
      <c r="T37" s="1"/>
    </row>
    <row r="38" spans="1:24" x14ac:dyDescent="0.25">
      <c r="A38" t="s">
        <v>174</v>
      </c>
      <c r="B38" s="1">
        <v>50625</v>
      </c>
      <c r="C38">
        <v>2.2040000000000002</v>
      </c>
      <c r="D38">
        <v>1.5920000000000001</v>
      </c>
      <c r="E38">
        <v>3.6999999999999998E-2</v>
      </c>
      <c r="F38">
        <v>17.684000000000001</v>
      </c>
      <c r="G38" t="s">
        <v>174</v>
      </c>
      <c r="H38" s="1">
        <v>29295</v>
      </c>
      <c r="I38" s="2">
        <v>2.1949999999999998</v>
      </c>
      <c r="J38" s="2">
        <v>1.581</v>
      </c>
      <c r="K38">
        <v>4.2999999999999997E-2</v>
      </c>
      <c r="L38" s="2">
        <v>17.684000000000001</v>
      </c>
      <c r="M38" t="s">
        <v>174</v>
      </c>
      <c r="N38" s="1">
        <v>21330</v>
      </c>
      <c r="O38">
        <v>2.2149999999999999</v>
      </c>
      <c r="P38">
        <v>1.607</v>
      </c>
      <c r="Q38">
        <v>3.6999999999999998E-2</v>
      </c>
      <c r="R38">
        <v>17.655000000000001</v>
      </c>
      <c r="S38" t="s">
        <v>174</v>
      </c>
      <c r="T38" s="1"/>
    </row>
    <row r="39" spans="1:24" x14ac:dyDescent="0.25">
      <c r="A39" t="s">
        <v>175</v>
      </c>
      <c r="B39" s="1">
        <v>50625</v>
      </c>
      <c r="C39">
        <v>2.1739999999999999</v>
      </c>
      <c r="D39">
        <v>1.5149999999999999</v>
      </c>
      <c r="E39">
        <v>3.4000000000000002E-2</v>
      </c>
      <c r="F39">
        <v>17.684000000000001</v>
      </c>
      <c r="G39" t="s">
        <v>175</v>
      </c>
      <c r="H39" s="1">
        <v>29295</v>
      </c>
      <c r="I39">
        <v>2.169</v>
      </c>
      <c r="J39">
        <v>1.498</v>
      </c>
      <c r="K39">
        <v>3.4000000000000002E-2</v>
      </c>
      <c r="L39">
        <v>17.684000000000001</v>
      </c>
      <c r="M39" t="s">
        <v>175</v>
      </c>
      <c r="N39" s="1">
        <v>21330</v>
      </c>
      <c r="O39">
        <v>2.181</v>
      </c>
      <c r="P39">
        <v>1.538</v>
      </c>
      <c r="Q39">
        <v>3.4000000000000002E-2</v>
      </c>
      <c r="R39">
        <v>17.655000000000001</v>
      </c>
      <c r="S39" t="s">
        <v>175</v>
      </c>
      <c r="T39" s="1"/>
    </row>
    <row r="40" spans="1:24" x14ac:dyDescent="0.25">
      <c r="A40" t="s">
        <v>42</v>
      </c>
      <c r="B40" s="1">
        <v>50625</v>
      </c>
      <c r="C40">
        <v>0.245</v>
      </c>
      <c r="D40">
        <v>0.17699999999999999</v>
      </c>
      <c r="E40">
        <v>0</v>
      </c>
      <c r="F40">
        <v>0.85</v>
      </c>
      <c r="G40" t="s">
        <v>42</v>
      </c>
      <c r="H40" s="1">
        <v>29295</v>
      </c>
      <c r="I40">
        <v>0.245</v>
      </c>
      <c r="J40">
        <v>0.17899999999999999</v>
      </c>
      <c r="K40">
        <v>0</v>
      </c>
      <c r="L40">
        <v>0.85</v>
      </c>
      <c r="M40" t="s">
        <v>42</v>
      </c>
      <c r="N40" s="1">
        <v>21330</v>
      </c>
      <c r="O40">
        <v>0.24399999999999999</v>
      </c>
      <c r="P40">
        <v>0.17399999999999999</v>
      </c>
      <c r="Q40">
        <v>0</v>
      </c>
      <c r="R40">
        <v>0.85</v>
      </c>
      <c r="S40" t="s">
        <v>42</v>
      </c>
      <c r="T40" s="1"/>
    </row>
    <row r="41" spans="1:24" x14ac:dyDescent="0.25">
      <c r="A41" t="s">
        <v>43</v>
      </c>
      <c r="B41" s="1">
        <v>50625</v>
      </c>
      <c r="C41">
        <v>2.1000000000000001E-2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29295</v>
      </c>
      <c r="I41">
        <v>2.1999999999999999E-2</v>
      </c>
      <c r="J41">
        <v>3.5000000000000003E-2</v>
      </c>
      <c r="K41">
        <v>0</v>
      </c>
      <c r="L41">
        <v>0.26100000000000001</v>
      </c>
      <c r="M41" t="s">
        <v>43</v>
      </c>
      <c r="N41" s="1">
        <v>21330</v>
      </c>
      <c r="O41">
        <v>2.1000000000000001E-2</v>
      </c>
      <c r="P41">
        <v>3.4000000000000002E-2</v>
      </c>
      <c r="Q41">
        <v>0</v>
      </c>
      <c r="R41">
        <v>0.26100000000000001</v>
      </c>
      <c r="S41" t="s">
        <v>43</v>
      </c>
      <c r="T41" s="1"/>
    </row>
    <row r="42" spans="1:24" x14ac:dyDescent="0.25">
      <c r="A42" t="s">
        <v>44</v>
      </c>
      <c r="B42" s="1">
        <v>50625</v>
      </c>
      <c r="C42">
        <v>0.42899999999999999</v>
      </c>
      <c r="D42">
        <v>0.19700000000000001</v>
      </c>
      <c r="E42">
        <v>0</v>
      </c>
      <c r="F42">
        <v>1</v>
      </c>
      <c r="G42" t="s">
        <v>44</v>
      </c>
      <c r="H42" s="1">
        <v>29295</v>
      </c>
      <c r="I42">
        <v>0.42899999999999999</v>
      </c>
      <c r="J42">
        <v>0.19700000000000001</v>
      </c>
      <c r="K42">
        <v>2.0000000000000001E-4</v>
      </c>
      <c r="L42">
        <v>1</v>
      </c>
      <c r="M42" t="s">
        <v>44</v>
      </c>
      <c r="N42" s="1">
        <v>21330</v>
      </c>
      <c r="O42">
        <v>0.42899999999999999</v>
      </c>
      <c r="P42">
        <v>0.19700000000000001</v>
      </c>
      <c r="Q42">
        <v>0</v>
      </c>
      <c r="R42">
        <v>1</v>
      </c>
      <c r="S42" t="s">
        <v>44</v>
      </c>
      <c r="T42" s="1"/>
    </row>
    <row r="43" spans="1:24" x14ac:dyDescent="0.25">
      <c r="A43" t="s">
        <v>45</v>
      </c>
      <c r="B43" s="1">
        <v>50625</v>
      </c>
      <c r="C43">
        <v>7.0000000000000007E-2</v>
      </c>
      <c r="D43">
        <v>0.10100000000000001</v>
      </c>
      <c r="E43">
        <v>0</v>
      </c>
      <c r="F43" s="1">
        <v>0.69499999999999995</v>
      </c>
      <c r="G43" t="s">
        <v>45</v>
      </c>
      <c r="H43" s="1">
        <v>29295</v>
      </c>
      <c r="I43">
        <v>6.9000000000000006E-2</v>
      </c>
      <c r="J43">
        <v>0.1</v>
      </c>
      <c r="K43">
        <v>0</v>
      </c>
      <c r="L43">
        <v>0.69499999999999995</v>
      </c>
      <c r="M43" t="s">
        <v>45</v>
      </c>
      <c r="N43" s="1">
        <v>21330</v>
      </c>
      <c r="O43">
        <v>7.0000000000000007E-2</v>
      </c>
      <c r="P43">
        <v>0.10299999999999999</v>
      </c>
      <c r="Q43">
        <v>0</v>
      </c>
      <c r="R43" s="1">
        <v>0.69499999999999995</v>
      </c>
      <c r="S43" t="s">
        <v>45</v>
      </c>
      <c r="T43" s="1"/>
    </row>
    <row r="44" spans="1:24" x14ac:dyDescent="0.25">
      <c r="A44" t="s">
        <v>46</v>
      </c>
      <c r="B44" s="1">
        <v>50625</v>
      </c>
      <c r="C44">
        <v>0.88</v>
      </c>
      <c r="D44">
        <v>0.16500000000000001</v>
      </c>
      <c r="E44">
        <v>4.0000000000000002E-4</v>
      </c>
      <c r="F44">
        <v>1</v>
      </c>
      <c r="G44" t="s">
        <v>46</v>
      </c>
      <c r="H44" s="1">
        <v>29295</v>
      </c>
      <c r="I44">
        <v>0.88200000000000001</v>
      </c>
      <c r="J44">
        <v>0.16700000000000001</v>
      </c>
      <c r="K44">
        <v>4.0000000000000002E-4</v>
      </c>
      <c r="L44">
        <v>1</v>
      </c>
      <c r="M44" t="s">
        <v>46</v>
      </c>
      <c r="N44" s="1">
        <v>21330</v>
      </c>
      <c r="O44">
        <v>0.878</v>
      </c>
      <c r="P44">
        <v>0.161</v>
      </c>
      <c r="Q44">
        <v>0.107</v>
      </c>
      <c r="R44">
        <v>1</v>
      </c>
      <c r="S44" t="s">
        <v>46</v>
      </c>
      <c r="T44" s="1"/>
    </row>
    <row r="45" spans="1:24" x14ac:dyDescent="0.25">
      <c r="A45" t="s">
        <v>47</v>
      </c>
      <c r="B45" s="1">
        <v>50625</v>
      </c>
      <c r="C45">
        <v>0.11799999999999999</v>
      </c>
      <c r="D45">
        <v>0.16300000000000001</v>
      </c>
      <c r="E45">
        <v>0</v>
      </c>
      <c r="F45">
        <v>0.89300000000000002</v>
      </c>
      <c r="G45" t="s">
        <v>47</v>
      </c>
      <c r="H45" s="1">
        <v>29295</v>
      </c>
      <c r="I45">
        <v>0.11700000000000001</v>
      </c>
      <c r="J45">
        <v>0.16500000000000001</v>
      </c>
      <c r="K45">
        <v>0</v>
      </c>
      <c r="L45">
        <v>0.89300000000000002</v>
      </c>
      <c r="M45" t="s">
        <v>47</v>
      </c>
      <c r="N45" s="1">
        <v>21330</v>
      </c>
      <c r="O45">
        <v>0.12</v>
      </c>
      <c r="P45">
        <v>0.159</v>
      </c>
      <c r="Q45">
        <v>0</v>
      </c>
      <c r="R45">
        <v>0.89300000000000002</v>
      </c>
      <c r="S45" t="s">
        <v>47</v>
      </c>
      <c r="T45" s="1"/>
    </row>
    <row r="46" spans="1:24" x14ac:dyDescent="0.25">
      <c r="A46" t="s">
        <v>48</v>
      </c>
      <c r="B46" s="1">
        <v>50625</v>
      </c>
      <c r="C46" s="2">
        <v>0.66500000000000004</v>
      </c>
      <c r="D46" s="2">
        <v>0.20300000000000001</v>
      </c>
      <c r="E46" s="2">
        <v>0</v>
      </c>
      <c r="F46" s="2">
        <v>1</v>
      </c>
      <c r="G46" t="s">
        <v>48</v>
      </c>
      <c r="H46" s="1">
        <v>29295</v>
      </c>
      <c r="I46">
        <v>0.66900000000000004</v>
      </c>
      <c r="J46">
        <v>0.2</v>
      </c>
      <c r="K46">
        <v>4.0000000000000002E-4</v>
      </c>
      <c r="L46">
        <v>1</v>
      </c>
      <c r="M46" t="s">
        <v>48</v>
      </c>
      <c r="N46" s="1">
        <v>21330</v>
      </c>
      <c r="O46" s="2">
        <v>0.66100000000000003</v>
      </c>
      <c r="P46" s="2">
        <v>0.20699999999999999</v>
      </c>
      <c r="Q46" s="2">
        <v>0</v>
      </c>
      <c r="R46" s="2">
        <v>1</v>
      </c>
      <c r="S46" t="s">
        <v>48</v>
      </c>
      <c r="T46" s="1"/>
    </row>
    <row r="47" spans="1:24" x14ac:dyDescent="0.25">
      <c r="A47" t="s">
        <v>49</v>
      </c>
      <c r="B47" s="1">
        <v>50625</v>
      </c>
      <c r="C47" s="2">
        <v>0.33300000000000002</v>
      </c>
      <c r="D47" s="2">
        <v>0.20300000000000001</v>
      </c>
      <c r="E47" s="2">
        <v>0</v>
      </c>
      <c r="F47" s="2">
        <v>1</v>
      </c>
      <c r="G47" t="s">
        <v>49</v>
      </c>
      <c r="H47" s="1">
        <v>29295</v>
      </c>
      <c r="I47">
        <v>0.33</v>
      </c>
      <c r="J47">
        <v>0.2</v>
      </c>
      <c r="K47">
        <v>0</v>
      </c>
      <c r="L47">
        <v>0.98599999999999999</v>
      </c>
      <c r="M47" t="s">
        <v>49</v>
      </c>
      <c r="N47" s="1">
        <v>21330</v>
      </c>
      <c r="O47" s="2">
        <v>0.33800000000000002</v>
      </c>
      <c r="P47" s="2">
        <v>0.20599999999999999</v>
      </c>
      <c r="Q47" s="2">
        <v>0</v>
      </c>
      <c r="R47" s="2">
        <v>1</v>
      </c>
      <c r="S47" t="s">
        <v>49</v>
      </c>
      <c r="T47" s="1"/>
    </row>
    <row r="48" spans="1:24" x14ac:dyDescent="0.25">
      <c r="A48" t="s">
        <v>50</v>
      </c>
      <c r="B48" s="1">
        <v>50625</v>
      </c>
      <c r="C48">
        <v>18.009</v>
      </c>
      <c r="D48">
        <v>47.334000000000003</v>
      </c>
      <c r="E48">
        <v>0</v>
      </c>
      <c r="F48" s="1">
        <v>1000</v>
      </c>
      <c r="G48" t="s">
        <v>50</v>
      </c>
      <c r="H48" s="1">
        <v>29295</v>
      </c>
      <c r="I48">
        <v>17.754999999999999</v>
      </c>
      <c r="J48">
        <v>45.566000000000003</v>
      </c>
      <c r="K48">
        <v>0</v>
      </c>
      <c r="L48">
        <v>667</v>
      </c>
      <c r="M48" t="s">
        <v>50</v>
      </c>
      <c r="N48" s="1">
        <v>21330</v>
      </c>
      <c r="O48">
        <v>18.359000000000002</v>
      </c>
      <c r="P48">
        <v>49.658999999999999</v>
      </c>
      <c r="Q48">
        <v>0</v>
      </c>
      <c r="R48" s="1">
        <v>1000</v>
      </c>
      <c r="S48" t="s">
        <v>50</v>
      </c>
      <c r="T48" s="1"/>
      <c r="X48" s="1"/>
    </row>
    <row r="49" spans="1:24" x14ac:dyDescent="0.25">
      <c r="A49" t="s">
        <v>51</v>
      </c>
      <c r="B49" s="1">
        <v>50625</v>
      </c>
      <c r="C49" s="2">
        <v>0.70299999999999996</v>
      </c>
      <c r="D49" s="2">
        <v>1.5329999999999999</v>
      </c>
      <c r="E49" s="2">
        <v>0</v>
      </c>
      <c r="F49" s="2">
        <v>36</v>
      </c>
      <c r="G49" t="s">
        <v>51</v>
      </c>
      <c r="H49" s="1">
        <v>29295</v>
      </c>
      <c r="I49" s="2">
        <v>0.70599999999999996</v>
      </c>
      <c r="J49" s="2">
        <v>1.5660000000000001</v>
      </c>
      <c r="K49" s="2">
        <v>0</v>
      </c>
      <c r="L49" s="2">
        <v>36</v>
      </c>
      <c r="M49" t="s">
        <v>51</v>
      </c>
      <c r="N49" s="1">
        <v>21330</v>
      </c>
      <c r="O49" s="2">
        <v>0.69899999999999995</v>
      </c>
      <c r="P49" s="2">
        <v>1.486</v>
      </c>
      <c r="Q49" s="2">
        <v>0</v>
      </c>
      <c r="R49" s="2">
        <v>23</v>
      </c>
      <c r="S49" t="s">
        <v>51</v>
      </c>
      <c r="T49" s="1"/>
    </row>
    <row r="50" spans="1:24" x14ac:dyDescent="0.25">
      <c r="A50" t="s">
        <v>52</v>
      </c>
      <c r="B50" s="1">
        <v>50625</v>
      </c>
      <c r="C50" s="2">
        <v>0.40200000000000002</v>
      </c>
      <c r="D50" s="2">
        <v>0.49</v>
      </c>
      <c r="E50" s="2">
        <v>0</v>
      </c>
      <c r="F50" s="2">
        <v>1</v>
      </c>
      <c r="G50" t="s">
        <v>52</v>
      </c>
      <c r="H50" s="1">
        <v>29295</v>
      </c>
      <c r="I50" s="2">
        <v>0.379</v>
      </c>
      <c r="J50" s="2">
        <v>0.48499999999999999</v>
      </c>
      <c r="K50" s="2">
        <v>0</v>
      </c>
      <c r="L50" s="2">
        <v>1</v>
      </c>
      <c r="M50" t="s">
        <v>52</v>
      </c>
      <c r="N50" s="1">
        <v>21330</v>
      </c>
      <c r="O50" s="2">
        <v>0.433</v>
      </c>
      <c r="P50" s="2">
        <v>0.496</v>
      </c>
      <c r="Q50" s="2">
        <v>0</v>
      </c>
      <c r="R50" s="2">
        <v>1</v>
      </c>
      <c r="S50" t="s">
        <v>52</v>
      </c>
      <c r="T50" s="1"/>
    </row>
    <row r="51" spans="1:24" x14ac:dyDescent="0.25">
      <c r="A51" t="s">
        <v>53</v>
      </c>
      <c r="B51" s="1">
        <v>50625</v>
      </c>
      <c r="C51" s="2">
        <v>2361427</v>
      </c>
      <c r="D51" s="2">
        <v>7592.6030000000001</v>
      </c>
      <c r="E51" s="2">
        <v>2350907</v>
      </c>
      <c r="F51" s="2">
        <v>2400056</v>
      </c>
      <c r="G51" t="s">
        <v>53</v>
      </c>
      <c r="H51" s="1">
        <v>29295</v>
      </c>
      <c r="I51" s="2">
        <v>2361443</v>
      </c>
      <c r="J51" s="2">
        <v>7533.6819999999998</v>
      </c>
      <c r="K51" s="2">
        <v>2350907</v>
      </c>
      <c r="L51" s="2">
        <v>2400056</v>
      </c>
      <c r="M51" t="s">
        <v>53</v>
      </c>
      <c r="N51" s="1">
        <v>21330</v>
      </c>
      <c r="O51" s="2">
        <v>2361405</v>
      </c>
      <c r="P51" s="2">
        <v>7672.9129999999996</v>
      </c>
      <c r="Q51" s="2">
        <v>2350907</v>
      </c>
      <c r="R51" s="2">
        <v>2400056</v>
      </c>
      <c r="S51" t="s">
        <v>53</v>
      </c>
      <c r="T51" s="1"/>
      <c r="U51" s="2"/>
      <c r="V51" s="2"/>
      <c r="W51" s="2"/>
      <c r="X51" s="2"/>
    </row>
    <row r="52" spans="1:24" x14ac:dyDescent="0.25">
      <c r="A52" t="s">
        <v>54</v>
      </c>
      <c r="B52" s="1">
        <v>50625</v>
      </c>
      <c r="C52" s="2">
        <v>612731.9</v>
      </c>
      <c r="D52" s="2">
        <v>13288.3</v>
      </c>
      <c r="E52" s="2">
        <v>579824.19999999995</v>
      </c>
      <c r="F52" s="2">
        <v>638667.69999999995</v>
      </c>
      <c r="G52" t="s">
        <v>54</v>
      </c>
      <c r="H52" s="1">
        <v>29295</v>
      </c>
      <c r="I52" s="2">
        <v>612541.9</v>
      </c>
      <c r="J52" s="2">
        <v>13175.42</v>
      </c>
      <c r="K52" s="2">
        <v>579824.19999999995</v>
      </c>
      <c r="L52" s="2">
        <v>638667.69999999995</v>
      </c>
      <c r="M52" t="s">
        <v>54</v>
      </c>
      <c r="N52" s="1">
        <v>21330</v>
      </c>
      <c r="O52" s="2">
        <v>612992.80000000005</v>
      </c>
      <c r="P52" s="2">
        <v>13437.71</v>
      </c>
      <c r="Q52" s="2">
        <v>579905.6</v>
      </c>
      <c r="R52" s="2">
        <v>638597.19999999995</v>
      </c>
      <c r="S52" t="s">
        <v>54</v>
      </c>
      <c r="T52" s="1"/>
      <c r="U52" s="2"/>
      <c r="V52" s="2"/>
      <c r="W52" s="2"/>
      <c r="X52" s="2"/>
    </row>
    <row r="53" spans="1:24" x14ac:dyDescent="0.25">
      <c r="A53" t="s">
        <v>56</v>
      </c>
      <c r="B53" s="1">
        <v>50625</v>
      </c>
      <c r="C53">
        <v>0.54600000000000004</v>
      </c>
      <c r="D53">
        <v>0.498</v>
      </c>
      <c r="E53">
        <v>0</v>
      </c>
      <c r="F53">
        <v>1</v>
      </c>
      <c r="G53" t="s">
        <v>56</v>
      </c>
      <c r="H53" s="1">
        <v>29295</v>
      </c>
      <c r="I53" s="2">
        <v>0.54700000000000004</v>
      </c>
      <c r="J53" s="2">
        <v>0.498</v>
      </c>
      <c r="K53" s="2">
        <v>0</v>
      </c>
      <c r="L53" s="2">
        <v>1</v>
      </c>
      <c r="M53" t="s">
        <v>56</v>
      </c>
      <c r="N53" s="1">
        <v>21330</v>
      </c>
      <c r="O53">
        <v>0.54500000000000004</v>
      </c>
      <c r="P53">
        <v>0.498</v>
      </c>
      <c r="Q53">
        <v>0</v>
      </c>
      <c r="R53">
        <v>1</v>
      </c>
      <c r="S53" t="s">
        <v>56</v>
      </c>
      <c r="T53" s="1"/>
    </row>
    <row r="54" spans="1:24" x14ac:dyDescent="0.25">
      <c r="A54" t="s">
        <v>57</v>
      </c>
      <c r="B54" s="1">
        <v>50625</v>
      </c>
      <c r="C54" s="2">
        <v>0.45400000000000001</v>
      </c>
      <c r="D54">
        <v>0.498</v>
      </c>
      <c r="E54" s="1">
        <v>0</v>
      </c>
      <c r="F54" s="1">
        <v>1</v>
      </c>
      <c r="G54" t="s">
        <v>57</v>
      </c>
      <c r="H54" s="1">
        <v>29295</v>
      </c>
      <c r="I54" s="2">
        <v>0.45300000000000001</v>
      </c>
      <c r="J54" s="2">
        <v>0.498</v>
      </c>
      <c r="K54" s="2">
        <v>0</v>
      </c>
      <c r="L54" s="2">
        <v>1</v>
      </c>
      <c r="M54" t="s">
        <v>57</v>
      </c>
      <c r="N54" s="1">
        <v>21330</v>
      </c>
      <c r="O54" s="2">
        <v>0.45500000000000002</v>
      </c>
      <c r="P54">
        <v>0.498</v>
      </c>
      <c r="Q54" s="1">
        <v>0</v>
      </c>
      <c r="R54" s="1">
        <v>1</v>
      </c>
      <c r="S54" t="s">
        <v>57</v>
      </c>
      <c r="T54" s="1"/>
    </row>
    <row r="55" spans="1:24" x14ac:dyDescent="0.25">
      <c r="A55" t="s">
        <v>58</v>
      </c>
      <c r="B55" s="1">
        <v>50625</v>
      </c>
      <c r="C55">
        <v>0.34</v>
      </c>
      <c r="D55">
        <v>0.47399999999999998</v>
      </c>
      <c r="E55">
        <v>0</v>
      </c>
      <c r="F55">
        <v>1</v>
      </c>
      <c r="G55" t="s">
        <v>58</v>
      </c>
      <c r="H55" s="1">
        <v>29295</v>
      </c>
      <c r="I55">
        <v>0.34499999999999997</v>
      </c>
      <c r="J55">
        <v>0.47499999999999998</v>
      </c>
      <c r="K55">
        <v>0</v>
      </c>
      <c r="L55">
        <v>1</v>
      </c>
      <c r="M55" t="s">
        <v>58</v>
      </c>
      <c r="N55" s="1">
        <v>21330</v>
      </c>
      <c r="O55">
        <v>0.33300000000000002</v>
      </c>
      <c r="P55">
        <v>0.47099999999999997</v>
      </c>
      <c r="Q55">
        <v>0</v>
      </c>
      <c r="R55">
        <v>1</v>
      </c>
      <c r="S55" t="s">
        <v>58</v>
      </c>
      <c r="T55" s="1"/>
    </row>
    <row r="56" spans="1:24" x14ac:dyDescent="0.25">
      <c r="A56" t="s">
        <v>59</v>
      </c>
      <c r="B56" s="1">
        <v>50625</v>
      </c>
      <c r="C56">
        <v>0.34799999999999998</v>
      </c>
      <c r="D56">
        <v>0.47599999999999998</v>
      </c>
      <c r="E56">
        <v>0</v>
      </c>
      <c r="F56">
        <v>1</v>
      </c>
      <c r="G56" t="s">
        <v>59</v>
      </c>
      <c r="H56" s="1">
        <v>29295</v>
      </c>
      <c r="I56">
        <v>0.35099999999999998</v>
      </c>
      <c r="J56">
        <v>0.47699999999999998</v>
      </c>
      <c r="K56">
        <v>0</v>
      </c>
      <c r="L56">
        <v>1</v>
      </c>
      <c r="M56" t="s">
        <v>59</v>
      </c>
      <c r="N56" s="1">
        <v>21330</v>
      </c>
      <c r="O56">
        <v>0.34399999999999997</v>
      </c>
      <c r="P56">
        <v>0.47499999999999998</v>
      </c>
      <c r="Q56">
        <v>0</v>
      </c>
      <c r="R56">
        <v>1</v>
      </c>
      <c r="S56" t="s">
        <v>59</v>
      </c>
      <c r="T56" s="1"/>
    </row>
    <row r="57" spans="1:24" x14ac:dyDescent="0.25">
      <c r="A57" t="s">
        <v>60</v>
      </c>
      <c r="B57" s="1">
        <v>50625</v>
      </c>
      <c r="C57" s="2">
        <v>0.312</v>
      </c>
      <c r="D57">
        <v>0.46300000000000002</v>
      </c>
      <c r="E57" s="1">
        <v>0</v>
      </c>
      <c r="F57" s="1">
        <v>1</v>
      </c>
      <c r="G57" t="s">
        <v>60</v>
      </c>
      <c r="H57" s="1">
        <v>29295</v>
      </c>
      <c r="I57" s="2">
        <v>0.30399999999999999</v>
      </c>
      <c r="J57">
        <v>0.46</v>
      </c>
      <c r="K57" s="1">
        <v>0</v>
      </c>
      <c r="L57" s="1">
        <v>1</v>
      </c>
      <c r="M57" t="s">
        <v>60</v>
      </c>
      <c r="N57" s="1">
        <v>21330</v>
      </c>
      <c r="O57" s="2">
        <v>0.32300000000000001</v>
      </c>
      <c r="P57">
        <v>0.46700000000000003</v>
      </c>
      <c r="Q57" s="1">
        <v>0</v>
      </c>
      <c r="R57" s="1">
        <v>1</v>
      </c>
      <c r="S57" t="s">
        <v>60</v>
      </c>
      <c r="T57" s="1"/>
    </row>
    <row r="58" spans="1:24" x14ac:dyDescent="0.25">
      <c r="A58" t="s">
        <v>61</v>
      </c>
      <c r="B58" s="1">
        <v>50625</v>
      </c>
      <c r="C58" s="2">
        <v>2019.038</v>
      </c>
      <c r="D58">
        <v>2.0089999999999999</v>
      </c>
      <c r="E58" s="1">
        <v>2016</v>
      </c>
      <c r="F58" s="1">
        <v>2023</v>
      </c>
      <c r="G58" t="s">
        <v>61</v>
      </c>
      <c r="H58" s="1">
        <v>29295</v>
      </c>
      <c r="I58" s="2">
        <v>2017.5640000000001</v>
      </c>
      <c r="J58">
        <v>1.1679999999999999</v>
      </c>
      <c r="K58" s="1">
        <v>2016</v>
      </c>
      <c r="L58" s="1">
        <v>2020</v>
      </c>
      <c r="M58" t="s">
        <v>61</v>
      </c>
      <c r="N58" s="1">
        <v>21330</v>
      </c>
      <c r="O58" s="2">
        <v>2021.0609999999999</v>
      </c>
      <c r="P58">
        <v>0.78900000000000003</v>
      </c>
      <c r="Q58" s="1">
        <v>2020</v>
      </c>
      <c r="R58" s="1">
        <v>2023</v>
      </c>
      <c r="S58" t="s">
        <v>61</v>
      </c>
      <c r="T58" s="1"/>
      <c r="U58" s="2"/>
      <c r="W58" s="1"/>
      <c r="X58" s="1"/>
    </row>
    <row r="59" spans="1:24" x14ac:dyDescent="0.25">
      <c r="A59" t="s">
        <v>62</v>
      </c>
      <c r="B59" s="1">
        <v>50625</v>
      </c>
      <c r="C59" s="2">
        <v>0.45600000000000002</v>
      </c>
      <c r="D59">
        <v>0.498</v>
      </c>
      <c r="E59" s="1">
        <v>0</v>
      </c>
      <c r="F59" s="1">
        <v>1</v>
      </c>
      <c r="G59" t="s">
        <v>62</v>
      </c>
      <c r="H59" s="1">
        <v>29295</v>
      </c>
      <c r="I59" s="2">
        <v>0.45500000000000002</v>
      </c>
      <c r="J59">
        <v>0.498</v>
      </c>
      <c r="K59" s="1">
        <v>0</v>
      </c>
      <c r="L59" s="1">
        <v>1</v>
      </c>
      <c r="M59" t="s">
        <v>62</v>
      </c>
      <c r="N59" s="1">
        <v>21330</v>
      </c>
      <c r="O59" s="2">
        <v>0.45700000000000002</v>
      </c>
      <c r="P59">
        <v>0.498</v>
      </c>
      <c r="Q59" s="1">
        <v>0</v>
      </c>
      <c r="R59" s="1">
        <v>1</v>
      </c>
      <c r="S59" t="s">
        <v>62</v>
      </c>
      <c r="T59" s="1"/>
    </row>
    <row r="60" spans="1:24" x14ac:dyDescent="0.25">
      <c r="A60" t="s">
        <v>63</v>
      </c>
      <c r="B60" s="1">
        <v>50625</v>
      </c>
      <c r="C60">
        <v>8.0000000000000002E-3</v>
      </c>
      <c r="D60">
        <v>8.8999999999999996E-2</v>
      </c>
      <c r="E60">
        <v>0</v>
      </c>
      <c r="F60">
        <v>1</v>
      </c>
      <c r="G60" t="s">
        <v>63</v>
      </c>
      <c r="H60" s="1">
        <v>29295</v>
      </c>
      <c r="I60" s="2">
        <v>8.0000000000000002E-3</v>
      </c>
      <c r="J60">
        <v>8.8999999999999996E-2</v>
      </c>
      <c r="K60" s="1">
        <v>0</v>
      </c>
      <c r="L60" s="1">
        <v>1</v>
      </c>
      <c r="M60" t="s">
        <v>63</v>
      </c>
      <c r="N60" s="1">
        <v>21330</v>
      </c>
      <c r="O60">
        <v>8.0000000000000002E-3</v>
      </c>
      <c r="P60">
        <v>8.8999999999999996E-2</v>
      </c>
      <c r="Q60">
        <v>0</v>
      </c>
      <c r="R60">
        <v>1</v>
      </c>
      <c r="S60" t="s">
        <v>63</v>
      </c>
      <c r="T60" s="1"/>
    </row>
    <row r="61" spans="1:24" x14ac:dyDescent="0.25">
      <c r="A61" t="s">
        <v>64</v>
      </c>
      <c r="B61" s="1">
        <v>50625</v>
      </c>
      <c r="C61">
        <v>2.9000000000000001E-2</v>
      </c>
      <c r="D61">
        <v>0.16800000000000001</v>
      </c>
      <c r="E61">
        <v>0</v>
      </c>
      <c r="F61">
        <v>1</v>
      </c>
      <c r="G61" t="s">
        <v>64</v>
      </c>
      <c r="H61" s="1">
        <v>29295</v>
      </c>
      <c r="I61" s="2">
        <v>2.7E-2</v>
      </c>
      <c r="J61">
        <v>0.16300000000000001</v>
      </c>
      <c r="K61" s="1">
        <v>0</v>
      </c>
      <c r="L61" s="1">
        <v>1</v>
      </c>
      <c r="M61" t="s">
        <v>64</v>
      </c>
      <c r="N61" s="1">
        <v>21330</v>
      </c>
      <c r="O61">
        <v>3.1E-2</v>
      </c>
      <c r="P61">
        <v>0.17399999999999999</v>
      </c>
      <c r="Q61">
        <v>0</v>
      </c>
      <c r="R61">
        <v>1</v>
      </c>
      <c r="S61" t="s">
        <v>64</v>
      </c>
      <c r="T61" s="1"/>
    </row>
    <row r="62" spans="1:24" x14ac:dyDescent="0.25">
      <c r="A62" t="s">
        <v>65</v>
      </c>
      <c r="B62" s="1">
        <v>50625</v>
      </c>
      <c r="C62">
        <v>0.16</v>
      </c>
      <c r="D62">
        <v>0.36599999999999999</v>
      </c>
      <c r="E62">
        <v>0</v>
      </c>
      <c r="F62">
        <v>1</v>
      </c>
      <c r="G62" t="s">
        <v>65</v>
      </c>
      <c r="H62" s="1">
        <v>29295</v>
      </c>
      <c r="I62">
        <v>0.16500000000000001</v>
      </c>
      <c r="J62">
        <v>0.371</v>
      </c>
      <c r="K62">
        <v>0</v>
      </c>
      <c r="L62">
        <v>1</v>
      </c>
      <c r="M62" t="s">
        <v>65</v>
      </c>
      <c r="N62" s="1">
        <v>21330</v>
      </c>
      <c r="O62">
        <v>0.153</v>
      </c>
      <c r="P62">
        <v>0.36</v>
      </c>
      <c r="Q62">
        <v>0</v>
      </c>
      <c r="R62">
        <v>1</v>
      </c>
      <c r="S62" t="s">
        <v>65</v>
      </c>
      <c r="T62" s="1"/>
    </row>
    <row r="63" spans="1:24" x14ac:dyDescent="0.25">
      <c r="A63" t="s">
        <v>66</v>
      </c>
      <c r="B63" s="1">
        <v>50625</v>
      </c>
      <c r="C63">
        <v>0.16300000000000001</v>
      </c>
      <c r="D63">
        <v>0.36899999999999999</v>
      </c>
      <c r="E63">
        <v>0</v>
      </c>
      <c r="F63">
        <v>1</v>
      </c>
      <c r="G63" t="s">
        <v>66</v>
      </c>
      <c r="H63" s="1">
        <v>29295</v>
      </c>
      <c r="I63">
        <v>0.157</v>
      </c>
      <c r="J63">
        <v>0.36399999999999999</v>
      </c>
      <c r="K63">
        <v>0</v>
      </c>
      <c r="L63">
        <v>1</v>
      </c>
      <c r="M63" t="s">
        <v>66</v>
      </c>
      <c r="N63" s="1">
        <v>21330</v>
      </c>
      <c r="O63">
        <v>0.17</v>
      </c>
      <c r="P63">
        <v>0.376</v>
      </c>
      <c r="Q63">
        <v>0</v>
      </c>
      <c r="R63">
        <v>1</v>
      </c>
      <c r="S63" t="s">
        <v>66</v>
      </c>
      <c r="T63" s="1"/>
    </row>
    <row r="64" spans="1:24" x14ac:dyDescent="0.25">
      <c r="A64" t="s">
        <v>67</v>
      </c>
      <c r="B64" s="1">
        <v>50625</v>
      </c>
      <c r="C64">
        <v>3.5999999999999997E-2</v>
      </c>
      <c r="D64">
        <v>0.187</v>
      </c>
      <c r="E64">
        <v>0</v>
      </c>
      <c r="F64">
        <v>1</v>
      </c>
      <c r="G64" t="s">
        <v>67</v>
      </c>
      <c r="H64" s="1">
        <v>29295</v>
      </c>
      <c r="I64">
        <v>3.6999999999999998E-2</v>
      </c>
      <c r="J64">
        <v>0.188</v>
      </c>
      <c r="K64">
        <v>0</v>
      </c>
      <c r="L64">
        <v>1</v>
      </c>
      <c r="M64" t="s">
        <v>67</v>
      </c>
      <c r="N64" s="1">
        <v>21330</v>
      </c>
      <c r="O64">
        <v>3.5000000000000003E-2</v>
      </c>
      <c r="P64">
        <v>0.185</v>
      </c>
      <c r="Q64">
        <v>0</v>
      </c>
      <c r="R64">
        <v>1</v>
      </c>
      <c r="S64" t="s">
        <v>67</v>
      </c>
      <c r="T64" s="1"/>
    </row>
    <row r="65" spans="1:20" x14ac:dyDescent="0.25">
      <c r="A65" t="s">
        <v>68</v>
      </c>
      <c r="B65" s="1">
        <v>50625</v>
      </c>
      <c r="C65">
        <v>0.11799999999999999</v>
      </c>
      <c r="D65">
        <v>0.32300000000000001</v>
      </c>
      <c r="E65">
        <v>0</v>
      </c>
      <c r="F65">
        <v>1</v>
      </c>
      <c r="G65" t="s">
        <v>68</v>
      </c>
      <c r="H65" s="1">
        <v>29295</v>
      </c>
      <c r="I65">
        <v>0.11799999999999999</v>
      </c>
      <c r="J65">
        <v>0.32300000000000001</v>
      </c>
      <c r="K65">
        <v>0</v>
      </c>
      <c r="L65">
        <v>1</v>
      </c>
      <c r="M65" t="s">
        <v>68</v>
      </c>
      <c r="N65" s="1">
        <v>21330</v>
      </c>
      <c r="O65">
        <v>0.11799999999999999</v>
      </c>
      <c r="P65">
        <v>0.32200000000000001</v>
      </c>
      <c r="Q65">
        <v>0</v>
      </c>
      <c r="R65">
        <v>1</v>
      </c>
      <c r="S65" t="s">
        <v>68</v>
      </c>
      <c r="T65" s="1"/>
    </row>
    <row r="66" spans="1:20" x14ac:dyDescent="0.25">
      <c r="A66" t="s">
        <v>69</v>
      </c>
      <c r="B66" s="1">
        <v>50625</v>
      </c>
      <c r="C66">
        <v>0.03</v>
      </c>
      <c r="D66">
        <v>0.17199999999999999</v>
      </c>
      <c r="E66">
        <v>0</v>
      </c>
      <c r="F66">
        <v>1</v>
      </c>
      <c r="G66" t="s">
        <v>69</v>
      </c>
      <c r="H66" s="1">
        <v>29295</v>
      </c>
      <c r="I66">
        <v>3.3000000000000002E-2</v>
      </c>
      <c r="J66">
        <v>0.17799999999999999</v>
      </c>
      <c r="K66">
        <v>0</v>
      </c>
      <c r="L66">
        <v>1</v>
      </c>
      <c r="M66" t="s">
        <v>69</v>
      </c>
      <c r="N66" s="1">
        <v>21330</v>
      </c>
      <c r="O66">
        <v>2.7E-2</v>
      </c>
      <c r="P66">
        <v>0.16200000000000001</v>
      </c>
      <c r="Q66">
        <v>0</v>
      </c>
      <c r="R66">
        <v>1</v>
      </c>
      <c r="S66" t="s">
        <v>69</v>
      </c>
      <c r="T66" s="1"/>
    </row>
    <row r="67" spans="1:20" x14ac:dyDescent="0.25">
      <c r="A67" t="s">
        <v>70</v>
      </c>
      <c r="B67" s="1">
        <v>50625</v>
      </c>
      <c r="C67">
        <v>0.192</v>
      </c>
      <c r="D67">
        <v>0.39400000000000002</v>
      </c>
      <c r="E67">
        <v>0</v>
      </c>
      <c r="F67">
        <v>1</v>
      </c>
      <c r="G67" t="s">
        <v>70</v>
      </c>
      <c r="H67" s="1">
        <v>29295</v>
      </c>
      <c r="I67">
        <v>0.189</v>
      </c>
      <c r="J67">
        <v>0.39100000000000001</v>
      </c>
      <c r="K67">
        <v>0</v>
      </c>
      <c r="L67">
        <v>1</v>
      </c>
      <c r="M67" t="s">
        <v>70</v>
      </c>
      <c r="N67" s="1">
        <v>21330</v>
      </c>
      <c r="O67">
        <v>0.19600000000000001</v>
      </c>
      <c r="P67">
        <v>0.39700000000000002</v>
      </c>
      <c r="Q67">
        <v>0</v>
      </c>
      <c r="R67">
        <v>1</v>
      </c>
      <c r="S67" t="s">
        <v>70</v>
      </c>
      <c r="T67" s="1"/>
    </row>
    <row r="68" spans="1:20" x14ac:dyDescent="0.25">
      <c r="A68" t="s">
        <v>71</v>
      </c>
      <c r="B68" s="1">
        <v>50625</v>
      </c>
      <c r="C68">
        <v>0.33700000000000002</v>
      </c>
      <c r="D68">
        <v>0.47299999999999998</v>
      </c>
      <c r="E68">
        <v>0</v>
      </c>
      <c r="F68">
        <v>1</v>
      </c>
      <c r="G68" t="s">
        <v>71</v>
      </c>
      <c r="H68" s="1">
        <v>29295</v>
      </c>
      <c r="I68">
        <v>0.35499999999999998</v>
      </c>
      <c r="J68">
        <v>0.47899999999999998</v>
      </c>
      <c r="K68">
        <v>0</v>
      </c>
      <c r="L68">
        <v>1</v>
      </c>
      <c r="M68" t="s">
        <v>71</v>
      </c>
      <c r="N68" s="1">
        <v>21330</v>
      </c>
      <c r="O68">
        <v>0.312</v>
      </c>
      <c r="P68">
        <v>0.46300000000000002</v>
      </c>
      <c r="Q68">
        <v>0</v>
      </c>
      <c r="R68">
        <v>1</v>
      </c>
      <c r="S68" t="s">
        <v>71</v>
      </c>
      <c r="T68" s="1"/>
    </row>
    <row r="69" spans="1:20" x14ac:dyDescent="0.25">
      <c r="A69" t="s">
        <v>72</v>
      </c>
      <c r="B69" s="1">
        <v>50625</v>
      </c>
      <c r="C69">
        <v>0.42399999999999999</v>
      </c>
      <c r="D69">
        <v>0.49399999999999999</v>
      </c>
      <c r="E69">
        <v>0</v>
      </c>
      <c r="F69">
        <v>1</v>
      </c>
      <c r="G69" t="s">
        <v>72</v>
      </c>
      <c r="H69" s="1">
        <v>29295</v>
      </c>
      <c r="I69">
        <v>0.40799999999999997</v>
      </c>
      <c r="J69">
        <v>0.49099999999999999</v>
      </c>
      <c r="K69">
        <v>0</v>
      </c>
      <c r="L69">
        <v>1</v>
      </c>
      <c r="M69" t="s">
        <v>72</v>
      </c>
      <c r="N69" s="1">
        <v>21330</v>
      </c>
      <c r="O69">
        <v>0.44600000000000001</v>
      </c>
      <c r="P69">
        <v>0.497</v>
      </c>
      <c r="Q69">
        <v>0</v>
      </c>
      <c r="R69">
        <v>1</v>
      </c>
      <c r="S69" t="s">
        <v>72</v>
      </c>
      <c r="T69" s="1"/>
    </row>
    <row r="70" spans="1:20" x14ac:dyDescent="0.25">
      <c r="A70" t="s">
        <v>73</v>
      </c>
      <c r="B70" s="1">
        <v>50625</v>
      </c>
      <c r="C70">
        <v>4.7E-2</v>
      </c>
      <c r="D70">
        <v>0.21199999999999999</v>
      </c>
      <c r="E70">
        <v>0</v>
      </c>
      <c r="F70">
        <v>1</v>
      </c>
      <c r="G70" t="s">
        <v>73</v>
      </c>
      <c r="H70" s="1">
        <v>29295</v>
      </c>
      <c r="I70">
        <v>4.8000000000000001E-2</v>
      </c>
      <c r="J70">
        <v>0.214</v>
      </c>
      <c r="K70">
        <v>0</v>
      </c>
      <c r="L70">
        <v>1</v>
      </c>
      <c r="M70" t="s">
        <v>73</v>
      </c>
      <c r="N70" s="1">
        <v>21330</v>
      </c>
      <c r="O70">
        <v>4.4999999999999998E-2</v>
      </c>
      <c r="P70">
        <v>0.20799999999999999</v>
      </c>
      <c r="Q70">
        <v>0</v>
      </c>
      <c r="R70">
        <v>1</v>
      </c>
      <c r="S70" t="s">
        <v>73</v>
      </c>
      <c r="T70" s="1"/>
    </row>
    <row r="71" spans="1:20" x14ac:dyDescent="0.25">
      <c r="A71" t="s">
        <v>165</v>
      </c>
      <c r="B71" s="1">
        <v>50625</v>
      </c>
      <c r="C71">
        <v>5.6000000000000001E-2</v>
      </c>
      <c r="D71">
        <v>0.23</v>
      </c>
      <c r="E71">
        <v>0</v>
      </c>
      <c r="F71">
        <v>1</v>
      </c>
      <c r="G71" t="s">
        <v>165</v>
      </c>
      <c r="H71" s="1">
        <v>29295</v>
      </c>
      <c r="I71">
        <v>5.8000000000000003E-2</v>
      </c>
      <c r="J71">
        <v>0.23300000000000001</v>
      </c>
      <c r="K71">
        <v>0</v>
      </c>
      <c r="L71">
        <v>1</v>
      </c>
      <c r="M71" t="s">
        <v>165</v>
      </c>
      <c r="N71" s="1">
        <v>21330</v>
      </c>
      <c r="O71">
        <v>5.3999999999999999E-2</v>
      </c>
      <c r="P71">
        <v>0.22700000000000001</v>
      </c>
      <c r="Q71">
        <v>0</v>
      </c>
      <c r="R71">
        <v>1</v>
      </c>
      <c r="S71" t="s">
        <v>165</v>
      </c>
      <c r="T71" s="1"/>
    </row>
    <row r="72" spans="1:20" x14ac:dyDescent="0.25">
      <c r="A72" t="s">
        <v>166</v>
      </c>
      <c r="B72" s="1">
        <v>50625</v>
      </c>
      <c r="C72">
        <v>0.255</v>
      </c>
      <c r="D72">
        <v>0.436</v>
      </c>
      <c r="E72">
        <v>0</v>
      </c>
      <c r="F72">
        <v>1</v>
      </c>
      <c r="G72" t="s">
        <v>166</v>
      </c>
      <c r="H72" s="1">
        <v>29295</v>
      </c>
      <c r="I72">
        <v>0.254</v>
      </c>
      <c r="J72">
        <v>0.435</v>
      </c>
      <c r="K72">
        <v>0</v>
      </c>
      <c r="L72">
        <v>1</v>
      </c>
      <c r="M72" t="s">
        <v>166</v>
      </c>
      <c r="N72" s="1">
        <v>21330</v>
      </c>
      <c r="O72">
        <v>0.25800000000000001</v>
      </c>
      <c r="P72">
        <v>0.437</v>
      </c>
      <c r="Q72">
        <v>0</v>
      </c>
      <c r="R72">
        <v>1</v>
      </c>
      <c r="S72" t="s">
        <v>166</v>
      </c>
      <c r="T72" s="1"/>
    </row>
    <row r="73" spans="1:20" x14ac:dyDescent="0.25">
      <c r="A73" t="s">
        <v>167</v>
      </c>
      <c r="B73" s="1">
        <v>50625</v>
      </c>
      <c r="C73">
        <v>0.47199999999999998</v>
      </c>
      <c r="D73">
        <v>0.499</v>
      </c>
      <c r="E73">
        <v>0</v>
      </c>
      <c r="F73">
        <v>1</v>
      </c>
      <c r="G73" t="s">
        <v>167</v>
      </c>
      <c r="H73" s="1">
        <v>29295</v>
      </c>
      <c r="I73">
        <v>0.48899999999999999</v>
      </c>
      <c r="J73">
        <v>0.5</v>
      </c>
      <c r="K73">
        <v>0</v>
      </c>
      <c r="L73">
        <v>1</v>
      </c>
      <c r="M73" t="s">
        <v>167</v>
      </c>
      <c r="N73" s="1">
        <v>21330</v>
      </c>
      <c r="O73">
        <v>0.44900000000000001</v>
      </c>
      <c r="P73">
        <v>0.497</v>
      </c>
      <c r="Q73">
        <v>0</v>
      </c>
      <c r="R73">
        <v>1</v>
      </c>
      <c r="S73" t="s">
        <v>167</v>
      </c>
      <c r="T73" s="1"/>
    </row>
    <row r="74" spans="1:20" x14ac:dyDescent="0.25">
      <c r="A74" t="s">
        <v>168</v>
      </c>
      <c r="B74" s="1">
        <v>50625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29295</v>
      </c>
      <c r="I74">
        <v>5.8000000000000003E-2</v>
      </c>
      <c r="J74">
        <v>0.23300000000000001</v>
      </c>
      <c r="K74">
        <v>0</v>
      </c>
      <c r="L74">
        <v>1</v>
      </c>
      <c r="M74" t="s">
        <v>168</v>
      </c>
      <c r="N74" s="1">
        <v>21330</v>
      </c>
      <c r="O74">
        <v>6.4000000000000001E-2</v>
      </c>
      <c r="P74">
        <v>0.245</v>
      </c>
      <c r="Q74">
        <v>0</v>
      </c>
      <c r="R74">
        <v>1</v>
      </c>
      <c r="S74" t="s">
        <v>168</v>
      </c>
      <c r="T74" s="1"/>
    </row>
    <row r="75" spans="1:20" x14ac:dyDescent="0.25">
      <c r="A75" t="s">
        <v>169</v>
      </c>
      <c r="B75" s="1">
        <v>50625</v>
      </c>
      <c r="C75">
        <v>0.11899999999999999</v>
      </c>
      <c r="D75">
        <v>0.32400000000000001</v>
      </c>
      <c r="E75">
        <v>0</v>
      </c>
      <c r="F75">
        <v>1</v>
      </c>
      <c r="G75" t="s">
        <v>169</v>
      </c>
      <c r="H75" s="1">
        <v>29295</v>
      </c>
      <c r="I75">
        <v>0.111</v>
      </c>
      <c r="J75">
        <v>0.314</v>
      </c>
      <c r="K75">
        <v>0</v>
      </c>
      <c r="L75">
        <v>1</v>
      </c>
      <c r="M75" t="s">
        <v>169</v>
      </c>
      <c r="N75" s="1">
        <v>21330</v>
      </c>
      <c r="O75">
        <v>0.13100000000000001</v>
      </c>
      <c r="P75">
        <v>0.33800000000000002</v>
      </c>
      <c r="Q75">
        <v>0</v>
      </c>
      <c r="R75">
        <v>1</v>
      </c>
      <c r="S75" t="s">
        <v>169</v>
      </c>
      <c r="T75" s="1"/>
    </row>
    <row r="76" spans="1:20" x14ac:dyDescent="0.25">
      <c r="A76" t="s">
        <v>170</v>
      </c>
      <c r="B76" s="1">
        <v>50625</v>
      </c>
      <c r="C76">
        <v>3.6999999999999998E-2</v>
      </c>
      <c r="D76">
        <v>0.188</v>
      </c>
      <c r="E76">
        <v>0</v>
      </c>
      <c r="F76">
        <v>1</v>
      </c>
      <c r="G76" t="s">
        <v>170</v>
      </c>
      <c r="H76" s="1">
        <v>29295</v>
      </c>
      <c r="I76">
        <v>3.1E-2</v>
      </c>
      <c r="J76">
        <v>0.17399999999999999</v>
      </c>
      <c r="K76">
        <v>0</v>
      </c>
      <c r="L76">
        <v>1</v>
      </c>
      <c r="M76" t="s">
        <v>170</v>
      </c>
      <c r="N76" s="1">
        <v>21330</v>
      </c>
      <c r="O76">
        <v>4.3999999999999997E-2</v>
      </c>
      <c r="P76">
        <v>0.20499999999999999</v>
      </c>
      <c r="Q76">
        <v>0</v>
      </c>
      <c r="R76">
        <v>1</v>
      </c>
      <c r="S76" t="s">
        <v>170</v>
      </c>
      <c r="T76" s="1"/>
    </row>
    <row r="77" spans="1:20" x14ac:dyDescent="0.25">
      <c r="A77" t="s">
        <v>79</v>
      </c>
      <c r="B77" s="1">
        <v>50625</v>
      </c>
      <c r="C77">
        <v>0.128</v>
      </c>
      <c r="D77">
        <v>0.33400000000000002</v>
      </c>
      <c r="E77">
        <v>0</v>
      </c>
      <c r="F77">
        <v>1</v>
      </c>
      <c r="G77" t="s">
        <v>79</v>
      </c>
      <c r="H77" s="1">
        <v>29295</v>
      </c>
      <c r="I77">
        <v>0.13100000000000001</v>
      </c>
      <c r="J77">
        <v>0.33800000000000002</v>
      </c>
      <c r="K77">
        <v>0</v>
      </c>
      <c r="L77">
        <v>1</v>
      </c>
      <c r="M77" t="s">
        <v>79</v>
      </c>
      <c r="N77" s="1">
        <v>21330</v>
      </c>
      <c r="O77">
        <v>0.123</v>
      </c>
      <c r="P77">
        <v>0.32800000000000001</v>
      </c>
      <c r="Q77">
        <v>0</v>
      </c>
      <c r="R77">
        <v>1</v>
      </c>
      <c r="S77" t="s">
        <v>79</v>
      </c>
      <c r="T77" s="1"/>
    </row>
    <row r="78" spans="1:20" x14ac:dyDescent="0.25">
      <c r="A78" t="s">
        <v>80</v>
      </c>
      <c r="B78" s="1">
        <v>50625</v>
      </c>
      <c r="C78">
        <v>6.0000000000000001E-3</v>
      </c>
      <c r="D78">
        <v>7.5999999999999998E-2</v>
      </c>
      <c r="E78">
        <v>0</v>
      </c>
      <c r="F78">
        <v>1</v>
      </c>
      <c r="G78" t="s">
        <v>80</v>
      </c>
      <c r="H78" s="1">
        <v>29295</v>
      </c>
      <c r="I78">
        <v>5.0000000000000001E-3</v>
      </c>
      <c r="J78">
        <v>7.0999999999999994E-2</v>
      </c>
      <c r="K78">
        <v>0</v>
      </c>
      <c r="L78">
        <v>1</v>
      </c>
      <c r="M78" t="s">
        <v>80</v>
      </c>
      <c r="N78" s="1">
        <v>21330</v>
      </c>
      <c r="O78">
        <v>7.0000000000000001E-3</v>
      </c>
      <c r="P78">
        <v>8.1000000000000003E-2</v>
      </c>
      <c r="Q78">
        <v>0</v>
      </c>
      <c r="R78">
        <v>1</v>
      </c>
      <c r="S78" t="s">
        <v>80</v>
      </c>
      <c r="T78" s="1"/>
    </row>
    <row r="79" spans="1:20" x14ac:dyDescent="0.25">
      <c r="A79" t="s">
        <v>81</v>
      </c>
      <c r="B79" s="1">
        <v>50625</v>
      </c>
      <c r="C79">
        <v>2E-3</v>
      </c>
      <c r="D79">
        <v>4.2999999999999997E-2</v>
      </c>
      <c r="E79">
        <v>0</v>
      </c>
      <c r="F79">
        <v>1</v>
      </c>
      <c r="G79" t="s">
        <v>81</v>
      </c>
      <c r="H79" s="1">
        <v>29295</v>
      </c>
      <c r="I79">
        <v>2E-3</v>
      </c>
      <c r="J79">
        <v>4.2000000000000003E-2</v>
      </c>
      <c r="K79">
        <v>0</v>
      </c>
      <c r="L79">
        <v>1</v>
      </c>
      <c r="M79" t="s">
        <v>81</v>
      </c>
      <c r="N79" s="1">
        <v>21330</v>
      </c>
      <c r="O79">
        <v>2E-3</v>
      </c>
      <c r="P79">
        <v>4.2999999999999997E-2</v>
      </c>
      <c r="Q79">
        <v>0</v>
      </c>
      <c r="R79">
        <v>1</v>
      </c>
      <c r="S79" t="s">
        <v>81</v>
      </c>
      <c r="T79" s="1"/>
    </row>
    <row r="80" spans="1:20" x14ac:dyDescent="0.25">
      <c r="A80" t="s">
        <v>82</v>
      </c>
      <c r="B80" s="1">
        <v>50625</v>
      </c>
      <c r="C80">
        <v>4.2000000000000003E-2</v>
      </c>
      <c r="D80">
        <v>0.20100000000000001</v>
      </c>
      <c r="E80">
        <v>0</v>
      </c>
      <c r="F80">
        <v>1</v>
      </c>
      <c r="G80" t="s">
        <v>82</v>
      </c>
      <c r="H80" s="1">
        <v>29295</v>
      </c>
      <c r="I80">
        <v>4.2000000000000003E-2</v>
      </c>
      <c r="J80">
        <v>0.2</v>
      </c>
      <c r="K80">
        <v>0</v>
      </c>
      <c r="L80">
        <v>1</v>
      </c>
      <c r="M80" t="s">
        <v>82</v>
      </c>
      <c r="N80" s="1">
        <v>21330</v>
      </c>
      <c r="O80">
        <v>4.2000000000000003E-2</v>
      </c>
      <c r="P80">
        <v>0.20200000000000001</v>
      </c>
      <c r="Q80">
        <v>0</v>
      </c>
      <c r="R80">
        <v>1</v>
      </c>
      <c r="S80" t="s">
        <v>82</v>
      </c>
      <c r="T80" s="1"/>
    </row>
    <row r="81" spans="1:20" x14ac:dyDescent="0.25">
      <c r="A81" t="s">
        <v>83</v>
      </c>
      <c r="B81" s="1">
        <v>50625</v>
      </c>
      <c r="C81">
        <v>0.41699999999999998</v>
      </c>
      <c r="D81">
        <v>0.49299999999999999</v>
      </c>
      <c r="E81">
        <v>0</v>
      </c>
      <c r="F81">
        <v>1</v>
      </c>
      <c r="G81" t="s">
        <v>83</v>
      </c>
      <c r="H81" s="1">
        <v>29295</v>
      </c>
      <c r="I81">
        <v>0.42399999999999999</v>
      </c>
      <c r="J81">
        <v>0.49399999999999999</v>
      </c>
      <c r="K81">
        <v>0</v>
      </c>
      <c r="L81">
        <v>1</v>
      </c>
      <c r="M81" t="s">
        <v>83</v>
      </c>
      <c r="N81" s="1">
        <v>21330</v>
      </c>
      <c r="O81">
        <v>0.40699999999999997</v>
      </c>
      <c r="P81">
        <v>0.49099999999999999</v>
      </c>
      <c r="Q81">
        <v>0</v>
      </c>
      <c r="R81">
        <v>1</v>
      </c>
      <c r="S81" t="s">
        <v>83</v>
      </c>
      <c r="T81" s="1"/>
    </row>
    <row r="82" spans="1:20" x14ac:dyDescent="0.25">
      <c r="A82" t="s">
        <v>84</v>
      </c>
      <c r="B82" s="1">
        <v>50625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29295</v>
      </c>
      <c r="I82">
        <v>7.0000000000000001E-3</v>
      </c>
      <c r="J82">
        <v>8.1000000000000003E-2</v>
      </c>
      <c r="K82">
        <v>0</v>
      </c>
      <c r="L82">
        <v>1</v>
      </c>
      <c r="M82" t="s">
        <v>84</v>
      </c>
      <c r="N82" s="1">
        <v>21330</v>
      </c>
      <c r="O82">
        <v>8.9999999999999993E-3</v>
      </c>
      <c r="P82">
        <v>9.4E-2</v>
      </c>
      <c r="Q82">
        <v>0</v>
      </c>
      <c r="R82">
        <v>1</v>
      </c>
      <c r="S82" t="s">
        <v>84</v>
      </c>
      <c r="T82" s="1"/>
    </row>
    <row r="83" spans="1:20" x14ac:dyDescent="0.25">
      <c r="A83" t="s">
        <v>85</v>
      </c>
      <c r="B83" s="1">
        <v>50625</v>
      </c>
      <c r="C83">
        <v>0.39800000000000002</v>
      </c>
      <c r="D83">
        <v>0.48899999999999999</v>
      </c>
      <c r="E83">
        <v>0</v>
      </c>
      <c r="F83">
        <v>1</v>
      </c>
      <c r="G83" t="s">
        <v>85</v>
      </c>
      <c r="H83" s="1">
        <v>29295</v>
      </c>
      <c r="I83">
        <v>0.38900000000000001</v>
      </c>
      <c r="J83">
        <v>0.48799999999999999</v>
      </c>
      <c r="K83">
        <v>0</v>
      </c>
      <c r="L83">
        <v>1</v>
      </c>
      <c r="M83" t="s">
        <v>85</v>
      </c>
      <c r="N83" s="1">
        <v>21330</v>
      </c>
      <c r="O83">
        <v>0.41</v>
      </c>
      <c r="P83">
        <v>0.49199999999999999</v>
      </c>
      <c r="Q83">
        <v>0</v>
      </c>
      <c r="R83">
        <v>1</v>
      </c>
      <c r="S83" t="s">
        <v>85</v>
      </c>
      <c r="T83" s="1"/>
    </row>
    <row r="84" spans="1:20" x14ac:dyDescent="0.25">
      <c r="A84" t="s">
        <v>6</v>
      </c>
      <c r="B84" s="1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9</v>
      </c>
      <c r="R84" t="s">
        <v>9</v>
      </c>
      <c r="S84" t="s">
        <v>6</v>
      </c>
    </row>
    <row r="85" spans="1:20" x14ac:dyDescent="0.25">
      <c r="A85" t="s">
        <v>6</v>
      </c>
      <c r="B85" t="s">
        <v>7</v>
      </c>
      <c r="C85" t="s">
        <v>8</v>
      </c>
      <c r="D85" t="s">
        <v>162</v>
      </c>
      <c r="E85" t="s">
        <v>9</v>
      </c>
      <c r="F85" t="s">
        <v>9</v>
      </c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  <c r="M85" t="s">
        <v>6</v>
      </c>
      <c r="N85" t="s">
        <v>7</v>
      </c>
      <c r="O85" t="s">
        <v>8</v>
      </c>
      <c r="P85" t="s">
        <v>162</v>
      </c>
      <c r="Q85" t="s">
        <v>9</v>
      </c>
      <c r="R85" t="s">
        <v>9</v>
      </c>
    </row>
    <row r="86" spans="1:20" x14ac:dyDescent="0.25">
      <c r="G86" t="s">
        <v>85</v>
      </c>
      <c r="H86" s="1">
        <v>29452</v>
      </c>
      <c r="I86">
        <v>0.38700000000000001</v>
      </c>
      <c r="J86">
        <v>0.48699999999999999</v>
      </c>
      <c r="K86">
        <v>0</v>
      </c>
      <c r="L86">
        <v>1</v>
      </c>
    </row>
    <row r="87" spans="1:20" x14ac:dyDescent="0.25">
      <c r="G87" t="s">
        <v>6</v>
      </c>
      <c r="H87" t="s">
        <v>7</v>
      </c>
      <c r="I87" t="s">
        <v>8</v>
      </c>
      <c r="J87" t="s">
        <v>162</v>
      </c>
      <c r="K87" t="s">
        <v>8</v>
      </c>
      <c r="L87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CAFA6-6F06-468D-83F9-43D84046052E}">
  <sheetPr codeName="Sheet2"/>
  <dimension ref="A1:R86"/>
  <sheetViews>
    <sheetView workbookViewId="0">
      <selection activeCell="G6" sqref="G6:L6"/>
    </sheetView>
  </sheetViews>
  <sheetFormatPr defaultRowHeight="15" x14ac:dyDescent="0.25"/>
  <cols>
    <col min="3" max="3" width="11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27661</v>
      </c>
      <c r="C3">
        <v>1.331</v>
      </c>
      <c r="D3">
        <v>0.56100000000000005</v>
      </c>
      <c r="E3">
        <v>1</v>
      </c>
      <c r="F3">
        <v>5</v>
      </c>
      <c r="G3" t="s">
        <v>10</v>
      </c>
      <c r="H3" s="1">
        <v>16033</v>
      </c>
      <c r="I3">
        <v>1.3340000000000001</v>
      </c>
      <c r="J3">
        <v>0.56499999999999995</v>
      </c>
      <c r="K3">
        <v>1</v>
      </c>
      <c r="L3">
        <v>5</v>
      </c>
      <c r="M3" t="s">
        <v>10</v>
      </c>
      <c r="N3" s="1">
        <v>11628</v>
      </c>
      <c r="O3">
        <v>1.3260000000000001</v>
      </c>
      <c r="P3">
        <v>0.55400000000000005</v>
      </c>
      <c r="Q3">
        <v>1</v>
      </c>
      <c r="R3">
        <v>5</v>
      </c>
    </row>
    <row r="4" spans="1:18" x14ac:dyDescent="0.25">
      <c r="A4" t="s">
        <v>11</v>
      </c>
      <c r="B4" s="1">
        <v>27661</v>
      </c>
      <c r="C4">
        <v>0.42</v>
      </c>
      <c r="D4">
        <v>0.49399999999999999</v>
      </c>
      <c r="E4">
        <v>0</v>
      </c>
      <c r="F4">
        <v>1</v>
      </c>
      <c r="G4" t="s">
        <v>11</v>
      </c>
      <c r="H4" s="1">
        <v>16033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11628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27661</v>
      </c>
      <c r="C5">
        <v>0.379</v>
      </c>
      <c r="D5">
        <v>0.48499999999999999</v>
      </c>
      <c r="E5">
        <v>0</v>
      </c>
      <c r="F5">
        <v>1</v>
      </c>
      <c r="G5" t="s">
        <v>12</v>
      </c>
      <c r="H5" s="1">
        <v>16033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11628</v>
      </c>
      <c r="O5">
        <v>0.89900000000000002</v>
      </c>
      <c r="P5">
        <v>0.30199999999999999</v>
      </c>
      <c r="Q5">
        <v>0</v>
      </c>
      <c r="R5">
        <v>1</v>
      </c>
    </row>
    <row r="6" spans="1:18" x14ac:dyDescent="0.25">
      <c r="A6" t="s">
        <v>36</v>
      </c>
      <c r="B6" s="1">
        <v>11628</v>
      </c>
      <c r="C6">
        <v>311.76900000000001</v>
      </c>
      <c r="D6">
        <v>571.94899999999996</v>
      </c>
      <c r="E6">
        <v>0</v>
      </c>
      <c r="F6" s="1">
        <v>4021</v>
      </c>
      <c r="H6" s="1"/>
      <c r="M6" t="s">
        <v>36</v>
      </c>
      <c r="N6" s="1">
        <v>11628</v>
      </c>
      <c r="O6">
        <v>311.76900000000001</v>
      </c>
      <c r="P6">
        <v>571.94899999999996</v>
      </c>
      <c r="Q6">
        <v>0</v>
      </c>
      <c r="R6" s="1">
        <v>4021</v>
      </c>
    </row>
    <row r="7" spans="1:18" x14ac:dyDescent="0.25">
      <c r="A7" t="s">
        <v>13</v>
      </c>
      <c r="B7" s="1">
        <v>27661</v>
      </c>
      <c r="C7">
        <v>1.5069999999999999</v>
      </c>
      <c r="D7">
        <v>0.55800000000000005</v>
      </c>
      <c r="E7">
        <v>0</v>
      </c>
      <c r="F7">
        <v>6</v>
      </c>
      <c r="G7" t="s">
        <v>13</v>
      </c>
      <c r="H7" s="1">
        <v>16033</v>
      </c>
      <c r="I7">
        <v>1.51</v>
      </c>
      <c r="J7">
        <v>0.55900000000000005</v>
      </c>
      <c r="K7">
        <v>0</v>
      </c>
      <c r="L7">
        <v>5</v>
      </c>
      <c r="M7" t="s">
        <v>13</v>
      </c>
      <c r="N7" s="1">
        <v>11628</v>
      </c>
      <c r="O7">
        <v>1.5029999999999999</v>
      </c>
      <c r="P7">
        <v>0.55600000000000005</v>
      </c>
      <c r="Q7">
        <v>0</v>
      </c>
      <c r="R7">
        <v>6</v>
      </c>
    </row>
    <row r="8" spans="1:18" x14ac:dyDescent="0.25">
      <c r="A8" t="s">
        <v>14</v>
      </c>
      <c r="B8" s="1">
        <v>27661</v>
      </c>
      <c r="C8">
        <v>0.17699999999999999</v>
      </c>
      <c r="D8">
        <v>0.38800000000000001</v>
      </c>
      <c r="E8">
        <v>0</v>
      </c>
      <c r="F8">
        <v>5</v>
      </c>
      <c r="G8" t="s">
        <v>14</v>
      </c>
      <c r="H8" s="1">
        <v>16033</v>
      </c>
      <c r="I8">
        <v>0.17899999999999999</v>
      </c>
      <c r="J8">
        <v>0.38900000000000001</v>
      </c>
      <c r="K8">
        <v>0</v>
      </c>
      <c r="L8">
        <v>5</v>
      </c>
      <c r="M8" t="s">
        <v>14</v>
      </c>
      <c r="N8" s="1">
        <v>11628</v>
      </c>
      <c r="O8">
        <v>0.17499999999999999</v>
      </c>
      <c r="P8">
        <v>0.38700000000000001</v>
      </c>
      <c r="Q8">
        <v>0</v>
      </c>
      <c r="R8">
        <v>4</v>
      </c>
    </row>
    <row r="9" spans="1:18" x14ac:dyDescent="0.25">
      <c r="A9" t="s">
        <v>15</v>
      </c>
      <c r="B9" s="1">
        <v>27661</v>
      </c>
      <c r="C9">
        <v>1.821</v>
      </c>
      <c r="D9">
        <v>0.92100000000000004</v>
      </c>
      <c r="E9">
        <v>0</v>
      </c>
      <c r="F9">
        <v>8</v>
      </c>
      <c r="G9" t="s">
        <v>15</v>
      </c>
      <c r="H9" s="1">
        <v>16033</v>
      </c>
      <c r="I9">
        <v>1.8280000000000001</v>
      </c>
      <c r="J9">
        <v>0.91900000000000004</v>
      </c>
      <c r="K9">
        <v>0</v>
      </c>
      <c r="L9">
        <v>5</v>
      </c>
      <c r="M9" t="s">
        <v>15</v>
      </c>
      <c r="N9" s="1">
        <v>11628</v>
      </c>
      <c r="O9">
        <v>1.81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27661</v>
      </c>
      <c r="C10">
        <v>45.777000000000001</v>
      </c>
      <c r="D10">
        <v>60.597999999999999</v>
      </c>
      <c r="E10">
        <v>0</v>
      </c>
      <c r="F10">
        <v>946</v>
      </c>
      <c r="G10" t="s">
        <v>16</v>
      </c>
      <c r="H10" s="1">
        <v>16033</v>
      </c>
      <c r="I10">
        <v>50.12</v>
      </c>
      <c r="J10">
        <v>58.350999999999999</v>
      </c>
      <c r="K10">
        <v>0</v>
      </c>
      <c r="L10">
        <v>785</v>
      </c>
      <c r="M10" t="s">
        <v>16</v>
      </c>
      <c r="N10" s="1">
        <v>11628</v>
      </c>
      <c r="O10">
        <v>39.79</v>
      </c>
      <c r="P10">
        <v>63.08</v>
      </c>
      <c r="Q10">
        <v>0</v>
      </c>
      <c r="R10">
        <v>946</v>
      </c>
    </row>
    <row r="11" spans="1:18" x14ac:dyDescent="0.25">
      <c r="A11" t="s">
        <v>163</v>
      </c>
      <c r="B11" s="1">
        <v>27661</v>
      </c>
      <c r="C11" s="2">
        <v>885.79200000000003</v>
      </c>
      <c r="D11">
        <v>390.49700000000001</v>
      </c>
      <c r="E11">
        <v>120</v>
      </c>
      <c r="F11" s="1">
        <v>10740</v>
      </c>
      <c r="G11" t="s">
        <v>163</v>
      </c>
      <c r="H11" s="1">
        <v>16033</v>
      </c>
      <c r="I11">
        <v>890.28899999999999</v>
      </c>
      <c r="J11">
        <v>388.43299999999999</v>
      </c>
      <c r="K11">
        <v>160</v>
      </c>
      <c r="L11" s="1">
        <v>6273</v>
      </c>
      <c r="M11" t="s">
        <v>163</v>
      </c>
      <c r="N11" s="1">
        <v>11628</v>
      </c>
      <c r="O11" s="2">
        <v>879.59100000000001</v>
      </c>
      <c r="P11">
        <v>393.25900000000001</v>
      </c>
      <c r="Q11">
        <v>120</v>
      </c>
      <c r="R11" s="1">
        <v>10740</v>
      </c>
    </row>
    <row r="12" spans="1:18" x14ac:dyDescent="0.25">
      <c r="A12" t="s">
        <v>17</v>
      </c>
      <c r="B12" s="1">
        <v>27661</v>
      </c>
      <c r="C12">
        <v>26.295000000000002</v>
      </c>
      <c r="D12">
        <v>96.488</v>
      </c>
      <c r="E12">
        <v>0</v>
      </c>
      <c r="F12" s="1">
        <v>1380</v>
      </c>
      <c r="G12" t="s">
        <v>17</v>
      </c>
      <c r="H12" s="1">
        <v>16033</v>
      </c>
      <c r="I12">
        <v>22.161000000000001</v>
      </c>
      <c r="J12">
        <v>88.551000000000002</v>
      </c>
      <c r="K12">
        <v>0</v>
      </c>
      <c r="L12" s="1">
        <v>942</v>
      </c>
      <c r="M12" t="s">
        <v>17</v>
      </c>
      <c r="N12" s="1">
        <v>11628</v>
      </c>
      <c r="O12">
        <v>31.994</v>
      </c>
      <c r="P12">
        <v>106.20699999999999</v>
      </c>
      <c r="Q12">
        <v>0</v>
      </c>
      <c r="R12" s="1">
        <v>1380</v>
      </c>
    </row>
    <row r="13" spans="1:18" x14ac:dyDescent="0.25">
      <c r="A13" t="s">
        <v>19</v>
      </c>
      <c r="B13" s="1">
        <v>27661</v>
      </c>
      <c r="C13" s="2">
        <v>674762.7</v>
      </c>
      <c r="D13" s="2">
        <v>609919.30000000005</v>
      </c>
      <c r="E13" s="2">
        <v>85418.51</v>
      </c>
      <c r="F13" s="2">
        <v>28197546</v>
      </c>
      <c r="G13" t="s">
        <v>19</v>
      </c>
      <c r="H13" s="1">
        <v>16033</v>
      </c>
      <c r="I13" s="2">
        <v>681870.2</v>
      </c>
      <c r="J13" s="2">
        <v>630435.6</v>
      </c>
      <c r="K13" s="2">
        <v>99684.44</v>
      </c>
      <c r="L13" s="1">
        <v>28197546</v>
      </c>
      <c r="M13" t="s">
        <v>19</v>
      </c>
      <c r="N13" s="1">
        <v>11628</v>
      </c>
      <c r="O13" s="2">
        <v>664962.6</v>
      </c>
      <c r="P13" s="2">
        <v>580327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27661</v>
      </c>
      <c r="C14" s="2">
        <v>665937.4</v>
      </c>
      <c r="D14" s="2">
        <v>583582</v>
      </c>
      <c r="E14" s="2">
        <v>85418.51</v>
      </c>
      <c r="F14" s="2">
        <v>28197546</v>
      </c>
      <c r="G14" t="s">
        <v>20</v>
      </c>
      <c r="H14" s="1">
        <v>16033</v>
      </c>
      <c r="I14" s="2">
        <v>670206.6</v>
      </c>
      <c r="J14" s="2">
        <v>609501.30000000005</v>
      </c>
      <c r="K14" s="2">
        <v>118448.6</v>
      </c>
      <c r="L14" s="1">
        <v>28197546</v>
      </c>
      <c r="M14" t="s">
        <v>20</v>
      </c>
      <c r="N14" s="1">
        <v>11628</v>
      </c>
      <c r="O14" s="2">
        <v>660050.9</v>
      </c>
      <c r="P14" s="2">
        <v>545800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27661</v>
      </c>
      <c r="C15" s="2">
        <v>7340.4570000000003</v>
      </c>
      <c r="D15" s="2">
        <v>47412.29</v>
      </c>
      <c r="E15" s="2">
        <v>-300000</v>
      </c>
      <c r="F15" s="2">
        <v>4750000</v>
      </c>
      <c r="G15" t="s">
        <v>190</v>
      </c>
      <c r="H15" s="1">
        <v>16033</v>
      </c>
      <c r="I15" s="2">
        <v>9583.3459999999995</v>
      </c>
      <c r="J15" s="2">
        <v>32177.86</v>
      </c>
      <c r="K15" s="2">
        <v>-152000</v>
      </c>
      <c r="L15" s="1">
        <v>750000</v>
      </c>
      <c r="M15" t="s">
        <v>190</v>
      </c>
      <c r="N15" s="1">
        <v>11628</v>
      </c>
      <c r="O15" s="2">
        <v>4247.9009999999998</v>
      </c>
      <c r="P15" s="2">
        <v>62477.98</v>
      </c>
      <c r="Q15" s="2">
        <v>-300000</v>
      </c>
      <c r="R15" s="2">
        <v>4750000</v>
      </c>
    </row>
    <row r="16" spans="1:18" x14ac:dyDescent="0.25">
      <c r="A16" t="s">
        <v>21</v>
      </c>
      <c r="B16" s="1">
        <v>27661</v>
      </c>
      <c r="C16">
        <v>1E-3</v>
      </c>
      <c r="D16">
        <v>3.6999999999999998E-2</v>
      </c>
      <c r="E16">
        <v>0</v>
      </c>
      <c r="F16">
        <v>1</v>
      </c>
      <c r="G16" t="s">
        <v>21</v>
      </c>
      <c r="H16" s="1">
        <v>16033</v>
      </c>
      <c r="I16" s="2">
        <v>1E-3</v>
      </c>
      <c r="J16" s="2">
        <v>3.3000000000000002E-2</v>
      </c>
      <c r="K16" s="2">
        <v>0</v>
      </c>
      <c r="L16" s="2">
        <v>1</v>
      </c>
      <c r="M16" t="s">
        <v>21</v>
      </c>
      <c r="N16" s="1">
        <v>11628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27661</v>
      </c>
      <c r="C17">
        <v>2.8000000000000001E-2</v>
      </c>
      <c r="D17">
        <v>0.16600000000000001</v>
      </c>
      <c r="E17">
        <v>0</v>
      </c>
      <c r="F17">
        <v>1</v>
      </c>
      <c r="G17" t="s">
        <v>22</v>
      </c>
      <c r="H17" s="1">
        <v>16033</v>
      </c>
      <c r="I17" s="2">
        <v>0.03</v>
      </c>
      <c r="J17" s="2">
        <v>0.17100000000000001</v>
      </c>
      <c r="K17" s="2">
        <v>0</v>
      </c>
      <c r="L17" s="2">
        <v>1</v>
      </c>
      <c r="M17" t="s">
        <v>22</v>
      </c>
      <c r="N17" s="1">
        <v>11628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27661</v>
      </c>
      <c r="C18">
        <v>6.0000000000000001E-3</v>
      </c>
      <c r="D18">
        <v>7.8E-2</v>
      </c>
      <c r="E18">
        <v>0</v>
      </c>
      <c r="F18">
        <v>1</v>
      </c>
      <c r="G18" t="s">
        <v>23</v>
      </c>
      <c r="H18" s="1">
        <v>16033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11628</v>
      </c>
      <c r="O18">
        <v>5.0000000000000001E-3</v>
      </c>
      <c r="P18">
        <v>6.8000000000000005E-2</v>
      </c>
      <c r="Q18">
        <v>0</v>
      </c>
      <c r="R18">
        <v>1</v>
      </c>
    </row>
    <row r="19" spans="1:18" x14ac:dyDescent="0.25">
      <c r="A19" t="s">
        <v>24</v>
      </c>
      <c r="B19" s="1">
        <v>27661</v>
      </c>
      <c r="C19">
        <v>0.16800000000000001</v>
      </c>
      <c r="D19">
        <v>0.374</v>
      </c>
      <c r="E19">
        <v>0</v>
      </c>
      <c r="F19">
        <v>1</v>
      </c>
      <c r="G19" t="s">
        <v>24</v>
      </c>
      <c r="H19" s="1">
        <v>16033</v>
      </c>
      <c r="I19">
        <v>0.17199999999999999</v>
      </c>
      <c r="J19">
        <v>0.378</v>
      </c>
      <c r="K19">
        <v>0</v>
      </c>
      <c r="L19">
        <v>1</v>
      </c>
      <c r="M19" t="s">
        <v>24</v>
      </c>
      <c r="N19" s="1">
        <v>11628</v>
      </c>
      <c r="O19">
        <v>0.16200000000000001</v>
      </c>
      <c r="P19">
        <v>0.36799999999999999</v>
      </c>
      <c r="Q19">
        <v>0</v>
      </c>
      <c r="R19">
        <v>1</v>
      </c>
    </row>
    <row r="20" spans="1:18" x14ac:dyDescent="0.25">
      <c r="A20" t="s">
        <v>25</v>
      </c>
      <c r="B20" s="1">
        <v>27661</v>
      </c>
      <c r="C20">
        <v>0.52200000000000002</v>
      </c>
      <c r="D20">
        <v>0.5</v>
      </c>
      <c r="E20">
        <v>0</v>
      </c>
      <c r="F20">
        <v>1</v>
      </c>
      <c r="G20" t="s">
        <v>25</v>
      </c>
      <c r="H20" s="1">
        <v>16033</v>
      </c>
      <c r="I20">
        <v>0.51200000000000001</v>
      </c>
      <c r="J20">
        <v>0.5</v>
      </c>
      <c r="K20">
        <v>0</v>
      </c>
      <c r="L20">
        <v>1</v>
      </c>
      <c r="M20" t="s">
        <v>25</v>
      </c>
      <c r="N20" s="1">
        <v>11628</v>
      </c>
      <c r="O20">
        <v>0.53400000000000003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27661</v>
      </c>
      <c r="C21">
        <v>0.315</v>
      </c>
      <c r="D21">
        <v>0.46400000000000002</v>
      </c>
      <c r="E21">
        <v>0</v>
      </c>
      <c r="F21">
        <v>1</v>
      </c>
      <c r="G21" t="s">
        <v>26</v>
      </c>
      <c r="H21" s="1">
        <v>16033</v>
      </c>
      <c r="I21">
        <v>0.32200000000000001</v>
      </c>
      <c r="J21">
        <v>0.46700000000000003</v>
      </c>
      <c r="K21">
        <v>0</v>
      </c>
      <c r="L21">
        <v>1</v>
      </c>
      <c r="M21" t="s">
        <v>26</v>
      </c>
      <c r="N21" s="1">
        <v>11628</v>
      </c>
      <c r="O21">
        <v>0.30499999999999999</v>
      </c>
      <c r="P21">
        <v>0.46</v>
      </c>
      <c r="Q21">
        <v>0</v>
      </c>
      <c r="R21">
        <v>1</v>
      </c>
    </row>
    <row r="22" spans="1:18" x14ac:dyDescent="0.25">
      <c r="A22" t="s">
        <v>27</v>
      </c>
      <c r="B22" s="1">
        <v>27661</v>
      </c>
      <c r="C22">
        <v>6.4000000000000001E-2</v>
      </c>
      <c r="D22">
        <v>0.245</v>
      </c>
      <c r="E22">
        <v>0</v>
      </c>
      <c r="F22">
        <v>1</v>
      </c>
      <c r="G22" t="s">
        <v>27</v>
      </c>
      <c r="H22" s="1">
        <v>16033</v>
      </c>
      <c r="I22">
        <v>6.5000000000000002E-2</v>
      </c>
      <c r="J22">
        <v>0.247</v>
      </c>
      <c r="K22">
        <v>0</v>
      </c>
      <c r="L22">
        <v>1</v>
      </c>
      <c r="M22" t="s">
        <v>27</v>
      </c>
      <c r="N22" s="1">
        <v>11628</v>
      </c>
      <c r="O22">
        <v>6.2E-2</v>
      </c>
      <c r="P22">
        <v>0.24199999999999999</v>
      </c>
      <c r="Q22">
        <v>0</v>
      </c>
      <c r="R22">
        <v>1</v>
      </c>
    </row>
    <row r="23" spans="1:18" x14ac:dyDescent="0.25">
      <c r="A23" t="s">
        <v>28</v>
      </c>
      <c r="B23" s="1">
        <v>27661</v>
      </c>
      <c r="C23">
        <v>3.0000000000000001E-3</v>
      </c>
      <c r="D23">
        <v>5.8000000000000003E-2</v>
      </c>
      <c r="E23">
        <v>0</v>
      </c>
      <c r="F23">
        <v>1</v>
      </c>
      <c r="G23" t="s">
        <v>28</v>
      </c>
      <c r="H23" s="1">
        <v>16033</v>
      </c>
      <c r="I23">
        <v>4.0000000000000001E-3</v>
      </c>
      <c r="J23">
        <v>0.06</v>
      </c>
      <c r="K23">
        <v>0</v>
      </c>
      <c r="L23">
        <v>1</v>
      </c>
      <c r="M23" t="s">
        <v>28</v>
      </c>
      <c r="N23" s="1">
        <v>11628</v>
      </c>
      <c r="O23">
        <v>3.0000000000000001E-3</v>
      </c>
      <c r="P23">
        <v>5.5E-2</v>
      </c>
      <c r="Q23">
        <v>0</v>
      </c>
      <c r="R23">
        <v>1</v>
      </c>
    </row>
    <row r="24" spans="1:18" x14ac:dyDescent="0.25">
      <c r="A24" t="s">
        <v>29</v>
      </c>
      <c r="B24" s="1">
        <v>27661</v>
      </c>
      <c r="C24">
        <v>1E-4</v>
      </c>
      <c r="D24">
        <v>0.01</v>
      </c>
      <c r="E24">
        <v>0</v>
      </c>
      <c r="F24">
        <v>1</v>
      </c>
      <c r="G24" t="s">
        <v>29</v>
      </c>
      <c r="H24" s="1">
        <v>16033</v>
      </c>
      <c r="I24">
        <v>2.0000000000000001E-4</v>
      </c>
      <c r="J24">
        <v>1.4E-2</v>
      </c>
      <c r="K24">
        <v>0</v>
      </c>
      <c r="L24">
        <v>1</v>
      </c>
      <c r="M24" t="s">
        <v>29</v>
      </c>
      <c r="N24" s="1">
        <v>11628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27661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16033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11628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27661</v>
      </c>
      <c r="C26">
        <v>8.2000000000000003E-2</v>
      </c>
      <c r="D26">
        <v>0.27400000000000002</v>
      </c>
      <c r="E26">
        <v>0</v>
      </c>
      <c r="F26">
        <v>1</v>
      </c>
      <c r="G26" t="s">
        <v>31</v>
      </c>
      <c r="H26" s="1">
        <v>16033</v>
      </c>
      <c r="I26">
        <v>8.3000000000000004E-2</v>
      </c>
      <c r="J26">
        <v>0.27600000000000002</v>
      </c>
      <c r="K26">
        <v>0</v>
      </c>
      <c r="L26">
        <v>1</v>
      </c>
      <c r="M26" t="s">
        <v>31</v>
      </c>
      <c r="N26" s="1">
        <v>11628</v>
      </c>
      <c r="O26">
        <v>7.9000000000000001E-2</v>
      </c>
      <c r="P26">
        <v>0.27</v>
      </c>
      <c r="Q26">
        <v>0</v>
      </c>
      <c r="R26">
        <v>1</v>
      </c>
    </row>
    <row r="27" spans="1:18" x14ac:dyDescent="0.25">
      <c r="A27" t="s">
        <v>32</v>
      </c>
      <c r="B27" s="1">
        <v>27661</v>
      </c>
      <c r="C27">
        <v>1E-3</v>
      </c>
      <c r="D27">
        <v>3.7999999999999999E-2</v>
      </c>
      <c r="E27">
        <v>0</v>
      </c>
      <c r="F27">
        <v>1</v>
      </c>
      <c r="G27" t="s">
        <v>32</v>
      </c>
      <c r="H27" s="1">
        <v>16033</v>
      </c>
      <c r="I27">
        <v>1E-3</v>
      </c>
      <c r="J27">
        <v>3.6999999999999998E-2</v>
      </c>
      <c r="K27">
        <v>0</v>
      </c>
      <c r="L27">
        <v>1</v>
      </c>
      <c r="M27" t="s">
        <v>32</v>
      </c>
      <c r="N27" s="1">
        <v>11628</v>
      </c>
      <c r="O27">
        <v>1E-3</v>
      </c>
      <c r="P27">
        <v>3.7999999999999999E-2</v>
      </c>
      <c r="Q27">
        <v>0</v>
      </c>
      <c r="R27">
        <v>1</v>
      </c>
    </row>
    <row r="28" spans="1:18" x14ac:dyDescent="0.25">
      <c r="A28" t="s">
        <v>33</v>
      </c>
      <c r="B28" s="1">
        <v>27661</v>
      </c>
      <c r="C28">
        <v>35.020000000000003</v>
      </c>
      <c r="D28">
        <v>16.282</v>
      </c>
      <c r="E28">
        <v>0</v>
      </c>
      <c r="F28">
        <v>90</v>
      </c>
      <c r="G28" t="s">
        <v>33</v>
      </c>
      <c r="H28" s="1">
        <v>16033</v>
      </c>
      <c r="I28">
        <v>33.534999999999997</v>
      </c>
      <c r="J28">
        <v>16.100000000000001</v>
      </c>
      <c r="K28">
        <v>0</v>
      </c>
      <c r="L28">
        <v>90</v>
      </c>
      <c r="M28" t="s">
        <v>33</v>
      </c>
      <c r="N28" s="1">
        <v>11628</v>
      </c>
      <c r="O28">
        <v>37.067</v>
      </c>
      <c r="P28">
        <v>16.309999999999999</v>
      </c>
      <c r="Q28">
        <v>0</v>
      </c>
      <c r="R28">
        <v>83</v>
      </c>
    </row>
    <row r="29" spans="1:18" x14ac:dyDescent="0.25">
      <c r="A29" t="s">
        <v>34</v>
      </c>
      <c r="B29" s="1">
        <v>27661</v>
      </c>
      <c r="C29">
        <v>1.4910000000000001</v>
      </c>
      <c r="D29">
        <v>1.0189999999999999</v>
      </c>
      <c r="E29">
        <v>0</v>
      </c>
      <c r="F29">
        <v>8.1</v>
      </c>
      <c r="G29" t="s">
        <v>34</v>
      </c>
      <c r="H29" s="1">
        <v>16033</v>
      </c>
      <c r="I29">
        <v>1.3839999999999999</v>
      </c>
      <c r="J29">
        <v>0.97199999999999998</v>
      </c>
      <c r="K29">
        <v>0</v>
      </c>
      <c r="L29">
        <v>8.1</v>
      </c>
      <c r="M29" t="s">
        <v>34</v>
      </c>
      <c r="N29" s="1">
        <v>11628</v>
      </c>
      <c r="O29">
        <v>1.64</v>
      </c>
      <c r="P29">
        <v>1.0640000000000001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27661</v>
      </c>
      <c r="C30" s="2">
        <v>1.43</v>
      </c>
      <c r="D30" s="2">
        <v>4.0209999999999999</v>
      </c>
      <c r="E30">
        <v>0</v>
      </c>
      <c r="F30" s="1">
        <v>57</v>
      </c>
      <c r="G30" t="s">
        <v>35</v>
      </c>
      <c r="H30" s="1">
        <v>16033</v>
      </c>
      <c r="I30">
        <v>1.35</v>
      </c>
      <c r="J30">
        <v>3.843</v>
      </c>
      <c r="K30">
        <v>0</v>
      </c>
      <c r="L30">
        <v>57</v>
      </c>
      <c r="M30" t="s">
        <v>35</v>
      </c>
      <c r="N30" s="1">
        <v>11628</v>
      </c>
      <c r="O30" s="2">
        <v>1.5409999999999999</v>
      </c>
      <c r="P30" s="2">
        <v>4.2519999999999998</v>
      </c>
      <c r="Q30">
        <v>0</v>
      </c>
      <c r="R30" s="1">
        <v>45</v>
      </c>
    </row>
    <row r="31" spans="1:18" x14ac:dyDescent="0.25">
      <c r="A31" t="s">
        <v>18</v>
      </c>
      <c r="B31" s="1">
        <v>27661</v>
      </c>
      <c r="C31" s="2">
        <v>966.29</v>
      </c>
      <c r="D31" s="2">
        <v>439.73899999999998</v>
      </c>
      <c r="E31">
        <v>175</v>
      </c>
      <c r="F31" s="1">
        <v>11155</v>
      </c>
      <c r="G31" t="s">
        <v>18</v>
      </c>
      <c r="H31" s="1">
        <v>16033</v>
      </c>
      <c r="I31">
        <v>970.92700000000002</v>
      </c>
      <c r="J31">
        <v>438.714</v>
      </c>
      <c r="K31">
        <v>195</v>
      </c>
      <c r="L31" s="1">
        <v>7582</v>
      </c>
      <c r="M31" t="s">
        <v>18</v>
      </c>
      <c r="N31" s="1">
        <v>11628</v>
      </c>
      <c r="O31" s="2">
        <v>959.89599999999996</v>
      </c>
      <c r="P31" s="2">
        <v>441.08699999999999</v>
      </c>
      <c r="Q31">
        <v>175</v>
      </c>
      <c r="R31" s="1">
        <v>11155</v>
      </c>
    </row>
    <row r="32" spans="1:18" x14ac:dyDescent="0.25">
      <c r="A32" t="s">
        <v>37</v>
      </c>
      <c r="B32" s="1">
        <v>27661</v>
      </c>
      <c r="C32">
        <v>4.9420000000000002</v>
      </c>
      <c r="D32">
        <v>6.8860000000000001</v>
      </c>
      <c r="E32">
        <v>1.4E-2</v>
      </c>
      <c r="F32">
        <v>111.96899999999999</v>
      </c>
      <c r="G32" t="s">
        <v>37</v>
      </c>
      <c r="H32" s="1">
        <v>16033</v>
      </c>
      <c r="I32">
        <v>4.9039999999999999</v>
      </c>
      <c r="J32">
        <v>6.8109999999999999</v>
      </c>
      <c r="K32">
        <v>1.4E-2</v>
      </c>
      <c r="L32" s="1">
        <v>52.774999999999999</v>
      </c>
      <c r="M32" t="s">
        <v>37</v>
      </c>
      <c r="N32" s="1">
        <v>11628</v>
      </c>
      <c r="O32">
        <v>4.9930000000000003</v>
      </c>
      <c r="P32">
        <v>6.9870000000000001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27661</v>
      </c>
      <c r="C33">
        <v>1.7549999999999999</v>
      </c>
      <c r="D33">
        <v>2.2650000000000001</v>
      </c>
      <c r="E33">
        <v>0</v>
      </c>
      <c r="F33">
        <v>12.788</v>
      </c>
      <c r="G33" t="s">
        <v>164</v>
      </c>
      <c r="H33" s="1">
        <v>16033</v>
      </c>
      <c r="I33" s="2">
        <v>1.7789999999999999</v>
      </c>
      <c r="J33" s="2">
        <v>2.31</v>
      </c>
      <c r="K33">
        <v>0</v>
      </c>
      <c r="L33" s="1">
        <v>12.788</v>
      </c>
      <c r="M33" t="s">
        <v>164</v>
      </c>
      <c r="N33" s="1">
        <v>11628</v>
      </c>
      <c r="O33">
        <v>1.7230000000000001</v>
      </c>
      <c r="P33">
        <v>2.202</v>
      </c>
      <c r="Q33">
        <v>0</v>
      </c>
      <c r="R33">
        <v>12.788</v>
      </c>
    </row>
    <row r="34" spans="1:18" x14ac:dyDescent="0.25">
      <c r="A34" t="s">
        <v>39</v>
      </c>
      <c r="B34" s="1">
        <v>27661</v>
      </c>
      <c r="C34">
        <v>0.34300000000000003</v>
      </c>
      <c r="D34">
        <v>0.27</v>
      </c>
      <c r="E34">
        <v>0</v>
      </c>
      <c r="F34">
        <v>2.165</v>
      </c>
      <c r="G34" t="s">
        <v>39</v>
      </c>
      <c r="H34" s="1">
        <v>16033</v>
      </c>
      <c r="I34">
        <v>0.34</v>
      </c>
      <c r="J34">
        <v>0.26500000000000001</v>
      </c>
      <c r="K34">
        <v>1.2E-2</v>
      </c>
      <c r="L34">
        <v>1.7529999999999999</v>
      </c>
      <c r="M34" t="s">
        <v>39</v>
      </c>
      <c r="N34" s="1">
        <v>11628</v>
      </c>
      <c r="O34">
        <v>0.34799999999999998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27661</v>
      </c>
      <c r="C35">
        <v>3.1859999999999999</v>
      </c>
      <c r="D35">
        <v>3.4569999999999999</v>
      </c>
      <c r="E35">
        <v>1.4999999999999999E-2</v>
      </c>
      <c r="F35">
        <v>20.402999999999999</v>
      </c>
      <c r="G35" t="s">
        <v>40</v>
      </c>
      <c r="H35" s="1">
        <v>16033</v>
      </c>
      <c r="I35">
        <v>3.1280000000000001</v>
      </c>
      <c r="J35">
        <v>3.3370000000000002</v>
      </c>
      <c r="K35">
        <v>1.4999999999999999E-2</v>
      </c>
      <c r="L35">
        <v>20.402999999999999</v>
      </c>
      <c r="M35" t="s">
        <v>40</v>
      </c>
      <c r="N35" s="1">
        <v>11628</v>
      </c>
      <c r="O35">
        <v>3.2650000000000001</v>
      </c>
      <c r="P35">
        <v>3.6139999999999999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27661</v>
      </c>
      <c r="C36">
        <v>7.6150000000000002</v>
      </c>
      <c r="D36">
        <v>5.1719999999999997</v>
      </c>
      <c r="E36">
        <v>0.99299999999999999</v>
      </c>
      <c r="F36">
        <v>25.135999999999999</v>
      </c>
      <c r="G36" t="s">
        <v>41</v>
      </c>
      <c r="H36" s="1">
        <v>16033</v>
      </c>
      <c r="I36">
        <v>7.6340000000000003</v>
      </c>
      <c r="J36">
        <v>5.19</v>
      </c>
      <c r="K36">
        <v>0.99299999999999999</v>
      </c>
      <c r="L36">
        <v>25.135999999999999</v>
      </c>
      <c r="M36" t="s">
        <v>41</v>
      </c>
      <c r="N36" s="1">
        <v>11628</v>
      </c>
      <c r="O36">
        <v>7.59</v>
      </c>
      <c r="P36">
        <v>5.1470000000000002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27661</v>
      </c>
      <c r="C37">
        <v>1.264</v>
      </c>
      <c r="D37">
        <v>6.0529999999999999</v>
      </c>
      <c r="E37">
        <v>4.2999999999999997E-2</v>
      </c>
      <c r="F37">
        <v>196.49</v>
      </c>
      <c r="G37" t="s">
        <v>173</v>
      </c>
      <c r="H37" s="1">
        <v>16033</v>
      </c>
      <c r="I37">
        <v>1.2849999999999999</v>
      </c>
      <c r="J37">
        <v>6.2350000000000003</v>
      </c>
      <c r="K37">
        <v>4.2999999999999997E-2</v>
      </c>
      <c r="L37">
        <v>196.49</v>
      </c>
      <c r="M37" t="s">
        <v>173</v>
      </c>
      <c r="N37" s="1">
        <v>11628</v>
      </c>
      <c r="O37">
        <v>1.2350000000000001</v>
      </c>
      <c r="P37">
        <v>5.7930000000000001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27661</v>
      </c>
      <c r="C38">
        <v>1.9690000000000001</v>
      </c>
      <c r="D38">
        <v>1.333</v>
      </c>
      <c r="E38">
        <v>7.0999999999999994E-2</v>
      </c>
      <c r="F38">
        <v>7.2789999999999999</v>
      </c>
      <c r="G38" t="s">
        <v>174</v>
      </c>
      <c r="H38" s="1">
        <v>16033</v>
      </c>
      <c r="I38">
        <v>1.9670000000000001</v>
      </c>
      <c r="J38">
        <v>1.3340000000000001</v>
      </c>
      <c r="K38">
        <v>7.3999999999999996E-2</v>
      </c>
      <c r="L38">
        <v>7.2789999999999999</v>
      </c>
      <c r="M38" t="s">
        <v>174</v>
      </c>
      <c r="N38" s="1">
        <v>11628</v>
      </c>
      <c r="O38">
        <v>1.9710000000000001</v>
      </c>
      <c r="P38">
        <v>1.331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27661</v>
      </c>
      <c r="C39">
        <v>1.835</v>
      </c>
      <c r="D39">
        <v>1.212</v>
      </c>
      <c r="E39">
        <v>3.4000000000000002E-2</v>
      </c>
      <c r="F39">
        <v>6.8040000000000003</v>
      </c>
      <c r="G39" t="s">
        <v>175</v>
      </c>
      <c r="H39" s="1">
        <v>16033</v>
      </c>
      <c r="I39">
        <v>1.8420000000000001</v>
      </c>
      <c r="J39">
        <v>1.212</v>
      </c>
      <c r="K39">
        <v>3.4000000000000002E-2</v>
      </c>
      <c r="L39">
        <v>6.8040000000000003</v>
      </c>
      <c r="M39" t="s">
        <v>175</v>
      </c>
      <c r="N39" s="1">
        <v>11628</v>
      </c>
      <c r="O39">
        <v>1.8240000000000001</v>
      </c>
      <c r="P39">
        <v>1.21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27661</v>
      </c>
      <c r="C40">
        <v>0.27300000000000002</v>
      </c>
      <c r="D40">
        <v>0.187</v>
      </c>
      <c r="E40">
        <v>0</v>
      </c>
      <c r="F40">
        <v>0.82799999999999996</v>
      </c>
      <c r="G40" t="s">
        <v>42</v>
      </c>
      <c r="H40" s="1">
        <v>16033</v>
      </c>
      <c r="I40">
        <v>0.27700000000000002</v>
      </c>
      <c r="J40">
        <v>0.193</v>
      </c>
      <c r="K40">
        <v>0</v>
      </c>
      <c r="L40">
        <v>0.82799999999999996</v>
      </c>
      <c r="M40" t="s">
        <v>42</v>
      </c>
      <c r="N40" s="1">
        <v>11628</v>
      </c>
      <c r="O40">
        <v>0.26800000000000002</v>
      </c>
      <c r="P40">
        <v>0.18</v>
      </c>
      <c r="Q40">
        <v>0</v>
      </c>
      <c r="R40">
        <v>0.82799999999999996</v>
      </c>
    </row>
    <row r="41" spans="1:18" x14ac:dyDescent="0.25">
      <c r="A41" t="s">
        <v>43</v>
      </c>
      <c r="B41" s="1">
        <v>27661</v>
      </c>
      <c r="C41">
        <v>2.3E-2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16033</v>
      </c>
      <c r="I41">
        <v>2.3E-2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11628</v>
      </c>
      <c r="O41">
        <v>2.3E-2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27661</v>
      </c>
      <c r="C42">
        <v>0.44</v>
      </c>
      <c r="D42">
        <v>0.19400000000000001</v>
      </c>
      <c r="E42">
        <v>1.4E-2</v>
      </c>
      <c r="F42">
        <v>1</v>
      </c>
      <c r="G42" t="s">
        <v>44</v>
      </c>
      <c r="H42" s="1">
        <v>16033</v>
      </c>
      <c r="I42">
        <v>0.438</v>
      </c>
      <c r="J42">
        <v>0.19600000000000001</v>
      </c>
      <c r="K42">
        <v>1.4E-2</v>
      </c>
      <c r="L42">
        <v>1</v>
      </c>
      <c r="M42" t="s">
        <v>44</v>
      </c>
      <c r="N42" s="1">
        <v>11628</v>
      </c>
      <c r="O42">
        <v>0.442</v>
      </c>
      <c r="P42">
        <v>0.193</v>
      </c>
      <c r="Q42">
        <v>1.4E-2</v>
      </c>
      <c r="R42">
        <v>1</v>
      </c>
    </row>
    <row r="43" spans="1:18" x14ac:dyDescent="0.25">
      <c r="A43" t="s">
        <v>45</v>
      </c>
      <c r="B43" s="1">
        <v>27661</v>
      </c>
      <c r="C43">
        <v>5.8000000000000003E-2</v>
      </c>
      <c r="D43">
        <v>8.5999999999999993E-2</v>
      </c>
      <c r="E43">
        <v>0</v>
      </c>
      <c r="F43">
        <v>0.64</v>
      </c>
      <c r="G43" t="s">
        <v>45</v>
      </c>
      <c r="H43" s="1">
        <v>16033</v>
      </c>
      <c r="I43">
        <v>5.7000000000000002E-2</v>
      </c>
      <c r="J43">
        <v>8.5000000000000006E-2</v>
      </c>
      <c r="K43">
        <v>0</v>
      </c>
      <c r="L43">
        <v>0.64</v>
      </c>
      <c r="M43" t="s">
        <v>45</v>
      </c>
      <c r="N43" s="1">
        <v>11628</v>
      </c>
      <c r="O43">
        <v>5.8000000000000003E-2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27661</v>
      </c>
      <c r="C44">
        <v>0.83399999999999996</v>
      </c>
      <c r="D44">
        <v>0.19600000000000001</v>
      </c>
      <c r="E44">
        <v>0.107</v>
      </c>
      <c r="F44">
        <v>1</v>
      </c>
      <c r="G44" t="s">
        <v>46</v>
      </c>
      <c r="H44" s="1">
        <v>16033</v>
      </c>
      <c r="I44">
        <v>0.83499999999999996</v>
      </c>
      <c r="J44">
        <v>0.2</v>
      </c>
      <c r="K44">
        <v>0.107</v>
      </c>
      <c r="L44">
        <v>1</v>
      </c>
      <c r="M44" t="s">
        <v>46</v>
      </c>
      <c r="N44" s="1">
        <v>11628</v>
      </c>
      <c r="O44">
        <v>0.83199999999999996</v>
      </c>
      <c r="P44">
        <v>0.19</v>
      </c>
      <c r="Q44">
        <v>0.107</v>
      </c>
      <c r="R44">
        <v>1</v>
      </c>
    </row>
    <row r="45" spans="1:18" x14ac:dyDescent="0.25">
      <c r="A45" t="s">
        <v>47</v>
      </c>
      <c r="B45" s="1">
        <v>27661</v>
      </c>
      <c r="C45">
        <v>0.16600000000000001</v>
      </c>
      <c r="D45">
        <v>0.19500000000000001</v>
      </c>
      <c r="E45">
        <v>0</v>
      </c>
      <c r="F45">
        <v>0.89300000000000002</v>
      </c>
      <c r="G45" t="s">
        <v>47</v>
      </c>
      <c r="H45" s="1">
        <v>16033</v>
      </c>
      <c r="I45">
        <v>0.16400000000000001</v>
      </c>
      <c r="J45">
        <v>0.19900000000000001</v>
      </c>
      <c r="K45">
        <v>0</v>
      </c>
      <c r="L45">
        <v>0.89300000000000002</v>
      </c>
      <c r="M45" t="s">
        <v>47</v>
      </c>
      <c r="N45" s="1">
        <v>11628</v>
      </c>
      <c r="O45">
        <v>0.16700000000000001</v>
      </c>
      <c r="P45">
        <v>0.189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27661</v>
      </c>
      <c r="C46" s="2">
        <v>0.58199999999999996</v>
      </c>
      <c r="D46" s="2">
        <v>0.192</v>
      </c>
      <c r="E46" s="2">
        <v>2.8000000000000001E-2</v>
      </c>
      <c r="F46" s="2">
        <v>0.98499999999999999</v>
      </c>
      <c r="G46" t="s">
        <v>48</v>
      </c>
      <c r="H46" s="1">
        <v>16033</v>
      </c>
      <c r="I46">
        <v>0.58599999999999997</v>
      </c>
      <c r="J46">
        <v>0.189</v>
      </c>
      <c r="K46">
        <v>2.8000000000000001E-2</v>
      </c>
      <c r="L46">
        <v>0.98499999999999999</v>
      </c>
      <c r="M46" t="s">
        <v>48</v>
      </c>
      <c r="N46" s="1">
        <v>11628</v>
      </c>
      <c r="O46" s="2">
        <v>0.57599999999999996</v>
      </c>
      <c r="P46" s="2">
        <v>0.19500000000000001</v>
      </c>
      <c r="Q46" s="2">
        <v>2.8000000000000001E-2</v>
      </c>
      <c r="R46" s="2">
        <v>0.98099999999999998</v>
      </c>
    </row>
    <row r="47" spans="1:18" x14ac:dyDescent="0.25">
      <c r="A47" t="s">
        <v>49</v>
      </c>
      <c r="B47" s="1">
        <v>27661</v>
      </c>
      <c r="C47" s="2">
        <v>0.41699999999999998</v>
      </c>
      <c r="D47" s="2">
        <v>0.191</v>
      </c>
      <c r="E47" s="2">
        <v>1.4999999999999999E-2</v>
      </c>
      <c r="F47" s="2">
        <v>0.97199999999999998</v>
      </c>
      <c r="G47" t="s">
        <v>49</v>
      </c>
      <c r="H47" s="1">
        <v>16033</v>
      </c>
      <c r="I47">
        <v>0.41299999999999998</v>
      </c>
      <c r="J47">
        <v>0.188</v>
      </c>
      <c r="K47">
        <v>1.4999999999999999E-2</v>
      </c>
      <c r="L47">
        <v>0.97199999999999998</v>
      </c>
      <c r="M47" t="s">
        <v>49</v>
      </c>
      <c r="N47" s="1">
        <v>11628</v>
      </c>
      <c r="O47" s="2">
        <v>0.42299999999999999</v>
      </c>
      <c r="P47" s="2">
        <v>0.19500000000000001</v>
      </c>
      <c r="Q47" s="2">
        <v>1.9E-2</v>
      </c>
      <c r="R47" s="2">
        <v>0.97199999999999998</v>
      </c>
    </row>
    <row r="48" spans="1:18" x14ac:dyDescent="0.25">
      <c r="A48" t="s">
        <v>50</v>
      </c>
      <c r="B48" s="1">
        <v>27661</v>
      </c>
      <c r="C48">
        <v>12.372</v>
      </c>
      <c r="D48">
        <v>41.814999999999998</v>
      </c>
      <c r="E48">
        <v>0</v>
      </c>
      <c r="F48" s="1">
        <v>1000</v>
      </c>
      <c r="G48" t="s">
        <v>50</v>
      </c>
      <c r="H48" s="1">
        <v>16033</v>
      </c>
      <c r="I48">
        <v>11.814</v>
      </c>
      <c r="J48">
        <v>39.642000000000003</v>
      </c>
      <c r="K48">
        <v>0</v>
      </c>
      <c r="L48">
        <v>651</v>
      </c>
      <c r="M48" t="s">
        <v>50</v>
      </c>
      <c r="N48" s="1">
        <v>11628</v>
      </c>
      <c r="O48">
        <v>13.141</v>
      </c>
      <c r="P48">
        <v>44.627000000000002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27661</v>
      </c>
      <c r="C49" s="2">
        <v>1.2689999999999999</v>
      </c>
      <c r="D49" s="2">
        <v>1.8919999999999999</v>
      </c>
      <c r="E49" s="2">
        <v>0</v>
      </c>
      <c r="F49" s="2">
        <v>36</v>
      </c>
      <c r="G49" t="s">
        <v>51</v>
      </c>
      <c r="H49" s="1">
        <v>16033</v>
      </c>
      <c r="I49" s="2">
        <v>1.2889999999999999</v>
      </c>
      <c r="J49" s="2">
        <v>1.931</v>
      </c>
      <c r="K49" s="2">
        <v>0</v>
      </c>
      <c r="L49" s="2">
        <v>36</v>
      </c>
      <c r="M49" t="s">
        <v>51</v>
      </c>
      <c r="N49" s="1">
        <v>11628</v>
      </c>
      <c r="O49" s="2">
        <v>1.2410000000000001</v>
      </c>
      <c r="P49" s="2">
        <v>1.835</v>
      </c>
      <c r="Q49" s="2">
        <v>0</v>
      </c>
      <c r="R49" s="2">
        <v>23</v>
      </c>
    </row>
    <row r="50" spans="1:18" x14ac:dyDescent="0.25">
      <c r="A50" t="s">
        <v>52</v>
      </c>
      <c r="B50" s="1">
        <v>27661</v>
      </c>
      <c r="C50" s="2">
        <v>0.36899999999999999</v>
      </c>
      <c r="D50" s="2">
        <v>0.48299999999999998</v>
      </c>
      <c r="E50" s="2">
        <v>0</v>
      </c>
      <c r="F50" s="2">
        <v>1</v>
      </c>
      <c r="G50" t="s">
        <v>52</v>
      </c>
      <c r="H50" s="1">
        <v>16033</v>
      </c>
      <c r="I50" s="2">
        <v>0.35599999999999998</v>
      </c>
      <c r="J50" s="2">
        <v>0.47899999999999998</v>
      </c>
      <c r="K50" s="2">
        <v>0</v>
      </c>
      <c r="L50" s="2">
        <v>1</v>
      </c>
      <c r="M50" t="s">
        <v>52</v>
      </c>
      <c r="N50" s="1">
        <v>11628</v>
      </c>
      <c r="O50" s="2">
        <v>0.38700000000000001</v>
      </c>
      <c r="P50" s="2">
        <v>0.48699999999999999</v>
      </c>
      <c r="Q50" s="2">
        <v>0</v>
      </c>
      <c r="R50" s="2">
        <v>1</v>
      </c>
    </row>
    <row r="51" spans="1:18" x14ac:dyDescent="0.25">
      <c r="A51" t="s">
        <v>53</v>
      </c>
      <c r="B51" s="1">
        <v>27661</v>
      </c>
      <c r="C51" s="2">
        <v>2359735</v>
      </c>
      <c r="D51" s="2">
        <v>6910.8540000000003</v>
      </c>
      <c r="E51" s="2">
        <v>2351041</v>
      </c>
      <c r="F51" s="2">
        <v>2400056</v>
      </c>
      <c r="G51" t="s">
        <v>53</v>
      </c>
      <c r="H51" s="1">
        <v>16033</v>
      </c>
      <c r="I51" s="2">
        <v>2359780</v>
      </c>
      <c r="J51" s="2">
        <v>6956.665</v>
      </c>
      <c r="K51" s="2">
        <v>2351041</v>
      </c>
      <c r="L51" s="2">
        <v>2400056</v>
      </c>
      <c r="M51" t="s">
        <v>53</v>
      </c>
      <c r="N51" s="1">
        <v>11628</v>
      </c>
      <c r="O51" s="2">
        <v>2359674</v>
      </c>
      <c r="P51" s="2">
        <v>6847.0140000000001</v>
      </c>
      <c r="Q51" s="2">
        <v>2351041</v>
      </c>
      <c r="R51" s="2">
        <v>2400056</v>
      </c>
    </row>
    <row r="52" spans="1:18" x14ac:dyDescent="0.25">
      <c r="A52" t="s">
        <v>54</v>
      </c>
      <c r="B52" s="1">
        <v>27661</v>
      </c>
      <c r="C52" s="2">
        <v>614179.69999999995</v>
      </c>
      <c r="D52" s="2">
        <v>11613.4</v>
      </c>
      <c r="E52" s="2">
        <v>580446.1</v>
      </c>
      <c r="F52" s="2">
        <v>637819.69999999995</v>
      </c>
      <c r="G52" t="s">
        <v>54</v>
      </c>
      <c r="H52" s="1">
        <v>16033</v>
      </c>
      <c r="I52" s="2">
        <v>614158</v>
      </c>
      <c r="J52" s="2">
        <v>11475.19</v>
      </c>
      <c r="K52" s="2">
        <v>580446.1</v>
      </c>
      <c r="L52" s="2">
        <v>637819.69999999995</v>
      </c>
      <c r="M52" t="s">
        <v>54</v>
      </c>
      <c r="N52" s="1">
        <v>11628</v>
      </c>
      <c r="O52" s="2">
        <v>614209.69999999995</v>
      </c>
      <c r="P52" s="2">
        <v>11801.75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27661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16033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11628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27661</v>
      </c>
      <c r="C54" s="2">
        <v>0</v>
      </c>
      <c r="D54">
        <v>0</v>
      </c>
      <c r="E54" s="1">
        <v>0</v>
      </c>
      <c r="F54" s="1">
        <v>0</v>
      </c>
      <c r="G54" t="s">
        <v>57</v>
      </c>
      <c r="H54" s="1">
        <v>16033</v>
      </c>
      <c r="I54" s="2">
        <v>0</v>
      </c>
      <c r="J54" s="2">
        <v>0</v>
      </c>
      <c r="K54" s="2">
        <v>0</v>
      </c>
      <c r="L54" s="2">
        <v>0</v>
      </c>
      <c r="M54" t="s">
        <v>57</v>
      </c>
      <c r="N54" s="1">
        <v>11628</v>
      </c>
      <c r="O54" s="2">
        <v>0</v>
      </c>
      <c r="P54">
        <v>0</v>
      </c>
      <c r="Q54" s="1">
        <v>0</v>
      </c>
      <c r="R54" s="1">
        <v>0</v>
      </c>
    </row>
    <row r="55" spans="1:18" x14ac:dyDescent="0.25">
      <c r="A55" t="s">
        <v>58</v>
      </c>
      <c r="B55" s="1">
        <v>27661</v>
      </c>
      <c r="C55">
        <v>0.26</v>
      </c>
      <c r="D55">
        <v>0.438</v>
      </c>
      <c r="E55">
        <v>0</v>
      </c>
      <c r="F55">
        <v>1</v>
      </c>
      <c r="G55" t="s">
        <v>58</v>
      </c>
      <c r="H55" s="1">
        <v>16033</v>
      </c>
      <c r="I55">
        <v>0.27100000000000002</v>
      </c>
      <c r="J55">
        <v>0.44500000000000001</v>
      </c>
      <c r="K55">
        <v>0</v>
      </c>
      <c r="L55">
        <v>1</v>
      </c>
      <c r="M55" t="s">
        <v>58</v>
      </c>
      <c r="N55" s="1">
        <v>11628</v>
      </c>
      <c r="O55">
        <v>0.24399999999999999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27661</v>
      </c>
      <c r="C56">
        <v>0.21199999999999999</v>
      </c>
      <c r="D56">
        <v>0.40899999999999997</v>
      </c>
      <c r="E56">
        <v>0</v>
      </c>
      <c r="F56">
        <v>1</v>
      </c>
      <c r="G56" t="s">
        <v>59</v>
      </c>
      <c r="H56" s="1">
        <v>16033</v>
      </c>
      <c r="I56">
        <v>0.21299999999999999</v>
      </c>
      <c r="J56">
        <v>0.41</v>
      </c>
      <c r="K56">
        <v>0</v>
      </c>
      <c r="L56">
        <v>1</v>
      </c>
      <c r="M56" t="s">
        <v>59</v>
      </c>
      <c r="N56" s="1">
        <v>11628</v>
      </c>
      <c r="O56">
        <v>0.21099999999999999</v>
      </c>
      <c r="P56">
        <v>0.40799999999999997</v>
      </c>
      <c r="Q56">
        <v>0</v>
      </c>
      <c r="R56">
        <v>1</v>
      </c>
    </row>
    <row r="57" spans="1:18" x14ac:dyDescent="0.25">
      <c r="A57" t="s">
        <v>60</v>
      </c>
      <c r="B57" s="1">
        <v>27661</v>
      </c>
      <c r="C57" s="2">
        <v>0.52800000000000002</v>
      </c>
      <c r="D57">
        <v>0.499</v>
      </c>
      <c r="E57" s="1">
        <v>0</v>
      </c>
      <c r="F57" s="1">
        <v>1</v>
      </c>
      <c r="G57" t="s">
        <v>60</v>
      </c>
      <c r="H57" s="1">
        <v>16033</v>
      </c>
      <c r="I57" s="2">
        <v>0.51500000000000001</v>
      </c>
      <c r="J57">
        <v>0.5</v>
      </c>
      <c r="K57" s="1">
        <v>0</v>
      </c>
      <c r="L57" s="1">
        <v>1</v>
      </c>
      <c r="M57" t="s">
        <v>60</v>
      </c>
      <c r="N57" s="1">
        <v>11628</v>
      </c>
      <c r="O57" s="2">
        <v>0.54500000000000004</v>
      </c>
      <c r="P57">
        <v>0.498</v>
      </c>
      <c r="Q57" s="1">
        <v>0</v>
      </c>
      <c r="R57" s="1">
        <v>1</v>
      </c>
    </row>
    <row r="58" spans="1:18" x14ac:dyDescent="0.25">
      <c r="A58" t="s">
        <v>61</v>
      </c>
      <c r="B58" s="1">
        <v>27661</v>
      </c>
      <c r="C58" s="2">
        <v>2019.037</v>
      </c>
      <c r="D58">
        <v>2.0099999999999998</v>
      </c>
      <c r="E58" s="1">
        <v>2016</v>
      </c>
      <c r="F58" s="1">
        <v>2023</v>
      </c>
      <c r="G58" t="s">
        <v>61</v>
      </c>
      <c r="H58" s="1">
        <v>16033</v>
      </c>
      <c r="I58" s="2">
        <v>2017.557</v>
      </c>
      <c r="J58">
        <v>1.159</v>
      </c>
      <c r="K58" s="1">
        <v>2016</v>
      </c>
      <c r="L58" s="1">
        <v>2020</v>
      </c>
      <c r="M58" t="s">
        <v>61</v>
      </c>
      <c r="N58" s="1">
        <v>11628</v>
      </c>
      <c r="O58" s="2">
        <v>2021.078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27661</v>
      </c>
      <c r="C59" s="2">
        <v>0.11</v>
      </c>
      <c r="D59">
        <v>0.313</v>
      </c>
      <c r="E59" s="1">
        <v>0</v>
      </c>
      <c r="F59" s="1">
        <v>1</v>
      </c>
      <c r="G59" t="s">
        <v>62</v>
      </c>
      <c r="H59" s="1">
        <v>16033</v>
      </c>
      <c r="I59" s="2">
        <v>0.112</v>
      </c>
      <c r="J59">
        <v>0.315</v>
      </c>
      <c r="K59" s="1">
        <v>0</v>
      </c>
      <c r="L59" s="1">
        <v>1</v>
      </c>
      <c r="M59" t="s">
        <v>62</v>
      </c>
      <c r="N59" s="1">
        <v>11628</v>
      </c>
      <c r="O59" s="2">
        <v>0.107</v>
      </c>
      <c r="P59">
        <v>0.309</v>
      </c>
      <c r="Q59" s="1">
        <v>0</v>
      </c>
      <c r="R59" s="1">
        <v>1</v>
      </c>
    </row>
    <row r="60" spans="1:18" x14ac:dyDescent="0.25">
      <c r="A60" t="s">
        <v>63</v>
      </c>
      <c r="B60" s="1">
        <v>27661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16033</v>
      </c>
      <c r="I60" s="2">
        <v>2.9999999999999997E-4</v>
      </c>
      <c r="J60">
        <v>1.7999999999999999E-2</v>
      </c>
      <c r="K60" s="1">
        <v>0</v>
      </c>
      <c r="L60" s="1">
        <v>1</v>
      </c>
      <c r="M60" t="s">
        <v>63</v>
      </c>
      <c r="N60" s="1">
        <v>11628</v>
      </c>
      <c r="O60">
        <v>1E-3</v>
      </c>
      <c r="P60">
        <v>2.9000000000000001E-2</v>
      </c>
      <c r="Q60">
        <v>0</v>
      </c>
      <c r="R60">
        <v>1</v>
      </c>
    </row>
    <row r="61" spans="1:18" x14ac:dyDescent="0.25">
      <c r="A61" t="s">
        <v>64</v>
      </c>
      <c r="B61" s="1">
        <v>27661</v>
      </c>
      <c r="C61">
        <v>5.2999999999999999E-2</v>
      </c>
      <c r="D61">
        <v>0.224</v>
      </c>
      <c r="E61">
        <v>0</v>
      </c>
      <c r="F61">
        <v>1</v>
      </c>
      <c r="G61" t="s">
        <v>64</v>
      </c>
      <c r="H61" s="1">
        <v>16033</v>
      </c>
      <c r="I61" s="2">
        <v>0.05</v>
      </c>
      <c r="J61">
        <v>0.218</v>
      </c>
      <c r="K61" s="1">
        <v>0</v>
      </c>
      <c r="L61" s="1">
        <v>1</v>
      </c>
      <c r="M61" t="s">
        <v>64</v>
      </c>
      <c r="N61" s="1">
        <v>11628</v>
      </c>
      <c r="O61">
        <v>5.7000000000000002E-2</v>
      </c>
      <c r="P61">
        <v>0.23200000000000001</v>
      </c>
      <c r="Q61">
        <v>0</v>
      </c>
      <c r="R61">
        <v>1</v>
      </c>
    </row>
    <row r="62" spans="1:18" x14ac:dyDescent="0.25">
      <c r="A62" t="s">
        <v>65</v>
      </c>
      <c r="B62" s="1">
        <v>27661</v>
      </c>
      <c r="C62">
        <v>0.22800000000000001</v>
      </c>
      <c r="D62">
        <v>0.42</v>
      </c>
      <c r="E62">
        <v>0</v>
      </c>
      <c r="F62">
        <v>1</v>
      </c>
      <c r="G62" t="s">
        <v>65</v>
      </c>
      <c r="H62" s="1">
        <v>16033</v>
      </c>
      <c r="I62">
        <v>0.23400000000000001</v>
      </c>
      <c r="J62">
        <v>0.42299999999999999</v>
      </c>
      <c r="K62">
        <v>0</v>
      </c>
      <c r="L62">
        <v>1</v>
      </c>
      <c r="M62" t="s">
        <v>65</v>
      </c>
      <c r="N62" s="1">
        <v>11628</v>
      </c>
      <c r="O62">
        <v>0.22</v>
      </c>
      <c r="P62">
        <v>0.41399999999999998</v>
      </c>
      <c r="Q62">
        <v>0</v>
      </c>
      <c r="R62">
        <v>1</v>
      </c>
    </row>
    <row r="63" spans="1:18" x14ac:dyDescent="0.25">
      <c r="A63" t="s">
        <v>66</v>
      </c>
      <c r="B63" s="1">
        <v>27661</v>
      </c>
      <c r="C63">
        <v>0.28299999999999997</v>
      </c>
      <c r="D63">
        <v>0.45</v>
      </c>
      <c r="E63">
        <v>0</v>
      </c>
      <c r="F63">
        <v>1</v>
      </c>
      <c r="G63" t="s">
        <v>66</v>
      </c>
      <c r="H63" s="1">
        <v>16033</v>
      </c>
      <c r="I63">
        <v>0.27300000000000002</v>
      </c>
      <c r="J63">
        <v>0.44500000000000001</v>
      </c>
      <c r="K63">
        <v>0</v>
      </c>
      <c r="L63">
        <v>1</v>
      </c>
      <c r="M63" t="s">
        <v>66</v>
      </c>
      <c r="N63" s="1">
        <v>11628</v>
      </c>
      <c r="O63">
        <v>0.29699999999999999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27661</v>
      </c>
      <c r="C64">
        <v>6.6000000000000003E-2</v>
      </c>
      <c r="D64">
        <v>0.248</v>
      </c>
      <c r="E64">
        <v>0</v>
      </c>
      <c r="F64">
        <v>1</v>
      </c>
      <c r="G64" t="s">
        <v>67</v>
      </c>
      <c r="H64" s="1">
        <v>16033</v>
      </c>
      <c r="I64">
        <v>6.7000000000000004E-2</v>
      </c>
      <c r="J64">
        <v>0.25</v>
      </c>
      <c r="K64">
        <v>0</v>
      </c>
      <c r="L64">
        <v>1</v>
      </c>
      <c r="M64" t="s">
        <v>67</v>
      </c>
      <c r="N64" s="1">
        <v>11628</v>
      </c>
      <c r="O64">
        <v>6.5000000000000002E-2</v>
      </c>
      <c r="P64">
        <v>0.246</v>
      </c>
      <c r="Q64">
        <v>0</v>
      </c>
      <c r="R64">
        <v>1</v>
      </c>
    </row>
    <row r="65" spans="1:18" x14ac:dyDescent="0.25">
      <c r="A65" t="s">
        <v>68</v>
      </c>
      <c r="B65" s="1">
        <v>27661</v>
      </c>
      <c r="C65">
        <v>0.20399999999999999</v>
      </c>
      <c r="D65">
        <v>0.40300000000000002</v>
      </c>
      <c r="E65">
        <v>0</v>
      </c>
      <c r="F65">
        <v>1</v>
      </c>
      <c r="G65" t="s">
        <v>68</v>
      </c>
      <c r="H65" s="1">
        <v>16033</v>
      </c>
      <c r="I65">
        <v>0.20499999999999999</v>
      </c>
      <c r="J65">
        <v>0.40300000000000002</v>
      </c>
      <c r="K65">
        <v>0</v>
      </c>
      <c r="L65">
        <v>1</v>
      </c>
      <c r="M65" t="s">
        <v>68</v>
      </c>
      <c r="N65" s="1">
        <v>11628</v>
      </c>
      <c r="O65">
        <v>0.20399999999999999</v>
      </c>
      <c r="P65">
        <v>0.40300000000000002</v>
      </c>
      <c r="Q65">
        <v>0</v>
      </c>
      <c r="R65">
        <v>1</v>
      </c>
    </row>
    <row r="66" spans="1:18" x14ac:dyDescent="0.25">
      <c r="A66" t="s">
        <v>69</v>
      </c>
      <c r="B66" s="1">
        <v>27661</v>
      </c>
      <c r="C66">
        <v>5.5E-2</v>
      </c>
      <c r="D66">
        <v>0.22900000000000001</v>
      </c>
      <c r="E66">
        <v>0</v>
      </c>
      <c r="F66">
        <v>1</v>
      </c>
      <c r="G66" t="s">
        <v>69</v>
      </c>
      <c r="H66" s="1">
        <v>16033</v>
      </c>
      <c r="I66">
        <v>0.06</v>
      </c>
      <c r="J66">
        <v>0.23699999999999999</v>
      </c>
      <c r="K66">
        <v>0</v>
      </c>
      <c r="L66">
        <v>1</v>
      </c>
      <c r="M66" t="s">
        <v>69</v>
      </c>
      <c r="N66" s="1">
        <v>11628</v>
      </c>
      <c r="O66">
        <v>4.9000000000000002E-2</v>
      </c>
      <c r="P66">
        <v>0.217</v>
      </c>
      <c r="Q66">
        <v>0</v>
      </c>
      <c r="R66">
        <v>1</v>
      </c>
    </row>
    <row r="67" spans="1:18" x14ac:dyDescent="0.25">
      <c r="A67" t="s">
        <v>70</v>
      </c>
      <c r="B67" s="1">
        <v>27661</v>
      </c>
      <c r="C67">
        <v>0.17299999999999999</v>
      </c>
      <c r="D67">
        <v>0.378</v>
      </c>
      <c r="E67">
        <v>0</v>
      </c>
      <c r="F67">
        <v>1</v>
      </c>
      <c r="G67" t="s">
        <v>70</v>
      </c>
      <c r="H67" s="1">
        <v>16033</v>
      </c>
      <c r="I67">
        <v>0.17100000000000001</v>
      </c>
      <c r="J67">
        <v>0.377</v>
      </c>
      <c r="K67">
        <v>0</v>
      </c>
      <c r="L67">
        <v>1</v>
      </c>
      <c r="M67" t="s">
        <v>70</v>
      </c>
      <c r="N67" s="1">
        <v>11628</v>
      </c>
      <c r="O67">
        <v>0.17499999999999999</v>
      </c>
      <c r="P67">
        <v>0.38</v>
      </c>
      <c r="Q67">
        <v>0</v>
      </c>
      <c r="R67">
        <v>1</v>
      </c>
    </row>
    <row r="68" spans="1:18" x14ac:dyDescent="0.25">
      <c r="A68" t="s">
        <v>71</v>
      </c>
      <c r="B68" s="1">
        <v>27661</v>
      </c>
      <c r="C68">
        <v>0.36599999999999999</v>
      </c>
      <c r="D68">
        <v>0.48199999999999998</v>
      </c>
      <c r="E68">
        <v>0</v>
      </c>
      <c r="F68">
        <v>1</v>
      </c>
      <c r="G68" t="s">
        <v>71</v>
      </c>
      <c r="H68" s="1">
        <v>16033</v>
      </c>
      <c r="I68">
        <v>0.38600000000000001</v>
      </c>
      <c r="J68">
        <v>0.48699999999999999</v>
      </c>
      <c r="K68">
        <v>0</v>
      </c>
      <c r="L68">
        <v>1</v>
      </c>
      <c r="M68" t="s">
        <v>71</v>
      </c>
      <c r="N68" s="1">
        <v>11628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27661</v>
      </c>
      <c r="C69">
        <v>0.436</v>
      </c>
      <c r="D69">
        <v>0.496</v>
      </c>
      <c r="E69">
        <v>0</v>
      </c>
      <c r="F69">
        <v>1</v>
      </c>
      <c r="G69" t="s">
        <v>72</v>
      </c>
      <c r="H69" s="1">
        <v>16033</v>
      </c>
      <c r="I69">
        <v>0.41899999999999998</v>
      </c>
      <c r="J69">
        <v>0.49299999999999999</v>
      </c>
      <c r="K69">
        <v>0</v>
      </c>
      <c r="L69">
        <v>1</v>
      </c>
      <c r="M69" t="s">
        <v>72</v>
      </c>
      <c r="N69" s="1">
        <v>11628</v>
      </c>
      <c r="O69">
        <v>0.46</v>
      </c>
      <c r="P69">
        <v>0.498</v>
      </c>
      <c r="Q69">
        <v>0</v>
      </c>
      <c r="R69">
        <v>1</v>
      </c>
    </row>
    <row r="70" spans="1:18" x14ac:dyDescent="0.25">
      <c r="A70" t="s">
        <v>73</v>
      </c>
      <c r="B70" s="1">
        <v>27661</v>
      </c>
      <c r="C70">
        <v>2.5000000000000001E-2</v>
      </c>
      <c r="D70">
        <v>0.156</v>
      </c>
      <c r="E70">
        <v>0</v>
      </c>
      <c r="F70">
        <v>1</v>
      </c>
      <c r="G70" t="s">
        <v>73</v>
      </c>
      <c r="H70" s="1">
        <v>16033</v>
      </c>
      <c r="I70">
        <v>2.5000000000000001E-2</v>
      </c>
      <c r="J70">
        <v>0.156</v>
      </c>
      <c r="K70">
        <v>0</v>
      </c>
      <c r="L70">
        <v>1</v>
      </c>
      <c r="M70" t="s">
        <v>73</v>
      </c>
      <c r="N70" s="1">
        <v>11628</v>
      </c>
      <c r="O70">
        <v>2.5000000000000001E-2</v>
      </c>
      <c r="P70">
        <v>0.155</v>
      </c>
      <c r="Q70">
        <v>0</v>
      </c>
      <c r="R70">
        <v>1</v>
      </c>
    </row>
    <row r="71" spans="1:18" x14ac:dyDescent="0.25">
      <c r="A71" t="s">
        <v>165</v>
      </c>
      <c r="B71" s="1">
        <v>27661</v>
      </c>
      <c r="C71">
        <v>0.1</v>
      </c>
      <c r="D71">
        <v>0.29899999999999999</v>
      </c>
      <c r="E71">
        <v>0</v>
      </c>
      <c r="F71">
        <v>1</v>
      </c>
      <c r="G71" t="s">
        <v>165</v>
      </c>
      <c r="H71" s="1">
        <v>16033</v>
      </c>
      <c r="I71">
        <v>0.10199999999999999</v>
      </c>
      <c r="J71">
        <v>0.30199999999999999</v>
      </c>
      <c r="K71">
        <v>0</v>
      </c>
      <c r="L71">
        <v>1</v>
      </c>
      <c r="M71" t="s">
        <v>165</v>
      </c>
      <c r="N71" s="1">
        <v>11628</v>
      </c>
      <c r="O71">
        <v>9.7000000000000003E-2</v>
      </c>
      <c r="P71">
        <v>0.29499999999999998</v>
      </c>
      <c r="Q71">
        <v>0</v>
      </c>
      <c r="R71">
        <v>1</v>
      </c>
    </row>
    <row r="72" spans="1:18" x14ac:dyDescent="0.25">
      <c r="A72" t="s">
        <v>166</v>
      </c>
      <c r="B72" s="1">
        <v>27661</v>
      </c>
      <c r="C72">
        <v>0.441</v>
      </c>
      <c r="D72">
        <v>0.496</v>
      </c>
      <c r="E72">
        <v>0</v>
      </c>
      <c r="F72">
        <v>1</v>
      </c>
      <c r="G72" t="s">
        <v>166</v>
      </c>
      <c r="H72" s="1">
        <v>16033</v>
      </c>
      <c r="I72">
        <v>0.434</v>
      </c>
      <c r="J72">
        <v>0.496</v>
      </c>
      <c r="K72">
        <v>0</v>
      </c>
      <c r="L72">
        <v>1</v>
      </c>
      <c r="M72" t="s">
        <v>166</v>
      </c>
      <c r="N72" s="1">
        <v>11628</v>
      </c>
      <c r="O72">
        <v>0.45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27661</v>
      </c>
      <c r="C73">
        <v>0.441</v>
      </c>
      <c r="D73">
        <v>0.496</v>
      </c>
      <c r="E73">
        <v>0</v>
      </c>
      <c r="F73">
        <v>1</v>
      </c>
      <c r="G73" t="s">
        <v>167</v>
      </c>
      <c r="H73" s="1">
        <v>16033</v>
      </c>
      <c r="I73">
        <v>0.44700000000000001</v>
      </c>
      <c r="J73">
        <v>0.497</v>
      </c>
      <c r="K73">
        <v>0</v>
      </c>
      <c r="L73">
        <v>1</v>
      </c>
      <c r="M73" t="s">
        <v>167</v>
      </c>
      <c r="N73" s="1">
        <v>11628</v>
      </c>
      <c r="O73">
        <v>0.433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27661</v>
      </c>
      <c r="C74">
        <v>8.9999999999999993E-3</v>
      </c>
      <c r="D74">
        <v>9.4E-2</v>
      </c>
      <c r="E74">
        <v>0</v>
      </c>
      <c r="F74">
        <v>1</v>
      </c>
      <c r="G74" t="s">
        <v>168</v>
      </c>
      <c r="H74" s="1">
        <v>16033</v>
      </c>
      <c r="I74">
        <v>8.0000000000000002E-3</v>
      </c>
      <c r="J74">
        <v>9.0999999999999998E-2</v>
      </c>
      <c r="K74">
        <v>0</v>
      </c>
      <c r="L74">
        <v>1</v>
      </c>
      <c r="M74" t="s">
        <v>168</v>
      </c>
      <c r="N74" s="1">
        <v>11628</v>
      </c>
      <c r="O74">
        <v>8.9999999999999993E-3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27661</v>
      </c>
      <c r="C75">
        <v>8.9999999999999993E-3</v>
      </c>
      <c r="D75">
        <v>9.4E-2</v>
      </c>
      <c r="E75">
        <v>0</v>
      </c>
      <c r="F75">
        <v>1</v>
      </c>
      <c r="G75" t="s">
        <v>169</v>
      </c>
      <c r="H75" s="1">
        <v>16033</v>
      </c>
      <c r="I75">
        <v>8.0000000000000002E-3</v>
      </c>
      <c r="J75">
        <v>8.8999999999999996E-2</v>
      </c>
      <c r="K75">
        <v>0</v>
      </c>
      <c r="L75">
        <v>1</v>
      </c>
      <c r="M75" t="s">
        <v>169</v>
      </c>
      <c r="N75" s="1">
        <v>11628</v>
      </c>
      <c r="O75">
        <v>0.01</v>
      </c>
      <c r="P75">
        <v>0.1</v>
      </c>
      <c r="Q75">
        <v>0</v>
      </c>
      <c r="R75">
        <v>1</v>
      </c>
    </row>
    <row r="76" spans="1:18" x14ac:dyDescent="0.25">
      <c r="A76" t="s">
        <v>170</v>
      </c>
      <c r="B76" s="1">
        <v>27661</v>
      </c>
      <c r="C76">
        <v>1E-3</v>
      </c>
      <c r="D76">
        <v>3.3000000000000002E-2</v>
      </c>
      <c r="E76">
        <v>0</v>
      </c>
      <c r="F76">
        <v>1</v>
      </c>
      <c r="G76" t="s">
        <v>170</v>
      </c>
      <c r="H76" s="1">
        <v>16033</v>
      </c>
      <c r="I76">
        <v>1E-3</v>
      </c>
      <c r="J76">
        <v>3.3000000000000002E-2</v>
      </c>
      <c r="K76">
        <v>0</v>
      </c>
      <c r="L76">
        <v>1</v>
      </c>
      <c r="M76" t="s">
        <v>170</v>
      </c>
      <c r="N76" s="1">
        <v>11628</v>
      </c>
      <c r="O76">
        <v>1E-3</v>
      </c>
      <c r="P76">
        <v>3.3000000000000002E-2</v>
      </c>
      <c r="Q76">
        <v>0</v>
      </c>
      <c r="R76">
        <v>1</v>
      </c>
    </row>
    <row r="77" spans="1:18" x14ac:dyDescent="0.25">
      <c r="A77" t="s">
        <v>79</v>
      </c>
      <c r="B77" s="1">
        <v>27661</v>
      </c>
      <c r="C77">
        <v>0.20699999999999999</v>
      </c>
      <c r="D77">
        <v>0.40500000000000003</v>
      </c>
      <c r="E77">
        <v>0</v>
      </c>
      <c r="F77">
        <v>1</v>
      </c>
      <c r="G77" t="s">
        <v>79</v>
      </c>
      <c r="H77" s="1">
        <v>16033</v>
      </c>
      <c r="I77">
        <v>0.215</v>
      </c>
      <c r="J77">
        <v>0.41099999999999998</v>
      </c>
      <c r="K77">
        <v>0</v>
      </c>
      <c r="L77">
        <v>1</v>
      </c>
      <c r="M77" t="s">
        <v>79</v>
      </c>
      <c r="N77" s="1">
        <v>11628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27661</v>
      </c>
      <c r="C78">
        <v>0.01</v>
      </c>
      <c r="D78">
        <v>0.10100000000000001</v>
      </c>
      <c r="E78">
        <v>0</v>
      </c>
      <c r="F78">
        <v>1</v>
      </c>
      <c r="G78" t="s">
        <v>80</v>
      </c>
      <c r="H78" s="1">
        <v>16033</v>
      </c>
      <c r="I78">
        <v>8.9999999999999993E-3</v>
      </c>
      <c r="J78">
        <v>9.4E-2</v>
      </c>
      <c r="K78">
        <v>0</v>
      </c>
      <c r="L78">
        <v>1</v>
      </c>
      <c r="M78" t="s">
        <v>80</v>
      </c>
      <c r="N78" s="1">
        <v>11628</v>
      </c>
      <c r="O78">
        <v>1.2E-2</v>
      </c>
      <c r="P78">
        <v>0.109</v>
      </c>
      <c r="Q78">
        <v>0</v>
      </c>
      <c r="R78">
        <v>1</v>
      </c>
    </row>
    <row r="79" spans="1:18" x14ac:dyDescent="0.25">
      <c r="A79" t="s">
        <v>81</v>
      </c>
      <c r="B79" s="1">
        <v>27661</v>
      </c>
      <c r="C79">
        <v>1E-3</v>
      </c>
      <c r="D79">
        <v>2.3E-2</v>
      </c>
      <c r="E79">
        <v>0</v>
      </c>
      <c r="F79">
        <v>1</v>
      </c>
      <c r="G79" t="s">
        <v>81</v>
      </c>
      <c r="H79" s="1">
        <v>16033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11628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27661</v>
      </c>
      <c r="C80">
        <v>7.3999999999999996E-2</v>
      </c>
      <c r="D80">
        <v>0.26100000000000001</v>
      </c>
      <c r="E80">
        <v>0</v>
      </c>
      <c r="F80">
        <v>1</v>
      </c>
      <c r="G80" t="s">
        <v>82</v>
      </c>
      <c r="H80" s="1">
        <v>16033</v>
      </c>
      <c r="I80">
        <v>7.2999999999999995E-2</v>
      </c>
      <c r="J80">
        <v>0.26</v>
      </c>
      <c r="K80">
        <v>0</v>
      </c>
      <c r="L80">
        <v>1</v>
      </c>
      <c r="M80" t="s">
        <v>82</v>
      </c>
      <c r="N80" s="1">
        <v>11628</v>
      </c>
      <c r="O80">
        <v>7.4999999999999997E-2</v>
      </c>
      <c r="P80">
        <v>0.26300000000000001</v>
      </c>
      <c r="Q80">
        <v>0</v>
      </c>
      <c r="R80">
        <v>1</v>
      </c>
    </row>
    <row r="81" spans="1:18" x14ac:dyDescent="0.25">
      <c r="A81" t="s">
        <v>83</v>
      </c>
      <c r="B81" s="1">
        <v>27661</v>
      </c>
      <c r="C81">
        <v>0.308</v>
      </c>
      <c r="D81">
        <v>0.46100000000000002</v>
      </c>
      <c r="E81">
        <v>0</v>
      </c>
      <c r="F81">
        <v>1</v>
      </c>
      <c r="G81" t="s">
        <v>83</v>
      </c>
      <c r="H81" s="1">
        <v>16033</v>
      </c>
      <c r="I81">
        <v>0.309</v>
      </c>
      <c r="J81">
        <v>0.46200000000000002</v>
      </c>
      <c r="K81">
        <v>0</v>
      </c>
      <c r="L81">
        <v>1</v>
      </c>
      <c r="M81" t="s">
        <v>83</v>
      </c>
      <c r="N81" s="1">
        <v>11628</v>
      </c>
      <c r="O81">
        <v>0.30599999999999999</v>
      </c>
      <c r="P81">
        <v>0.46100000000000002</v>
      </c>
      <c r="Q81">
        <v>0</v>
      </c>
      <c r="R81">
        <v>1</v>
      </c>
    </row>
    <row r="82" spans="1:18" x14ac:dyDescent="0.25">
      <c r="A82" t="s">
        <v>84</v>
      </c>
      <c r="B82" s="1">
        <v>27661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16033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11628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27661</v>
      </c>
      <c r="C83">
        <v>0.39300000000000002</v>
      </c>
      <c r="D83">
        <v>0.48799999999999999</v>
      </c>
      <c r="E83">
        <v>0</v>
      </c>
      <c r="F83">
        <v>1</v>
      </c>
      <c r="G83" t="s">
        <v>85</v>
      </c>
      <c r="H83" s="1">
        <v>16033</v>
      </c>
      <c r="I83">
        <v>0.38600000000000001</v>
      </c>
      <c r="J83">
        <v>0.48699999999999999</v>
      </c>
      <c r="K83">
        <v>0</v>
      </c>
      <c r="L83">
        <v>1</v>
      </c>
      <c r="M83" t="s">
        <v>85</v>
      </c>
      <c r="N83" s="1">
        <v>11628</v>
      </c>
      <c r="O83">
        <v>0.40200000000000002</v>
      </c>
      <c r="P83">
        <v>0.49</v>
      </c>
      <c r="Q83">
        <v>0</v>
      </c>
      <c r="R83">
        <v>1</v>
      </c>
    </row>
    <row r="84" spans="1:18" x14ac:dyDescent="0.25">
      <c r="A84" t="s">
        <v>6</v>
      </c>
      <c r="B84" s="1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H8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5F4A-2124-41D9-98CB-37E518A74EB4}">
  <sheetPr codeName="Sheet3"/>
  <dimension ref="A1:R85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697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22964</v>
      </c>
      <c r="C3">
        <v>1.304</v>
      </c>
      <c r="D3">
        <v>0.53500000000000003</v>
      </c>
      <c r="E3">
        <v>1</v>
      </c>
      <c r="F3">
        <v>4</v>
      </c>
      <c r="G3" t="s">
        <v>10</v>
      </c>
      <c r="H3" s="1">
        <v>13262</v>
      </c>
      <c r="I3">
        <v>1.294</v>
      </c>
      <c r="J3">
        <v>0.52800000000000002</v>
      </c>
      <c r="K3">
        <v>1</v>
      </c>
      <c r="L3">
        <v>4</v>
      </c>
      <c r="M3" t="s">
        <v>10</v>
      </c>
      <c r="N3" s="1">
        <v>9702</v>
      </c>
      <c r="O3">
        <v>1.3169999999999999</v>
      </c>
      <c r="P3">
        <v>0.54500000000000004</v>
      </c>
      <c r="Q3">
        <v>1</v>
      </c>
      <c r="R3">
        <v>4</v>
      </c>
    </row>
    <row r="4" spans="1:18" x14ac:dyDescent="0.25">
      <c r="A4" t="s">
        <v>11</v>
      </c>
      <c r="B4" s="1">
        <v>22964</v>
      </c>
      <c r="C4">
        <v>0.42199999999999999</v>
      </c>
      <c r="D4">
        <v>0.49399999999999999</v>
      </c>
      <c r="E4">
        <v>0</v>
      </c>
      <c r="F4">
        <v>1</v>
      </c>
      <c r="G4" t="s">
        <v>11</v>
      </c>
      <c r="H4" s="1">
        <v>13262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9702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22964</v>
      </c>
      <c r="C5">
        <v>0.36699999999999999</v>
      </c>
      <c r="D5">
        <v>0.48199999999999998</v>
      </c>
      <c r="E5">
        <v>0</v>
      </c>
      <c r="F5">
        <v>1</v>
      </c>
      <c r="G5" t="s">
        <v>12</v>
      </c>
      <c r="H5" s="1">
        <v>13262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9702</v>
      </c>
      <c r="O5">
        <v>0.86699999999999999</v>
      </c>
      <c r="P5">
        <v>0.33900000000000002</v>
      </c>
      <c r="Q5">
        <v>0</v>
      </c>
      <c r="R5">
        <v>1</v>
      </c>
    </row>
    <row r="6" spans="1:18" x14ac:dyDescent="0.25">
      <c r="A6" t="s">
        <v>36</v>
      </c>
      <c r="B6" s="1">
        <v>9702</v>
      </c>
      <c r="C6">
        <v>289.68700000000001</v>
      </c>
      <c r="D6">
        <v>542.77700000000004</v>
      </c>
      <c r="E6">
        <v>0</v>
      </c>
      <c r="F6" s="1">
        <v>4021</v>
      </c>
      <c r="H6" s="1"/>
      <c r="M6" t="s">
        <v>36</v>
      </c>
      <c r="N6" s="1">
        <v>9702</v>
      </c>
      <c r="O6">
        <v>289.68700000000001</v>
      </c>
      <c r="P6">
        <v>542.77700000000004</v>
      </c>
      <c r="Q6">
        <v>0</v>
      </c>
      <c r="R6" s="1">
        <v>4021</v>
      </c>
    </row>
    <row r="7" spans="1:18" x14ac:dyDescent="0.25">
      <c r="A7" t="s">
        <v>13</v>
      </c>
      <c r="B7" s="1">
        <v>22964</v>
      </c>
      <c r="C7">
        <v>2.39</v>
      </c>
      <c r="D7">
        <v>0.97499999999999998</v>
      </c>
      <c r="E7">
        <v>0</v>
      </c>
      <c r="F7">
        <v>17</v>
      </c>
      <c r="G7" t="s">
        <v>13</v>
      </c>
      <c r="H7" s="1">
        <v>13262</v>
      </c>
      <c r="I7">
        <v>2.3530000000000002</v>
      </c>
      <c r="J7">
        <v>0.94</v>
      </c>
      <c r="K7">
        <v>0</v>
      </c>
      <c r="L7">
        <v>17</v>
      </c>
      <c r="M7" t="s">
        <v>13</v>
      </c>
      <c r="N7" s="1">
        <v>9702</v>
      </c>
      <c r="O7">
        <v>2.4409999999999998</v>
      </c>
      <c r="P7">
        <v>1.018</v>
      </c>
      <c r="Q7">
        <v>0</v>
      </c>
      <c r="R7">
        <v>15</v>
      </c>
    </row>
    <row r="8" spans="1:18" x14ac:dyDescent="0.25">
      <c r="A8" t="s">
        <v>14</v>
      </c>
      <c r="B8" s="1">
        <v>22964</v>
      </c>
      <c r="C8">
        <v>0.39300000000000002</v>
      </c>
      <c r="D8">
        <v>0.52500000000000002</v>
      </c>
      <c r="E8">
        <v>0</v>
      </c>
      <c r="F8">
        <v>5</v>
      </c>
      <c r="G8" t="s">
        <v>14</v>
      </c>
      <c r="H8" s="1">
        <v>13262</v>
      </c>
      <c r="I8">
        <v>0.39600000000000002</v>
      </c>
      <c r="J8">
        <v>0.51900000000000002</v>
      </c>
      <c r="K8">
        <v>0</v>
      </c>
      <c r="L8">
        <v>5</v>
      </c>
      <c r="M8" t="s">
        <v>14</v>
      </c>
      <c r="N8" s="1">
        <v>9702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22964</v>
      </c>
      <c r="C9">
        <v>3.7879999999999998</v>
      </c>
      <c r="D9">
        <v>1.242</v>
      </c>
      <c r="E9">
        <v>0</v>
      </c>
      <c r="F9">
        <v>25</v>
      </c>
      <c r="G9" t="s">
        <v>15</v>
      </c>
      <c r="H9" s="1">
        <v>13262</v>
      </c>
      <c r="I9">
        <v>3.74</v>
      </c>
      <c r="J9">
        <v>1.1919999999999999</v>
      </c>
      <c r="K9">
        <v>0</v>
      </c>
      <c r="L9">
        <v>18</v>
      </c>
      <c r="M9" t="s">
        <v>15</v>
      </c>
      <c r="N9" s="1">
        <v>9702</v>
      </c>
      <c r="O9">
        <v>3.8540000000000001</v>
      </c>
      <c r="P9">
        <v>1.3049999999999999</v>
      </c>
      <c r="Q9">
        <v>0</v>
      </c>
      <c r="R9">
        <v>25</v>
      </c>
    </row>
    <row r="10" spans="1:18" x14ac:dyDescent="0.25">
      <c r="A10" t="s">
        <v>16</v>
      </c>
      <c r="B10" s="1">
        <v>22964</v>
      </c>
      <c r="C10">
        <v>42.305</v>
      </c>
      <c r="D10">
        <v>56.514000000000003</v>
      </c>
      <c r="E10">
        <v>0</v>
      </c>
      <c r="F10" s="1">
        <v>1402</v>
      </c>
      <c r="G10" t="s">
        <v>16</v>
      </c>
      <c r="H10" s="1">
        <v>13262</v>
      </c>
      <c r="I10">
        <v>51.576000000000001</v>
      </c>
      <c r="J10">
        <v>59.841000000000001</v>
      </c>
      <c r="K10">
        <v>0</v>
      </c>
      <c r="L10" s="1">
        <v>1402</v>
      </c>
      <c r="M10" t="s">
        <v>16</v>
      </c>
      <c r="N10" s="1">
        <v>9702</v>
      </c>
      <c r="O10">
        <v>29.632000000000001</v>
      </c>
      <c r="P10">
        <v>48.856000000000002</v>
      </c>
      <c r="Q10">
        <v>0</v>
      </c>
      <c r="R10">
        <v>593</v>
      </c>
    </row>
    <row r="11" spans="1:18" x14ac:dyDescent="0.25">
      <c r="A11" t="s">
        <v>163</v>
      </c>
      <c r="B11" s="1">
        <v>22964</v>
      </c>
      <c r="C11" s="2">
        <v>1865.4090000000001</v>
      </c>
      <c r="D11">
        <v>900.18499999999995</v>
      </c>
      <c r="E11">
        <v>220</v>
      </c>
      <c r="F11" s="1">
        <v>17408</v>
      </c>
      <c r="G11" t="s">
        <v>163</v>
      </c>
      <c r="H11" s="1">
        <v>13262</v>
      </c>
      <c r="I11" s="2">
        <v>1836.3510000000001</v>
      </c>
      <c r="J11">
        <v>866.24599999999998</v>
      </c>
      <c r="K11">
        <v>420</v>
      </c>
      <c r="L11" s="1">
        <v>17408</v>
      </c>
      <c r="M11" t="s">
        <v>163</v>
      </c>
      <c r="N11" s="1">
        <v>9702</v>
      </c>
      <c r="O11" s="2">
        <v>1905.13</v>
      </c>
      <c r="P11">
        <v>943.20399999999995</v>
      </c>
      <c r="Q11">
        <v>220</v>
      </c>
      <c r="R11" s="1">
        <v>16703</v>
      </c>
    </row>
    <row r="12" spans="1:18" x14ac:dyDescent="0.25">
      <c r="A12" t="s">
        <v>17</v>
      </c>
      <c r="B12" s="1">
        <v>22964</v>
      </c>
      <c r="C12">
        <v>329.73</v>
      </c>
      <c r="D12">
        <v>232.82400000000001</v>
      </c>
      <c r="E12">
        <v>0</v>
      </c>
      <c r="F12" s="1">
        <v>5000</v>
      </c>
      <c r="G12" t="s">
        <v>17</v>
      </c>
      <c r="H12" s="1">
        <v>13262</v>
      </c>
      <c r="I12" s="2">
        <v>328.995</v>
      </c>
      <c r="J12">
        <v>232.93100000000001</v>
      </c>
      <c r="K12">
        <v>0</v>
      </c>
      <c r="L12" s="1">
        <v>5000</v>
      </c>
      <c r="M12" t="s">
        <v>17</v>
      </c>
      <c r="N12" s="1">
        <v>9702</v>
      </c>
      <c r="O12">
        <v>330.73399999999998</v>
      </c>
      <c r="P12">
        <v>232.68700000000001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22964</v>
      </c>
      <c r="C13" s="2">
        <v>1266029</v>
      </c>
      <c r="D13" s="2">
        <v>1030927</v>
      </c>
      <c r="E13" s="2">
        <v>168375.1</v>
      </c>
      <c r="F13" s="2">
        <v>23293838</v>
      </c>
      <c r="G13" t="s">
        <v>19</v>
      </c>
      <c r="H13" s="1">
        <v>13262</v>
      </c>
      <c r="I13" s="2">
        <v>1188971</v>
      </c>
      <c r="J13" s="2">
        <v>976346.1</v>
      </c>
      <c r="K13" s="2">
        <v>168375.1</v>
      </c>
      <c r="L13" s="1">
        <v>23293838</v>
      </c>
      <c r="M13" t="s">
        <v>19</v>
      </c>
      <c r="N13" s="1">
        <v>9702</v>
      </c>
      <c r="O13" s="2">
        <v>1371362</v>
      </c>
      <c r="P13" s="2">
        <v>1092461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22964</v>
      </c>
      <c r="C14" s="2">
        <v>1252514</v>
      </c>
      <c r="D14" s="2">
        <v>958356.2</v>
      </c>
      <c r="E14" s="2">
        <v>180401.9</v>
      </c>
      <c r="F14" s="2">
        <v>22166108</v>
      </c>
      <c r="G14" t="s">
        <v>20</v>
      </c>
      <c r="H14" s="1">
        <v>13262</v>
      </c>
      <c r="I14" s="2">
        <v>1164099</v>
      </c>
      <c r="J14" s="2">
        <v>899009.6</v>
      </c>
      <c r="K14" s="2">
        <v>180401.9</v>
      </c>
      <c r="L14" s="1">
        <v>21058570</v>
      </c>
      <c r="M14" t="s">
        <v>20</v>
      </c>
      <c r="N14" s="1">
        <v>9702</v>
      </c>
      <c r="O14" s="2">
        <v>1373372</v>
      </c>
      <c r="P14" s="2">
        <v>1021727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22964</v>
      </c>
      <c r="C15" s="2">
        <v>10880.39</v>
      </c>
      <c r="D15" s="2">
        <v>121225.8</v>
      </c>
      <c r="E15" s="1">
        <v>-2010000</v>
      </c>
      <c r="F15" s="1">
        <v>6900000</v>
      </c>
      <c r="G15" t="s">
        <v>190</v>
      </c>
      <c r="H15" s="1">
        <v>13262</v>
      </c>
      <c r="I15" s="2">
        <v>20433.05</v>
      </c>
      <c r="J15" s="2">
        <v>94750.5</v>
      </c>
      <c r="K15" s="2">
        <v>-1850000</v>
      </c>
      <c r="L15" s="2">
        <v>2950000</v>
      </c>
      <c r="M15" t="s">
        <v>190</v>
      </c>
      <c r="N15" s="1">
        <v>9702</v>
      </c>
      <c r="O15" s="2">
        <v>-2177.4650000000001</v>
      </c>
      <c r="P15" s="2">
        <v>149058.1</v>
      </c>
      <c r="Q15" s="1">
        <v>-2010000</v>
      </c>
      <c r="R15" s="1">
        <v>6900000</v>
      </c>
    </row>
    <row r="16" spans="1:18" x14ac:dyDescent="0.25">
      <c r="A16" t="s">
        <v>21</v>
      </c>
      <c r="B16" s="1">
        <v>22964</v>
      </c>
      <c r="C16">
        <v>2.5999999999999999E-2</v>
      </c>
      <c r="D16">
        <v>0.159</v>
      </c>
      <c r="E16">
        <v>0</v>
      </c>
      <c r="F16">
        <v>1</v>
      </c>
      <c r="G16" t="s">
        <v>21</v>
      </c>
      <c r="H16" s="1">
        <v>13262</v>
      </c>
      <c r="I16" s="2">
        <v>2.3E-2</v>
      </c>
      <c r="J16" s="2">
        <v>0.151</v>
      </c>
      <c r="K16" s="2">
        <v>0</v>
      </c>
      <c r="L16" s="2">
        <v>1</v>
      </c>
      <c r="M16" t="s">
        <v>21</v>
      </c>
      <c r="N16" s="1">
        <v>9702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22964</v>
      </c>
      <c r="C17">
        <v>4.4999999999999998E-2</v>
      </c>
      <c r="D17">
        <v>0.20699999999999999</v>
      </c>
      <c r="E17">
        <v>0</v>
      </c>
      <c r="F17">
        <v>1</v>
      </c>
      <c r="G17" t="s">
        <v>22</v>
      </c>
      <c r="H17" s="1">
        <v>13262</v>
      </c>
      <c r="I17" s="2">
        <v>4.2999999999999997E-2</v>
      </c>
      <c r="J17" s="2">
        <v>0.20200000000000001</v>
      </c>
      <c r="K17" s="1">
        <v>0</v>
      </c>
      <c r="L17" s="1">
        <v>1</v>
      </c>
      <c r="M17" t="s">
        <v>22</v>
      </c>
      <c r="N17" s="1">
        <v>9702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22964</v>
      </c>
      <c r="C18">
        <v>8.9999999999999993E-3</v>
      </c>
      <c r="D18">
        <v>9.5000000000000001E-2</v>
      </c>
      <c r="E18">
        <v>0</v>
      </c>
      <c r="F18">
        <v>1</v>
      </c>
      <c r="G18" t="s">
        <v>23</v>
      </c>
      <c r="H18" s="1">
        <v>13262</v>
      </c>
      <c r="I18">
        <v>8.9999999999999993E-3</v>
      </c>
      <c r="J18">
        <v>9.1999999999999998E-2</v>
      </c>
      <c r="K18">
        <v>0</v>
      </c>
      <c r="L18">
        <v>1</v>
      </c>
      <c r="M18" t="s">
        <v>23</v>
      </c>
      <c r="N18" s="1">
        <v>9702</v>
      </c>
      <c r="O18">
        <v>0.01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22964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13262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9702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22964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13262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9702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22964</v>
      </c>
      <c r="C21">
        <v>2.0000000000000001E-4</v>
      </c>
      <c r="D21">
        <v>1.4999999999999999E-2</v>
      </c>
      <c r="E21">
        <v>0</v>
      </c>
      <c r="F21">
        <v>1</v>
      </c>
      <c r="G21" t="s">
        <v>26</v>
      </c>
      <c r="H21" s="1">
        <v>13262</v>
      </c>
      <c r="I21">
        <v>2.0000000000000001E-4</v>
      </c>
      <c r="J21">
        <v>1.4999999999999999E-2</v>
      </c>
      <c r="K21">
        <v>0</v>
      </c>
      <c r="L21">
        <v>1</v>
      </c>
      <c r="M21" t="s">
        <v>26</v>
      </c>
      <c r="N21" s="1">
        <v>9702</v>
      </c>
      <c r="O21">
        <v>2.0000000000000001E-4</v>
      </c>
      <c r="P21">
        <v>1.4E-2</v>
      </c>
      <c r="Q21">
        <v>0</v>
      </c>
      <c r="R21">
        <v>1</v>
      </c>
    </row>
    <row r="22" spans="1:18" x14ac:dyDescent="0.25">
      <c r="A22" t="s">
        <v>27</v>
      </c>
      <c r="B22" s="1">
        <v>22964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13262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9702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22964</v>
      </c>
      <c r="C23">
        <v>0.91800000000000004</v>
      </c>
      <c r="D23">
        <v>0.27400000000000002</v>
      </c>
      <c r="E23">
        <v>0</v>
      </c>
      <c r="F23">
        <v>1</v>
      </c>
      <c r="G23" t="s">
        <v>28</v>
      </c>
      <c r="H23" s="1">
        <v>13262</v>
      </c>
      <c r="I23">
        <v>0.91700000000000004</v>
      </c>
      <c r="J23">
        <v>0.27600000000000002</v>
      </c>
      <c r="K23">
        <v>0</v>
      </c>
      <c r="L23">
        <v>1</v>
      </c>
      <c r="M23" t="s">
        <v>28</v>
      </c>
      <c r="N23" s="1">
        <v>9702</v>
      </c>
      <c r="O23">
        <v>0.92</v>
      </c>
      <c r="P23">
        <v>0.27200000000000002</v>
      </c>
      <c r="Q23">
        <v>0</v>
      </c>
      <c r="R23">
        <v>1</v>
      </c>
    </row>
    <row r="24" spans="1:18" x14ac:dyDescent="0.25">
      <c r="A24" t="s">
        <v>29</v>
      </c>
      <c r="B24" s="1">
        <v>22964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13262</v>
      </c>
      <c r="I24">
        <v>0.02</v>
      </c>
      <c r="J24">
        <v>0.13900000000000001</v>
      </c>
      <c r="K24">
        <v>0</v>
      </c>
      <c r="L24">
        <v>1</v>
      </c>
      <c r="M24" t="s">
        <v>29</v>
      </c>
      <c r="N24" s="1">
        <v>9702</v>
      </c>
      <c r="O24">
        <v>1.7999999999999999E-2</v>
      </c>
      <c r="P24">
        <v>0.13200000000000001</v>
      </c>
      <c r="Q24">
        <v>0</v>
      </c>
      <c r="R24">
        <v>1</v>
      </c>
    </row>
    <row r="25" spans="1:18" x14ac:dyDescent="0.25">
      <c r="A25" t="s">
        <v>30</v>
      </c>
      <c r="B25" s="1">
        <v>22964</v>
      </c>
      <c r="C25">
        <v>3.9E-2</v>
      </c>
      <c r="D25">
        <v>0.193</v>
      </c>
      <c r="E25">
        <v>0</v>
      </c>
      <c r="F25">
        <v>1</v>
      </c>
      <c r="G25" t="s">
        <v>30</v>
      </c>
      <c r="H25" s="1">
        <v>13262</v>
      </c>
      <c r="I25">
        <v>3.3000000000000002E-2</v>
      </c>
      <c r="J25">
        <v>0.18</v>
      </c>
      <c r="K25">
        <v>0</v>
      </c>
      <c r="L25">
        <v>1</v>
      </c>
      <c r="M25" t="s">
        <v>30</v>
      </c>
      <c r="N25" s="1">
        <v>9702</v>
      </c>
      <c r="O25">
        <v>4.5999999999999999E-2</v>
      </c>
      <c r="P25">
        <v>0.20899999999999999</v>
      </c>
      <c r="Q25">
        <v>0</v>
      </c>
      <c r="R25">
        <v>1</v>
      </c>
    </row>
    <row r="26" spans="1:18" x14ac:dyDescent="0.25">
      <c r="A26" t="s">
        <v>31</v>
      </c>
      <c r="B26" s="1">
        <v>22964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13262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9702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22964</v>
      </c>
      <c r="C27">
        <v>1</v>
      </c>
      <c r="D27">
        <v>1.6E-2</v>
      </c>
      <c r="E27">
        <v>0</v>
      </c>
      <c r="F27">
        <v>1</v>
      </c>
      <c r="G27" t="s">
        <v>32</v>
      </c>
      <c r="H27" s="1">
        <v>13262</v>
      </c>
      <c r="I27">
        <v>1</v>
      </c>
      <c r="J27">
        <v>1.7000000000000001E-2</v>
      </c>
      <c r="K27">
        <v>0</v>
      </c>
      <c r="L27">
        <v>1</v>
      </c>
      <c r="M27" t="s">
        <v>32</v>
      </c>
      <c r="N27" s="1">
        <v>9702</v>
      </c>
      <c r="O27">
        <v>1</v>
      </c>
      <c r="P27">
        <v>1.4E-2</v>
      </c>
      <c r="Q27">
        <v>0</v>
      </c>
      <c r="R27">
        <v>1</v>
      </c>
    </row>
    <row r="28" spans="1:18" x14ac:dyDescent="0.25">
      <c r="A28" t="s">
        <v>33</v>
      </c>
      <c r="B28" s="1">
        <v>22964</v>
      </c>
      <c r="C28">
        <v>38.741</v>
      </c>
      <c r="D28">
        <v>23.155999999999999</v>
      </c>
      <c r="E28">
        <v>0</v>
      </c>
      <c r="F28">
        <v>123</v>
      </c>
      <c r="G28" t="s">
        <v>33</v>
      </c>
      <c r="H28" s="1">
        <v>13262</v>
      </c>
      <c r="I28">
        <v>36.603000000000002</v>
      </c>
      <c r="J28">
        <v>22.885999999999999</v>
      </c>
      <c r="K28">
        <v>0</v>
      </c>
      <c r="L28">
        <v>112</v>
      </c>
      <c r="M28" t="s">
        <v>33</v>
      </c>
      <c r="N28" s="1">
        <v>9702</v>
      </c>
      <c r="O28">
        <v>41.664000000000001</v>
      </c>
      <c r="P28">
        <v>23.206</v>
      </c>
      <c r="Q28">
        <v>0</v>
      </c>
      <c r="R28">
        <v>123</v>
      </c>
    </row>
    <row r="29" spans="1:18" x14ac:dyDescent="0.25">
      <c r="A29" t="s">
        <v>34</v>
      </c>
      <c r="B29" s="1">
        <v>22964</v>
      </c>
      <c r="C29">
        <v>2.0369999999999999</v>
      </c>
      <c r="D29">
        <v>1.988</v>
      </c>
      <c r="E29">
        <v>0</v>
      </c>
      <c r="F29">
        <v>15.129</v>
      </c>
      <c r="G29" t="s">
        <v>34</v>
      </c>
      <c r="H29" s="1">
        <v>13262</v>
      </c>
      <c r="I29">
        <v>1.863</v>
      </c>
      <c r="J29">
        <v>1.887</v>
      </c>
      <c r="K29">
        <v>0</v>
      </c>
      <c r="L29">
        <v>12.544</v>
      </c>
      <c r="M29" t="s">
        <v>34</v>
      </c>
      <c r="N29" s="1">
        <v>9702</v>
      </c>
      <c r="O29">
        <v>2.274</v>
      </c>
      <c r="P29">
        <v>2.097</v>
      </c>
      <c r="Q29">
        <v>0</v>
      </c>
      <c r="R29">
        <v>15.129</v>
      </c>
    </row>
    <row r="30" spans="1:18" x14ac:dyDescent="0.25">
      <c r="A30" t="s">
        <v>35</v>
      </c>
      <c r="B30" s="1">
        <v>22964</v>
      </c>
      <c r="C30">
        <v>4.944</v>
      </c>
      <c r="D30">
        <v>12.608000000000001</v>
      </c>
      <c r="E30">
        <v>0</v>
      </c>
      <c r="F30">
        <v>94</v>
      </c>
      <c r="G30" t="s">
        <v>35</v>
      </c>
      <c r="H30" s="1">
        <v>13262</v>
      </c>
      <c r="I30">
        <v>4.54</v>
      </c>
      <c r="J30">
        <v>12.061</v>
      </c>
      <c r="K30">
        <v>0</v>
      </c>
      <c r="L30">
        <v>88</v>
      </c>
      <c r="M30" t="s">
        <v>35</v>
      </c>
      <c r="N30" s="1">
        <v>9702</v>
      </c>
      <c r="O30">
        <v>5.4969999999999999</v>
      </c>
      <c r="P30">
        <v>13.3</v>
      </c>
      <c r="Q30">
        <v>0</v>
      </c>
      <c r="R30">
        <v>94</v>
      </c>
    </row>
    <row r="31" spans="1:18" x14ac:dyDescent="0.25">
      <c r="A31" t="s">
        <v>18</v>
      </c>
      <c r="B31" s="1">
        <v>22964</v>
      </c>
      <c r="C31" s="2">
        <v>2082.08</v>
      </c>
      <c r="D31" s="2">
        <v>1097.7049999999999</v>
      </c>
      <c r="E31">
        <v>220</v>
      </c>
      <c r="F31" s="1">
        <v>23350</v>
      </c>
      <c r="G31" t="s">
        <v>18</v>
      </c>
      <c r="H31" s="1">
        <v>13262</v>
      </c>
      <c r="I31" s="2">
        <v>2046.1179999999999</v>
      </c>
      <c r="J31" s="2">
        <v>1057.173</v>
      </c>
      <c r="K31">
        <v>455</v>
      </c>
      <c r="L31" s="1">
        <v>23350</v>
      </c>
      <c r="M31" t="s">
        <v>18</v>
      </c>
      <c r="N31" s="1">
        <v>9702</v>
      </c>
      <c r="O31" s="2">
        <v>2131.2379999999998</v>
      </c>
      <c r="P31" s="2">
        <v>1149.037</v>
      </c>
      <c r="Q31">
        <v>220</v>
      </c>
      <c r="R31" s="1">
        <v>18919</v>
      </c>
    </row>
    <row r="32" spans="1:18" x14ac:dyDescent="0.25">
      <c r="A32" t="s">
        <v>37</v>
      </c>
      <c r="B32" s="1">
        <v>22964</v>
      </c>
      <c r="C32">
        <v>0.95199999999999996</v>
      </c>
      <c r="D32">
        <v>3.57</v>
      </c>
      <c r="E32">
        <v>2.1000000000000001E-2</v>
      </c>
      <c r="F32">
        <v>128.91800000000001</v>
      </c>
      <c r="G32" t="s">
        <v>37</v>
      </c>
      <c r="H32" s="1">
        <v>13262</v>
      </c>
      <c r="I32" s="2">
        <v>0.97399999999999998</v>
      </c>
      <c r="J32" s="2">
        <v>3.5049999999999999</v>
      </c>
      <c r="K32">
        <v>2.1000000000000001E-2</v>
      </c>
      <c r="L32" s="1">
        <v>128.91800000000001</v>
      </c>
      <c r="M32" t="s">
        <v>37</v>
      </c>
      <c r="N32" s="1">
        <v>9702</v>
      </c>
      <c r="O32">
        <v>0.92200000000000004</v>
      </c>
      <c r="P32">
        <v>3.6560000000000001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22964</v>
      </c>
      <c r="C33">
        <v>2.496</v>
      </c>
      <c r="D33">
        <v>2.58</v>
      </c>
      <c r="E33">
        <v>0</v>
      </c>
      <c r="F33">
        <v>13.552</v>
      </c>
      <c r="G33" t="s">
        <v>164</v>
      </c>
      <c r="H33" s="1">
        <v>13262</v>
      </c>
      <c r="I33" s="2">
        <v>2.5550000000000002</v>
      </c>
      <c r="J33" s="2">
        <v>2.62</v>
      </c>
      <c r="K33">
        <v>0</v>
      </c>
      <c r="L33" s="1">
        <v>13.552</v>
      </c>
      <c r="M33" t="s">
        <v>164</v>
      </c>
      <c r="N33" s="1">
        <v>9702</v>
      </c>
      <c r="O33">
        <v>2.4159999999999999</v>
      </c>
      <c r="P33">
        <v>2.5230000000000001</v>
      </c>
      <c r="Q33">
        <v>0</v>
      </c>
      <c r="R33">
        <v>13.477</v>
      </c>
    </row>
    <row r="34" spans="1:18" x14ac:dyDescent="0.25">
      <c r="A34" t="s">
        <v>39</v>
      </c>
      <c r="B34" s="1">
        <v>22964</v>
      </c>
      <c r="C34">
        <v>0.52900000000000003</v>
      </c>
      <c r="D34">
        <v>0.32800000000000001</v>
      </c>
      <c r="E34">
        <v>0</v>
      </c>
      <c r="F34">
        <v>3.56</v>
      </c>
      <c r="G34" t="s">
        <v>39</v>
      </c>
      <c r="H34" s="1">
        <v>13262</v>
      </c>
      <c r="I34">
        <v>0.53100000000000003</v>
      </c>
      <c r="J34">
        <v>0.32400000000000001</v>
      </c>
      <c r="K34">
        <v>0</v>
      </c>
      <c r="L34">
        <v>3.302</v>
      </c>
      <c r="M34" t="s">
        <v>39</v>
      </c>
      <c r="N34" s="1">
        <v>9702</v>
      </c>
      <c r="O34">
        <v>0.52500000000000002</v>
      </c>
      <c r="P34">
        <v>0.33400000000000002</v>
      </c>
      <c r="Q34">
        <v>0</v>
      </c>
      <c r="R34">
        <v>3.56</v>
      </c>
    </row>
    <row r="35" spans="1:18" x14ac:dyDescent="0.25">
      <c r="A35" t="s">
        <v>40</v>
      </c>
      <c r="B35" s="1">
        <v>22964</v>
      </c>
      <c r="C35">
        <v>5.2619999999999996</v>
      </c>
      <c r="D35">
        <v>4.234</v>
      </c>
      <c r="E35">
        <v>0.01</v>
      </c>
      <c r="F35">
        <v>20.997</v>
      </c>
      <c r="G35" t="s">
        <v>40</v>
      </c>
      <c r="H35" s="1">
        <v>13262</v>
      </c>
      <c r="I35">
        <v>5.2469999999999999</v>
      </c>
      <c r="J35">
        <v>4.1959999999999997</v>
      </c>
      <c r="K35">
        <v>0.01</v>
      </c>
      <c r="L35">
        <v>20.997</v>
      </c>
      <c r="M35" t="s">
        <v>40</v>
      </c>
      <c r="N35" s="1">
        <v>9702</v>
      </c>
      <c r="O35">
        <v>5.2830000000000004</v>
      </c>
      <c r="P35">
        <v>4.2859999999999996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22964</v>
      </c>
      <c r="C36">
        <v>10.824</v>
      </c>
      <c r="D36">
        <v>5.5960000000000001</v>
      </c>
      <c r="E36">
        <v>1.274</v>
      </c>
      <c r="F36">
        <v>30.986000000000001</v>
      </c>
      <c r="G36" t="s">
        <v>41</v>
      </c>
      <c r="H36" s="1">
        <v>13262</v>
      </c>
      <c r="I36">
        <v>10.755000000000001</v>
      </c>
      <c r="J36">
        <v>5.6020000000000003</v>
      </c>
      <c r="K36">
        <v>1.274</v>
      </c>
      <c r="L36">
        <v>30.003</v>
      </c>
      <c r="M36" t="s">
        <v>41</v>
      </c>
      <c r="N36" s="1">
        <v>9702</v>
      </c>
      <c r="O36">
        <v>10.917</v>
      </c>
      <c r="P36">
        <v>5.5869999999999997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22964</v>
      </c>
      <c r="C37">
        <v>1.0549999999999999</v>
      </c>
      <c r="D37">
        <v>0.82199999999999995</v>
      </c>
      <c r="E37">
        <v>1.6E-2</v>
      </c>
      <c r="F37">
        <v>7.4530000000000003</v>
      </c>
      <c r="G37" t="s">
        <v>173</v>
      </c>
      <c r="H37" s="1">
        <v>13262</v>
      </c>
      <c r="I37">
        <v>1.0489999999999999</v>
      </c>
      <c r="J37">
        <v>0.79900000000000004</v>
      </c>
      <c r="K37">
        <v>2.5999999999999999E-2</v>
      </c>
      <c r="L37">
        <v>7.14</v>
      </c>
      <c r="M37" t="s">
        <v>173</v>
      </c>
      <c r="N37" s="1">
        <v>9702</v>
      </c>
      <c r="O37">
        <v>1.0649999999999999</v>
      </c>
      <c r="P37">
        <v>0.85099999999999998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22964</v>
      </c>
      <c r="C38">
        <v>2.4860000000000002</v>
      </c>
      <c r="D38">
        <v>1.8169999999999999</v>
      </c>
      <c r="E38">
        <v>3.6999999999999998E-2</v>
      </c>
      <c r="F38">
        <v>17.684000000000001</v>
      </c>
      <c r="G38" t="s">
        <v>174</v>
      </c>
      <c r="H38" s="1">
        <v>13262</v>
      </c>
      <c r="I38">
        <v>2.4710000000000001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9702</v>
      </c>
      <c r="O38">
        <v>2.5070000000000001</v>
      </c>
      <c r="P38">
        <v>1.8440000000000001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22964</v>
      </c>
      <c r="C39">
        <v>2.5830000000000002</v>
      </c>
      <c r="D39">
        <v>1.728</v>
      </c>
      <c r="E39">
        <v>3.6999999999999998E-2</v>
      </c>
      <c r="F39">
        <v>17.684000000000001</v>
      </c>
      <c r="G39" t="s">
        <v>175</v>
      </c>
      <c r="H39" s="1">
        <v>13262</v>
      </c>
      <c r="I39">
        <v>2.5640000000000001</v>
      </c>
      <c r="J39">
        <v>1.7010000000000001</v>
      </c>
      <c r="K39">
        <v>4.8000000000000001E-2</v>
      </c>
      <c r="L39">
        <v>17.684000000000001</v>
      </c>
      <c r="M39" t="s">
        <v>175</v>
      </c>
      <c r="N39" s="1">
        <v>9702</v>
      </c>
      <c r="O39">
        <v>2.61</v>
      </c>
      <c r="P39">
        <v>1.7629999999999999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22964</v>
      </c>
      <c r="C40">
        <v>0.21</v>
      </c>
      <c r="D40">
        <v>0.158</v>
      </c>
      <c r="E40">
        <v>0</v>
      </c>
      <c r="F40">
        <v>0.85</v>
      </c>
      <c r="G40" t="s">
        <v>42</v>
      </c>
      <c r="H40" s="1">
        <v>13262</v>
      </c>
      <c r="I40">
        <v>0.20599999999999999</v>
      </c>
      <c r="J40">
        <v>0.153</v>
      </c>
      <c r="K40">
        <v>0</v>
      </c>
      <c r="L40">
        <v>0.85</v>
      </c>
      <c r="M40" t="s">
        <v>42</v>
      </c>
      <c r="N40" s="1">
        <v>9702</v>
      </c>
      <c r="O40">
        <v>0.215</v>
      </c>
      <c r="P40">
        <v>0.16300000000000001</v>
      </c>
      <c r="Q40">
        <v>0</v>
      </c>
      <c r="R40">
        <v>0.85</v>
      </c>
    </row>
    <row r="41" spans="1:18" x14ac:dyDescent="0.25">
      <c r="A41" t="s">
        <v>43</v>
      </c>
      <c r="B41" s="1">
        <v>22964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13262</v>
      </c>
      <c r="I41">
        <v>2.1000000000000001E-2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9702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22964</v>
      </c>
      <c r="C42">
        <v>0.41599999999999998</v>
      </c>
      <c r="D42">
        <v>0.19900000000000001</v>
      </c>
      <c r="E42">
        <v>0</v>
      </c>
      <c r="F42">
        <v>0.95699999999999996</v>
      </c>
      <c r="G42" t="s">
        <v>44</v>
      </c>
      <c r="H42" s="1">
        <v>13262</v>
      </c>
      <c r="I42">
        <v>0.41899999999999998</v>
      </c>
      <c r="J42">
        <v>0.19700000000000001</v>
      </c>
      <c r="K42">
        <v>2.0000000000000001E-4</v>
      </c>
      <c r="L42">
        <v>0.95699999999999996</v>
      </c>
      <c r="M42" t="s">
        <v>44</v>
      </c>
      <c r="N42" s="1">
        <v>9702</v>
      </c>
      <c r="O42">
        <v>0.41199999999999998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22964</v>
      </c>
      <c r="C43">
        <v>8.4000000000000005E-2</v>
      </c>
      <c r="D43">
        <v>0.11600000000000001</v>
      </c>
      <c r="E43">
        <v>0</v>
      </c>
      <c r="F43">
        <v>0.69499999999999995</v>
      </c>
      <c r="G43" t="s">
        <v>45</v>
      </c>
      <c r="H43" s="1">
        <v>13262</v>
      </c>
      <c r="I43">
        <v>8.4000000000000005E-2</v>
      </c>
      <c r="J43">
        <v>0.115</v>
      </c>
      <c r="K43">
        <v>0</v>
      </c>
      <c r="L43">
        <v>0.69499999999999995</v>
      </c>
      <c r="M43" t="s">
        <v>45</v>
      </c>
      <c r="N43" s="1">
        <v>9702</v>
      </c>
      <c r="O43">
        <v>8.4000000000000005E-2</v>
      </c>
      <c r="P43">
        <v>0.11799999999999999</v>
      </c>
      <c r="Q43">
        <v>0</v>
      </c>
      <c r="R43">
        <v>0.69499999999999995</v>
      </c>
    </row>
    <row r="44" spans="1:18" x14ac:dyDescent="0.25">
      <c r="A44" t="s">
        <v>46</v>
      </c>
      <c r="B44" s="1">
        <v>22964</v>
      </c>
      <c r="C44">
        <v>0.93700000000000006</v>
      </c>
      <c r="D44">
        <v>8.6999999999999994E-2</v>
      </c>
      <c r="E44">
        <v>4.0000000000000002E-4</v>
      </c>
      <c r="F44">
        <v>1</v>
      </c>
      <c r="G44" t="s">
        <v>46</v>
      </c>
      <c r="H44" s="1">
        <v>13262</v>
      </c>
      <c r="I44">
        <v>0.93899999999999995</v>
      </c>
      <c r="J44">
        <v>8.5000000000000006E-2</v>
      </c>
      <c r="K44">
        <v>4.0000000000000002E-4</v>
      </c>
      <c r="L44">
        <v>1</v>
      </c>
      <c r="M44" t="s">
        <v>46</v>
      </c>
      <c r="N44" s="1">
        <v>9702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22964</v>
      </c>
      <c r="C45">
        <v>6.2E-2</v>
      </c>
      <c r="D45">
        <v>8.2000000000000003E-2</v>
      </c>
      <c r="E45">
        <v>0</v>
      </c>
      <c r="F45">
        <v>0.69899999999999995</v>
      </c>
      <c r="G45" t="s">
        <v>47</v>
      </c>
      <c r="H45" s="1">
        <v>13262</v>
      </c>
      <c r="I45">
        <v>0.06</v>
      </c>
      <c r="J45">
        <v>0.08</v>
      </c>
      <c r="K45">
        <v>0</v>
      </c>
      <c r="L45">
        <v>0.69899999999999995</v>
      </c>
      <c r="M45" t="s">
        <v>47</v>
      </c>
      <c r="N45" s="1">
        <v>9702</v>
      </c>
      <c r="O45">
        <v>6.4000000000000001E-2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22964</v>
      </c>
      <c r="C46">
        <v>0.76600000000000001</v>
      </c>
      <c r="D46">
        <v>0.16800000000000001</v>
      </c>
      <c r="E46">
        <v>0</v>
      </c>
      <c r="F46">
        <v>1</v>
      </c>
      <c r="G46" t="s">
        <v>48</v>
      </c>
      <c r="H46" s="1">
        <v>13262</v>
      </c>
      <c r="I46">
        <v>0.76900000000000002</v>
      </c>
      <c r="J46">
        <v>0.16500000000000001</v>
      </c>
      <c r="K46">
        <v>4.0000000000000002E-4</v>
      </c>
      <c r="L46">
        <v>1</v>
      </c>
      <c r="M46" t="s">
        <v>48</v>
      </c>
      <c r="N46" s="1">
        <v>9702</v>
      </c>
      <c r="O46">
        <v>0.76200000000000001</v>
      </c>
      <c r="P46">
        <v>0.17100000000000001</v>
      </c>
      <c r="Q46">
        <v>0</v>
      </c>
      <c r="R46">
        <v>1</v>
      </c>
    </row>
    <row r="47" spans="1:18" x14ac:dyDescent="0.25">
      <c r="A47" t="s">
        <v>49</v>
      </c>
      <c r="B47" s="1">
        <v>22964</v>
      </c>
      <c r="C47">
        <v>0.23200000000000001</v>
      </c>
      <c r="D47">
        <v>0.16700000000000001</v>
      </c>
      <c r="E47">
        <v>0</v>
      </c>
      <c r="F47">
        <v>1</v>
      </c>
      <c r="G47" t="s">
        <v>49</v>
      </c>
      <c r="H47" s="1">
        <v>13262</v>
      </c>
      <c r="I47">
        <v>0.23</v>
      </c>
      <c r="J47">
        <v>0.16400000000000001</v>
      </c>
      <c r="K47">
        <v>0</v>
      </c>
      <c r="L47">
        <v>0.98599999999999999</v>
      </c>
      <c r="M47" t="s">
        <v>49</v>
      </c>
      <c r="N47" s="1">
        <v>9702</v>
      </c>
      <c r="O47">
        <v>0.23599999999999999</v>
      </c>
      <c r="P47">
        <v>0.17</v>
      </c>
      <c r="Q47">
        <v>0</v>
      </c>
      <c r="R47">
        <v>1</v>
      </c>
    </row>
    <row r="48" spans="1:18" x14ac:dyDescent="0.25">
      <c r="A48" t="s">
        <v>50</v>
      </c>
      <c r="B48" s="1">
        <v>22964</v>
      </c>
      <c r="C48">
        <v>24.8</v>
      </c>
      <c r="D48">
        <v>52.43</v>
      </c>
      <c r="E48">
        <v>0</v>
      </c>
      <c r="F48">
        <v>667</v>
      </c>
      <c r="G48" t="s">
        <v>50</v>
      </c>
      <c r="H48" s="1">
        <v>13262</v>
      </c>
      <c r="I48">
        <v>24.937000000000001</v>
      </c>
      <c r="J48">
        <v>50.914999999999999</v>
      </c>
      <c r="K48">
        <v>0</v>
      </c>
      <c r="L48">
        <v>667</v>
      </c>
      <c r="M48" t="s">
        <v>50</v>
      </c>
      <c r="N48" s="1">
        <v>9702</v>
      </c>
      <c r="O48">
        <v>24.611999999999998</v>
      </c>
      <c r="P48">
        <v>54.435000000000002</v>
      </c>
      <c r="Q48">
        <v>0</v>
      </c>
      <c r="R48">
        <v>623</v>
      </c>
    </row>
    <row r="49" spans="1:18" x14ac:dyDescent="0.25">
      <c r="A49" t="s">
        <v>51</v>
      </c>
      <c r="B49" s="1">
        <v>22964</v>
      </c>
      <c r="C49">
        <v>2.1000000000000001E-2</v>
      </c>
      <c r="D49">
        <v>0.14399999999999999</v>
      </c>
      <c r="E49">
        <v>0</v>
      </c>
      <c r="F49">
        <v>1</v>
      </c>
      <c r="G49" t="s">
        <v>51</v>
      </c>
      <c r="H49" s="1">
        <v>13262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9702</v>
      </c>
      <c r="O49">
        <v>0.05</v>
      </c>
      <c r="P49">
        <v>0.218</v>
      </c>
      <c r="Q49">
        <v>0</v>
      </c>
      <c r="R49">
        <v>1</v>
      </c>
    </row>
    <row r="50" spans="1:18" x14ac:dyDescent="0.25">
      <c r="A50" t="s">
        <v>52</v>
      </c>
      <c r="B50" s="1">
        <v>22964</v>
      </c>
      <c r="C50">
        <v>0.441</v>
      </c>
      <c r="D50">
        <v>0.496</v>
      </c>
      <c r="E50">
        <v>0</v>
      </c>
      <c r="F50">
        <v>1</v>
      </c>
      <c r="G50" t="s">
        <v>52</v>
      </c>
      <c r="H50" s="1">
        <v>13262</v>
      </c>
      <c r="I50">
        <v>0.40600000000000003</v>
      </c>
      <c r="J50">
        <v>0.49099999999999999</v>
      </c>
      <c r="K50">
        <v>0</v>
      </c>
      <c r="L50">
        <v>1</v>
      </c>
      <c r="M50" t="s">
        <v>52</v>
      </c>
      <c r="N50" s="1">
        <v>9702</v>
      </c>
      <c r="O50">
        <v>0.48899999999999999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22964</v>
      </c>
      <c r="C51" s="2">
        <v>2363464</v>
      </c>
      <c r="D51" s="2">
        <v>7871.5940000000001</v>
      </c>
      <c r="E51" s="2">
        <v>2350907</v>
      </c>
      <c r="F51" s="2">
        <v>2399920</v>
      </c>
      <c r="G51" t="s">
        <v>53</v>
      </c>
      <c r="H51" s="1">
        <v>13262</v>
      </c>
      <c r="I51" s="2">
        <v>2363453</v>
      </c>
      <c r="J51" s="2">
        <v>7712.518</v>
      </c>
      <c r="K51" s="2">
        <v>2350907</v>
      </c>
      <c r="L51" s="2">
        <v>2399920</v>
      </c>
      <c r="M51" t="s">
        <v>53</v>
      </c>
      <c r="N51" s="1">
        <v>9702</v>
      </c>
      <c r="O51" s="2">
        <v>2363480</v>
      </c>
      <c r="P51" s="2">
        <v>8084.3540000000003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22964</v>
      </c>
      <c r="C52" s="2">
        <v>610987.80000000005</v>
      </c>
      <c r="D52" s="2">
        <v>14874.76</v>
      </c>
      <c r="E52" s="2">
        <v>579824.19999999995</v>
      </c>
      <c r="F52" s="2">
        <v>638667.69999999995</v>
      </c>
      <c r="G52" t="s">
        <v>54</v>
      </c>
      <c r="H52" s="1">
        <v>13262</v>
      </c>
      <c r="I52" s="2">
        <v>610588</v>
      </c>
      <c r="J52" s="2">
        <v>14741.05</v>
      </c>
      <c r="K52" s="2">
        <v>579824.19999999995</v>
      </c>
      <c r="L52" s="2">
        <v>638667.69999999995</v>
      </c>
      <c r="M52" t="s">
        <v>54</v>
      </c>
      <c r="N52" s="1">
        <v>9702</v>
      </c>
      <c r="O52" s="2">
        <v>611534.4</v>
      </c>
      <c r="P52" s="2">
        <v>15039.19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22964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13262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9702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22964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13262</v>
      </c>
      <c r="I54" s="2">
        <v>1</v>
      </c>
      <c r="J54" s="2">
        <v>0</v>
      </c>
      <c r="K54" s="2">
        <v>1</v>
      </c>
      <c r="L54" s="2">
        <v>1</v>
      </c>
      <c r="M54" t="s">
        <v>57</v>
      </c>
      <c r="N54" s="1">
        <v>9702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22964</v>
      </c>
      <c r="C55">
        <v>0.437</v>
      </c>
      <c r="D55">
        <v>0.496</v>
      </c>
      <c r="E55">
        <v>0</v>
      </c>
      <c r="F55">
        <v>1</v>
      </c>
      <c r="G55" t="s">
        <v>58</v>
      </c>
      <c r="H55" s="1">
        <v>13262</v>
      </c>
      <c r="I55">
        <v>0.434</v>
      </c>
      <c r="J55">
        <v>0.496</v>
      </c>
      <c r="K55">
        <v>0</v>
      </c>
      <c r="L55">
        <v>1</v>
      </c>
      <c r="M55" t="s">
        <v>58</v>
      </c>
      <c r="N55" s="1">
        <v>9702</v>
      </c>
      <c r="O55">
        <v>0.44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22964</v>
      </c>
      <c r="C56">
        <v>0.51200000000000001</v>
      </c>
      <c r="D56">
        <v>0.5</v>
      </c>
      <c r="E56">
        <v>0</v>
      </c>
      <c r="F56">
        <v>1</v>
      </c>
      <c r="G56" t="s">
        <v>59</v>
      </c>
      <c r="H56" s="1">
        <v>13262</v>
      </c>
      <c r="I56">
        <v>0.51700000000000002</v>
      </c>
      <c r="J56">
        <v>0.5</v>
      </c>
      <c r="K56">
        <v>0</v>
      </c>
      <c r="L56">
        <v>1</v>
      </c>
      <c r="M56" t="s">
        <v>59</v>
      </c>
      <c r="N56" s="1">
        <v>9702</v>
      </c>
      <c r="O56">
        <v>0.505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22964</v>
      </c>
      <c r="C57">
        <v>5.0999999999999997E-2</v>
      </c>
      <c r="D57">
        <v>0.221</v>
      </c>
      <c r="E57">
        <v>0</v>
      </c>
      <c r="F57">
        <v>1</v>
      </c>
      <c r="G57" t="s">
        <v>60</v>
      </c>
      <c r="H57" s="1">
        <v>13262</v>
      </c>
      <c r="I57">
        <v>4.8000000000000001E-2</v>
      </c>
      <c r="J57">
        <v>0.214</v>
      </c>
      <c r="K57">
        <v>0</v>
      </c>
      <c r="L57">
        <v>1</v>
      </c>
      <c r="M57" t="s">
        <v>60</v>
      </c>
      <c r="N57" s="1">
        <v>9702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22964</v>
      </c>
      <c r="C58" s="2">
        <v>2019.038</v>
      </c>
      <c r="D58">
        <v>2.0070000000000001</v>
      </c>
      <c r="E58" s="1">
        <v>2016</v>
      </c>
      <c r="F58" s="1">
        <v>2023</v>
      </c>
      <c r="G58" t="s">
        <v>61</v>
      </c>
      <c r="H58" s="1">
        <v>13262</v>
      </c>
      <c r="I58" s="2">
        <v>2017.5719999999999</v>
      </c>
      <c r="J58">
        <v>1.18</v>
      </c>
      <c r="K58" s="1">
        <v>2016</v>
      </c>
      <c r="L58" s="1">
        <v>2020</v>
      </c>
      <c r="M58" t="s">
        <v>61</v>
      </c>
      <c r="N58" s="1">
        <v>9702</v>
      </c>
      <c r="O58" s="2">
        <v>2021.0419999999999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22964</v>
      </c>
      <c r="C59">
        <v>0.873</v>
      </c>
      <c r="D59">
        <v>0.33300000000000002</v>
      </c>
      <c r="E59">
        <v>0</v>
      </c>
      <c r="F59">
        <v>1</v>
      </c>
      <c r="G59" t="s">
        <v>62</v>
      </c>
      <c r="H59" s="1">
        <v>13262</v>
      </c>
      <c r="I59" s="2">
        <v>0.86899999999999999</v>
      </c>
      <c r="J59">
        <v>0.33800000000000002</v>
      </c>
      <c r="K59" s="1">
        <v>0</v>
      </c>
      <c r="L59" s="1">
        <v>1</v>
      </c>
      <c r="M59" t="s">
        <v>62</v>
      </c>
      <c r="N59" s="1">
        <v>9702</v>
      </c>
      <c r="O59">
        <v>0.878</v>
      </c>
      <c r="P59">
        <v>0.32800000000000001</v>
      </c>
      <c r="Q59">
        <v>0</v>
      </c>
      <c r="R59">
        <v>1</v>
      </c>
    </row>
    <row r="60" spans="1:18" x14ac:dyDescent="0.25">
      <c r="A60" t="s">
        <v>63</v>
      </c>
      <c r="B60" s="1">
        <v>22964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13262</v>
      </c>
      <c r="I60" s="2">
        <v>1.7000000000000001E-2</v>
      </c>
      <c r="J60">
        <v>0.13100000000000001</v>
      </c>
      <c r="K60" s="1">
        <v>0</v>
      </c>
      <c r="L60" s="1">
        <v>1</v>
      </c>
      <c r="M60" t="s">
        <v>63</v>
      </c>
      <c r="N60" s="1">
        <v>9702</v>
      </c>
      <c r="O60">
        <v>1.7000000000000001E-2</v>
      </c>
      <c r="P60">
        <v>0.128</v>
      </c>
      <c r="Q60">
        <v>0</v>
      </c>
      <c r="R60">
        <v>1</v>
      </c>
    </row>
    <row r="61" spans="1:18" x14ac:dyDescent="0.25">
      <c r="A61" t="s">
        <v>64</v>
      </c>
      <c r="B61" s="1">
        <v>22964</v>
      </c>
      <c r="C61">
        <v>1E-4</v>
      </c>
      <c r="D61">
        <v>1.0999999999999999E-2</v>
      </c>
      <c r="E61">
        <v>0</v>
      </c>
      <c r="F61">
        <v>1</v>
      </c>
      <c r="G61" t="s">
        <v>64</v>
      </c>
      <c r="H61" s="1">
        <v>13262</v>
      </c>
      <c r="I61">
        <v>2.0000000000000001E-4</v>
      </c>
      <c r="J61">
        <v>1.2E-2</v>
      </c>
      <c r="K61">
        <v>0</v>
      </c>
      <c r="L61">
        <v>1</v>
      </c>
      <c r="M61" t="s">
        <v>64</v>
      </c>
      <c r="N61" s="1">
        <v>9702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22964</v>
      </c>
      <c r="C62">
        <v>7.8E-2</v>
      </c>
      <c r="D62">
        <v>0.26800000000000002</v>
      </c>
      <c r="E62">
        <v>0</v>
      </c>
      <c r="F62">
        <v>1</v>
      </c>
      <c r="G62" t="s">
        <v>65</v>
      </c>
      <c r="H62" s="1">
        <v>13262</v>
      </c>
      <c r="I62">
        <v>8.2000000000000003E-2</v>
      </c>
      <c r="J62">
        <v>0.27400000000000002</v>
      </c>
      <c r="K62">
        <v>0</v>
      </c>
      <c r="L62">
        <v>1</v>
      </c>
      <c r="M62" t="s">
        <v>65</v>
      </c>
      <c r="N62" s="1">
        <v>9702</v>
      </c>
      <c r="O62">
        <v>7.1999999999999995E-2</v>
      </c>
      <c r="P62">
        <v>0.25900000000000001</v>
      </c>
      <c r="Q62">
        <v>0</v>
      </c>
      <c r="R62">
        <v>1</v>
      </c>
    </row>
    <row r="63" spans="1:18" x14ac:dyDescent="0.25">
      <c r="A63" t="s">
        <v>66</v>
      </c>
      <c r="B63" s="1">
        <v>22964</v>
      </c>
      <c r="C63">
        <v>1.7999999999999999E-2</v>
      </c>
      <c r="D63">
        <v>0.13300000000000001</v>
      </c>
      <c r="E63">
        <v>0</v>
      </c>
      <c r="F63">
        <v>1</v>
      </c>
      <c r="G63" t="s">
        <v>66</v>
      </c>
      <c r="H63" s="1">
        <v>13262</v>
      </c>
      <c r="I63">
        <v>1.7999999999999999E-2</v>
      </c>
      <c r="J63">
        <v>0.13200000000000001</v>
      </c>
      <c r="K63">
        <v>0</v>
      </c>
      <c r="L63">
        <v>1</v>
      </c>
      <c r="M63" t="s">
        <v>66</v>
      </c>
      <c r="N63" s="1">
        <v>9702</v>
      </c>
      <c r="O63">
        <v>1.7999999999999999E-2</v>
      </c>
      <c r="P63">
        <v>0.13400000000000001</v>
      </c>
      <c r="Q63">
        <v>0</v>
      </c>
      <c r="R63">
        <v>1</v>
      </c>
    </row>
    <row r="64" spans="1:18" x14ac:dyDescent="0.25">
      <c r="A64" t="s">
        <v>67</v>
      </c>
      <c r="B64" s="1">
        <v>22964</v>
      </c>
      <c r="C64">
        <v>4.0000000000000002E-4</v>
      </c>
      <c r="D64">
        <v>2.1000000000000001E-2</v>
      </c>
      <c r="E64">
        <v>0</v>
      </c>
      <c r="F64">
        <v>1</v>
      </c>
      <c r="G64" t="s">
        <v>67</v>
      </c>
      <c r="H64" s="1">
        <v>13262</v>
      </c>
      <c r="I64">
        <v>5.0000000000000001E-4</v>
      </c>
      <c r="J64">
        <v>2.1000000000000001E-2</v>
      </c>
      <c r="K64">
        <v>0</v>
      </c>
      <c r="L64">
        <v>1</v>
      </c>
      <c r="M64" t="s">
        <v>67</v>
      </c>
      <c r="N64" s="1">
        <v>9702</v>
      </c>
      <c r="O64">
        <v>4.0000000000000002E-4</v>
      </c>
      <c r="P64">
        <v>0.02</v>
      </c>
      <c r="Q64">
        <v>0</v>
      </c>
      <c r="R64">
        <v>1</v>
      </c>
    </row>
    <row r="65" spans="1:18" x14ac:dyDescent="0.25">
      <c r="A65" t="s">
        <v>68</v>
      </c>
      <c r="B65" s="1">
        <v>22964</v>
      </c>
      <c r="C65">
        <v>1.4E-2</v>
      </c>
      <c r="D65">
        <v>0.11700000000000001</v>
      </c>
      <c r="E65">
        <v>0</v>
      </c>
      <c r="F65">
        <v>1</v>
      </c>
      <c r="G65" t="s">
        <v>68</v>
      </c>
      <c r="H65" s="1">
        <v>13262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9702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22964</v>
      </c>
      <c r="C66">
        <v>1E-4</v>
      </c>
      <c r="D66">
        <v>1.0999999999999999E-2</v>
      </c>
      <c r="E66">
        <v>0</v>
      </c>
      <c r="F66">
        <v>1</v>
      </c>
      <c r="G66" t="s">
        <v>69</v>
      </c>
      <c r="H66" s="1">
        <v>13262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9702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22964</v>
      </c>
      <c r="C67">
        <v>0.215</v>
      </c>
      <c r="D67">
        <v>0.41099999999999998</v>
      </c>
      <c r="E67">
        <v>0</v>
      </c>
      <c r="F67">
        <v>1</v>
      </c>
      <c r="G67" t="s">
        <v>70</v>
      </c>
      <c r="H67" s="1">
        <v>13262</v>
      </c>
      <c r="I67">
        <v>0.21</v>
      </c>
      <c r="J67">
        <v>0.40799999999999997</v>
      </c>
      <c r="K67">
        <v>0</v>
      </c>
      <c r="L67">
        <v>1</v>
      </c>
      <c r="M67" t="s">
        <v>70</v>
      </c>
      <c r="N67" s="1">
        <v>9702</v>
      </c>
      <c r="O67">
        <v>0.222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22964</v>
      </c>
      <c r="C68">
        <v>0.30199999999999999</v>
      </c>
      <c r="D68">
        <v>0.45900000000000002</v>
      </c>
      <c r="E68">
        <v>0</v>
      </c>
      <c r="F68">
        <v>1</v>
      </c>
      <c r="G68" t="s">
        <v>71</v>
      </c>
      <c r="H68" s="1">
        <v>13262</v>
      </c>
      <c r="I68">
        <v>0.31900000000000001</v>
      </c>
      <c r="J68">
        <v>0.46600000000000003</v>
      </c>
      <c r="K68">
        <v>0</v>
      </c>
      <c r="L68">
        <v>1</v>
      </c>
      <c r="M68" t="s">
        <v>71</v>
      </c>
      <c r="N68" s="1">
        <v>9702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22964</v>
      </c>
      <c r="C69">
        <v>0.40899999999999997</v>
      </c>
      <c r="D69">
        <v>0.49199999999999999</v>
      </c>
      <c r="E69">
        <v>0</v>
      </c>
      <c r="F69">
        <v>1</v>
      </c>
      <c r="G69" t="s">
        <v>72</v>
      </c>
      <c r="H69" s="1">
        <v>13262</v>
      </c>
      <c r="I69">
        <v>0.39500000000000002</v>
      </c>
      <c r="J69">
        <v>0.48899999999999999</v>
      </c>
      <c r="K69">
        <v>0</v>
      </c>
      <c r="L69">
        <v>1</v>
      </c>
      <c r="M69" t="s">
        <v>72</v>
      </c>
      <c r="N69" s="1">
        <v>9702</v>
      </c>
      <c r="O69">
        <v>0.42899999999999999</v>
      </c>
      <c r="P69">
        <v>0.495</v>
      </c>
      <c r="Q69">
        <v>0</v>
      </c>
      <c r="R69">
        <v>1</v>
      </c>
    </row>
    <row r="70" spans="1:18" x14ac:dyDescent="0.25">
      <c r="A70" t="s">
        <v>73</v>
      </c>
      <c r="B70" s="1">
        <v>22964</v>
      </c>
      <c r="C70">
        <v>7.3999999999999996E-2</v>
      </c>
      <c r="D70">
        <v>0.26200000000000001</v>
      </c>
      <c r="E70">
        <v>0</v>
      </c>
      <c r="F70">
        <v>1</v>
      </c>
      <c r="G70" t="s">
        <v>73</v>
      </c>
      <c r="H70" s="1">
        <v>13262</v>
      </c>
      <c r="I70">
        <v>7.6999999999999999E-2</v>
      </c>
      <c r="J70">
        <v>0.26600000000000001</v>
      </c>
      <c r="K70">
        <v>0</v>
      </c>
      <c r="L70">
        <v>1</v>
      </c>
      <c r="M70" t="s">
        <v>73</v>
      </c>
      <c r="N70" s="1">
        <v>9702</v>
      </c>
      <c r="O70">
        <v>7.0000000000000007E-2</v>
      </c>
      <c r="P70">
        <v>0.25600000000000001</v>
      </c>
      <c r="Q70">
        <v>0</v>
      </c>
      <c r="R70">
        <v>1</v>
      </c>
    </row>
    <row r="71" spans="1:18" x14ac:dyDescent="0.25">
      <c r="A71" t="s">
        <v>165</v>
      </c>
      <c r="B71" s="1">
        <v>22964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13262</v>
      </c>
      <c r="I71">
        <v>4.0000000000000001E-3</v>
      </c>
      <c r="J71">
        <v>6.5000000000000002E-2</v>
      </c>
      <c r="K71">
        <v>0</v>
      </c>
      <c r="L71">
        <v>1</v>
      </c>
      <c r="M71" t="s">
        <v>165</v>
      </c>
      <c r="N71" s="1">
        <v>9702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22964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13262</v>
      </c>
      <c r="I72">
        <v>3.5999999999999997E-2</v>
      </c>
      <c r="J72">
        <v>0.185</v>
      </c>
      <c r="K72">
        <v>0</v>
      </c>
      <c r="L72">
        <v>1</v>
      </c>
      <c r="M72" t="s">
        <v>166</v>
      </c>
      <c r="N72" s="1">
        <v>9702</v>
      </c>
      <c r="O72">
        <v>2.7E-2</v>
      </c>
      <c r="P72">
        <v>0.16200000000000001</v>
      </c>
      <c r="Q72">
        <v>0</v>
      </c>
      <c r="R72">
        <v>1</v>
      </c>
    </row>
    <row r="73" spans="1:18" x14ac:dyDescent="0.25">
      <c r="A73" t="s">
        <v>167</v>
      </c>
      <c r="B73" s="1">
        <v>22964</v>
      </c>
      <c r="C73">
        <v>0.51</v>
      </c>
      <c r="D73">
        <v>0.5</v>
      </c>
      <c r="E73">
        <v>0</v>
      </c>
      <c r="F73">
        <v>1</v>
      </c>
      <c r="G73" t="s">
        <v>167</v>
      </c>
      <c r="H73" s="1">
        <v>13262</v>
      </c>
      <c r="I73">
        <v>0.54</v>
      </c>
      <c r="J73">
        <v>0.498</v>
      </c>
      <c r="K73">
        <v>0</v>
      </c>
      <c r="L73">
        <v>1</v>
      </c>
      <c r="M73" t="s">
        <v>167</v>
      </c>
      <c r="N73" s="1">
        <v>9702</v>
      </c>
      <c r="O73">
        <v>0.46800000000000003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22964</v>
      </c>
      <c r="C74">
        <v>0.122</v>
      </c>
      <c r="D74">
        <v>0.32800000000000001</v>
      </c>
      <c r="E74">
        <v>0</v>
      </c>
      <c r="F74">
        <v>1</v>
      </c>
      <c r="G74" t="s">
        <v>168</v>
      </c>
      <c r="H74" s="1">
        <v>13262</v>
      </c>
      <c r="I74">
        <v>0.11799999999999999</v>
      </c>
      <c r="J74">
        <v>0.32200000000000001</v>
      </c>
      <c r="K74">
        <v>0</v>
      </c>
      <c r="L74">
        <v>1</v>
      </c>
      <c r="M74" t="s">
        <v>168</v>
      </c>
      <c r="N74" s="1">
        <v>9702</v>
      </c>
      <c r="O74">
        <v>0.129</v>
      </c>
      <c r="P74">
        <v>0.33500000000000002</v>
      </c>
      <c r="Q74">
        <v>0</v>
      </c>
      <c r="R74">
        <v>1</v>
      </c>
    </row>
    <row r="75" spans="1:18" x14ac:dyDescent="0.25">
      <c r="A75" t="s">
        <v>169</v>
      </c>
      <c r="B75" s="1">
        <v>22964</v>
      </c>
      <c r="C75">
        <v>0.253</v>
      </c>
      <c r="D75">
        <v>0.434</v>
      </c>
      <c r="E75">
        <v>0</v>
      </c>
      <c r="F75">
        <v>1</v>
      </c>
      <c r="G75" t="s">
        <v>169</v>
      </c>
      <c r="H75" s="1">
        <v>13262</v>
      </c>
      <c r="I75">
        <v>0.23499999999999999</v>
      </c>
      <c r="J75">
        <v>0.42399999999999999</v>
      </c>
      <c r="K75">
        <v>0</v>
      </c>
      <c r="L75">
        <v>1</v>
      </c>
      <c r="M75" t="s">
        <v>169</v>
      </c>
      <c r="N75" s="1">
        <v>9702</v>
      </c>
      <c r="O75">
        <v>0.27700000000000002</v>
      </c>
      <c r="P75">
        <v>0.44700000000000001</v>
      </c>
      <c r="Q75">
        <v>0</v>
      </c>
      <c r="R75">
        <v>1</v>
      </c>
    </row>
    <row r="76" spans="1:18" x14ac:dyDescent="0.25">
      <c r="A76" t="s">
        <v>170</v>
      </c>
      <c r="B76" s="1">
        <v>22964</v>
      </c>
      <c r="C76">
        <v>7.9000000000000001E-2</v>
      </c>
      <c r="D76">
        <v>0.27</v>
      </c>
      <c r="E76">
        <v>0</v>
      </c>
      <c r="F76">
        <v>1</v>
      </c>
      <c r="G76" t="s">
        <v>170</v>
      </c>
      <c r="H76" s="1">
        <v>13262</v>
      </c>
      <c r="I76">
        <v>6.8000000000000005E-2</v>
      </c>
      <c r="J76">
        <v>0.252</v>
      </c>
      <c r="K76">
        <v>0</v>
      </c>
      <c r="L76">
        <v>1</v>
      </c>
      <c r="M76" t="s">
        <v>170</v>
      </c>
      <c r="N76" s="1">
        <v>9702</v>
      </c>
      <c r="O76">
        <v>9.5000000000000001E-2</v>
      </c>
      <c r="P76">
        <v>0.29299999999999998</v>
      </c>
      <c r="Q76">
        <v>0</v>
      </c>
      <c r="R76">
        <v>1</v>
      </c>
    </row>
    <row r="77" spans="1:18" x14ac:dyDescent="0.25">
      <c r="A77" t="s">
        <v>79</v>
      </c>
      <c r="B77" s="1">
        <v>22964</v>
      </c>
      <c r="C77">
        <v>3.2000000000000001E-2</v>
      </c>
      <c r="D77">
        <v>0.17699999999999999</v>
      </c>
      <c r="E77">
        <v>0</v>
      </c>
      <c r="F77">
        <v>1</v>
      </c>
      <c r="G77" t="s">
        <v>79</v>
      </c>
      <c r="H77" s="1">
        <v>13262</v>
      </c>
      <c r="I77">
        <v>0.03</v>
      </c>
      <c r="J77">
        <v>0.17</v>
      </c>
      <c r="K77">
        <v>0</v>
      </c>
      <c r="L77">
        <v>1</v>
      </c>
      <c r="M77" t="s">
        <v>79</v>
      </c>
      <c r="N77" s="1">
        <v>9702</v>
      </c>
      <c r="O77">
        <v>3.5999999999999997E-2</v>
      </c>
      <c r="P77">
        <v>0.185</v>
      </c>
      <c r="Q77">
        <v>0</v>
      </c>
      <c r="R77">
        <v>1</v>
      </c>
    </row>
    <row r="78" spans="1:18" x14ac:dyDescent="0.25">
      <c r="A78" t="s">
        <v>80</v>
      </c>
      <c r="B78" s="1">
        <v>22964</v>
      </c>
      <c r="C78">
        <v>2.9999999999999997E-4</v>
      </c>
      <c r="D78">
        <v>1.7000000000000001E-2</v>
      </c>
      <c r="E78">
        <v>0</v>
      </c>
      <c r="F78">
        <v>1</v>
      </c>
      <c r="G78" t="s">
        <v>80</v>
      </c>
      <c r="H78" s="1">
        <v>13262</v>
      </c>
      <c r="I78">
        <v>5.0000000000000001E-4</v>
      </c>
      <c r="J78">
        <v>2.1000000000000001E-2</v>
      </c>
      <c r="K78">
        <v>0</v>
      </c>
      <c r="L78">
        <v>1</v>
      </c>
      <c r="M78" t="s">
        <v>80</v>
      </c>
      <c r="N78" s="1">
        <v>9702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22964</v>
      </c>
      <c r="C79">
        <v>3.0000000000000001E-3</v>
      </c>
      <c r="D79">
        <v>5.8000000000000003E-2</v>
      </c>
      <c r="E79">
        <v>0</v>
      </c>
      <c r="F79">
        <v>1</v>
      </c>
      <c r="G79" t="s">
        <v>81</v>
      </c>
      <c r="H79" s="1">
        <v>13262</v>
      </c>
      <c r="I79">
        <v>3.0000000000000001E-3</v>
      </c>
      <c r="J79">
        <v>5.7000000000000002E-2</v>
      </c>
      <c r="K79">
        <v>0</v>
      </c>
      <c r="L79">
        <v>1</v>
      </c>
      <c r="M79" t="s">
        <v>81</v>
      </c>
      <c r="N79" s="1">
        <v>9702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22964</v>
      </c>
      <c r="C80">
        <v>4.0000000000000001E-3</v>
      </c>
      <c r="D80">
        <v>6.0999999999999999E-2</v>
      </c>
      <c r="E80">
        <v>0</v>
      </c>
      <c r="F80">
        <v>1</v>
      </c>
      <c r="G80" t="s">
        <v>82</v>
      </c>
      <c r="H80" s="1">
        <v>13262</v>
      </c>
      <c r="I80">
        <v>4.0000000000000001E-3</v>
      </c>
      <c r="J80">
        <v>6.2E-2</v>
      </c>
      <c r="K80">
        <v>0</v>
      </c>
      <c r="L80">
        <v>1</v>
      </c>
      <c r="M80" t="s">
        <v>82</v>
      </c>
      <c r="N80" s="1">
        <v>9702</v>
      </c>
      <c r="O80">
        <v>4.0000000000000001E-3</v>
      </c>
      <c r="P80">
        <v>6.0999999999999999E-2</v>
      </c>
      <c r="Q80">
        <v>0</v>
      </c>
      <c r="R80">
        <v>1</v>
      </c>
    </row>
    <row r="81" spans="1:18" x14ac:dyDescent="0.25">
      <c r="A81" t="s">
        <v>83</v>
      </c>
      <c r="B81" s="1">
        <v>22964</v>
      </c>
      <c r="C81">
        <v>0.54900000000000004</v>
      </c>
      <c r="D81">
        <v>0.498</v>
      </c>
      <c r="E81">
        <v>0</v>
      </c>
      <c r="F81">
        <v>1</v>
      </c>
      <c r="G81" t="s">
        <v>83</v>
      </c>
      <c r="H81" s="1">
        <v>13262</v>
      </c>
      <c r="I81">
        <v>0.56399999999999995</v>
      </c>
      <c r="J81">
        <v>0.496</v>
      </c>
      <c r="K81">
        <v>0</v>
      </c>
      <c r="L81">
        <v>1</v>
      </c>
      <c r="M81" t="s">
        <v>83</v>
      </c>
      <c r="N81" s="1">
        <v>9702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22964</v>
      </c>
      <c r="C82">
        <v>8.0000000000000002E-3</v>
      </c>
      <c r="D82">
        <v>8.5999999999999993E-2</v>
      </c>
      <c r="E82">
        <v>0</v>
      </c>
      <c r="F82">
        <v>1</v>
      </c>
      <c r="G82" t="s">
        <v>84</v>
      </c>
      <c r="H82" s="1">
        <v>13262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9702</v>
      </c>
      <c r="O82">
        <v>8.9999999999999993E-3</v>
      </c>
      <c r="P82">
        <v>9.6000000000000002E-2</v>
      </c>
      <c r="Q82">
        <v>0</v>
      </c>
      <c r="R82">
        <v>1</v>
      </c>
    </row>
    <row r="83" spans="1:18" x14ac:dyDescent="0.25">
      <c r="A83" t="s">
        <v>85</v>
      </c>
      <c r="B83" s="1">
        <v>22964</v>
      </c>
      <c r="C83">
        <v>0.40400000000000003</v>
      </c>
      <c r="D83">
        <v>0.49099999999999999</v>
      </c>
      <c r="E83">
        <v>0</v>
      </c>
      <c r="F83">
        <v>1</v>
      </c>
      <c r="G83" t="s">
        <v>85</v>
      </c>
      <c r="H83" s="1">
        <v>13262</v>
      </c>
      <c r="I83">
        <v>0.39200000000000002</v>
      </c>
      <c r="J83">
        <v>0.48799999999999999</v>
      </c>
      <c r="K83">
        <v>0</v>
      </c>
      <c r="L83">
        <v>1</v>
      </c>
      <c r="M83" t="s">
        <v>85</v>
      </c>
      <c r="N83" s="1">
        <v>9702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FEAB-C02E-4F5D-B2BC-78FCB32B1505}">
  <sheetPr codeName="Sheet4"/>
  <dimension ref="A1:R84"/>
  <sheetViews>
    <sheetView tabSelected="1" workbookViewId="0">
      <selection activeCell="C13" sqref="C13"/>
    </sheetView>
  </sheetViews>
  <sheetFormatPr defaultRowHeight="15" x14ac:dyDescent="0.25"/>
  <cols>
    <col min="1" max="1" width="30.7109375" bestFit="1" customWidth="1"/>
    <col min="2" max="2" width="6.5703125" bestFit="1" customWidth="1"/>
    <col min="3" max="3" width="11.7109375" bestFit="1" customWidth="1"/>
    <col min="4" max="4" width="10.140625" bestFit="1" customWidth="1"/>
    <col min="5" max="5" width="12.42578125" bestFit="1" customWidth="1"/>
    <col min="6" max="6" width="12.7109375" bestFit="1" customWidth="1"/>
    <col min="7" max="7" width="30.7109375" bestFit="1" customWidth="1"/>
    <col min="8" max="8" width="6.5703125" bestFit="1" customWidth="1"/>
    <col min="9" max="9" width="11.7109375" bestFit="1" customWidth="1"/>
    <col min="10" max="10" width="10.140625" bestFit="1" customWidth="1"/>
    <col min="11" max="11" width="11.7109375" bestFit="1" customWidth="1"/>
    <col min="12" max="12" width="12.7109375" bestFit="1" customWidth="1"/>
    <col min="13" max="13" width="30.7109375" bestFit="1" customWidth="1"/>
    <col min="14" max="14" width="6.5703125" bestFit="1" customWidth="1"/>
    <col min="15" max="15" width="11.7109375" bestFit="1" customWidth="1"/>
    <col min="16" max="16" width="10.140625" bestFit="1" customWidth="1"/>
    <col min="17" max="17" width="12.42578125" bestFit="1" customWidth="1"/>
    <col min="18" max="18" width="12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43419</v>
      </c>
      <c r="C3">
        <v>1.1739999999999999</v>
      </c>
      <c r="D3">
        <v>0.41899999999999998</v>
      </c>
      <c r="E3">
        <v>1</v>
      </c>
      <c r="F3">
        <v>5</v>
      </c>
      <c r="G3" t="s">
        <v>10</v>
      </c>
      <c r="H3" s="1">
        <v>22840</v>
      </c>
      <c r="I3">
        <v>1.073</v>
      </c>
      <c r="J3">
        <v>0.26500000000000001</v>
      </c>
      <c r="K3">
        <v>1</v>
      </c>
      <c r="L3">
        <v>4</v>
      </c>
      <c r="M3" t="s">
        <v>10</v>
      </c>
      <c r="N3" s="1">
        <v>20579</v>
      </c>
      <c r="O3">
        <v>1.2869999999999999</v>
      </c>
      <c r="P3">
        <v>0.51900000000000002</v>
      </c>
      <c r="Q3">
        <v>1</v>
      </c>
      <c r="R3">
        <v>5</v>
      </c>
    </row>
    <row r="4" spans="1:18" x14ac:dyDescent="0.25">
      <c r="A4" t="s">
        <v>11</v>
      </c>
      <c r="B4" s="1">
        <v>43419</v>
      </c>
      <c r="C4">
        <v>0.47399999999999998</v>
      </c>
      <c r="D4">
        <v>0.499</v>
      </c>
      <c r="E4">
        <v>0</v>
      </c>
      <c r="F4">
        <v>1</v>
      </c>
      <c r="G4" t="s">
        <v>11</v>
      </c>
      <c r="H4" s="1">
        <v>22840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20579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43419</v>
      </c>
      <c r="C5">
        <v>0.41799999999999998</v>
      </c>
      <c r="D5">
        <v>0.49299999999999999</v>
      </c>
      <c r="E5">
        <v>0</v>
      </c>
      <c r="F5">
        <v>1</v>
      </c>
      <c r="G5" t="s">
        <v>12</v>
      </c>
      <c r="H5" s="1">
        <v>22840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20579</v>
      </c>
      <c r="O5">
        <v>0.88100000000000001</v>
      </c>
      <c r="P5">
        <v>0.32400000000000001</v>
      </c>
      <c r="Q5">
        <v>0</v>
      </c>
      <c r="R5">
        <v>1</v>
      </c>
    </row>
    <row r="6" spans="1:18" x14ac:dyDescent="0.25">
      <c r="A6" t="s">
        <v>36</v>
      </c>
      <c r="B6" s="1">
        <v>20579</v>
      </c>
      <c r="C6">
        <v>306.83100000000002</v>
      </c>
      <c r="D6">
        <v>563.33500000000004</v>
      </c>
      <c r="E6">
        <v>0</v>
      </c>
      <c r="F6" s="1">
        <v>4021</v>
      </c>
      <c r="H6" s="1"/>
      <c r="M6" t="s">
        <v>36</v>
      </c>
      <c r="N6" s="1">
        <v>20579</v>
      </c>
      <c r="O6">
        <v>306.83100000000002</v>
      </c>
      <c r="P6">
        <v>563.33500000000004</v>
      </c>
      <c r="Q6">
        <v>0</v>
      </c>
      <c r="R6" s="1">
        <v>4021</v>
      </c>
    </row>
    <row r="7" spans="1:18" x14ac:dyDescent="0.25">
      <c r="A7" t="s">
        <v>13</v>
      </c>
      <c r="B7" s="1">
        <v>43419</v>
      </c>
      <c r="C7">
        <v>1.91</v>
      </c>
      <c r="D7">
        <v>0.90500000000000003</v>
      </c>
      <c r="E7">
        <v>0</v>
      </c>
      <c r="F7">
        <v>17</v>
      </c>
      <c r="G7" t="s">
        <v>13</v>
      </c>
      <c r="H7" s="1">
        <v>22840</v>
      </c>
      <c r="I7">
        <v>1.893</v>
      </c>
      <c r="J7">
        <v>0.88200000000000001</v>
      </c>
      <c r="K7">
        <v>0</v>
      </c>
      <c r="L7">
        <v>17</v>
      </c>
      <c r="M7" t="s">
        <v>13</v>
      </c>
      <c r="N7" s="1">
        <v>20579</v>
      </c>
      <c r="O7">
        <v>1.929</v>
      </c>
      <c r="P7">
        <v>0.93</v>
      </c>
      <c r="Q7">
        <v>0</v>
      </c>
      <c r="R7">
        <v>15</v>
      </c>
    </row>
    <row r="8" spans="1:18" x14ac:dyDescent="0.25">
      <c r="A8" t="s">
        <v>14</v>
      </c>
      <c r="B8" s="1">
        <v>43419</v>
      </c>
      <c r="C8">
        <v>0.26600000000000001</v>
      </c>
      <c r="D8">
        <v>0.46400000000000002</v>
      </c>
      <c r="E8">
        <v>0</v>
      </c>
      <c r="F8">
        <v>5</v>
      </c>
      <c r="G8" t="s">
        <v>14</v>
      </c>
      <c r="H8" s="1">
        <v>22840</v>
      </c>
      <c r="I8">
        <v>0.26300000000000001</v>
      </c>
      <c r="J8">
        <v>0.45900000000000002</v>
      </c>
      <c r="K8">
        <v>0</v>
      </c>
      <c r="L8">
        <v>5</v>
      </c>
      <c r="M8" t="s">
        <v>14</v>
      </c>
      <c r="N8" s="1">
        <v>20579</v>
      </c>
      <c r="O8">
        <v>0.27</v>
      </c>
      <c r="P8">
        <v>0.47</v>
      </c>
      <c r="Q8">
        <v>0</v>
      </c>
      <c r="R8">
        <v>5</v>
      </c>
    </row>
    <row r="9" spans="1:18" x14ac:dyDescent="0.25">
      <c r="A9" t="s">
        <v>15</v>
      </c>
      <c r="B9" s="1">
        <v>43419</v>
      </c>
      <c r="C9">
        <v>2.7189999999999999</v>
      </c>
      <c r="D9">
        <v>1.4910000000000001</v>
      </c>
      <c r="E9">
        <v>0</v>
      </c>
      <c r="F9">
        <v>25</v>
      </c>
      <c r="G9" t="s">
        <v>15</v>
      </c>
      <c r="H9" s="1">
        <v>22840</v>
      </c>
      <c r="I9">
        <v>2.7010000000000001</v>
      </c>
      <c r="J9">
        <v>1.4650000000000001</v>
      </c>
      <c r="K9">
        <v>0</v>
      </c>
      <c r="L9">
        <v>18</v>
      </c>
      <c r="M9" t="s">
        <v>15</v>
      </c>
      <c r="N9" s="1">
        <v>20579</v>
      </c>
      <c r="O9">
        <v>2.7389999999999999</v>
      </c>
      <c r="P9">
        <v>1.518</v>
      </c>
      <c r="Q9">
        <v>0</v>
      </c>
      <c r="R9">
        <v>25</v>
      </c>
    </row>
    <row r="10" spans="1:18" x14ac:dyDescent="0.25">
      <c r="A10" t="s">
        <v>16</v>
      </c>
      <c r="B10" s="1">
        <v>43419</v>
      </c>
      <c r="C10">
        <v>43.305</v>
      </c>
      <c r="D10">
        <v>58.856999999999999</v>
      </c>
      <c r="E10">
        <v>0</v>
      </c>
      <c r="F10">
        <v>946</v>
      </c>
      <c r="G10" t="s">
        <v>16</v>
      </c>
      <c r="H10" s="1">
        <v>22840</v>
      </c>
      <c r="I10">
        <v>50.758000000000003</v>
      </c>
      <c r="J10">
        <v>59.281999999999996</v>
      </c>
      <c r="K10">
        <v>0</v>
      </c>
      <c r="L10">
        <v>785</v>
      </c>
      <c r="M10" t="s">
        <v>16</v>
      </c>
      <c r="N10" s="1">
        <v>20579</v>
      </c>
      <c r="O10">
        <v>35.033999999999999</v>
      </c>
      <c r="P10">
        <v>57.258000000000003</v>
      </c>
      <c r="Q10">
        <v>0</v>
      </c>
      <c r="R10">
        <v>946</v>
      </c>
    </row>
    <row r="11" spans="1:18" x14ac:dyDescent="0.25">
      <c r="A11" t="s">
        <v>163</v>
      </c>
      <c r="B11" s="1">
        <v>43419</v>
      </c>
      <c r="C11" s="2">
        <v>1337.8320000000001</v>
      </c>
      <c r="D11">
        <v>846.91600000000005</v>
      </c>
      <c r="E11">
        <v>120</v>
      </c>
      <c r="F11" s="1">
        <v>17408</v>
      </c>
      <c r="G11" t="s">
        <v>163</v>
      </c>
      <c r="H11" s="1">
        <v>22840</v>
      </c>
      <c r="I11" s="2">
        <v>1330.365</v>
      </c>
      <c r="J11">
        <v>825.83199999999999</v>
      </c>
      <c r="K11">
        <v>160</v>
      </c>
      <c r="L11" s="1">
        <v>17408</v>
      </c>
      <c r="M11" t="s">
        <v>163</v>
      </c>
      <c r="N11" s="1">
        <v>20579</v>
      </c>
      <c r="O11" s="2">
        <v>1346.12</v>
      </c>
      <c r="P11">
        <v>869.66300000000001</v>
      </c>
      <c r="Q11">
        <v>120</v>
      </c>
      <c r="R11" s="1">
        <v>16703</v>
      </c>
    </row>
    <row r="12" spans="1:18" x14ac:dyDescent="0.25">
      <c r="A12" t="s">
        <v>17</v>
      </c>
      <c r="B12" s="1">
        <v>43419</v>
      </c>
      <c r="C12">
        <v>165.536</v>
      </c>
      <c r="D12">
        <v>229.649</v>
      </c>
      <c r="E12">
        <v>0</v>
      </c>
      <c r="F12" s="1">
        <v>4444</v>
      </c>
      <c r="G12" t="s">
        <v>17</v>
      </c>
      <c r="H12" s="1">
        <v>22840</v>
      </c>
      <c r="I12">
        <v>164.02500000000001</v>
      </c>
      <c r="J12">
        <v>229.19499999999999</v>
      </c>
      <c r="K12">
        <v>0</v>
      </c>
      <c r="L12" s="1">
        <v>4444</v>
      </c>
      <c r="M12" t="s">
        <v>17</v>
      </c>
      <c r="N12" s="1">
        <v>20579</v>
      </c>
      <c r="O12">
        <v>167.21199999999999</v>
      </c>
      <c r="P12">
        <v>230.14699999999999</v>
      </c>
      <c r="Q12">
        <v>0</v>
      </c>
      <c r="R12" s="1">
        <v>3200</v>
      </c>
    </row>
    <row r="13" spans="1:18" x14ac:dyDescent="0.25">
      <c r="A13" t="s">
        <v>19</v>
      </c>
      <c r="B13" s="1">
        <v>43419</v>
      </c>
      <c r="C13" s="2">
        <v>961702.7</v>
      </c>
      <c r="D13" s="2">
        <v>905500.7</v>
      </c>
      <c r="E13" s="2">
        <v>85418.51</v>
      </c>
      <c r="F13" s="2">
        <v>28197546</v>
      </c>
      <c r="G13" t="s">
        <v>19</v>
      </c>
      <c r="H13" s="1">
        <v>22840</v>
      </c>
      <c r="I13" s="2">
        <v>936419.1</v>
      </c>
      <c r="J13" s="2">
        <v>882708.9</v>
      </c>
      <c r="K13" s="2">
        <v>99684.44</v>
      </c>
      <c r="L13" s="2">
        <v>28197546</v>
      </c>
      <c r="M13" t="s">
        <v>19</v>
      </c>
      <c r="N13" s="1">
        <v>20579</v>
      </c>
      <c r="O13" s="2">
        <v>989764.1</v>
      </c>
      <c r="P13" s="2">
        <v>929359.4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43419</v>
      </c>
      <c r="C14" s="2">
        <v>951302.1</v>
      </c>
      <c r="D14" s="2">
        <v>854927.1</v>
      </c>
      <c r="E14" s="2">
        <v>85418.51</v>
      </c>
      <c r="F14" s="2">
        <v>28197546</v>
      </c>
      <c r="G14" t="s">
        <v>20</v>
      </c>
      <c r="H14" s="1">
        <v>22840</v>
      </c>
      <c r="I14" s="2">
        <v>917942.7</v>
      </c>
      <c r="J14" s="2">
        <v>830069</v>
      </c>
      <c r="K14" s="2">
        <v>118448.6</v>
      </c>
      <c r="L14" s="2">
        <v>28197546</v>
      </c>
      <c r="M14" t="s">
        <v>20</v>
      </c>
      <c r="N14" s="1">
        <v>20579</v>
      </c>
      <c r="O14" s="2">
        <v>988326.7</v>
      </c>
      <c r="P14" s="2">
        <v>880237.2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43419</v>
      </c>
      <c r="C15" s="2">
        <v>8489.2080000000005</v>
      </c>
      <c r="D15" s="2">
        <v>92440.63</v>
      </c>
      <c r="E15" s="2">
        <v>-2010000</v>
      </c>
      <c r="F15" s="2">
        <v>6900000</v>
      </c>
      <c r="G15" t="s">
        <v>190</v>
      </c>
      <c r="H15" s="1">
        <v>22840</v>
      </c>
      <c r="I15" s="2">
        <v>15197.28</v>
      </c>
      <c r="J15" s="2">
        <v>70588.7</v>
      </c>
      <c r="K15" s="1">
        <v>-1850000</v>
      </c>
      <c r="L15" s="1">
        <v>2950000</v>
      </c>
      <c r="M15" t="s">
        <v>190</v>
      </c>
      <c r="N15" s="1">
        <v>20579</v>
      </c>
      <c r="O15" s="2">
        <v>1044.1300000000001</v>
      </c>
      <c r="P15" s="2">
        <v>111329.4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43419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22840</v>
      </c>
      <c r="I16">
        <v>1.2E-2</v>
      </c>
      <c r="J16">
        <v>0.11</v>
      </c>
      <c r="K16">
        <v>0</v>
      </c>
      <c r="L16">
        <v>1</v>
      </c>
      <c r="M16" t="s">
        <v>21</v>
      </c>
      <c r="N16" s="1">
        <v>20579</v>
      </c>
      <c r="O16">
        <v>1.4E-2</v>
      </c>
      <c r="P16">
        <v>0.11899999999999999</v>
      </c>
      <c r="Q16">
        <v>0</v>
      </c>
      <c r="R16">
        <v>1</v>
      </c>
    </row>
    <row r="17" spans="1:18" x14ac:dyDescent="0.25">
      <c r="A17" t="s">
        <v>22</v>
      </c>
      <c r="B17" s="1">
        <v>43419</v>
      </c>
      <c r="C17">
        <v>3.5000000000000003E-2</v>
      </c>
      <c r="D17">
        <v>0.184</v>
      </c>
      <c r="E17">
        <v>0</v>
      </c>
      <c r="F17">
        <v>1</v>
      </c>
      <c r="G17" t="s">
        <v>22</v>
      </c>
      <c r="H17" s="1">
        <v>22840</v>
      </c>
      <c r="I17">
        <v>3.5000000000000003E-2</v>
      </c>
      <c r="J17">
        <v>0.183</v>
      </c>
      <c r="K17">
        <v>0</v>
      </c>
      <c r="L17">
        <v>1</v>
      </c>
      <c r="M17" t="s">
        <v>22</v>
      </c>
      <c r="N17" s="1">
        <v>20579</v>
      </c>
      <c r="O17">
        <v>3.5999999999999997E-2</v>
      </c>
      <c r="P17">
        <v>0.185</v>
      </c>
      <c r="Q17">
        <v>0</v>
      </c>
      <c r="R17">
        <v>1</v>
      </c>
    </row>
    <row r="18" spans="1:18" x14ac:dyDescent="0.25">
      <c r="A18" t="s">
        <v>23</v>
      </c>
      <c r="B18" s="1">
        <v>43419</v>
      </c>
      <c r="C18">
        <v>7.0000000000000001E-3</v>
      </c>
      <c r="D18">
        <v>8.5000000000000006E-2</v>
      </c>
      <c r="E18">
        <v>0</v>
      </c>
      <c r="F18">
        <v>1</v>
      </c>
      <c r="G18" t="s">
        <v>23</v>
      </c>
      <c r="H18" s="1">
        <v>22840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20579</v>
      </c>
      <c r="O18">
        <v>7.0000000000000001E-3</v>
      </c>
      <c r="P18">
        <v>8.3000000000000004E-2</v>
      </c>
      <c r="Q18">
        <v>0</v>
      </c>
      <c r="R18">
        <v>1</v>
      </c>
    </row>
    <row r="19" spans="1:18" x14ac:dyDescent="0.25">
      <c r="A19" t="s">
        <v>24</v>
      </c>
      <c r="B19" s="1">
        <v>43419</v>
      </c>
      <c r="C19">
        <v>8.8999999999999996E-2</v>
      </c>
      <c r="D19">
        <v>0.28499999999999998</v>
      </c>
      <c r="E19">
        <v>0</v>
      </c>
      <c r="F19">
        <v>1</v>
      </c>
      <c r="G19" t="s">
        <v>24</v>
      </c>
      <c r="H19" s="1">
        <v>22840</v>
      </c>
      <c r="I19">
        <v>9.0999999999999998E-2</v>
      </c>
      <c r="J19">
        <v>0.28799999999999998</v>
      </c>
      <c r="K19">
        <v>0</v>
      </c>
      <c r="L19">
        <v>1</v>
      </c>
      <c r="M19" t="s">
        <v>24</v>
      </c>
      <c r="N19" s="1">
        <v>20579</v>
      </c>
      <c r="O19">
        <v>8.6999999999999994E-2</v>
      </c>
      <c r="P19">
        <v>0.28199999999999997</v>
      </c>
      <c r="Q19">
        <v>0</v>
      </c>
      <c r="R19">
        <v>1</v>
      </c>
    </row>
    <row r="20" spans="1:18" x14ac:dyDescent="0.25">
      <c r="A20" t="s">
        <v>25</v>
      </c>
      <c r="B20" s="1">
        <v>43419</v>
      </c>
      <c r="C20">
        <v>0.29399999999999998</v>
      </c>
      <c r="D20">
        <v>0.45600000000000002</v>
      </c>
      <c r="E20">
        <v>0</v>
      </c>
      <c r="F20">
        <v>1</v>
      </c>
      <c r="G20" t="s">
        <v>25</v>
      </c>
      <c r="H20" s="1">
        <v>22840</v>
      </c>
      <c r="I20">
        <v>0.29399999999999998</v>
      </c>
      <c r="J20">
        <v>0.45500000000000002</v>
      </c>
      <c r="K20">
        <v>0</v>
      </c>
      <c r="L20">
        <v>1</v>
      </c>
      <c r="M20" t="s">
        <v>25</v>
      </c>
      <c r="N20" s="1">
        <v>20579</v>
      </c>
      <c r="O20">
        <v>0.29499999999999998</v>
      </c>
      <c r="P20">
        <v>0.45600000000000002</v>
      </c>
      <c r="Q20">
        <v>0</v>
      </c>
      <c r="R20">
        <v>1</v>
      </c>
    </row>
    <row r="21" spans="1:18" x14ac:dyDescent="0.25">
      <c r="A21" t="s">
        <v>26</v>
      </c>
      <c r="B21" s="1">
        <v>43419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22840</v>
      </c>
      <c r="I21">
        <v>0.153</v>
      </c>
      <c r="J21">
        <v>0.36</v>
      </c>
      <c r="K21">
        <v>0</v>
      </c>
      <c r="L21">
        <v>1</v>
      </c>
      <c r="M21" t="s">
        <v>26</v>
      </c>
      <c r="N21" s="1">
        <v>20579</v>
      </c>
      <c r="O21">
        <v>0.16500000000000001</v>
      </c>
      <c r="P21">
        <v>0.371</v>
      </c>
      <c r="Q21">
        <v>0</v>
      </c>
      <c r="R21">
        <v>1</v>
      </c>
    </row>
    <row r="22" spans="1:18" x14ac:dyDescent="0.25">
      <c r="A22" t="s">
        <v>27</v>
      </c>
      <c r="B22" s="1">
        <v>43419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22840</v>
      </c>
      <c r="I22">
        <v>3.7999999999999999E-2</v>
      </c>
      <c r="J22">
        <v>0.19</v>
      </c>
      <c r="K22">
        <v>0</v>
      </c>
      <c r="L22">
        <v>1</v>
      </c>
      <c r="M22" t="s">
        <v>27</v>
      </c>
      <c r="N22" s="1">
        <v>20579</v>
      </c>
      <c r="O22">
        <v>3.5000000000000003E-2</v>
      </c>
      <c r="P22">
        <v>0.183</v>
      </c>
      <c r="Q22">
        <v>0</v>
      </c>
      <c r="R22">
        <v>1</v>
      </c>
    </row>
    <row r="23" spans="1:18" x14ac:dyDescent="0.25">
      <c r="A23" t="s">
        <v>28</v>
      </c>
      <c r="B23" s="1">
        <v>43419</v>
      </c>
      <c r="C23">
        <v>0.42399999999999999</v>
      </c>
      <c r="D23">
        <v>0.49399999999999999</v>
      </c>
      <c r="E23">
        <v>0</v>
      </c>
      <c r="F23">
        <v>1</v>
      </c>
      <c r="G23" t="s">
        <v>28</v>
      </c>
      <c r="H23" s="1">
        <v>22840</v>
      </c>
      <c r="I23">
        <v>0.42799999999999999</v>
      </c>
      <c r="J23">
        <v>0.495</v>
      </c>
      <c r="K23">
        <v>0</v>
      </c>
      <c r="L23">
        <v>1</v>
      </c>
      <c r="M23" t="s">
        <v>28</v>
      </c>
      <c r="N23" s="1">
        <v>20579</v>
      </c>
      <c r="O23">
        <v>0.41899999999999998</v>
      </c>
      <c r="P23">
        <v>0.49299999999999999</v>
      </c>
      <c r="Q23">
        <v>0</v>
      </c>
      <c r="R23">
        <v>1</v>
      </c>
    </row>
    <row r="24" spans="1:18" x14ac:dyDescent="0.25">
      <c r="A24" t="s">
        <v>29</v>
      </c>
      <c r="B24" s="1">
        <v>43419</v>
      </c>
      <c r="C24">
        <v>8.0000000000000002E-3</v>
      </c>
      <c r="D24">
        <v>9.1999999999999998E-2</v>
      </c>
      <c r="E24">
        <v>0</v>
      </c>
      <c r="F24">
        <v>1</v>
      </c>
      <c r="G24" t="s">
        <v>29</v>
      </c>
      <c r="H24" s="1">
        <v>22840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20579</v>
      </c>
      <c r="O24">
        <v>8.0000000000000002E-3</v>
      </c>
      <c r="P24">
        <v>9.0999999999999998E-2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43419</v>
      </c>
      <c r="C25">
        <v>1.9E-2</v>
      </c>
      <c r="D25">
        <v>0.13600000000000001</v>
      </c>
      <c r="E25">
        <v>0</v>
      </c>
      <c r="F25">
        <v>1</v>
      </c>
      <c r="G25" t="s">
        <v>30</v>
      </c>
      <c r="H25" s="1">
        <v>22840</v>
      </c>
      <c r="I25">
        <v>1.7000000000000001E-2</v>
      </c>
      <c r="J25">
        <v>0.13</v>
      </c>
      <c r="K25">
        <v>0</v>
      </c>
      <c r="L25">
        <v>1</v>
      </c>
      <c r="M25" t="s">
        <v>30</v>
      </c>
      <c r="N25" s="1">
        <v>20579</v>
      </c>
      <c r="O25">
        <v>2.1000000000000001E-2</v>
      </c>
      <c r="P25">
        <v>0.14399999999999999</v>
      </c>
      <c r="Q25">
        <v>0</v>
      </c>
      <c r="R25">
        <v>1</v>
      </c>
    </row>
    <row r="26" spans="1:18" x14ac:dyDescent="0.25">
      <c r="A26" t="s">
        <v>31</v>
      </c>
      <c r="B26" s="1">
        <v>43419</v>
      </c>
      <c r="C26">
        <v>4.3999999999999997E-2</v>
      </c>
      <c r="D26">
        <v>0.20399999999999999</v>
      </c>
      <c r="E26">
        <v>0</v>
      </c>
      <c r="F26">
        <v>1</v>
      </c>
      <c r="G26" t="s">
        <v>31</v>
      </c>
      <c r="H26" s="1">
        <v>22840</v>
      </c>
      <c r="I26">
        <v>4.3999999999999997E-2</v>
      </c>
      <c r="J26">
        <v>0.20599999999999999</v>
      </c>
      <c r="K26">
        <v>0</v>
      </c>
      <c r="L26">
        <v>1</v>
      </c>
      <c r="M26" t="s">
        <v>31</v>
      </c>
      <c r="N26" s="1">
        <v>20579</v>
      </c>
      <c r="O26">
        <v>4.2999999999999997E-2</v>
      </c>
      <c r="P26">
        <v>0.20200000000000001</v>
      </c>
      <c r="Q26">
        <v>0</v>
      </c>
      <c r="R26">
        <v>1</v>
      </c>
    </row>
    <row r="27" spans="1:18" x14ac:dyDescent="0.25">
      <c r="A27" t="s">
        <v>32</v>
      </c>
      <c r="B27" s="1">
        <v>43419</v>
      </c>
      <c r="C27">
        <v>0.45900000000000002</v>
      </c>
      <c r="D27">
        <v>0.498</v>
      </c>
      <c r="E27">
        <v>0</v>
      </c>
      <c r="F27">
        <v>1</v>
      </c>
      <c r="G27" t="s">
        <v>32</v>
      </c>
      <c r="H27" s="1">
        <v>22840</v>
      </c>
      <c r="I27">
        <v>0.46300000000000002</v>
      </c>
      <c r="J27">
        <v>0.499</v>
      </c>
      <c r="K27">
        <v>0</v>
      </c>
      <c r="L27">
        <v>1</v>
      </c>
      <c r="M27" t="s">
        <v>32</v>
      </c>
      <c r="N27" s="1">
        <v>20579</v>
      </c>
      <c r="O27">
        <v>0.45400000000000001</v>
      </c>
      <c r="P27">
        <v>0.498</v>
      </c>
      <c r="Q27">
        <v>0</v>
      </c>
      <c r="R27">
        <v>1</v>
      </c>
    </row>
    <row r="28" spans="1:18" x14ac:dyDescent="0.25">
      <c r="A28" t="s">
        <v>33</v>
      </c>
      <c r="B28" s="1">
        <v>43419</v>
      </c>
      <c r="C28">
        <v>37.561</v>
      </c>
      <c r="D28">
        <v>19.753</v>
      </c>
      <c r="E28">
        <v>0</v>
      </c>
      <c r="F28">
        <v>123</v>
      </c>
      <c r="G28" t="s">
        <v>33</v>
      </c>
      <c r="H28" s="1">
        <v>22840</v>
      </c>
      <c r="I28">
        <v>36.116</v>
      </c>
      <c r="J28">
        <v>19.527999999999999</v>
      </c>
      <c r="K28">
        <v>0</v>
      </c>
      <c r="L28">
        <v>112</v>
      </c>
      <c r="M28" t="s">
        <v>33</v>
      </c>
      <c r="N28" s="1">
        <v>20579</v>
      </c>
      <c r="O28">
        <v>39.165999999999997</v>
      </c>
      <c r="P28">
        <v>19.878</v>
      </c>
      <c r="Q28">
        <v>0</v>
      </c>
      <c r="R28">
        <v>123</v>
      </c>
    </row>
    <row r="29" spans="1:18" x14ac:dyDescent="0.25">
      <c r="A29" t="s">
        <v>34</v>
      </c>
      <c r="B29" s="1">
        <v>43419</v>
      </c>
      <c r="C29">
        <v>1.8009999999999999</v>
      </c>
      <c r="D29">
        <v>1.5760000000000001</v>
      </c>
      <c r="E29">
        <v>0</v>
      </c>
      <c r="F29">
        <v>15.129</v>
      </c>
      <c r="G29" t="s">
        <v>34</v>
      </c>
      <c r="H29" s="1">
        <v>22840</v>
      </c>
      <c r="I29">
        <v>1.6859999999999999</v>
      </c>
      <c r="J29">
        <v>1.5009999999999999</v>
      </c>
      <c r="K29">
        <v>0</v>
      </c>
      <c r="L29">
        <v>12.544</v>
      </c>
      <c r="M29" t="s">
        <v>34</v>
      </c>
      <c r="N29" s="1">
        <v>20579</v>
      </c>
      <c r="O29">
        <v>1.929</v>
      </c>
      <c r="P29">
        <v>1.6459999999999999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43419</v>
      </c>
      <c r="C30">
        <v>3.161</v>
      </c>
      <c r="D30">
        <v>9.3840000000000003</v>
      </c>
      <c r="E30">
        <v>0</v>
      </c>
      <c r="F30">
        <v>94</v>
      </c>
      <c r="G30" t="s">
        <v>35</v>
      </c>
      <c r="H30" s="1">
        <v>22840</v>
      </c>
      <c r="I30">
        <v>3</v>
      </c>
      <c r="J30">
        <v>9.1140000000000008</v>
      </c>
      <c r="K30">
        <v>0</v>
      </c>
      <c r="L30">
        <v>88</v>
      </c>
      <c r="M30" t="s">
        <v>35</v>
      </c>
      <c r="N30" s="1">
        <v>20579</v>
      </c>
      <c r="O30">
        <v>3.339</v>
      </c>
      <c r="P30">
        <v>9.6709999999999994</v>
      </c>
      <c r="Q30">
        <v>0</v>
      </c>
      <c r="R30">
        <v>94</v>
      </c>
    </row>
    <row r="31" spans="1:18" x14ac:dyDescent="0.25">
      <c r="A31" t="s">
        <v>18</v>
      </c>
      <c r="B31" s="1">
        <v>43419</v>
      </c>
      <c r="C31" s="2">
        <v>1483.001</v>
      </c>
      <c r="D31" s="2">
        <v>1001.289</v>
      </c>
      <c r="E31">
        <v>175</v>
      </c>
      <c r="F31" s="1">
        <v>23350</v>
      </c>
      <c r="G31" t="s">
        <v>18</v>
      </c>
      <c r="H31" s="1">
        <v>22840</v>
      </c>
      <c r="I31" s="2">
        <v>1474.2090000000001</v>
      </c>
      <c r="J31">
        <v>978.07</v>
      </c>
      <c r="K31">
        <v>195</v>
      </c>
      <c r="L31" s="1">
        <v>23350</v>
      </c>
      <c r="M31" t="s">
        <v>18</v>
      </c>
      <c r="N31" s="1">
        <v>20579</v>
      </c>
      <c r="O31" s="2">
        <v>1492.76</v>
      </c>
      <c r="P31" s="2">
        <v>1026.3800000000001</v>
      </c>
      <c r="Q31">
        <v>175</v>
      </c>
      <c r="R31" s="1">
        <v>18919</v>
      </c>
    </row>
    <row r="32" spans="1:18" x14ac:dyDescent="0.25">
      <c r="A32" t="s">
        <v>37</v>
      </c>
      <c r="B32" s="1">
        <v>43419</v>
      </c>
      <c r="C32">
        <v>2.99</v>
      </c>
      <c r="D32">
        <v>5.8550000000000004</v>
      </c>
      <c r="E32">
        <v>1.4E-2</v>
      </c>
      <c r="F32">
        <v>128.91800000000001</v>
      </c>
      <c r="G32" t="s">
        <v>37</v>
      </c>
      <c r="H32" s="1">
        <v>22840</v>
      </c>
      <c r="I32">
        <v>2.8719999999999999</v>
      </c>
      <c r="J32">
        <v>5.6779999999999999</v>
      </c>
      <c r="K32">
        <v>1.4E-2</v>
      </c>
      <c r="L32">
        <v>128.91800000000001</v>
      </c>
      <c r="M32" t="s">
        <v>37</v>
      </c>
      <c r="N32" s="1">
        <v>20579</v>
      </c>
      <c r="O32">
        <v>3.121</v>
      </c>
      <c r="P32">
        <v>6.0430000000000001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43419</v>
      </c>
      <c r="C33">
        <v>2.0779999999999998</v>
      </c>
      <c r="D33">
        <v>2.4390000000000001</v>
      </c>
      <c r="E33">
        <v>0</v>
      </c>
      <c r="F33">
        <v>13.552</v>
      </c>
      <c r="G33" t="s">
        <v>164</v>
      </c>
      <c r="H33" s="1">
        <v>22840</v>
      </c>
      <c r="I33">
        <v>2.1120000000000001</v>
      </c>
      <c r="J33">
        <v>2.4860000000000002</v>
      </c>
      <c r="K33">
        <v>0</v>
      </c>
      <c r="L33">
        <v>13.552</v>
      </c>
      <c r="M33" t="s">
        <v>164</v>
      </c>
      <c r="N33" s="1">
        <v>20579</v>
      </c>
      <c r="O33">
        <v>2.0419999999999998</v>
      </c>
      <c r="P33">
        <v>2.3860000000000001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43419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22840</v>
      </c>
      <c r="I34">
        <v>0.42099999999999999</v>
      </c>
      <c r="J34">
        <v>0.30599999999999999</v>
      </c>
      <c r="K34">
        <v>0</v>
      </c>
      <c r="L34">
        <v>3.302</v>
      </c>
      <c r="M34" t="s">
        <v>39</v>
      </c>
      <c r="N34" s="1">
        <v>20579</v>
      </c>
      <c r="O34">
        <v>0.42799999999999999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43419</v>
      </c>
      <c r="C35">
        <v>4.0369999999999999</v>
      </c>
      <c r="D35">
        <v>3.9329999999999998</v>
      </c>
      <c r="E35">
        <v>0.01</v>
      </c>
      <c r="F35">
        <v>20.997</v>
      </c>
      <c r="G35" t="s">
        <v>40</v>
      </c>
      <c r="H35" s="1">
        <v>22840</v>
      </c>
      <c r="I35">
        <v>3.931</v>
      </c>
      <c r="J35">
        <v>3.823</v>
      </c>
      <c r="K35">
        <v>1.4999999999999999E-2</v>
      </c>
      <c r="L35">
        <v>20.997</v>
      </c>
      <c r="M35" t="s">
        <v>40</v>
      </c>
      <c r="N35" s="1">
        <v>20579</v>
      </c>
      <c r="O35">
        <v>4.1559999999999997</v>
      </c>
      <c r="P35">
        <v>4.0490000000000004</v>
      </c>
      <c r="Q35">
        <v>0.01</v>
      </c>
      <c r="R35">
        <v>20.927</v>
      </c>
    </row>
    <row r="36" spans="1:18" x14ac:dyDescent="0.25">
      <c r="A36" t="s">
        <v>41</v>
      </c>
      <c r="B36" s="1">
        <v>43419</v>
      </c>
      <c r="C36">
        <v>9.0809999999999995</v>
      </c>
      <c r="D36">
        <v>5.6109999999999998</v>
      </c>
      <c r="E36">
        <v>0.99299999999999999</v>
      </c>
      <c r="F36">
        <v>30.986000000000001</v>
      </c>
      <c r="G36" t="s">
        <v>41</v>
      </c>
      <c r="H36" s="1">
        <v>22840</v>
      </c>
      <c r="I36">
        <v>9.077</v>
      </c>
      <c r="J36">
        <v>5.6150000000000002</v>
      </c>
      <c r="K36">
        <v>0.99299999999999999</v>
      </c>
      <c r="L36">
        <v>30.003</v>
      </c>
      <c r="M36" t="s">
        <v>41</v>
      </c>
      <c r="N36" s="1">
        <v>20579</v>
      </c>
      <c r="O36">
        <v>9.0850000000000009</v>
      </c>
      <c r="P36">
        <v>5.6059999999999999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43419</v>
      </c>
      <c r="C37">
        <v>1.159</v>
      </c>
      <c r="D37">
        <v>4.5750000000000002</v>
      </c>
      <c r="E37">
        <v>1.6E-2</v>
      </c>
      <c r="F37">
        <v>196.49</v>
      </c>
      <c r="G37" t="s">
        <v>173</v>
      </c>
      <c r="H37" s="1">
        <v>22840</v>
      </c>
      <c r="I37">
        <v>1.159</v>
      </c>
      <c r="J37">
        <v>4.734</v>
      </c>
      <c r="K37">
        <v>2.5999999999999999E-2</v>
      </c>
      <c r="L37">
        <v>196.49</v>
      </c>
      <c r="M37" t="s">
        <v>173</v>
      </c>
      <c r="N37" s="1">
        <v>20579</v>
      </c>
      <c r="O37">
        <v>1.1579999999999999</v>
      </c>
      <c r="P37">
        <v>4.391</v>
      </c>
      <c r="Q37">
        <v>1.6E-2</v>
      </c>
      <c r="R37">
        <v>196.49</v>
      </c>
    </row>
    <row r="38" spans="1:18" x14ac:dyDescent="0.25">
      <c r="A38" t="s">
        <v>174</v>
      </c>
      <c r="B38" s="1">
        <v>43419</v>
      </c>
      <c r="C38">
        <v>2.19</v>
      </c>
      <c r="D38">
        <v>1.59</v>
      </c>
      <c r="E38">
        <v>3.6999999999999998E-2</v>
      </c>
      <c r="F38">
        <v>17.684000000000001</v>
      </c>
      <c r="G38" t="s">
        <v>174</v>
      </c>
      <c r="H38" s="1">
        <v>22840</v>
      </c>
      <c r="I38">
        <v>2.17</v>
      </c>
      <c r="J38">
        <v>1.5720000000000001</v>
      </c>
      <c r="K38">
        <v>4.2999999999999997E-2</v>
      </c>
      <c r="L38">
        <v>17.684000000000001</v>
      </c>
      <c r="M38" t="s">
        <v>174</v>
      </c>
      <c r="N38" s="1">
        <v>20579</v>
      </c>
      <c r="O38">
        <v>2.2120000000000002</v>
      </c>
      <c r="P38">
        <v>1.609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43419</v>
      </c>
      <c r="C39">
        <v>2.15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22840</v>
      </c>
      <c r="I39">
        <v>2.125</v>
      </c>
      <c r="J39">
        <v>1.4950000000000001</v>
      </c>
      <c r="K39">
        <v>3.4000000000000002E-2</v>
      </c>
      <c r="L39">
        <v>17.684000000000001</v>
      </c>
      <c r="M39" t="s">
        <v>175</v>
      </c>
      <c r="N39" s="1">
        <v>20579</v>
      </c>
      <c r="O39">
        <v>2.177</v>
      </c>
      <c r="P39">
        <v>1.5409999999999999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43419</v>
      </c>
      <c r="C40">
        <v>0.24199999999999999</v>
      </c>
      <c r="D40">
        <v>0.17799999999999999</v>
      </c>
      <c r="E40">
        <v>0</v>
      </c>
      <c r="F40">
        <v>0.85</v>
      </c>
      <c r="G40" t="s">
        <v>42</v>
      </c>
      <c r="H40" s="1">
        <v>22840</v>
      </c>
      <c r="I40">
        <v>0.24099999999999999</v>
      </c>
      <c r="J40">
        <v>0.18</v>
      </c>
      <c r="K40">
        <v>0</v>
      </c>
      <c r="L40">
        <v>0.85</v>
      </c>
      <c r="M40" t="s">
        <v>42</v>
      </c>
      <c r="N40" s="1">
        <v>20579</v>
      </c>
      <c r="O40">
        <v>0.24399999999999999</v>
      </c>
      <c r="P40">
        <v>0.17499999999999999</v>
      </c>
      <c r="Q40">
        <v>0</v>
      </c>
      <c r="R40">
        <v>0.85</v>
      </c>
    </row>
    <row r="41" spans="1:18" x14ac:dyDescent="0.25">
      <c r="A41" t="s">
        <v>43</v>
      </c>
      <c r="B41" s="1">
        <v>43419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22840</v>
      </c>
      <c r="I41">
        <v>0.02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20579</v>
      </c>
      <c r="O41">
        <v>2.1000000000000001E-2</v>
      </c>
      <c r="P41">
        <v>3.4000000000000002E-2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43419</v>
      </c>
      <c r="C42">
        <v>0.435</v>
      </c>
      <c r="D42">
        <v>0.19800000000000001</v>
      </c>
      <c r="E42">
        <v>0</v>
      </c>
      <c r="F42">
        <v>1</v>
      </c>
      <c r="G42" t="s">
        <v>44</v>
      </c>
      <c r="H42" s="1">
        <v>22840</v>
      </c>
      <c r="I42">
        <v>0.44</v>
      </c>
      <c r="J42">
        <v>0.19800000000000001</v>
      </c>
      <c r="K42">
        <v>2.0000000000000001E-4</v>
      </c>
      <c r="L42">
        <v>1</v>
      </c>
      <c r="M42" t="s">
        <v>44</v>
      </c>
      <c r="N42" s="1">
        <v>20579</v>
      </c>
      <c r="O42">
        <v>0.43</v>
      </c>
      <c r="P42">
        <v>0.19700000000000001</v>
      </c>
      <c r="Q42">
        <v>0</v>
      </c>
      <c r="R42">
        <v>1</v>
      </c>
    </row>
    <row r="43" spans="1:18" x14ac:dyDescent="0.25">
      <c r="A43" t="s">
        <v>45</v>
      </c>
      <c r="B43" s="1">
        <v>43419</v>
      </c>
      <c r="C43">
        <v>6.9000000000000006E-2</v>
      </c>
      <c r="D43">
        <v>0.1</v>
      </c>
      <c r="E43">
        <v>0</v>
      </c>
      <c r="F43">
        <v>0.69499999999999995</v>
      </c>
      <c r="G43" t="s">
        <v>45</v>
      </c>
      <c r="H43" s="1">
        <v>22840</v>
      </c>
      <c r="I43">
        <v>6.8000000000000005E-2</v>
      </c>
      <c r="J43">
        <v>9.8000000000000004E-2</v>
      </c>
      <c r="K43">
        <v>0</v>
      </c>
      <c r="L43">
        <v>0.69499999999999995</v>
      </c>
      <c r="M43" t="s">
        <v>45</v>
      </c>
      <c r="N43" s="1">
        <v>20579</v>
      </c>
      <c r="O43">
        <v>7.0000000000000007E-2</v>
      </c>
      <c r="P43">
        <v>0.10199999999999999</v>
      </c>
      <c r="Q43">
        <v>0</v>
      </c>
      <c r="R43">
        <v>0.69499999999999995</v>
      </c>
    </row>
    <row r="44" spans="1:18" x14ac:dyDescent="0.25">
      <c r="A44" t="s">
        <v>46</v>
      </c>
      <c r="B44" s="1">
        <v>43419</v>
      </c>
      <c r="C44">
        <v>0.878</v>
      </c>
      <c r="D44">
        <v>0.16600000000000001</v>
      </c>
      <c r="E44">
        <v>4.0000000000000002E-4</v>
      </c>
      <c r="F44">
        <v>1</v>
      </c>
      <c r="G44" t="s">
        <v>46</v>
      </c>
      <c r="H44" s="1">
        <v>22840</v>
      </c>
      <c r="I44">
        <v>0.879</v>
      </c>
      <c r="J44">
        <v>0.16900000000000001</v>
      </c>
      <c r="K44">
        <v>4.0000000000000002E-4</v>
      </c>
      <c r="L44">
        <v>1</v>
      </c>
      <c r="M44" t="s">
        <v>46</v>
      </c>
      <c r="N44" s="1">
        <v>20579</v>
      </c>
      <c r="O44">
        <v>0.878</v>
      </c>
      <c r="P44">
        <v>0.16200000000000001</v>
      </c>
      <c r="Q44">
        <v>0.107</v>
      </c>
      <c r="R44">
        <v>1</v>
      </c>
    </row>
    <row r="45" spans="1:18" x14ac:dyDescent="0.25">
      <c r="A45" t="s">
        <v>47</v>
      </c>
      <c r="B45" s="1">
        <v>43419</v>
      </c>
      <c r="C45">
        <v>0.121</v>
      </c>
      <c r="D45">
        <v>0.16400000000000001</v>
      </c>
      <c r="E45">
        <v>0</v>
      </c>
      <c r="F45">
        <v>0.89300000000000002</v>
      </c>
      <c r="G45" t="s">
        <v>47</v>
      </c>
      <c r="H45" s="1">
        <v>22840</v>
      </c>
      <c r="I45">
        <v>0.12</v>
      </c>
      <c r="J45">
        <v>0.16700000000000001</v>
      </c>
      <c r="K45">
        <v>0</v>
      </c>
      <c r="L45">
        <v>0.89300000000000002</v>
      </c>
      <c r="M45" t="s">
        <v>47</v>
      </c>
      <c r="N45" s="1">
        <v>20579</v>
      </c>
      <c r="O45">
        <v>0.121</v>
      </c>
      <c r="P45">
        <v>0.16</v>
      </c>
      <c r="Q45">
        <v>0</v>
      </c>
      <c r="R45">
        <v>0.89300000000000002</v>
      </c>
    </row>
    <row r="46" spans="1:18" x14ac:dyDescent="0.25">
      <c r="A46" t="s">
        <v>48</v>
      </c>
      <c r="B46" s="1">
        <v>43419</v>
      </c>
      <c r="C46">
        <v>0.66300000000000003</v>
      </c>
      <c r="D46">
        <v>0.20499999999999999</v>
      </c>
      <c r="E46">
        <v>0</v>
      </c>
      <c r="F46">
        <v>1</v>
      </c>
      <c r="G46" t="s">
        <v>48</v>
      </c>
      <c r="H46" s="1">
        <v>22840</v>
      </c>
      <c r="I46">
        <v>0.66700000000000004</v>
      </c>
      <c r="J46">
        <v>0.20200000000000001</v>
      </c>
      <c r="K46">
        <v>4.0000000000000002E-4</v>
      </c>
      <c r="L46">
        <v>1</v>
      </c>
      <c r="M46" t="s">
        <v>48</v>
      </c>
      <c r="N46" s="1">
        <v>20579</v>
      </c>
      <c r="O46">
        <v>0.65900000000000003</v>
      </c>
      <c r="P46">
        <v>0.20699999999999999</v>
      </c>
      <c r="Q46">
        <v>0</v>
      </c>
      <c r="R46">
        <v>1</v>
      </c>
    </row>
    <row r="47" spans="1:18" x14ac:dyDescent="0.25">
      <c r="A47" t="s">
        <v>49</v>
      </c>
      <c r="B47" s="1">
        <v>43419</v>
      </c>
      <c r="C47">
        <v>0.33600000000000002</v>
      </c>
      <c r="D47">
        <v>0.20399999999999999</v>
      </c>
      <c r="E47">
        <v>0</v>
      </c>
      <c r="F47">
        <v>1</v>
      </c>
      <c r="G47" t="s">
        <v>49</v>
      </c>
      <c r="H47" s="1">
        <v>22840</v>
      </c>
      <c r="I47">
        <v>0.33200000000000002</v>
      </c>
      <c r="J47">
        <v>0.20200000000000001</v>
      </c>
      <c r="K47">
        <v>0</v>
      </c>
      <c r="L47">
        <v>0.98599999999999999</v>
      </c>
      <c r="M47" t="s">
        <v>49</v>
      </c>
      <c r="N47" s="1">
        <v>20579</v>
      </c>
      <c r="O47">
        <v>0.33900000000000002</v>
      </c>
      <c r="P47">
        <v>0.20699999999999999</v>
      </c>
      <c r="Q47">
        <v>0</v>
      </c>
      <c r="R47">
        <v>1</v>
      </c>
    </row>
    <row r="48" spans="1:18" x14ac:dyDescent="0.25">
      <c r="A48" t="s">
        <v>50</v>
      </c>
      <c r="B48" s="1">
        <v>43419</v>
      </c>
      <c r="C48">
        <v>17.015999999999998</v>
      </c>
      <c r="D48">
        <v>46.829000000000001</v>
      </c>
      <c r="E48">
        <v>0</v>
      </c>
      <c r="F48" s="1">
        <v>1000</v>
      </c>
      <c r="G48" t="s">
        <v>50</v>
      </c>
      <c r="H48" s="1">
        <v>22840</v>
      </c>
      <c r="I48">
        <v>16.016999999999999</v>
      </c>
      <c r="J48">
        <v>44.514000000000003</v>
      </c>
      <c r="K48">
        <v>0</v>
      </c>
      <c r="L48">
        <v>667</v>
      </c>
      <c r="M48" t="s">
        <v>50</v>
      </c>
      <c r="N48" s="1">
        <v>20579</v>
      </c>
      <c r="O48">
        <v>18.125</v>
      </c>
      <c r="P48">
        <v>49.247999999999998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43419</v>
      </c>
      <c r="C49">
        <v>0.71899999999999997</v>
      </c>
      <c r="D49">
        <v>1.5369999999999999</v>
      </c>
      <c r="E49">
        <v>0</v>
      </c>
      <c r="F49">
        <v>36</v>
      </c>
      <c r="G49" t="s">
        <v>51</v>
      </c>
      <c r="H49" s="1">
        <v>22840</v>
      </c>
      <c r="I49">
        <v>0.73</v>
      </c>
      <c r="J49">
        <v>1.5720000000000001</v>
      </c>
      <c r="K49">
        <v>0</v>
      </c>
      <c r="L49">
        <v>36</v>
      </c>
      <c r="M49" t="s">
        <v>51</v>
      </c>
      <c r="N49" s="1">
        <v>20579</v>
      </c>
      <c r="O49">
        <v>0.70699999999999996</v>
      </c>
      <c r="P49">
        <v>1.496</v>
      </c>
      <c r="Q49">
        <v>0</v>
      </c>
      <c r="R49">
        <v>23</v>
      </c>
    </row>
    <row r="50" spans="1:18" x14ac:dyDescent="0.25">
      <c r="A50" t="s">
        <v>52</v>
      </c>
      <c r="B50" s="1">
        <v>43419</v>
      </c>
      <c r="C50">
        <v>0.41099999999999998</v>
      </c>
      <c r="D50">
        <v>0.49199999999999999</v>
      </c>
      <c r="E50">
        <v>0</v>
      </c>
      <c r="F50">
        <v>1</v>
      </c>
      <c r="G50" t="s">
        <v>52</v>
      </c>
      <c r="H50" s="1">
        <v>22840</v>
      </c>
      <c r="I50">
        <v>0.39</v>
      </c>
      <c r="J50">
        <v>0.48799999999999999</v>
      </c>
      <c r="K50">
        <v>0</v>
      </c>
      <c r="L50">
        <v>1</v>
      </c>
      <c r="M50" t="s">
        <v>52</v>
      </c>
      <c r="N50" s="1">
        <v>20579</v>
      </c>
      <c r="O50">
        <v>0.435</v>
      </c>
      <c r="P50">
        <v>0.496</v>
      </c>
      <c r="Q50">
        <v>0</v>
      </c>
      <c r="R50">
        <v>1</v>
      </c>
    </row>
    <row r="51" spans="1:18" x14ac:dyDescent="0.25">
      <c r="A51" t="s">
        <v>53</v>
      </c>
      <c r="B51" s="1">
        <v>43419</v>
      </c>
      <c r="C51" s="2">
        <v>2361376</v>
      </c>
      <c r="D51" s="2">
        <v>7639.9489999999996</v>
      </c>
      <c r="E51" s="2">
        <v>2350907</v>
      </c>
      <c r="F51" s="2">
        <v>2400056</v>
      </c>
      <c r="G51" t="s">
        <v>53</v>
      </c>
      <c r="H51" s="1">
        <v>22840</v>
      </c>
      <c r="I51" s="2">
        <v>2361358</v>
      </c>
      <c r="J51" s="2">
        <v>7595.1279999999997</v>
      </c>
      <c r="K51" s="2">
        <v>2350907</v>
      </c>
      <c r="L51" s="2">
        <v>2400056</v>
      </c>
      <c r="M51" t="s">
        <v>53</v>
      </c>
      <c r="N51" s="1">
        <v>20579</v>
      </c>
      <c r="O51" s="2">
        <v>2361396</v>
      </c>
      <c r="P51" s="2">
        <v>7689.5230000000001</v>
      </c>
      <c r="Q51" s="2">
        <v>2350907</v>
      </c>
      <c r="R51" s="2">
        <v>2400056</v>
      </c>
    </row>
    <row r="52" spans="1:18" x14ac:dyDescent="0.25">
      <c r="A52" t="s">
        <v>54</v>
      </c>
      <c r="B52" s="1">
        <v>43419</v>
      </c>
      <c r="C52" s="2">
        <v>613206</v>
      </c>
      <c r="D52" s="2">
        <v>13139.06</v>
      </c>
      <c r="E52" s="2">
        <v>579824.19999999995</v>
      </c>
      <c r="F52" s="2">
        <v>638667.69999999995</v>
      </c>
      <c r="G52" t="s">
        <v>54</v>
      </c>
      <c r="H52" s="1">
        <v>22840</v>
      </c>
      <c r="I52" s="2">
        <v>613352.6</v>
      </c>
      <c r="J52" s="2">
        <v>12913.65</v>
      </c>
      <c r="K52" s="2">
        <v>579824.19999999995</v>
      </c>
      <c r="L52" s="2">
        <v>638667.69999999995</v>
      </c>
      <c r="M52" t="s">
        <v>54</v>
      </c>
      <c r="N52" s="1">
        <v>20579</v>
      </c>
      <c r="O52" s="2">
        <v>613043.4</v>
      </c>
      <c r="P52" s="2">
        <v>13383.24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43419</v>
      </c>
      <c r="C53">
        <v>0.54100000000000004</v>
      </c>
      <c r="D53">
        <v>0.498</v>
      </c>
      <c r="E53">
        <v>0</v>
      </c>
      <c r="F53">
        <v>1</v>
      </c>
      <c r="G53" t="s">
        <v>56</v>
      </c>
      <c r="H53" s="1">
        <v>22840</v>
      </c>
      <c r="I53">
        <v>0.53700000000000003</v>
      </c>
      <c r="J53">
        <v>0.499</v>
      </c>
      <c r="K53">
        <v>0</v>
      </c>
      <c r="L53">
        <v>1</v>
      </c>
      <c r="M53" t="s">
        <v>56</v>
      </c>
      <c r="N53" s="1">
        <v>20579</v>
      </c>
      <c r="O53">
        <v>0.54600000000000004</v>
      </c>
      <c r="P53">
        <v>0.498</v>
      </c>
      <c r="Q53">
        <v>0</v>
      </c>
      <c r="R53">
        <v>1</v>
      </c>
    </row>
    <row r="54" spans="1:18" x14ac:dyDescent="0.25">
      <c r="A54" t="s">
        <v>57</v>
      </c>
      <c r="B54" s="1">
        <v>43419</v>
      </c>
      <c r="C54">
        <v>0.45900000000000002</v>
      </c>
      <c r="D54">
        <v>0.498</v>
      </c>
      <c r="E54">
        <v>0</v>
      </c>
      <c r="F54">
        <v>1</v>
      </c>
      <c r="G54" t="s">
        <v>57</v>
      </c>
      <c r="H54" s="1">
        <v>22840</v>
      </c>
      <c r="I54">
        <v>0.46300000000000002</v>
      </c>
      <c r="J54">
        <v>0.499</v>
      </c>
      <c r="K54">
        <v>0</v>
      </c>
      <c r="L54">
        <v>1</v>
      </c>
      <c r="M54" t="s">
        <v>57</v>
      </c>
      <c r="N54" s="1">
        <v>20579</v>
      </c>
      <c r="O54">
        <v>0.45400000000000001</v>
      </c>
      <c r="P54">
        <v>0.498</v>
      </c>
      <c r="Q54">
        <v>0</v>
      </c>
      <c r="R54">
        <v>1</v>
      </c>
    </row>
    <row r="55" spans="1:18" x14ac:dyDescent="0.25">
      <c r="A55" t="s">
        <v>58</v>
      </c>
      <c r="B55" s="1">
        <v>43419</v>
      </c>
      <c r="C55">
        <v>0.34599999999999997</v>
      </c>
      <c r="D55">
        <v>0.47599999999999998</v>
      </c>
      <c r="E55">
        <v>0</v>
      </c>
      <c r="F55">
        <v>1</v>
      </c>
      <c r="G55" t="s">
        <v>58</v>
      </c>
      <c r="H55" s="1">
        <v>22840</v>
      </c>
      <c r="I55">
        <v>0.35799999999999998</v>
      </c>
      <c r="J55">
        <v>0.47899999999999998</v>
      </c>
      <c r="K55">
        <v>0</v>
      </c>
      <c r="L55">
        <v>1</v>
      </c>
      <c r="M55" t="s">
        <v>58</v>
      </c>
      <c r="N55" s="1">
        <v>20579</v>
      </c>
      <c r="O55">
        <v>0.33200000000000002</v>
      </c>
      <c r="P55">
        <v>0.47099999999999997</v>
      </c>
      <c r="Q55">
        <v>0</v>
      </c>
      <c r="R55">
        <v>1</v>
      </c>
    </row>
    <row r="56" spans="1:18" x14ac:dyDescent="0.25">
      <c r="A56" t="s">
        <v>59</v>
      </c>
      <c r="B56" s="1">
        <v>43419</v>
      </c>
      <c r="C56">
        <v>0.33500000000000002</v>
      </c>
      <c r="D56">
        <v>0.47199999999999998</v>
      </c>
      <c r="E56">
        <v>0</v>
      </c>
      <c r="F56">
        <v>1</v>
      </c>
      <c r="G56" t="s">
        <v>59</v>
      </c>
      <c r="H56" s="1">
        <v>22840</v>
      </c>
      <c r="I56">
        <v>0.32800000000000001</v>
      </c>
      <c r="J56">
        <v>0.47</v>
      </c>
      <c r="K56">
        <v>0</v>
      </c>
      <c r="L56">
        <v>1</v>
      </c>
      <c r="M56" t="s">
        <v>59</v>
      </c>
      <c r="N56" s="1">
        <v>20579</v>
      </c>
      <c r="O56">
        <v>0.34200000000000003</v>
      </c>
      <c r="P56">
        <v>0.47499999999999998</v>
      </c>
      <c r="Q56">
        <v>0</v>
      </c>
      <c r="R56">
        <v>1</v>
      </c>
    </row>
    <row r="57" spans="1:18" x14ac:dyDescent="0.25">
      <c r="A57" t="s">
        <v>60</v>
      </c>
      <c r="B57" s="1">
        <v>43419</v>
      </c>
      <c r="C57">
        <v>0.31900000000000001</v>
      </c>
      <c r="D57">
        <v>0.46600000000000003</v>
      </c>
      <c r="E57">
        <v>0</v>
      </c>
      <c r="F57">
        <v>1</v>
      </c>
      <c r="G57" t="s">
        <v>60</v>
      </c>
      <c r="H57" s="1">
        <v>22840</v>
      </c>
      <c r="I57">
        <v>0.313</v>
      </c>
      <c r="J57">
        <v>0.46400000000000002</v>
      </c>
      <c r="K57">
        <v>0</v>
      </c>
      <c r="L57">
        <v>1</v>
      </c>
      <c r="M57" t="s">
        <v>60</v>
      </c>
      <c r="N57" s="1">
        <v>20579</v>
      </c>
      <c r="O57">
        <v>0.32500000000000001</v>
      </c>
      <c r="P57">
        <v>0.46800000000000003</v>
      </c>
      <c r="Q57">
        <v>0</v>
      </c>
      <c r="R57">
        <v>1</v>
      </c>
    </row>
    <row r="58" spans="1:18" x14ac:dyDescent="0.25">
      <c r="A58" t="s">
        <v>61</v>
      </c>
      <c r="B58" s="1">
        <v>43419</v>
      </c>
      <c r="C58" s="2">
        <v>2019.2729999999999</v>
      </c>
      <c r="D58">
        <v>1.9910000000000001</v>
      </c>
      <c r="E58" s="1">
        <v>2016</v>
      </c>
      <c r="F58" s="1">
        <v>2023</v>
      </c>
      <c r="G58" t="s">
        <v>61</v>
      </c>
      <c r="H58" s="1">
        <v>22840</v>
      </c>
      <c r="I58" s="2">
        <v>2017.643</v>
      </c>
      <c r="J58">
        <v>1.171</v>
      </c>
      <c r="K58" s="1">
        <v>2016</v>
      </c>
      <c r="L58" s="1">
        <v>2020</v>
      </c>
      <c r="M58" t="s">
        <v>61</v>
      </c>
      <c r="N58" s="1">
        <v>20579</v>
      </c>
      <c r="O58" s="2">
        <v>2021.0830000000001</v>
      </c>
      <c r="P58">
        <v>0.78600000000000003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43419</v>
      </c>
      <c r="C59">
        <v>0.45800000000000002</v>
      </c>
      <c r="D59">
        <v>0.498</v>
      </c>
      <c r="E59">
        <v>0</v>
      </c>
      <c r="F59">
        <v>1</v>
      </c>
      <c r="G59" t="s">
        <v>62</v>
      </c>
      <c r="H59" s="1">
        <v>22840</v>
      </c>
      <c r="I59">
        <v>0.46</v>
      </c>
      <c r="J59">
        <v>0.498</v>
      </c>
      <c r="K59">
        <v>0</v>
      </c>
      <c r="L59">
        <v>1</v>
      </c>
      <c r="M59" t="s">
        <v>62</v>
      </c>
      <c r="N59" s="1">
        <v>20579</v>
      </c>
      <c r="O59">
        <v>0.45600000000000002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43419</v>
      </c>
      <c r="C60">
        <v>8.0000000000000002E-3</v>
      </c>
      <c r="D60">
        <v>8.8999999999999996E-2</v>
      </c>
      <c r="E60">
        <v>0</v>
      </c>
      <c r="F60">
        <v>1</v>
      </c>
      <c r="G60" t="s">
        <v>63</v>
      </c>
      <c r="H60" s="1">
        <v>22840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20579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43419</v>
      </c>
      <c r="C61">
        <v>0.03</v>
      </c>
      <c r="D61">
        <v>0.17100000000000001</v>
      </c>
      <c r="E61">
        <v>0</v>
      </c>
      <c r="F61">
        <v>1</v>
      </c>
      <c r="G61" t="s">
        <v>64</v>
      </c>
      <c r="H61" s="1">
        <v>22840</v>
      </c>
      <c r="I61">
        <v>2.9000000000000001E-2</v>
      </c>
      <c r="J61">
        <v>0.16800000000000001</v>
      </c>
      <c r="K61">
        <v>0</v>
      </c>
      <c r="L61">
        <v>1</v>
      </c>
      <c r="M61" t="s">
        <v>64</v>
      </c>
      <c r="N61" s="1">
        <v>20579</v>
      </c>
      <c r="O61">
        <v>3.2000000000000001E-2</v>
      </c>
      <c r="P61">
        <v>0.17499999999999999</v>
      </c>
      <c r="Q61">
        <v>0</v>
      </c>
      <c r="R61">
        <v>1</v>
      </c>
    </row>
    <row r="62" spans="1:18" x14ac:dyDescent="0.25">
      <c r="A62" t="s">
        <v>65</v>
      </c>
      <c r="B62" s="1">
        <v>43419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22840</v>
      </c>
      <c r="I62">
        <v>0.14599999999999999</v>
      </c>
      <c r="J62">
        <v>0.35299999999999998</v>
      </c>
      <c r="K62">
        <v>0</v>
      </c>
      <c r="L62">
        <v>1</v>
      </c>
      <c r="M62" t="s">
        <v>65</v>
      </c>
      <c r="N62" s="1">
        <v>20579</v>
      </c>
      <c r="O62">
        <v>0.151</v>
      </c>
      <c r="P62">
        <v>0.35799999999999998</v>
      </c>
      <c r="Q62">
        <v>0</v>
      </c>
      <c r="R62">
        <v>1</v>
      </c>
    </row>
    <row r="63" spans="1:18" x14ac:dyDescent="0.25">
      <c r="A63" t="s">
        <v>66</v>
      </c>
      <c r="B63" s="1">
        <v>43419</v>
      </c>
      <c r="C63">
        <v>0.16500000000000001</v>
      </c>
      <c r="D63">
        <v>0.371</v>
      </c>
      <c r="E63">
        <v>0</v>
      </c>
      <c r="F63">
        <v>1</v>
      </c>
      <c r="G63" t="s">
        <v>66</v>
      </c>
      <c r="H63" s="1">
        <v>22840</v>
      </c>
      <c r="I63">
        <v>0.16</v>
      </c>
      <c r="J63">
        <v>0.36699999999999999</v>
      </c>
      <c r="K63">
        <v>0</v>
      </c>
      <c r="L63">
        <v>1</v>
      </c>
      <c r="M63" t="s">
        <v>66</v>
      </c>
      <c r="N63" s="1">
        <v>20579</v>
      </c>
      <c r="O63">
        <v>0.17100000000000001</v>
      </c>
      <c r="P63">
        <v>0.377</v>
      </c>
      <c r="Q63">
        <v>0</v>
      </c>
      <c r="R63">
        <v>1</v>
      </c>
    </row>
    <row r="64" spans="1:18" x14ac:dyDescent="0.25">
      <c r="A64" t="s">
        <v>67</v>
      </c>
      <c r="B64" s="1">
        <v>43419</v>
      </c>
      <c r="C64">
        <v>3.7999999999999999E-2</v>
      </c>
      <c r="D64">
        <v>0.191</v>
      </c>
      <c r="E64">
        <v>0</v>
      </c>
      <c r="F64">
        <v>1</v>
      </c>
      <c r="G64" t="s">
        <v>67</v>
      </c>
      <c r="H64" s="1">
        <v>22840</v>
      </c>
      <c r="I64">
        <v>0.04</v>
      </c>
      <c r="J64">
        <v>0.19600000000000001</v>
      </c>
      <c r="K64">
        <v>0</v>
      </c>
      <c r="L64">
        <v>1</v>
      </c>
      <c r="M64" t="s">
        <v>67</v>
      </c>
      <c r="N64" s="1">
        <v>20579</v>
      </c>
      <c r="O64">
        <v>3.5999999999999997E-2</v>
      </c>
      <c r="P64">
        <v>0.187</v>
      </c>
      <c r="Q64">
        <v>0</v>
      </c>
      <c r="R64">
        <v>1</v>
      </c>
    </row>
    <row r="65" spans="1:18" x14ac:dyDescent="0.25">
      <c r="A65" t="s">
        <v>68</v>
      </c>
      <c r="B65" s="1">
        <v>43419</v>
      </c>
      <c r="C65">
        <v>0.12</v>
      </c>
      <c r="D65">
        <v>0.32500000000000001</v>
      </c>
      <c r="E65">
        <v>0</v>
      </c>
      <c r="F65">
        <v>1</v>
      </c>
      <c r="G65" t="s">
        <v>68</v>
      </c>
      <c r="H65" s="1">
        <v>22840</v>
      </c>
      <c r="I65">
        <v>0.122</v>
      </c>
      <c r="J65">
        <v>0.32700000000000001</v>
      </c>
      <c r="K65">
        <v>0</v>
      </c>
      <c r="L65">
        <v>1</v>
      </c>
      <c r="M65" t="s">
        <v>68</v>
      </c>
      <c r="N65" s="1">
        <v>20579</v>
      </c>
      <c r="O65">
        <v>0.11899999999999999</v>
      </c>
      <c r="P65">
        <v>0.32400000000000001</v>
      </c>
      <c r="Q65">
        <v>0</v>
      </c>
      <c r="R65">
        <v>1</v>
      </c>
    </row>
    <row r="66" spans="1:18" x14ac:dyDescent="0.25">
      <c r="A66" t="s">
        <v>69</v>
      </c>
      <c r="B66" s="1">
        <v>43419</v>
      </c>
      <c r="C66">
        <v>3.1E-2</v>
      </c>
      <c r="D66">
        <v>0.17399999999999999</v>
      </c>
      <c r="E66">
        <v>0</v>
      </c>
      <c r="F66">
        <v>1</v>
      </c>
      <c r="G66" t="s">
        <v>69</v>
      </c>
      <c r="H66" s="1">
        <v>22840</v>
      </c>
      <c r="I66">
        <v>3.5000000000000003E-2</v>
      </c>
      <c r="J66">
        <v>0.183</v>
      </c>
      <c r="K66">
        <v>0</v>
      </c>
      <c r="L66">
        <v>1</v>
      </c>
      <c r="M66" t="s">
        <v>69</v>
      </c>
      <c r="N66" s="1">
        <v>20579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43419</v>
      </c>
      <c r="C67">
        <v>0.19500000000000001</v>
      </c>
      <c r="D67">
        <v>0.39600000000000002</v>
      </c>
      <c r="E67">
        <v>0</v>
      </c>
      <c r="F67">
        <v>1</v>
      </c>
      <c r="G67" t="s">
        <v>70</v>
      </c>
      <c r="H67" s="1">
        <v>22840</v>
      </c>
      <c r="I67">
        <v>0.193</v>
      </c>
      <c r="J67">
        <v>0.39400000000000002</v>
      </c>
      <c r="K67">
        <v>0</v>
      </c>
      <c r="L67">
        <v>1</v>
      </c>
      <c r="M67" t="s">
        <v>70</v>
      </c>
      <c r="N67" s="1">
        <v>20579</v>
      </c>
      <c r="O67">
        <v>0.19600000000000001</v>
      </c>
      <c r="P67">
        <v>0.39700000000000002</v>
      </c>
      <c r="Q67">
        <v>0</v>
      </c>
      <c r="R67">
        <v>1</v>
      </c>
    </row>
    <row r="68" spans="1:18" x14ac:dyDescent="0.25">
      <c r="A68" t="s">
        <v>71</v>
      </c>
      <c r="B68" s="1">
        <v>43419</v>
      </c>
      <c r="C68">
        <v>0.33400000000000002</v>
      </c>
      <c r="D68">
        <v>0.47199999999999998</v>
      </c>
      <c r="E68">
        <v>0</v>
      </c>
      <c r="F68">
        <v>1</v>
      </c>
      <c r="G68" t="s">
        <v>71</v>
      </c>
      <c r="H68" s="1">
        <v>22840</v>
      </c>
      <c r="I68">
        <v>0.35399999999999998</v>
      </c>
      <c r="J68">
        <v>0.47799999999999998</v>
      </c>
      <c r="K68">
        <v>0</v>
      </c>
      <c r="L68">
        <v>1</v>
      </c>
      <c r="M68" t="s">
        <v>71</v>
      </c>
      <c r="N68" s="1">
        <v>20579</v>
      </c>
      <c r="O68">
        <v>0.313</v>
      </c>
      <c r="P68">
        <v>0.46400000000000002</v>
      </c>
      <c r="Q68">
        <v>0</v>
      </c>
      <c r="R68">
        <v>1</v>
      </c>
    </row>
    <row r="69" spans="1:18" x14ac:dyDescent="0.25">
      <c r="A69" t="s">
        <v>72</v>
      </c>
      <c r="B69" s="1">
        <v>43419</v>
      </c>
      <c r="C69">
        <v>0.42699999999999999</v>
      </c>
      <c r="D69">
        <v>0.495</v>
      </c>
      <c r="E69">
        <v>0</v>
      </c>
      <c r="F69">
        <v>1</v>
      </c>
      <c r="G69" t="s">
        <v>72</v>
      </c>
      <c r="H69" s="1">
        <v>22840</v>
      </c>
      <c r="I69">
        <v>0.40699999999999997</v>
      </c>
      <c r="J69">
        <v>0.49099999999999999</v>
      </c>
      <c r="K69">
        <v>0</v>
      </c>
      <c r="L69">
        <v>1</v>
      </c>
      <c r="M69" t="s">
        <v>72</v>
      </c>
      <c r="N69" s="1">
        <v>20579</v>
      </c>
      <c r="O69">
        <v>0.44900000000000001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43419</v>
      </c>
      <c r="C70">
        <v>4.4999999999999998E-2</v>
      </c>
      <c r="D70">
        <v>0.20599999999999999</v>
      </c>
      <c r="E70">
        <v>0</v>
      </c>
      <c r="F70">
        <v>1</v>
      </c>
      <c r="G70" t="s">
        <v>73</v>
      </c>
      <c r="H70" s="1">
        <v>22840</v>
      </c>
      <c r="I70">
        <v>4.7E-2</v>
      </c>
      <c r="J70">
        <v>0.21199999999999999</v>
      </c>
      <c r="K70">
        <v>0</v>
      </c>
      <c r="L70">
        <v>1</v>
      </c>
      <c r="M70" t="s">
        <v>73</v>
      </c>
      <c r="N70" s="1">
        <v>20579</v>
      </c>
      <c r="O70">
        <v>4.2000000000000003E-2</v>
      </c>
      <c r="P70">
        <v>0.2</v>
      </c>
      <c r="Q70">
        <v>0</v>
      </c>
      <c r="R70">
        <v>1</v>
      </c>
    </row>
    <row r="71" spans="1:18" x14ac:dyDescent="0.25">
      <c r="A71" t="s">
        <v>165</v>
      </c>
      <c r="B71" s="1">
        <v>43419</v>
      </c>
      <c r="C71">
        <v>5.7000000000000002E-2</v>
      </c>
      <c r="D71">
        <v>0.23300000000000001</v>
      </c>
      <c r="E71">
        <v>0</v>
      </c>
      <c r="F71">
        <v>1</v>
      </c>
      <c r="G71" t="s">
        <v>165</v>
      </c>
      <c r="H71" s="1">
        <v>22840</v>
      </c>
      <c r="I71">
        <v>0.06</v>
      </c>
      <c r="J71">
        <v>0.23699999999999999</v>
      </c>
      <c r="K71">
        <v>0</v>
      </c>
      <c r="L71">
        <v>1</v>
      </c>
      <c r="M71" t="s">
        <v>165</v>
      </c>
      <c r="N71" s="1">
        <v>20579</v>
      </c>
      <c r="O71">
        <v>5.5E-2</v>
      </c>
      <c r="P71">
        <v>0.22800000000000001</v>
      </c>
      <c r="Q71">
        <v>0</v>
      </c>
      <c r="R71">
        <v>1</v>
      </c>
    </row>
    <row r="72" spans="1:18" x14ac:dyDescent="0.25">
      <c r="A72" t="s">
        <v>166</v>
      </c>
      <c r="B72" s="1">
        <v>43419</v>
      </c>
      <c r="C72">
        <v>0.26100000000000001</v>
      </c>
      <c r="D72">
        <v>0.439</v>
      </c>
      <c r="E72">
        <v>0</v>
      </c>
      <c r="F72">
        <v>1</v>
      </c>
      <c r="G72" t="s">
        <v>166</v>
      </c>
      <c r="H72" s="1">
        <v>22840</v>
      </c>
      <c r="I72">
        <v>0.26300000000000001</v>
      </c>
      <c r="J72">
        <v>0.44</v>
      </c>
      <c r="K72">
        <v>0</v>
      </c>
      <c r="L72">
        <v>1</v>
      </c>
      <c r="M72" t="s">
        <v>166</v>
      </c>
      <c r="N72" s="1">
        <v>20579</v>
      </c>
      <c r="O72">
        <v>0.26</v>
      </c>
      <c r="P72">
        <v>0.438</v>
      </c>
      <c r="Q72">
        <v>0</v>
      </c>
      <c r="R72">
        <v>1</v>
      </c>
    </row>
    <row r="73" spans="1:18" x14ac:dyDescent="0.25">
      <c r="A73" t="s">
        <v>167</v>
      </c>
      <c r="B73" s="1">
        <v>43419</v>
      </c>
      <c r="C73">
        <v>0.45800000000000002</v>
      </c>
      <c r="D73">
        <v>0.498</v>
      </c>
      <c r="E73">
        <v>0</v>
      </c>
      <c r="F73">
        <v>1</v>
      </c>
      <c r="G73" t="s">
        <v>167</v>
      </c>
      <c r="H73" s="1">
        <v>22840</v>
      </c>
      <c r="I73">
        <v>0.46899999999999997</v>
      </c>
      <c r="J73">
        <v>0.499</v>
      </c>
      <c r="K73">
        <v>0</v>
      </c>
      <c r="L73">
        <v>1</v>
      </c>
      <c r="M73" t="s">
        <v>167</v>
      </c>
      <c r="N73" s="1">
        <v>20579</v>
      </c>
      <c r="O73">
        <v>0.44600000000000001</v>
      </c>
      <c r="P73">
        <v>0.497</v>
      </c>
      <c r="Q73">
        <v>0</v>
      </c>
      <c r="R73">
        <v>1</v>
      </c>
    </row>
    <row r="74" spans="1:18" x14ac:dyDescent="0.25">
      <c r="A74" t="s">
        <v>168</v>
      </c>
      <c r="B74" s="1">
        <v>43419</v>
      </c>
      <c r="C74">
        <v>6.2E-2</v>
      </c>
      <c r="D74">
        <v>0.24</v>
      </c>
      <c r="E74">
        <v>0</v>
      </c>
      <c r="F74">
        <v>1</v>
      </c>
      <c r="G74" t="s">
        <v>168</v>
      </c>
      <c r="H74" s="1">
        <v>22840</v>
      </c>
      <c r="I74">
        <v>0.06</v>
      </c>
      <c r="J74">
        <v>0.23699999999999999</v>
      </c>
      <c r="K74">
        <v>0</v>
      </c>
      <c r="L74">
        <v>1</v>
      </c>
      <c r="M74" t="s">
        <v>168</v>
      </c>
      <c r="N74" s="1">
        <v>20579</v>
      </c>
      <c r="O74">
        <v>6.4000000000000001E-2</v>
      </c>
      <c r="P74">
        <v>0.245</v>
      </c>
      <c r="Q74">
        <v>0</v>
      </c>
      <c r="R74">
        <v>1</v>
      </c>
    </row>
    <row r="75" spans="1:18" x14ac:dyDescent="0.25">
      <c r="A75" t="s">
        <v>169</v>
      </c>
      <c r="B75" s="1">
        <v>43419</v>
      </c>
      <c r="C75">
        <v>0.123</v>
      </c>
      <c r="D75">
        <v>0.32800000000000001</v>
      </c>
      <c r="E75">
        <v>0</v>
      </c>
      <c r="F75">
        <v>1</v>
      </c>
      <c r="G75" t="s">
        <v>169</v>
      </c>
      <c r="H75" s="1">
        <v>22840</v>
      </c>
      <c r="I75">
        <v>0.115</v>
      </c>
      <c r="J75">
        <v>0.31900000000000001</v>
      </c>
      <c r="K75">
        <v>0</v>
      </c>
      <c r="L75">
        <v>1</v>
      </c>
      <c r="M75" t="s">
        <v>169</v>
      </c>
      <c r="N75" s="1">
        <v>20579</v>
      </c>
      <c r="O75">
        <v>0.13100000000000001</v>
      </c>
      <c r="P75">
        <v>0.33800000000000002</v>
      </c>
      <c r="Q75">
        <v>0</v>
      </c>
      <c r="R75">
        <v>1</v>
      </c>
    </row>
    <row r="76" spans="1:18" x14ac:dyDescent="0.25">
      <c r="A76" t="s">
        <v>170</v>
      </c>
      <c r="B76" s="1">
        <v>43419</v>
      </c>
      <c r="C76">
        <v>3.9E-2</v>
      </c>
      <c r="D76">
        <v>0.193</v>
      </c>
      <c r="E76">
        <v>0</v>
      </c>
      <c r="F76">
        <v>1</v>
      </c>
      <c r="G76" t="s">
        <v>170</v>
      </c>
      <c r="H76" s="1">
        <v>22840</v>
      </c>
      <c r="I76">
        <v>3.3000000000000002E-2</v>
      </c>
      <c r="J76">
        <v>0.18</v>
      </c>
      <c r="K76">
        <v>0</v>
      </c>
      <c r="L76">
        <v>1</v>
      </c>
      <c r="M76" t="s">
        <v>170</v>
      </c>
      <c r="N76" s="1">
        <v>20579</v>
      </c>
      <c r="O76">
        <v>4.3999999999999997E-2</v>
      </c>
      <c r="P76">
        <v>0.20599999999999999</v>
      </c>
      <c r="Q76">
        <v>0</v>
      </c>
      <c r="R76">
        <v>1</v>
      </c>
    </row>
    <row r="77" spans="1:18" x14ac:dyDescent="0.25">
      <c r="A77" t="s">
        <v>79</v>
      </c>
      <c r="B77" s="1">
        <v>43419</v>
      </c>
      <c r="C77">
        <v>0.13</v>
      </c>
      <c r="D77">
        <v>0.33600000000000002</v>
      </c>
      <c r="E77">
        <v>0</v>
      </c>
      <c r="F77">
        <v>1</v>
      </c>
      <c r="G77" t="s">
        <v>79</v>
      </c>
      <c r="H77" s="1">
        <v>22840</v>
      </c>
      <c r="I77">
        <v>0.13600000000000001</v>
      </c>
      <c r="J77">
        <v>0.34300000000000003</v>
      </c>
      <c r="K77">
        <v>0</v>
      </c>
      <c r="L77">
        <v>1</v>
      </c>
      <c r="M77" t="s">
        <v>79</v>
      </c>
      <c r="N77" s="1">
        <v>20579</v>
      </c>
      <c r="O77">
        <v>0.123</v>
      </c>
      <c r="P77">
        <v>0.32900000000000001</v>
      </c>
      <c r="Q77">
        <v>0</v>
      </c>
      <c r="R77">
        <v>1</v>
      </c>
    </row>
    <row r="78" spans="1:18" x14ac:dyDescent="0.25">
      <c r="A78" t="s">
        <v>80</v>
      </c>
      <c r="B78" s="1">
        <v>43419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22840</v>
      </c>
      <c r="I78">
        <v>6.0000000000000001E-3</v>
      </c>
      <c r="J78">
        <v>7.3999999999999996E-2</v>
      </c>
      <c r="K78">
        <v>0</v>
      </c>
      <c r="L78">
        <v>1</v>
      </c>
      <c r="M78" t="s">
        <v>80</v>
      </c>
      <c r="N78" s="1">
        <v>20579</v>
      </c>
      <c r="O78">
        <v>7.0000000000000001E-3</v>
      </c>
      <c r="P78">
        <v>8.2000000000000003E-2</v>
      </c>
      <c r="Q78">
        <v>0</v>
      </c>
      <c r="R78">
        <v>1</v>
      </c>
    </row>
    <row r="79" spans="1:18" x14ac:dyDescent="0.25">
      <c r="A79" t="s">
        <v>81</v>
      </c>
      <c r="B79" s="1">
        <v>43419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22840</v>
      </c>
      <c r="I79">
        <v>2E-3</v>
      </c>
      <c r="J79">
        <v>4.1000000000000002E-2</v>
      </c>
      <c r="K79">
        <v>0</v>
      </c>
      <c r="L79">
        <v>1</v>
      </c>
      <c r="M79" t="s">
        <v>81</v>
      </c>
      <c r="N79" s="1">
        <v>20579</v>
      </c>
      <c r="O79">
        <v>2E-3</v>
      </c>
      <c r="P79">
        <v>4.2999999999999997E-2</v>
      </c>
      <c r="Q79">
        <v>0</v>
      </c>
      <c r="R79">
        <v>1</v>
      </c>
    </row>
    <row r="80" spans="1:18" x14ac:dyDescent="0.25">
      <c r="A80" t="s">
        <v>82</v>
      </c>
      <c r="B80" s="1">
        <v>43419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22840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20579</v>
      </c>
      <c r="O80">
        <v>4.2999999999999997E-2</v>
      </c>
      <c r="P80">
        <v>0.20200000000000001</v>
      </c>
      <c r="Q80">
        <v>0</v>
      </c>
      <c r="R80">
        <v>1</v>
      </c>
    </row>
    <row r="81" spans="1:18" x14ac:dyDescent="0.25">
      <c r="A81" t="s">
        <v>83</v>
      </c>
      <c r="B81" s="1">
        <v>43419</v>
      </c>
      <c r="C81">
        <v>0.40100000000000002</v>
      </c>
      <c r="D81">
        <v>0.49</v>
      </c>
      <c r="E81">
        <v>0</v>
      </c>
      <c r="F81">
        <v>1</v>
      </c>
      <c r="G81" t="s">
        <v>83</v>
      </c>
      <c r="H81" s="1">
        <v>22840</v>
      </c>
      <c r="I81">
        <v>0.39800000000000002</v>
      </c>
      <c r="J81">
        <v>0.48899999999999999</v>
      </c>
      <c r="K81">
        <v>0</v>
      </c>
      <c r="L81">
        <v>1</v>
      </c>
      <c r="M81" t="s">
        <v>83</v>
      </c>
      <c r="N81" s="1">
        <v>20579</v>
      </c>
      <c r="O81">
        <v>0.40500000000000003</v>
      </c>
      <c r="P81">
        <v>0.49099999999999999</v>
      </c>
      <c r="Q81">
        <v>0</v>
      </c>
      <c r="R81">
        <v>1</v>
      </c>
    </row>
    <row r="82" spans="1:18" x14ac:dyDescent="0.25">
      <c r="A82" t="s">
        <v>84</v>
      </c>
      <c r="B82" s="1">
        <v>43419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22840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20579</v>
      </c>
      <c r="O82">
        <v>8.9999999999999993E-3</v>
      </c>
      <c r="P82">
        <v>9.5000000000000001E-2</v>
      </c>
      <c r="Q82">
        <v>0</v>
      </c>
      <c r="R82">
        <v>1</v>
      </c>
    </row>
    <row r="83" spans="1:18" x14ac:dyDescent="0.25">
      <c r="A83" t="s">
        <v>85</v>
      </c>
      <c r="B83" s="1">
        <v>43419</v>
      </c>
      <c r="C83">
        <v>0.41099999999999998</v>
      </c>
      <c r="D83">
        <v>0.49199999999999999</v>
      </c>
      <c r="E83">
        <v>0</v>
      </c>
      <c r="F83">
        <v>1</v>
      </c>
      <c r="G83" t="s">
        <v>85</v>
      </c>
      <c r="H83" s="1">
        <v>22840</v>
      </c>
      <c r="I83">
        <v>0.41</v>
      </c>
      <c r="J83">
        <v>0.49199999999999999</v>
      </c>
      <c r="K83">
        <v>0</v>
      </c>
      <c r="L83">
        <v>1</v>
      </c>
      <c r="M83" t="s">
        <v>85</v>
      </c>
      <c r="N83" s="1">
        <v>20579</v>
      </c>
      <c r="O83">
        <v>0.41199999999999998</v>
      </c>
      <c r="P83">
        <v>0.49199999999999999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DEB44-234C-47BF-9495-E8C85309C37D}">
  <sheetPr codeName="Sheet5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23504</v>
      </c>
      <c r="C3">
        <v>1.1779999999999999</v>
      </c>
      <c r="D3">
        <v>0.42499999999999999</v>
      </c>
      <c r="E3">
        <v>1</v>
      </c>
      <c r="F3">
        <v>5</v>
      </c>
      <c r="G3" t="s">
        <v>10</v>
      </c>
      <c r="H3" s="1">
        <v>12262</v>
      </c>
      <c r="I3">
        <v>1.0720000000000001</v>
      </c>
      <c r="J3">
        <v>0.26500000000000001</v>
      </c>
      <c r="K3">
        <v>1</v>
      </c>
      <c r="L3">
        <v>4</v>
      </c>
      <c r="M3" t="s">
        <v>10</v>
      </c>
      <c r="N3" s="1">
        <v>11242</v>
      </c>
      <c r="O3">
        <v>1.2929999999999999</v>
      </c>
      <c r="P3">
        <v>0.52500000000000002</v>
      </c>
      <c r="Q3">
        <v>1</v>
      </c>
      <c r="R3">
        <v>5</v>
      </c>
    </row>
    <row r="4" spans="1:18" x14ac:dyDescent="0.25">
      <c r="A4" t="s">
        <v>11</v>
      </c>
      <c r="B4" s="1">
        <v>23504</v>
      </c>
      <c r="C4">
        <v>0.47799999999999998</v>
      </c>
      <c r="D4">
        <v>0.5</v>
      </c>
      <c r="E4">
        <v>0</v>
      </c>
      <c r="F4">
        <v>1</v>
      </c>
      <c r="G4" t="s">
        <v>11</v>
      </c>
      <c r="H4" s="1">
        <v>12262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11242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23504</v>
      </c>
      <c r="C5">
        <v>0.42899999999999999</v>
      </c>
      <c r="D5">
        <v>0.495</v>
      </c>
      <c r="E5">
        <v>0</v>
      </c>
      <c r="F5">
        <v>1</v>
      </c>
      <c r="G5" t="s">
        <v>12</v>
      </c>
      <c r="H5" s="1">
        <v>12262</v>
      </c>
      <c r="I5">
        <v>2E-3</v>
      </c>
      <c r="J5">
        <v>0.04</v>
      </c>
      <c r="K5">
        <v>0</v>
      </c>
      <c r="L5">
        <v>1</v>
      </c>
      <c r="M5" t="s">
        <v>12</v>
      </c>
      <c r="N5" s="1">
        <v>11242</v>
      </c>
      <c r="O5">
        <v>0.89600000000000002</v>
      </c>
      <c r="P5">
        <v>0.30599999999999999</v>
      </c>
      <c r="Q5">
        <v>0</v>
      </c>
      <c r="R5">
        <v>1</v>
      </c>
    </row>
    <row r="6" spans="1:18" x14ac:dyDescent="0.25">
      <c r="A6" t="s">
        <v>36</v>
      </c>
      <c r="B6" s="1">
        <v>11242</v>
      </c>
      <c r="C6">
        <v>316.53899999999999</v>
      </c>
      <c r="D6">
        <v>574.30499999999995</v>
      </c>
      <c r="E6">
        <v>0</v>
      </c>
      <c r="F6" s="1">
        <v>4021</v>
      </c>
      <c r="H6" s="1"/>
      <c r="M6" t="s">
        <v>36</v>
      </c>
      <c r="N6" s="1">
        <v>11242</v>
      </c>
      <c r="O6">
        <v>316.53899999999999</v>
      </c>
      <c r="P6">
        <v>574.30499999999995</v>
      </c>
      <c r="Q6">
        <v>0</v>
      </c>
      <c r="R6" s="1">
        <v>4021</v>
      </c>
    </row>
    <row r="7" spans="1:18" x14ac:dyDescent="0.25">
      <c r="A7" t="s">
        <v>13</v>
      </c>
      <c r="B7" s="1">
        <v>23504</v>
      </c>
      <c r="C7">
        <v>1.4930000000000001</v>
      </c>
      <c r="D7">
        <v>0.55500000000000005</v>
      </c>
      <c r="E7">
        <v>0</v>
      </c>
      <c r="F7">
        <v>6</v>
      </c>
      <c r="G7" t="s">
        <v>13</v>
      </c>
      <c r="H7" s="1">
        <v>12262</v>
      </c>
      <c r="I7">
        <v>1.4870000000000001</v>
      </c>
      <c r="J7">
        <v>0.55600000000000005</v>
      </c>
      <c r="K7">
        <v>0</v>
      </c>
      <c r="L7">
        <v>4</v>
      </c>
      <c r="M7" t="s">
        <v>13</v>
      </c>
      <c r="N7" s="1">
        <v>11242</v>
      </c>
      <c r="O7">
        <v>1.4990000000000001</v>
      </c>
      <c r="P7">
        <v>0.55500000000000005</v>
      </c>
      <c r="Q7">
        <v>0</v>
      </c>
      <c r="R7">
        <v>6</v>
      </c>
    </row>
    <row r="8" spans="1:18" x14ac:dyDescent="0.25">
      <c r="A8" t="s">
        <v>14</v>
      </c>
      <c r="B8" s="1">
        <v>23504</v>
      </c>
      <c r="C8">
        <v>0.16600000000000001</v>
      </c>
      <c r="D8">
        <v>0.377</v>
      </c>
      <c r="E8">
        <v>0</v>
      </c>
      <c r="F8">
        <v>4</v>
      </c>
      <c r="G8" t="s">
        <v>14</v>
      </c>
      <c r="H8" s="1">
        <v>12262</v>
      </c>
      <c r="I8">
        <v>0.161</v>
      </c>
      <c r="J8">
        <v>0.371</v>
      </c>
      <c r="K8">
        <v>0</v>
      </c>
      <c r="L8">
        <v>2</v>
      </c>
      <c r="M8" t="s">
        <v>14</v>
      </c>
      <c r="N8" s="1">
        <v>11242</v>
      </c>
      <c r="O8">
        <v>0.17199999999999999</v>
      </c>
      <c r="P8">
        <v>0.38400000000000001</v>
      </c>
      <c r="Q8">
        <v>0</v>
      </c>
      <c r="R8">
        <v>4</v>
      </c>
    </row>
    <row r="9" spans="1:18" x14ac:dyDescent="0.25">
      <c r="A9" t="s">
        <v>15</v>
      </c>
      <c r="B9" s="1">
        <v>23504</v>
      </c>
      <c r="C9">
        <v>1.79</v>
      </c>
      <c r="D9">
        <v>0.91900000000000004</v>
      </c>
      <c r="E9">
        <v>0</v>
      </c>
      <c r="F9">
        <v>8</v>
      </c>
      <c r="G9" t="s">
        <v>15</v>
      </c>
      <c r="H9" s="1">
        <v>12262</v>
      </c>
      <c r="I9">
        <v>1.776</v>
      </c>
      <c r="J9">
        <v>0.91400000000000003</v>
      </c>
      <c r="K9">
        <v>0</v>
      </c>
      <c r="L9">
        <v>5</v>
      </c>
      <c r="M9" t="s">
        <v>15</v>
      </c>
      <c r="N9" s="1">
        <v>11242</v>
      </c>
      <c r="O9">
        <v>1.8049999999999999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23504</v>
      </c>
      <c r="C10">
        <v>45.145000000000003</v>
      </c>
      <c r="D10">
        <v>61.313000000000002</v>
      </c>
      <c r="E10">
        <v>0</v>
      </c>
      <c r="F10">
        <v>946</v>
      </c>
      <c r="G10" t="s">
        <v>16</v>
      </c>
      <c r="H10" s="1">
        <v>12262</v>
      </c>
      <c r="I10">
        <v>50.195999999999998</v>
      </c>
      <c r="J10">
        <v>59.253999999999998</v>
      </c>
      <c r="K10">
        <v>0</v>
      </c>
      <c r="L10">
        <v>785</v>
      </c>
      <c r="M10" t="s">
        <v>16</v>
      </c>
      <c r="N10" s="1">
        <v>11242</v>
      </c>
      <c r="O10">
        <v>39.636000000000003</v>
      </c>
      <c r="P10">
        <v>63.026000000000003</v>
      </c>
      <c r="Q10">
        <v>0</v>
      </c>
      <c r="R10">
        <v>946</v>
      </c>
    </row>
    <row r="11" spans="1:18" x14ac:dyDescent="0.25">
      <c r="A11" t="s">
        <v>163</v>
      </c>
      <c r="B11" s="1">
        <v>23504</v>
      </c>
      <c r="C11">
        <v>877.05499999999995</v>
      </c>
      <c r="D11">
        <v>391.93799999999999</v>
      </c>
      <c r="E11">
        <v>120</v>
      </c>
      <c r="F11" s="1">
        <v>10740</v>
      </c>
      <c r="G11" t="s">
        <v>163</v>
      </c>
      <c r="H11" s="1">
        <v>12262</v>
      </c>
      <c r="I11">
        <v>876.53200000000004</v>
      </c>
      <c r="J11">
        <v>390.72800000000001</v>
      </c>
      <c r="K11">
        <v>160</v>
      </c>
      <c r="L11" s="1">
        <v>6273</v>
      </c>
      <c r="M11" t="s">
        <v>163</v>
      </c>
      <c r="N11" s="1">
        <v>11242</v>
      </c>
      <c r="O11">
        <v>877.62400000000002</v>
      </c>
      <c r="P11">
        <v>393.27</v>
      </c>
      <c r="Q11">
        <v>120</v>
      </c>
      <c r="R11" s="1">
        <v>10740</v>
      </c>
    </row>
    <row r="12" spans="1:18" x14ac:dyDescent="0.25">
      <c r="A12" t="s">
        <v>17</v>
      </c>
      <c r="B12" s="1">
        <v>23504</v>
      </c>
      <c r="C12">
        <v>24.773</v>
      </c>
      <c r="D12">
        <v>93.8</v>
      </c>
      <c r="E12">
        <v>0</v>
      </c>
      <c r="F12" s="1">
        <v>1380</v>
      </c>
      <c r="G12" t="s">
        <v>17</v>
      </c>
      <c r="H12" s="1">
        <v>12262</v>
      </c>
      <c r="I12">
        <v>19.170000000000002</v>
      </c>
      <c r="J12">
        <v>82.546999999999997</v>
      </c>
      <c r="K12">
        <v>0</v>
      </c>
      <c r="L12">
        <v>942</v>
      </c>
      <c r="M12" t="s">
        <v>17</v>
      </c>
      <c r="N12" s="1">
        <v>11242</v>
      </c>
      <c r="O12">
        <v>30.884</v>
      </c>
      <c r="P12">
        <v>104.36499999999999</v>
      </c>
      <c r="Q12">
        <v>0</v>
      </c>
      <c r="R12" s="1">
        <v>1380</v>
      </c>
    </row>
    <row r="13" spans="1:18" x14ac:dyDescent="0.25">
      <c r="A13" t="s">
        <v>19</v>
      </c>
      <c r="B13" s="1">
        <v>23504</v>
      </c>
      <c r="C13" s="2">
        <v>682222.9</v>
      </c>
      <c r="D13" s="2">
        <v>632502.30000000005</v>
      </c>
      <c r="E13" s="2">
        <v>85418.51</v>
      </c>
      <c r="F13" s="2">
        <v>28197546</v>
      </c>
      <c r="G13" t="s">
        <v>19</v>
      </c>
      <c r="H13" s="1">
        <v>12262</v>
      </c>
      <c r="I13" s="2">
        <v>696051.4</v>
      </c>
      <c r="J13" s="2">
        <v>672699</v>
      </c>
      <c r="K13" s="2">
        <v>99684.44</v>
      </c>
      <c r="L13" s="2">
        <v>28197546</v>
      </c>
      <c r="M13" t="s">
        <v>19</v>
      </c>
      <c r="N13" s="1">
        <v>11242</v>
      </c>
      <c r="O13" s="2">
        <v>667139.80000000005</v>
      </c>
      <c r="P13" s="2">
        <v>585178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23504</v>
      </c>
      <c r="C14" s="2">
        <v>673338.1</v>
      </c>
      <c r="D14" s="2">
        <v>604964.1</v>
      </c>
      <c r="E14" s="2">
        <v>85418.51</v>
      </c>
      <c r="F14" s="2">
        <v>28197546</v>
      </c>
      <c r="G14" t="s">
        <v>20</v>
      </c>
      <c r="H14" s="1">
        <v>12262</v>
      </c>
      <c r="I14" s="2">
        <v>683463.2</v>
      </c>
      <c r="J14" s="2">
        <v>651051.80000000005</v>
      </c>
      <c r="K14" s="2">
        <v>118448.6</v>
      </c>
      <c r="L14" s="2">
        <v>28197546</v>
      </c>
      <c r="M14" t="s">
        <v>20</v>
      </c>
      <c r="N14" s="1">
        <v>11242</v>
      </c>
      <c r="O14" s="2">
        <v>662294.19999999995</v>
      </c>
      <c r="P14" s="2">
        <v>550128.1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23504</v>
      </c>
      <c r="C15" s="2">
        <v>7409.0110000000004</v>
      </c>
      <c r="D15" s="2">
        <v>50141.16</v>
      </c>
      <c r="E15" s="1">
        <v>-300000</v>
      </c>
      <c r="F15" s="1">
        <v>4750000</v>
      </c>
      <c r="G15" t="s">
        <v>190</v>
      </c>
      <c r="H15" s="1">
        <v>12262</v>
      </c>
      <c r="I15" s="2">
        <v>10357.34</v>
      </c>
      <c r="J15" s="2">
        <v>33715.1</v>
      </c>
      <c r="K15" s="1">
        <v>-152000</v>
      </c>
      <c r="L15" s="1">
        <v>750000</v>
      </c>
      <c r="M15" t="s">
        <v>190</v>
      </c>
      <c r="N15" s="1">
        <v>11242</v>
      </c>
      <c r="O15" s="2">
        <v>4193.1729999999998</v>
      </c>
      <c r="P15" s="2">
        <v>63221.440000000002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23504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12262</v>
      </c>
      <c r="I16">
        <v>1E-3</v>
      </c>
      <c r="J16">
        <v>3.1E-2</v>
      </c>
      <c r="K16">
        <v>0</v>
      </c>
      <c r="L16">
        <v>1</v>
      </c>
      <c r="M16" t="s">
        <v>21</v>
      </c>
      <c r="N16" s="1">
        <v>11242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23504</v>
      </c>
      <c r="C17">
        <v>2.7E-2</v>
      </c>
      <c r="D17">
        <v>0.161</v>
      </c>
      <c r="E17">
        <v>0</v>
      </c>
      <c r="F17">
        <v>1</v>
      </c>
      <c r="G17" t="s">
        <v>22</v>
      </c>
      <c r="H17" s="1">
        <v>12262</v>
      </c>
      <c r="I17">
        <v>2.8000000000000001E-2</v>
      </c>
      <c r="J17">
        <v>0.16400000000000001</v>
      </c>
      <c r="K17">
        <v>0</v>
      </c>
      <c r="L17">
        <v>1</v>
      </c>
      <c r="M17" t="s">
        <v>22</v>
      </c>
      <c r="N17" s="1">
        <v>11242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23504</v>
      </c>
      <c r="C18">
        <v>6.0000000000000001E-3</v>
      </c>
      <c r="D18">
        <v>7.6999999999999999E-2</v>
      </c>
      <c r="E18">
        <v>0</v>
      </c>
      <c r="F18">
        <v>1</v>
      </c>
      <c r="G18" t="s">
        <v>23</v>
      </c>
      <c r="H18" s="1">
        <v>12262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11242</v>
      </c>
      <c r="O18">
        <v>5.0000000000000001E-3</v>
      </c>
      <c r="P18">
        <v>7.0000000000000007E-2</v>
      </c>
      <c r="Q18">
        <v>0</v>
      </c>
      <c r="R18">
        <v>1</v>
      </c>
    </row>
    <row r="19" spans="1:18" x14ac:dyDescent="0.25">
      <c r="A19" t="s">
        <v>24</v>
      </c>
      <c r="B19" s="1">
        <v>23504</v>
      </c>
      <c r="C19">
        <v>0.16500000000000001</v>
      </c>
      <c r="D19">
        <v>0.371</v>
      </c>
      <c r="E19">
        <v>0</v>
      </c>
      <c r="F19">
        <v>1</v>
      </c>
      <c r="G19" t="s">
        <v>24</v>
      </c>
      <c r="H19" s="1">
        <v>12262</v>
      </c>
      <c r="I19">
        <v>0.17</v>
      </c>
      <c r="J19">
        <v>0.376</v>
      </c>
      <c r="K19">
        <v>0</v>
      </c>
      <c r="L19">
        <v>1</v>
      </c>
      <c r="M19" t="s">
        <v>24</v>
      </c>
      <c r="N19" s="1">
        <v>11242</v>
      </c>
      <c r="O19">
        <v>0.16</v>
      </c>
      <c r="P19">
        <v>0.36599999999999999</v>
      </c>
      <c r="Q19">
        <v>0</v>
      </c>
      <c r="R19">
        <v>1</v>
      </c>
    </row>
    <row r="20" spans="1:18" x14ac:dyDescent="0.25">
      <c r="A20" t="s">
        <v>25</v>
      </c>
      <c r="B20" s="1">
        <v>23504</v>
      </c>
      <c r="C20">
        <v>0.54400000000000004</v>
      </c>
      <c r="D20">
        <v>0.498</v>
      </c>
      <c r="E20">
        <v>0</v>
      </c>
      <c r="F20">
        <v>1</v>
      </c>
      <c r="G20" t="s">
        <v>25</v>
      </c>
      <c r="H20" s="1">
        <v>12262</v>
      </c>
      <c r="I20">
        <v>0.54700000000000004</v>
      </c>
      <c r="J20">
        <v>0.498</v>
      </c>
      <c r="K20">
        <v>0</v>
      </c>
      <c r="L20">
        <v>1</v>
      </c>
      <c r="M20" t="s">
        <v>25</v>
      </c>
      <c r="N20" s="1">
        <v>11242</v>
      </c>
      <c r="O20">
        <v>0.54</v>
      </c>
      <c r="P20">
        <v>0.498</v>
      </c>
      <c r="Q20">
        <v>0</v>
      </c>
      <c r="R20">
        <v>1</v>
      </c>
    </row>
    <row r="21" spans="1:18" x14ac:dyDescent="0.25">
      <c r="A21" t="s">
        <v>26</v>
      </c>
      <c r="B21" s="1">
        <v>23504</v>
      </c>
      <c r="C21">
        <v>0.29299999999999998</v>
      </c>
      <c r="D21">
        <v>0.45500000000000002</v>
      </c>
      <c r="E21">
        <v>0</v>
      </c>
      <c r="F21">
        <v>1</v>
      </c>
      <c r="G21" t="s">
        <v>26</v>
      </c>
      <c r="H21" s="1">
        <v>12262</v>
      </c>
      <c r="I21">
        <v>0.28499999999999998</v>
      </c>
      <c r="J21">
        <v>0.45100000000000001</v>
      </c>
      <c r="K21">
        <v>0</v>
      </c>
      <c r="L21">
        <v>1</v>
      </c>
      <c r="M21" t="s">
        <v>26</v>
      </c>
      <c r="N21" s="1">
        <v>11242</v>
      </c>
      <c r="O21">
        <v>0.30099999999999999</v>
      </c>
      <c r="P21">
        <v>0.45900000000000002</v>
      </c>
      <c r="Q21">
        <v>0</v>
      </c>
      <c r="R21">
        <v>1</v>
      </c>
    </row>
    <row r="22" spans="1:18" x14ac:dyDescent="0.25">
      <c r="A22" t="s">
        <v>27</v>
      </c>
      <c r="B22" s="1">
        <v>23504</v>
      </c>
      <c r="C22">
        <v>6.7000000000000004E-2</v>
      </c>
      <c r="D22">
        <v>0.25</v>
      </c>
      <c r="E22">
        <v>0</v>
      </c>
      <c r="F22">
        <v>1</v>
      </c>
      <c r="G22" t="s">
        <v>27</v>
      </c>
      <c r="H22" s="1">
        <v>12262</v>
      </c>
      <c r="I22">
        <v>7.0000000000000007E-2</v>
      </c>
      <c r="J22">
        <v>0.25600000000000001</v>
      </c>
      <c r="K22">
        <v>0</v>
      </c>
      <c r="L22">
        <v>1</v>
      </c>
      <c r="M22" t="s">
        <v>27</v>
      </c>
      <c r="N22" s="1">
        <v>11242</v>
      </c>
      <c r="O22">
        <v>6.3E-2</v>
      </c>
      <c r="P22">
        <v>0.24299999999999999</v>
      </c>
      <c r="Q22">
        <v>0</v>
      </c>
      <c r="R22">
        <v>1</v>
      </c>
    </row>
    <row r="23" spans="1:18" x14ac:dyDescent="0.25">
      <c r="A23" t="s">
        <v>28</v>
      </c>
      <c r="B23" s="1">
        <v>23504</v>
      </c>
      <c r="C23">
        <v>2E-3</v>
      </c>
      <c r="D23">
        <v>0.05</v>
      </c>
      <c r="E23">
        <v>0</v>
      </c>
      <c r="F23">
        <v>1</v>
      </c>
      <c r="G23" t="s">
        <v>28</v>
      </c>
      <c r="H23" s="1">
        <v>12262</v>
      </c>
      <c r="I23">
        <v>3.0000000000000001E-3</v>
      </c>
      <c r="J23">
        <v>5.2999999999999999E-2</v>
      </c>
      <c r="K23">
        <v>0</v>
      </c>
      <c r="L23">
        <v>1</v>
      </c>
      <c r="M23" t="s">
        <v>28</v>
      </c>
      <c r="N23" s="1">
        <v>11242</v>
      </c>
      <c r="O23">
        <v>2E-3</v>
      </c>
      <c r="P23">
        <v>4.4999999999999998E-2</v>
      </c>
      <c r="Q23">
        <v>0</v>
      </c>
      <c r="R23">
        <v>1</v>
      </c>
    </row>
    <row r="24" spans="1:18" x14ac:dyDescent="0.25">
      <c r="A24" t="s">
        <v>29</v>
      </c>
      <c r="B24" s="1">
        <v>23504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12262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11242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23504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12262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11242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23504</v>
      </c>
      <c r="C26">
        <v>8.1000000000000003E-2</v>
      </c>
      <c r="D26">
        <v>0.27200000000000002</v>
      </c>
      <c r="E26">
        <v>0</v>
      </c>
      <c r="F26">
        <v>1</v>
      </c>
      <c r="G26" t="s">
        <v>31</v>
      </c>
      <c r="H26" s="1">
        <v>12262</v>
      </c>
      <c r="I26">
        <v>8.3000000000000004E-2</v>
      </c>
      <c r="J26">
        <v>0.27500000000000002</v>
      </c>
      <c r="K26">
        <v>0</v>
      </c>
      <c r="L26">
        <v>1</v>
      </c>
      <c r="M26" t="s">
        <v>31</v>
      </c>
      <c r="N26" s="1">
        <v>11242</v>
      </c>
      <c r="O26">
        <v>7.8E-2</v>
      </c>
      <c r="P26">
        <v>0.26900000000000002</v>
      </c>
      <c r="Q26">
        <v>0</v>
      </c>
      <c r="R26">
        <v>1</v>
      </c>
    </row>
    <row r="27" spans="1:18" x14ac:dyDescent="0.25">
      <c r="A27" t="s">
        <v>32</v>
      </c>
      <c r="B27" s="1">
        <v>23504</v>
      </c>
      <c r="C27">
        <v>1E-4</v>
      </c>
      <c r="D27">
        <v>1.0999999999999999E-2</v>
      </c>
      <c r="E27">
        <v>0</v>
      </c>
      <c r="F27">
        <v>1</v>
      </c>
      <c r="G27" t="s">
        <v>32</v>
      </c>
      <c r="H27" s="1">
        <v>12262</v>
      </c>
      <c r="I27">
        <v>2.0000000000000001E-4</v>
      </c>
      <c r="J27">
        <v>1.2999999999999999E-2</v>
      </c>
      <c r="K27">
        <v>0</v>
      </c>
      <c r="L27">
        <v>1</v>
      </c>
      <c r="M27" t="s">
        <v>32</v>
      </c>
      <c r="N27" s="1">
        <v>11242</v>
      </c>
      <c r="O27">
        <v>1E-4</v>
      </c>
      <c r="P27">
        <v>8.9999999999999993E-3</v>
      </c>
      <c r="Q27">
        <v>0</v>
      </c>
      <c r="R27">
        <v>1</v>
      </c>
    </row>
    <row r="28" spans="1:18" x14ac:dyDescent="0.25">
      <c r="A28" t="s">
        <v>33</v>
      </c>
      <c r="B28" s="1">
        <v>23504</v>
      </c>
      <c r="C28">
        <v>35.618000000000002</v>
      </c>
      <c r="D28">
        <v>16.286999999999999</v>
      </c>
      <c r="E28">
        <v>0</v>
      </c>
      <c r="F28">
        <v>90</v>
      </c>
      <c r="G28" t="s">
        <v>33</v>
      </c>
      <c r="H28" s="1">
        <v>12262</v>
      </c>
      <c r="I28">
        <v>34.234000000000002</v>
      </c>
      <c r="J28">
        <v>16.125</v>
      </c>
      <c r="K28">
        <v>0</v>
      </c>
      <c r="L28">
        <v>90</v>
      </c>
      <c r="M28" t="s">
        <v>33</v>
      </c>
      <c r="N28" s="1">
        <v>11242</v>
      </c>
      <c r="O28">
        <v>37.127000000000002</v>
      </c>
      <c r="P28">
        <v>16.329000000000001</v>
      </c>
      <c r="Q28">
        <v>0</v>
      </c>
      <c r="R28">
        <v>83</v>
      </c>
    </row>
    <row r="29" spans="1:18" x14ac:dyDescent="0.25">
      <c r="A29" t="s">
        <v>34</v>
      </c>
      <c r="B29" s="1">
        <v>23504</v>
      </c>
      <c r="C29">
        <v>1.534</v>
      </c>
      <c r="D29">
        <v>1.0269999999999999</v>
      </c>
      <c r="E29">
        <v>0</v>
      </c>
      <c r="F29">
        <v>8.1</v>
      </c>
      <c r="G29" t="s">
        <v>34</v>
      </c>
      <c r="H29" s="1">
        <v>12262</v>
      </c>
      <c r="I29">
        <v>1.4319999999999999</v>
      </c>
      <c r="J29">
        <v>0.98099999999999998</v>
      </c>
      <c r="K29">
        <v>0</v>
      </c>
      <c r="L29">
        <v>8.1</v>
      </c>
      <c r="M29" t="s">
        <v>34</v>
      </c>
      <c r="N29" s="1">
        <v>11242</v>
      </c>
      <c r="O29">
        <v>1.645</v>
      </c>
      <c r="P29">
        <v>1.0649999999999999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23504</v>
      </c>
      <c r="C30">
        <v>1.4550000000000001</v>
      </c>
      <c r="D30">
        <v>4.0350000000000001</v>
      </c>
      <c r="E30">
        <v>0</v>
      </c>
      <c r="F30">
        <v>57</v>
      </c>
      <c r="G30" t="s">
        <v>35</v>
      </c>
      <c r="H30" s="1">
        <v>12262</v>
      </c>
      <c r="I30">
        <v>1.375</v>
      </c>
      <c r="J30">
        <v>3.8290000000000002</v>
      </c>
      <c r="K30">
        <v>0</v>
      </c>
      <c r="L30">
        <v>57</v>
      </c>
      <c r="M30" t="s">
        <v>35</v>
      </c>
      <c r="N30" s="1">
        <v>11242</v>
      </c>
      <c r="O30">
        <v>1.5429999999999999</v>
      </c>
      <c r="P30">
        <v>4.2460000000000004</v>
      </c>
      <c r="Q30">
        <v>0</v>
      </c>
      <c r="R30">
        <v>45</v>
      </c>
    </row>
    <row r="31" spans="1:18" x14ac:dyDescent="0.25">
      <c r="A31" t="s">
        <v>18</v>
      </c>
      <c r="B31" s="1">
        <v>23504</v>
      </c>
      <c r="C31">
        <v>957.16600000000005</v>
      </c>
      <c r="D31">
        <v>441.15199999999999</v>
      </c>
      <c r="E31">
        <v>175</v>
      </c>
      <c r="F31" s="1">
        <v>11155</v>
      </c>
      <c r="G31" t="s">
        <v>18</v>
      </c>
      <c r="H31" s="1">
        <v>12262</v>
      </c>
      <c r="I31">
        <v>956.66099999999994</v>
      </c>
      <c r="J31">
        <v>441.62099999999998</v>
      </c>
      <c r="K31">
        <v>195</v>
      </c>
      <c r="L31" s="1">
        <v>7582</v>
      </c>
      <c r="M31" t="s">
        <v>18</v>
      </c>
      <c r="N31" s="1">
        <v>11242</v>
      </c>
      <c r="O31">
        <v>957.71699999999998</v>
      </c>
      <c r="P31">
        <v>440.65800000000002</v>
      </c>
      <c r="Q31">
        <v>175</v>
      </c>
      <c r="R31" s="1">
        <v>11155</v>
      </c>
    </row>
    <row r="32" spans="1:18" x14ac:dyDescent="0.25">
      <c r="A32" t="s">
        <v>37</v>
      </c>
      <c r="B32" s="1">
        <v>23504</v>
      </c>
      <c r="C32">
        <v>4.7720000000000002</v>
      </c>
      <c r="D32">
        <v>6.7729999999999997</v>
      </c>
      <c r="E32">
        <v>1.4E-2</v>
      </c>
      <c r="F32">
        <v>111.96899999999999</v>
      </c>
      <c r="G32" t="s">
        <v>37</v>
      </c>
      <c r="H32" s="1">
        <v>12262</v>
      </c>
      <c r="I32">
        <v>4.6059999999999999</v>
      </c>
      <c r="J32">
        <v>6.5890000000000004</v>
      </c>
      <c r="K32">
        <v>1.4E-2</v>
      </c>
      <c r="L32">
        <v>52.774999999999999</v>
      </c>
      <c r="M32" t="s">
        <v>37</v>
      </c>
      <c r="N32" s="1">
        <v>11242</v>
      </c>
      <c r="O32">
        <v>4.952</v>
      </c>
      <c r="P32">
        <v>6.9640000000000004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23504</v>
      </c>
      <c r="C33">
        <v>1.6970000000000001</v>
      </c>
      <c r="D33">
        <v>2.214</v>
      </c>
      <c r="E33">
        <v>0</v>
      </c>
      <c r="F33">
        <v>12.788</v>
      </c>
      <c r="G33" t="s">
        <v>164</v>
      </c>
      <c r="H33" s="1">
        <v>12262</v>
      </c>
      <c r="I33">
        <v>1.68</v>
      </c>
      <c r="J33">
        <v>2.2280000000000002</v>
      </c>
      <c r="K33">
        <v>0</v>
      </c>
      <c r="L33">
        <v>12.788</v>
      </c>
      <c r="M33" t="s">
        <v>164</v>
      </c>
      <c r="N33" s="1">
        <v>11242</v>
      </c>
      <c r="O33">
        <v>1.716</v>
      </c>
      <c r="P33">
        <v>2.198</v>
      </c>
      <c r="Q33">
        <v>0</v>
      </c>
      <c r="R33">
        <v>12.788</v>
      </c>
    </row>
    <row r="34" spans="1:18" x14ac:dyDescent="0.25">
      <c r="A34" t="s">
        <v>39</v>
      </c>
      <c r="B34" s="1">
        <v>23504</v>
      </c>
      <c r="C34">
        <v>0.33700000000000002</v>
      </c>
      <c r="D34">
        <v>0.26700000000000002</v>
      </c>
      <c r="E34">
        <v>0</v>
      </c>
      <c r="F34">
        <v>2.165</v>
      </c>
      <c r="G34" t="s">
        <v>39</v>
      </c>
      <c r="H34" s="1">
        <v>12262</v>
      </c>
      <c r="I34">
        <v>0.32800000000000001</v>
      </c>
      <c r="J34">
        <v>0.25600000000000001</v>
      </c>
      <c r="K34">
        <v>1.2E-2</v>
      </c>
      <c r="L34">
        <v>1.7529999999999999</v>
      </c>
      <c r="M34" t="s">
        <v>39</v>
      </c>
      <c r="N34" s="1">
        <v>11242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23504</v>
      </c>
      <c r="C35">
        <v>3.0939999999999999</v>
      </c>
      <c r="D35">
        <v>3.4359999999999999</v>
      </c>
      <c r="E35">
        <v>1.4999999999999999E-2</v>
      </c>
      <c r="F35">
        <v>20.402999999999999</v>
      </c>
      <c r="G35" t="s">
        <v>40</v>
      </c>
      <c r="H35" s="1">
        <v>12262</v>
      </c>
      <c r="I35">
        <v>2.964</v>
      </c>
      <c r="J35">
        <v>3.2669999999999999</v>
      </c>
      <c r="K35">
        <v>1.4999999999999999E-2</v>
      </c>
      <c r="L35">
        <v>20.402999999999999</v>
      </c>
      <c r="M35" t="s">
        <v>40</v>
      </c>
      <c r="N35" s="1">
        <v>11242</v>
      </c>
      <c r="O35">
        <v>3.2370000000000001</v>
      </c>
      <c r="P35">
        <v>3.6070000000000002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23504</v>
      </c>
      <c r="C36">
        <v>7.5389999999999997</v>
      </c>
      <c r="D36">
        <v>5.1429999999999998</v>
      </c>
      <c r="E36">
        <v>0.99299999999999999</v>
      </c>
      <c r="F36">
        <v>25.135999999999999</v>
      </c>
      <c r="G36" t="s">
        <v>41</v>
      </c>
      <c r="H36" s="1">
        <v>12262</v>
      </c>
      <c r="I36">
        <v>7.5110000000000001</v>
      </c>
      <c r="J36">
        <v>5.1429999999999998</v>
      </c>
      <c r="K36">
        <v>0.99299999999999999</v>
      </c>
      <c r="L36">
        <v>25.135999999999999</v>
      </c>
      <c r="M36" t="s">
        <v>41</v>
      </c>
      <c r="N36" s="1">
        <v>11242</v>
      </c>
      <c r="O36">
        <v>7.569</v>
      </c>
      <c r="P36">
        <v>5.1440000000000001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23504</v>
      </c>
      <c r="C37">
        <v>1.258</v>
      </c>
      <c r="D37">
        <v>6.1710000000000003</v>
      </c>
      <c r="E37">
        <v>4.2999999999999997E-2</v>
      </c>
      <c r="F37">
        <v>196.49</v>
      </c>
      <c r="G37" t="s">
        <v>173</v>
      </c>
      <c r="H37" s="1">
        <v>12262</v>
      </c>
      <c r="I37">
        <v>1.2769999999999999</v>
      </c>
      <c r="J37">
        <v>6.4189999999999996</v>
      </c>
      <c r="K37">
        <v>4.2999999999999997E-2</v>
      </c>
      <c r="L37">
        <v>196.49</v>
      </c>
      <c r="M37" t="s">
        <v>173</v>
      </c>
      <c r="N37" s="1">
        <v>11242</v>
      </c>
      <c r="O37">
        <v>1.2370000000000001</v>
      </c>
      <c r="P37">
        <v>5.8890000000000002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23504</v>
      </c>
      <c r="C38">
        <v>1.944</v>
      </c>
      <c r="D38">
        <v>1.3129999999999999</v>
      </c>
      <c r="E38">
        <v>7.0999999999999994E-2</v>
      </c>
      <c r="F38">
        <v>7.2789999999999999</v>
      </c>
      <c r="G38" t="s">
        <v>174</v>
      </c>
      <c r="H38" s="1">
        <v>12262</v>
      </c>
      <c r="I38">
        <v>1.9219999999999999</v>
      </c>
      <c r="J38">
        <v>1.298</v>
      </c>
      <c r="K38">
        <v>7.3999999999999996E-2</v>
      </c>
      <c r="L38">
        <v>7.2789999999999999</v>
      </c>
      <c r="M38" t="s">
        <v>174</v>
      </c>
      <c r="N38" s="1">
        <v>11242</v>
      </c>
      <c r="O38">
        <v>1.9670000000000001</v>
      </c>
      <c r="P38">
        <v>1.329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23504</v>
      </c>
      <c r="C39">
        <v>1.7949999999999999</v>
      </c>
      <c r="D39">
        <v>1.194</v>
      </c>
      <c r="E39">
        <v>3.4000000000000002E-2</v>
      </c>
      <c r="F39">
        <v>6.8040000000000003</v>
      </c>
      <c r="G39" t="s">
        <v>175</v>
      </c>
      <c r="H39" s="1">
        <v>12262</v>
      </c>
      <c r="I39">
        <v>1.778</v>
      </c>
      <c r="J39">
        <v>1.1819999999999999</v>
      </c>
      <c r="K39">
        <v>3.4000000000000002E-2</v>
      </c>
      <c r="L39">
        <v>6.8040000000000003</v>
      </c>
      <c r="M39" t="s">
        <v>175</v>
      </c>
      <c r="N39" s="1">
        <v>11242</v>
      </c>
      <c r="O39">
        <v>1.8129999999999999</v>
      </c>
      <c r="P39">
        <v>1.206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23504</v>
      </c>
      <c r="C40">
        <v>0.27100000000000002</v>
      </c>
      <c r="D40">
        <v>0.187</v>
      </c>
      <c r="E40">
        <v>0</v>
      </c>
      <c r="F40">
        <v>0.82799999999999996</v>
      </c>
      <c r="G40" t="s">
        <v>42</v>
      </c>
      <c r="H40" s="1">
        <v>12262</v>
      </c>
      <c r="I40">
        <v>0.27400000000000002</v>
      </c>
      <c r="J40">
        <v>0.19400000000000001</v>
      </c>
      <c r="K40">
        <v>0</v>
      </c>
      <c r="L40">
        <v>0.82799999999999996</v>
      </c>
      <c r="M40" t="s">
        <v>42</v>
      </c>
      <c r="N40" s="1">
        <v>11242</v>
      </c>
      <c r="O40">
        <v>0.26800000000000002</v>
      </c>
      <c r="P40">
        <v>0.18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23504</v>
      </c>
      <c r="C41">
        <v>2.1999999999999999E-2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12262</v>
      </c>
      <c r="I41">
        <v>2.1000000000000001E-2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11242</v>
      </c>
      <c r="O41">
        <v>2.3E-2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23504</v>
      </c>
      <c r="C42">
        <v>0.44700000000000001</v>
      </c>
      <c r="D42">
        <v>0.19500000000000001</v>
      </c>
      <c r="E42">
        <v>1.4E-2</v>
      </c>
      <c r="F42">
        <v>1</v>
      </c>
      <c r="G42" t="s">
        <v>44</v>
      </c>
      <c r="H42" s="1">
        <v>12262</v>
      </c>
      <c r="I42">
        <v>0.44900000000000001</v>
      </c>
      <c r="J42">
        <v>0.19700000000000001</v>
      </c>
      <c r="K42">
        <v>1.4E-2</v>
      </c>
      <c r="L42">
        <v>1</v>
      </c>
      <c r="M42" t="s">
        <v>44</v>
      </c>
      <c r="N42" s="1">
        <v>11242</v>
      </c>
      <c r="O42">
        <v>0.44400000000000001</v>
      </c>
      <c r="P42">
        <v>0.193</v>
      </c>
      <c r="Q42">
        <v>1.4E-2</v>
      </c>
      <c r="R42">
        <v>1</v>
      </c>
    </row>
    <row r="43" spans="1:18" x14ac:dyDescent="0.25">
      <c r="A43" t="s">
        <v>45</v>
      </c>
      <c r="B43" s="1">
        <v>23504</v>
      </c>
      <c r="C43">
        <v>5.7000000000000002E-2</v>
      </c>
      <c r="D43">
        <v>8.5000000000000006E-2</v>
      </c>
      <c r="E43">
        <v>0</v>
      </c>
      <c r="F43">
        <v>0.64</v>
      </c>
      <c r="G43" t="s">
        <v>45</v>
      </c>
      <c r="H43" s="1">
        <v>12262</v>
      </c>
      <c r="I43">
        <v>5.6000000000000001E-2</v>
      </c>
      <c r="J43">
        <v>8.4000000000000005E-2</v>
      </c>
      <c r="K43">
        <v>0</v>
      </c>
      <c r="L43">
        <v>0.64</v>
      </c>
      <c r="M43" t="s">
        <v>45</v>
      </c>
      <c r="N43" s="1">
        <v>11242</v>
      </c>
      <c r="O43">
        <v>5.8000000000000003E-2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23504</v>
      </c>
      <c r="C44">
        <v>0.82899999999999996</v>
      </c>
      <c r="D44">
        <v>0.19700000000000001</v>
      </c>
      <c r="E44">
        <v>0.107</v>
      </c>
      <c r="F44">
        <v>1</v>
      </c>
      <c r="G44" t="s">
        <v>46</v>
      </c>
      <c r="H44" s="1">
        <v>12262</v>
      </c>
      <c r="I44">
        <v>0.82799999999999996</v>
      </c>
      <c r="J44">
        <v>0.20300000000000001</v>
      </c>
      <c r="K44">
        <v>0.107</v>
      </c>
      <c r="L44">
        <v>1</v>
      </c>
      <c r="M44" t="s">
        <v>46</v>
      </c>
      <c r="N44" s="1">
        <v>11242</v>
      </c>
      <c r="O44">
        <v>0.83099999999999996</v>
      </c>
      <c r="P44">
        <v>0.191</v>
      </c>
      <c r="Q44">
        <v>0.107</v>
      </c>
      <c r="R44">
        <v>1</v>
      </c>
    </row>
    <row r="45" spans="1:18" x14ac:dyDescent="0.25">
      <c r="A45" t="s">
        <v>47</v>
      </c>
      <c r="B45" s="1">
        <v>23504</v>
      </c>
      <c r="C45">
        <v>0.17</v>
      </c>
      <c r="D45">
        <v>0.19700000000000001</v>
      </c>
      <c r="E45">
        <v>0</v>
      </c>
      <c r="F45">
        <v>0.89300000000000002</v>
      </c>
      <c r="G45" t="s">
        <v>47</v>
      </c>
      <c r="H45" s="1">
        <v>12262</v>
      </c>
      <c r="I45">
        <v>0.17100000000000001</v>
      </c>
      <c r="J45">
        <v>0.20300000000000001</v>
      </c>
      <c r="K45">
        <v>0</v>
      </c>
      <c r="L45">
        <v>0.89300000000000002</v>
      </c>
      <c r="M45" t="s">
        <v>47</v>
      </c>
      <c r="N45" s="1">
        <v>11242</v>
      </c>
      <c r="O45">
        <v>0.16800000000000001</v>
      </c>
      <c r="P45">
        <v>0.19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23504</v>
      </c>
      <c r="C46">
        <v>0.57699999999999996</v>
      </c>
      <c r="D46">
        <v>0.192</v>
      </c>
      <c r="E46">
        <v>2.8000000000000001E-2</v>
      </c>
      <c r="F46">
        <v>0.98499999999999999</v>
      </c>
      <c r="G46" t="s">
        <v>48</v>
      </c>
      <c r="H46" s="1">
        <v>12262</v>
      </c>
      <c r="I46">
        <v>0.57899999999999996</v>
      </c>
      <c r="J46">
        <v>0.188</v>
      </c>
      <c r="K46">
        <v>0.06</v>
      </c>
      <c r="L46">
        <v>0.98499999999999999</v>
      </c>
      <c r="M46" t="s">
        <v>48</v>
      </c>
      <c r="N46" s="1">
        <v>11242</v>
      </c>
      <c r="O46">
        <v>0.57399999999999995</v>
      </c>
      <c r="P46">
        <v>0.19600000000000001</v>
      </c>
      <c r="Q46">
        <v>2.8000000000000001E-2</v>
      </c>
      <c r="R46">
        <v>0.98099999999999998</v>
      </c>
    </row>
    <row r="47" spans="1:18" x14ac:dyDescent="0.25">
      <c r="A47" t="s">
        <v>49</v>
      </c>
      <c r="B47" s="1">
        <v>23504</v>
      </c>
      <c r="C47">
        <v>0.42199999999999999</v>
      </c>
      <c r="D47">
        <v>0.191</v>
      </c>
      <c r="E47">
        <v>1.4999999999999999E-2</v>
      </c>
      <c r="F47">
        <v>0.97199999999999998</v>
      </c>
      <c r="G47" t="s">
        <v>49</v>
      </c>
      <c r="H47" s="1">
        <v>12262</v>
      </c>
      <c r="I47">
        <v>0.42</v>
      </c>
      <c r="J47">
        <v>0.188</v>
      </c>
      <c r="K47">
        <v>1.4999999999999999E-2</v>
      </c>
      <c r="L47">
        <v>0.94</v>
      </c>
      <c r="M47" t="s">
        <v>49</v>
      </c>
      <c r="N47" s="1">
        <v>11242</v>
      </c>
      <c r="O47">
        <v>0.42499999999999999</v>
      </c>
      <c r="P47">
        <v>0.19500000000000001</v>
      </c>
      <c r="Q47">
        <v>1.9E-2</v>
      </c>
      <c r="R47">
        <v>0.97199999999999998</v>
      </c>
    </row>
    <row r="48" spans="1:18" x14ac:dyDescent="0.25">
      <c r="A48" t="s">
        <v>50</v>
      </c>
      <c r="B48" s="1">
        <v>23504</v>
      </c>
      <c r="C48">
        <v>11.516999999999999</v>
      </c>
      <c r="D48">
        <v>41.128</v>
      </c>
      <c r="E48">
        <v>0</v>
      </c>
      <c r="F48" s="1">
        <v>1000</v>
      </c>
      <c r="G48" t="s">
        <v>50</v>
      </c>
      <c r="H48" s="1">
        <v>12262</v>
      </c>
      <c r="I48">
        <v>10.282</v>
      </c>
      <c r="J48">
        <v>38.200000000000003</v>
      </c>
      <c r="K48">
        <v>0</v>
      </c>
      <c r="L48">
        <v>631</v>
      </c>
      <c r="M48" t="s">
        <v>50</v>
      </c>
      <c r="N48" s="1">
        <v>11242</v>
      </c>
      <c r="O48">
        <v>12.864000000000001</v>
      </c>
      <c r="P48">
        <v>44.063000000000002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23504</v>
      </c>
      <c r="C49">
        <v>1.3080000000000001</v>
      </c>
      <c r="D49">
        <v>1.8939999999999999</v>
      </c>
      <c r="E49">
        <v>0</v>
      </c>
      <c r="F49">
        <v>36</v>
      </c>
      <c r="G49" t="s">
        <v>51</v>
      </c>
      <c r="H49" s="1">
        <v>12262</v>
      </c>
      <c r="I49">
        <v>1.36</v>
      </c>
      <c r="J49">
        <v>1.9359999999999999</v>
      </c>
      <c r="K49">
        <v>0</v>
      </c>
      <c r="L49">
        <v>36</v>
      </c>
      <c r="M49" t="s">
        <v>51</v>
      </c>
      <c r="N49" s="1">
        <v>11242</v>
      </c>
      <c r="O49">
        <v>1.252</v>
      </c>
      <c r="P49">
        <v>1.8440000000000001</v>
      </c>
      <c r="Q49">
        <v>0</v>
      </c>
      <c r="R49">
        <v>23</v>
      </c>
    </row>
    <row r="50" spans="1:18" x14ac:dyDescent="0.25">
      <c r="A50" t="s">
        <v>52</v>
      </c>
      <c r="B50" s="1">
        <v>23504</v>
      </c>
      <c r="C50">
        <v>0.375</v>
      </c>
      <c r="D50">
        <v>0.48399999999999999</v>
      </c>
      <c r="E50">
        <v>0</v>
      </c>
      <c r="F50">
        <v>1</v>
      </c>
      <c r="G50" t="s">
        <v>52</v>
      </c>
      <c r="H50" s="1">
        <v>12262</v>
      </c>
      <c r="I50">
        <v>0.36199999999999999</v>
      </c>
      <c r="J50">
        <v>0.48099999999999998</v>
      </c>
      <c r="K50">
        <v>0</v>
      </c>
      <c r="L50">
        <v>1</v>
      </c>
      <c r="M50" t="s">
        <v>52</v>
      </c>
      <c r="N50" s="1">
        <v>11242</v>
      </c>
      <c r="O50">
        <v>0.38800000000000001</v>
      </c>
      <c r="P50">
        <v>0.48699999999999999</v>
      </c>
      <c r="Q50">
        <v>0</v>
      </c>
      <c r="R50">
        <v>1</v>
      </c>
    </row>
    <row r="51" spans="1:18" x14ac:dyDescent="0.25">
      <c r="A51" t="s">
        <v>53</v>
      </c>
      <c r="B51" s="1">
        <v>23504</v>
      </c>
      <c r="C51" s="2">
        <v>2359549</v>
      </c>
      <c r="D51" s="2">
        <v>6873.4809999999998</v>
      </c>
      <c r="E51" s="2">
        <v>2351113</v>
      </c>
      <c r="F51" s="2">
        <v>2400056</v>
      </c>
      <c r="G51" t="s">
        <v>53</v>
      </c>
      <c r="H51" s="1">
        <v>12262</v>
      </c>
      <c r="I51" s="2">
        <v>2359458</v>
      </c>
      <c r="J51" s="2">
        <v>6887.8220000000001</v>
      </c>
      <c r="K51" s="2">
        <v>2351113</v>
      </c>
      <c r="L51" s="2">
        <v>2400056</v>
      </c>
      <c r="M51" t="s">
        <v>53</v>
      </c>
      <c r="N51" s="1">
        <v>11242</v>
      </c>
      <c r="O51" s="2">
        <v>2359648</v>
      </c>
      <c r="P51" s="2">
        <v>6856.7349999999997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23504</v>
      </c>
      <c r="C52" s="2">
        <v>614681.30000000005</v>
      </c>
      <c r="D52" s="2">
        <v>11377.04</v>
      </c>
      <c r="E52" s="2">
        <v>580446.1</v>
      </c>
      <c r="F52" s="2">
        <v>637819.69999999995</v>
      </c>
      <c r="G52" t="s">
        <v>54</v>
      </c>
      <c r="H52" s="1">
        <v>12262</v>
      </c>
      <c r="I52" s="2">
        <v>615023.80000000005</v>
      </c>
      <c r="J52" s="2">
        <v>11023.52</v>
      </c>
      <c r="K52" s="2">
        <v>580446.1</v>
      </c>
      <c r="L52" s="2">
        <v>637819.69999999995</v>
      </c>
      <c r="M52" t="s">
        <v>54</v>
      </c>
      <c r="N52" s="1">
        <v>11242</v>
      </c>
      <c r="O52" s="2">
        <v>614307.80000000005</v>
      </c>
      <c r="P52" s="2">
        <v>11739.61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23504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12262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11242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23504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12262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11242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23504</v>
      </c>
      <c r="C55">
        <v>0.25900000000000001</v>
      </c>
      <c r="D55">
        <v>0.438</v>
      </c>
      <c r="E55">
        <v>0</v>
      </c>
      <c r="F55">
        <v>1</v>
      </c>
      <c r="G55" t="s">
        <v>58</v>
      </c>
      <c r="H55" s="1">
        <v>12262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11242</v>
      </c>
      <c r="O55">
        <v>0.245</v>
      </c>
      <c r="P55">
        <v>0.43</v>
      </c>
      <c r="Q55">
        <v>0</v>
      </c>
      <c r="R55">
        <v>1</v>
      </c>
    </row>
    <row r="56" spans="1:18" x14ac:dyDescent="0.25">
      <c r="A56" t="s">
        <v>59</v>
      </c>
      <c r="B56" s="1">
        <v>23504</v>
      </c>
      <c r="C56">
        <v>0.19600000000000001</v>
      </c>
      <c r="D56">
        <v>0.39700000000000002</v>
      </c>
      <c r="E56">
        <v>0</v>
      </c>
      <c r="F56">
        <v>1</v>
      </c>
      <c r="G56" t="s">
        <v>59</v>
      </c>
      <c r="H56" s="1">
        <v>12262</v>
      </c>
      <c r="I56">
        <v>0.187</v>
      </c>
      <c r="J56">
        <v>0.39</v>
      </c>
      <c r="K56">
        <v>0</v>
      </c>
      <c r="L56">
        <v>1</v>
      </c>
      <c r="M56" t="s">
        <v>59</v>
      </c>
      <c r="N56" s="1">
        <v>11242</v>
      </c>
      <c r="O56">
        <v>0.20699999999999999</v>
      </c>
      <c r="P56">
        <v>0.40500000000000003</v>
      </c>
      <c r="Q56">
        <v>0</v>
      </c>
      <c r="R56">
        <v>1</v>
      </c>
    </row>
    <row r="57" spans="1:18" x14ac:dyDescent="0.25">
      <c r="A57" t="s">
        <v>60</v>
      </c>
      <c r="B57" s="1">
        <v>23504</v>
      </c>
      <c r="C57">
        <v>0.54500000000000004</v>
      </c>
      <c r="D57">
        <v>0.498</v>
      </c>
      <c r="E57">
        <v>0</v>
      </c>
      <c r="F57">
        <v>1</v>
      </c>
      <c r="G57" t="s">
        <v>60</v>
      </c>
      <c r="H57" s="1">
        <v>12262</v>
      </c>
      <c r="I57">
        <v>0.54200000000000004</v>
      </c>
      <c r="J57">
        <v>0.498</v>
      </c>
      <c r="K57">
        <v>0</v>
      </c>
      <c r="L57">
        <v>1</v>
      </c>
      <c r="M57" t="s">
        <v>60</v>
      </c>
      <c r="N57" s="1">
        <v>11242</v>
      </c>
      <c r="O57">
        <v>0.54900000000000004</v>
      </c>
      <c r="P57">
        <v>0.498</v>
      </c>
      <c r="Q57">
        <v>0</v>
      </c>
      <c r="R57">
        <v>1</v>
      </c>
    </row>
    <row r="58" spans="1:18" x14ac:dyDescent="0.25">
      <c r="A58" t="s">
        <v>61</v>
      </c>
      <c r="B58" s="1">
        <v>23504</v>
      </c>
      <c r="C58" s="2">
        <v>2019.3</v>
      </c>
      <c r="D58">
        <v>1.9830000000000001</v>
      </c>
      <c r="E58" s="1">
        <v>2016</v>
      </c>
      <c r="F58" s="1">
        <v>2023</v>
      </c>
      <c r="G58" t="s">
        <v>61</v>
      </c>
      <c r="H58" s="1">
        <v>12262</v>
      </c>
      <c r="I58" s="2">
        <v>2017.652</v>
      </c>
      <c r="J58">
        <v>1.157</v>
      </c>
      <c r="K58" s="1">
        <v>2016</v>
      </c>
      <c r="L58" s="1">
        <v>2020</v>
      </c>
      <c r="M58" t="s">
        <v>61</v>
      </c>
      <c r="N58" s="1">
        <v>11242</v>
      </c>
      <c r="O58" s="2">
        <v>2021.098</v>
      </c>
      <c r="P58">
        <v>0.753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23504</v>
      </c>
      <c r="C59">
        <v>0.1</v>
      </c>
      <c r="D59">
        <v>0.3</v>
      </c>
      <c r="E59">
        <v>0</v>
      </c>
      <c r="F59">
        <v>1</v>
      </c>
      <c r="G59" t="s">
        <v>62</v>
      </c>
      <c r="H59" s="1">
        <v>12262</v>
      </c>
      <c r="I59">
        <v>9.5000000000000001E-2</v>
      </c>
      <c r="J59">
        <v>0.29399999999999998</v>
      </c>
      <c r="K59">
        <v>0</v>
      </c>
      <c r="L59">
        <v>1</v>
      </c>
      <c r="M59" t="s">
        <v>62</v>
      </c>
      <c r="N59" s="1">
        <v>11242</v>
      </c>
      <c r="O59">
        <v>0.105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23504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12262</v>
      </c>
      <c r="I60">
        <v>2.0000000000000001E-4</v>
      </c>
      <c r="J60">
        <v>1.6E-2</v>
      </c>
      <c r="K60">
        <v>0</v>
      </c>
      <c r="L60">
        <v>1</v>
      </c>
      <c r="M60" t="s">
        <v>63</v>
      </c>
      <c r="N60" s="1">
        <v>11242</v>
      </c>
      <c r="O60">
        <v>1E-3</v>
      </c>
      <c r="P60">
        <v>2.8000000000000001E-2</v>
      </c>
      <c r="Q60">
        <v>0</v>
      </c>
      <c r="R60">
        <v>1</v>
      </c>
    </row>
    <row r="61" spans="1:18" x14ac:dyDescent="0.25">
      <c r="A61" t="s">
        <v>64</v>
      </c>
      <c r="B61" s="1">
        <v>23504</v>
      </c>
      <c r="C61">
        <v>5.6000000000000001E-2</v>
      </c>
      <c r="D61">
        <v>0.22900000000000001</v>
      </c>
      <c r="E61">
        <v>0</v>
      </c>
      <c r="F61">
        <v>1</v>
      </c>
      <c r="G61" t="s">
        <v>64</v>
      </c>
      <c r="H61" s="1">
        <v>12262</v>
      </c>
      <c r="I61">
        <v>5.3999999999999999E-2</v>
      </c>
      <c r="J61">
        <v>0.22600000000000001</v>
      </c>
      <c r="K61">
        <v>0</v>
      </c>
      <c r="L61">
        <v>1</v>
      </c>
      <c r="M61" t="s">
        <v>64</v>
      </c>
      <c r="N61" s="1">
        <v>11242</v>
      </c>
      <c r="O61">
        <v>5.8000000000000003E-2</v>
      </c>
      <c r="P61">
        <v>0.23300000000000001</v>
      </c>
      <c r="Q61">
        <v>0</v>
      </c>
      <c r="R61">
        <v>1</v>
      </c>
    </row>
    <row r="62" spans="1:18" x14ac:dyDescent="0.25">
      <c r="A62" t="s">
        <v>65</v>
      </c>
      <c r="B62" s="1">
        <v>23504</v>
      </c>
      <c r="C62">
        <v>0.216</v>
      </c>
      <c r="D62">
        <v>0.41099999999999998</v>
      </c>
      <c r="E62">
        <v>0</v>
      </c>
      <c r="F62">
        <v>1</v>
      </c>
      <c r="G62" t="s">
        <v>65</v>
      </c>
      <c r="H62" s="1">
        <v>12262</v>
      </c>
      <c r="I62">
        <v>0.214</v>
      </c>
      <c r="J62">
        <v>0.41</v>
      </c>
      <c r="K62">
        <v>0</v>
      </c>
      <c r="L62">
        <v>1</v>
      </c>
      <c r="M62" t="s">
        <v>65</v>
      </c>
      <c r="N62" s="1">
        <v>11242</v>
      </c>
      <c r="O62">
        <v>0.217</v>
      </c>
      <c r="P62">
        <v>0.41199999999999998</v>
      </c>
      <c r="Q62">
        <v>0</v>
      </c>
      <c r="R62">
        <v>1</v>
      </c>
    </row>
    <row r="63" spans="1:18" x14ac:dyDescent="0.25">
      <c r="A63" t="s">
        <v>66</v>
      </c>
      <c r="B63" s="1">
        <v>23504</v>
      </c>
      <c r="C63">
        <v>0.28999999999999998</v>
      </c>
      <c r="D63">
        <v>0.45400000000000001</v>
      </c>
      <c r="E63">
        <v>0</v>
      </c>
      <c r="F63">
        <v>1</v>
      </c>
      <c r="G63" t="s">
        <v>66</v>
      </c>
      <c r="H63" s="1">
        <v>12262</v>
      </c>
      <c r="I63">
        <v>0.28299999999999997</v>
      </c>
      <c r="J63">
        <v>0.45100000000000001</v>
      </c>
      <c r="K63">
        <v>0</v>
      </c>
      <c r="L63">
        <v>1</v>
      </c>
      <c r="M63" t="s">
        <v>66</v>
      </c>
      <c r="N63" s="1">
        <v>11242</v>
      </c>
      <c r="O63">
        <v>0.29799999999999999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23504</v>
      </c>
      <c r="C64">
        <v>7.0000000000000007E-2</v>
      </c>
      <c r="D64">
        <v>0.255</v>
      </c>
      <c r="E64">
        <v>0</v>
      </c>
      <c r="F64">
        <v>1</v>
      </c>
      <c r="G64" t="s">
        <v>67</v>
      </c>
      <c r="H64" s="1">
        <v>12262</v>
      </c>
      <c r="I64">
        <v>7.3999999999999996E-2</v>
      </c>
      <c r="J64">
        <v>0.26100000000000001</v>
      </c>
      <c r="K64">
        <v>0</v>
      </c>
      <c r="L64">
        <v>1</v>
      </c>
      <c r="M64" t="s">
        <v>67</v>
      </c>
      <c r="N64" s="1">
        <v>11242</v>
      </c>
      <c r="O64">
        <v>6.6000000000000003E-2</v>
      </c>
      <c r="P64">
        <v>0.248</v>
      </c>
      <c r="Q64">
        <v>0</v>
      </c>
      <c r="R64">
        <v>1</v>
      </c>
    </row>
    <row r="65" spans="1:18" x14ac:dyDescent="0.25">
      <c r="A65" t="s">
        <v>68</v>
      </c>
      <c r="B65" s="1">
        <v>23504</v>
      </c>
      <c r="C65">
        <v>0.21</v>
      </c>
      <c r="D65">
        <v>0.40699999999999997</v>
      </c>
      <c r="E65">
        <v>0</v>
      </c>
      <c r="F65">
        <v>1</v>
      </c>
      <c r="G65" t="s">
        <v>68</v>
      </c>
      <c r="H65" s="1">
        <v>12262</v>
      </c>
      <c r="I65">
        <v>0.214</v>
      </c>
      <c r="J65">
        <v>0.41</v>
      </c>
      <c r="K65">
        <v>0</v>
      </c>
      <c r="L65">
        <v>1</v>
      </c>
      <c r="M65" t="s">
        <v>68</v>
      </c>
      <c r="N65" s="1">
        <v>11242</v>
      </c>
      <c r="O65">
        <v>0.20599999999999999</v>
      </c>
      <c r="P65">
        <v>0.40400000000000003</v>
      </c>
      <c r="Q65">
        <v>0</v>
      </c>
      <c r="R65">
        <v>1</v>
      </c>
    </row>
    <row r="66" spans="1:18" x14ac:dyDescent="0.25">
      <c r="A66" t="s">
        <v>69</v>
      </c>
      <c r="B66" s="1">
        <v>23504</v>
      </c>
      <c r="C66">
        <v>5.8000000000000003E-2</v>
      </c>
      <c r="D66">
        <v>0.23300000000000001</v>
      </c>
      <c r="E66">
        <v>0</v>
      </c>
      <c r="F66">
        <v>1</v>
      </c>
      <c r="G66" t="s">
        <v>69</v>
      </c>
      <c r="H66" s="1">
        <v>12262</v>
      </c>
      <c r="I66">
        <v>6.5000000000000002E-2</v>
      </c>
      <c r="J66">
        <v>0.246</v>
      </c>
      <c r="K66">
        <v>0</v>
      </c>
      <c r="L66">
        <v>1</v>
      </c>
      <c r="M66" t="s">
        <v>69</v>
      </c>
      <c r="N66" s="1">
        <v>11242</v>
      </c>
      <c r="O66">
        <v>0.05</v>
      </c>
      <c r="P66">
        <v>0.219</v>
      </c>
      <c r="Q66">
        <v>0</v>
      </c>
      <c r="R66">
        <v>1</v>
      </c>
    </row>
    <row r="67" spans="1:18" x14ac:dyDescent="0.25">
      <c r="A67" t="s">
        <v>70</v>
      </c>
      <c r="B67" s="1">
        <v>23504</v>
      </c>
      <c r="C67">
        <v>0.17199999999999999</v>
      </c>
      <c r="D67">
        <v>0.378</v>
      </c>
      <c r="E67">
        <v>0</v>
      </c>
      <c r="F67">
        <v>1</v>
      </c>
      <c r="G67" t="s">
        <v>70</v>
      </c>
      <c r="H67" s="1">
        <v>12262</v>
      </c>
      <c r="I67">
        <v>0.17100000000000001</v>
      </c>
      <c r="J67">
        <v>0.376</v>
      </c>
      <c r="K67">
        <v>0</v>
      </c>
      <c r="L67">
        <v>1</v>
      </c>
      <c r="M67" t="s">
        <v>70</v>
      </c>
      <c r="N67" s="1">
        <v>11242</v>
      </c>
      <c r="O67">
        <v>0.17399999999999999</v>
      </c>
      <c r="P67">
        <v>0.379</v>
      </c>
      <c r="Q67">
        <v>0</v>
      </c>
      <c r="R67">
        <v>1</v>
      </c>
    </row>
    <row r="68" spans="1:18" x14ac:dyDescent="0.25">
      <c r="A68" t="s">
        <v>71</v>
      </c>
      <c r="B68" s="1">
        <v>23504</v>
      </c>
      <c r="C68">
        <v>0.36499999999999999</v>
      </c>
      <c r="D68">
        <v>0.48199999999999998</v>
      </c>
      <c r="E68">
        <v>0</v>
      </c>
      <c r="F68">
        <v>1</v>
      </c>
      <c r="G68" t="s">
        <v>71</v>
      </c>
      <c r="H68" s="1">
        <v>12262</v>
      </c>
      <c r="I68">
        <v>0.38800000000000001</v>
      </c>
      <c r="J68">
        <v>0.48699999999999999</v>
      </c>
      <c r="K68">
        <v>0</v>
      </c>
      <c r="L68">
        <v>1</v>
      </c>
      <c r="M68" t="s">
        <v>71</v>
      </c>
      <c r="N68" s="1">
        <v>11242</v>
      </c>
      <c r="O68">
        <v>0.34100000000000003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23504</v>
      </c>
      <c r="C69">
        <v>0.439</v>
      </c>
      <c r="D69">
        <v>0.496</v>
      </c>
      <c r="E69">
        <v>0</v>
      </c>
      <c r="F69">
        <v>1</v>
      </c>
      <c r="G69" t="s">
        <v>72</v>
      </c>
      <c r="H69" s="1">
        <v>12262</v>
      </c>
      <c r="I69">
        <v>0.41799999999999998</v>
      </c>
      <c r="J69">
        <v>0.49299999999999999</v>
      </c>
      <c r="K69">
        <v>0</v>
      </c>
      <c r="L69">
        <v>1</v>
      </c>
      <c r="M69" t="s">
        <v>72</v>
      </c>
      <c r="N69" s="1">
        <v>11242</v>
      </c>
      <c r="O69">
        <v>0.46200000000000002</v>
      </c>
      <c r="P69">
        <v>0.499</v>
      </c>
      <c r="Q69">
        <v>0</v>
      </c>
      <c r="R69">
        <v>1</v>
      </c>
    </row>
    <row r="70" spans="1:18" x14ac:dyDescent="0.25">
      <c r="A70" t="s">
        <v>73</v>
      </c>
      <c r="B70" s="1">
        <v>23504</v>
      </c>
      <c r="C70">
        <v>2.3E-2</v>
      </c>
      <c r="D70">
        <v>0.151</v>
      </c>
      <c r="E70">
        <v>0</v>
      </c>
      <c r="F70">
        <v>1</v>
      </c>
      <c r="G70" t="s">
        <v>73</v>
      </c>
      <c r="H70" s="1">
        <v>12262</v>
      </c>
      <c r="I70">
        <v>2.3E-2</v>
      </c>
      <c r="J70">
        <v>0.151</v>
      </c>
      <c r="K70">
        <v>0</v>
      </c>
      <c r="L70">
        <v>1</v>
      </c>
      <c r="M70" t="s">
        <v>73</v>
      </c>
      <c r="N70" s="1">
        <v>11242</v>
      </c>
      <c r="O70">
        <v>2.3E-2</v>
      </c>
      <c r="P70">
        <v>0.15</v>
      </c>
      <c r="Q70">
        <v>0</v>
      </c>
      <c r="R70">
        <v>1</v>
      </c>
    </row>
    <row r="71" spans="1:18" x14ac:dyDescent="0.25">
      <c r="A71" t="s">
        <v>165</v>
      </c>
      <c r="B71" s="1">
        <v>23504</v>
      </c>
      <c r="C71">
        <v>0.10299999999999999</v>
      </c>
      <c r="D71">
        <v>0.30299999999999999</v>
      </c>
      <c r="E71">
        <v>0</v>
      </c>
      <c r="F71">
        <v>1</v>
      </c>
      <c r="G71" t="s">
        <v>165</v>
      </c>
      <c r="H71" s="1">
        <v>12262</v>
      </c>
      <c r="I71">
        <v>0.107</v>
      </c>
      <c r="J71">
        <v>0.31</v>
      </c>
      <c r="K71">
        <v>0</v>
      </c>
      <c r="L71">
        <v>1</v>
      </c>
      <c r="M71" t="s">
        <v>165</v>
      </c>
      <c r="N71" s="1">
        <v>11242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23504</v>
      </c>
      <c r="C72">
        <v>0.45600000000000002</v>
      </c>
      <c r="D72">
        <v>0.498</v>
      </c>
      <c r="E72">
        <v>0</v>
      </c>
      <c r="F72">
        <v>1</v>
      </c>
      <c r="G72" t="s">
        <v>166</v>
      </c>
      <c r="H72" s="1">
        <v>12262</v>
      </c>
      <c r="I72">
        <v>0.45800000000000002</v>
      </c>
      <c r="J72">
        <v>0.498</v>
      </c>
      <c r="K72">
        <v>0</v>
      </c>
      <c r="L72">
        <v>1</v>
      </c>
      <c r="M72" t="s">
        <v>166</v>
      </c>
      <c r="N72" s="1">
        <v>11242</v>
      </c>
      <c r="O72">
        <v>0.45400000000000001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23504</v>
      </c>
      <c r="C73">
        <v>0.42299999999999999</v>
      </c>
      <c r="D73">
        <v>0.49399999999999999</v>
      </c>
      <c r="E73">
        <v>0</v>
      </c>
      <c r="F73">
        <v>1</v>
      </c>
      <c r="G73" t="s">
        <v>167</v>
      </c>
      <c r="H73" s="1">
        <v>12262</v>
      </c>
      <c r="I73">
        <v>0.41699999999999998</v>
      </c>
      <c r="J73">
        <v>0.49299999999999999</v>
      </c>
      <c r="K73">
        <v>0</v>
      </c>
      <c r="L73">
        <v>1</v>
      </c>
      <c r="M73" t="s">
        <v>167</v>
      </c>
      <c r="N73" s="1">
        <v>11242</v>
      </c>
      <c r="O73">
        <v>0.42899999999999999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23504</v>
      </c>
      <c r="C74">
        <v>8.9999999999999993E-3</v>
      </c>
      <c r="D74">
        <v>9.5000000000000001E-2</v>
      </c>
      <c r="E74">
        <v>0</v>
      </c>
      <c r="F74">
        <v>1</v>
      </c>
      <c r="G74" t="s">
        <v>168</v>
      </c>
      <c r="H74" s="1">
        <v>12262</v>
      </c>
      <c r="I74">
        <v>8.9999999999999993E-3</v>
      </c>
      <c r="J74">
        <v>9.1999999999999998E-2</v>
      </c>
      <c r="K74">
        <v>0</v>
      </c>
      <c r="L74">
        <v>1</v>
      </c>
      <c r="M74" t="s">
        <v>168</v>
      </c>
      <c r="N74" s="1">
        <v>11242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23504</v>
      </c>
      <c r="C75">
        <v>8.9999999999999993E-3</v>
      </c>
      <c r="D75">
        <v>9.1999999999999998E-2</v>
      </c>
      <c r="E75">
        <v>0</v>
      </c>
      <c r="F75">
        <v>1</v>
      </c>
      <c r="G75" t="s">
        <v>169</v>
      </c>
      <c r="H75" s="1">
        <v>12262</v>
      </c>
      <c r="I75">
        <v>8.0000000000000002E-3</v>
      </c>
      <c r="J75">
        <v>8.6999999999999994E-2</v>
      </c>
      <c r="K75">
        <v>0</v>
      </c>
      <c r="L75">
        <v>1</v>
      </c>
      <c r="M75" t="s">
        <v>169</v>
      </c>
      <c r="N75" s="1">
        <v>11242</v>
      </c>
      <c r="O75">
        <v>8.9999999999999993E-3</v>
      </c>
      <c r="P75">
        <v>9.7000000000000003E-2</v>
      </c>
      <c r="Q75">
        <v>0</v>
      </c>
      <c r="R75">
        <v>1</v>
      </c>
    </row>
    <row r="76" spans="1:18" x14ac:dyDescent="0.25">
      <c r="A76" t="s">
        <v>170</v>
      </c>
      <c r="B76" s="1">
        <v>23504</v>
      </c>
      <c r="C76">
        <v>1E-3</v>
      </c>
      <c r="D76">
        <v>3.4000000000000002E-2</v>
      </c>
      <c r="E76">
        <v>0</v>
      </c>
      <c r="F76">
        <v>1</v>
      </c>
      <c r="G76" t="s">
        <v>170</v>
      </c>
      <c r="H76" s="1">
        <v>12262</v>
      </c>
      <c r="I76">
        <v>1E-3</v>
      </c>
      <c r="J76">
        <v>3.5000000000000003E-2</v>
      </c>
      <c r="K76">
        <v>0</v>
      </c>
      <c r="L76">
        <v>1</v>
      </c>
      <c r="M76" t="s">
        <v>170</v>
      </c>
      <c r="N76" s="1">
        <v>11242</v>
      </c>
      <c r="O76">
        <v>1E-3</v>
      </c>
      <c r="P76">
        <v>3.4000000000000002E-2</v>
      </c>
      <c r="Q76">
        <v>0</v>
      </c>
      <c r="R76">
        <v>1</v>
      </c>
    </row>
    <row r="77" spans="1:18" x14ac:dyDescent="0.25">
      <c r="A77" t="s">
        <v>79</v>
      </c>
      <c r="B77" s="1">
        <v>23504</v>
      </c>
      <c r="C77">
        <v>0.21199999999999999</v>
      </c>
      <c r="D77">
        <v>0.40899999999999997</v>
      </c>
      <c r="E77">
        <v>0</v>
      </c>
      <c r="F77">
        <v>1</v>
      </c>
      <c r="G77" t="s">
        <v>79</v>
      </c>
      <c r="H77" s="1">
        <v>12262</v>
      </c>
      <c r="I77">
        <v>0.22700000000000001</v>
      </c>
      <c r="J77">
        <v>0.41899999999999998</v>
      </c>
      <c r="K77">
        <v>0</v>
      </c>
      <c r="L77">
        <v>1</v>
      </c>
      <c r="M77" t="s">
        <v>79</v>
      </c>
      <c r="N77" s="1">
        <v>11242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23504</v>
      </c>
      <c r="C78">
        <v>1.0999999999999999E-2</v>
      </c>
      <c r="D78">
        <v>0.104</v>
      </c>
      <c r="E78">
        <v>0</v>
      </c>
      <c r="F78">
        <v>1</v>
      </c>
      <c r="G78" t="s">
        <v>80</v>
      </c>
      <c r="H78" s="1">
        <v>12262</v>
      </c>
      <c r="I78">
        <v>0.01</v>
      </c>
      <c r="J78">
        <v>9.8000000000000004E-2</v>
      </c>
      <c r="K78">
        <v>0</v>
      </c>
      <c r="L78">
        <v>1</v>
      </c>
      <c r="M78" t="s">
        <v>80</v>
      </c>
      <c r="N78" s="1">
        <v>11242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23504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12262</v>
      </c>
      <c r="I79">
        <v>1E-3</v>
      </c>
      <c r="J79">
        <v>2.7E-2</v>
      </c>
      <c r="K79">
        <v>0</v>
      </c>
      <c r="L79">
        <v>1</v>
      </c>
      <c r="M79" t="s">
        <v>81</v>
      </c>
      <c r="N79" s="1">
        <v>11242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23504</v>
      </c>
      <c r="C80">
        <v>7.4999999999999997E-2</v>
      </c>
      <c r="D80">
        <v>0.26400000000000001</v>
      </c>
      <c r="E80">
        <v>0</v>
      </c>
      <c r="F80">
        <v>1</v>
      </c>
      <c r="G80" t="s">
        <v>82</v>
      </c>
      <c r="H80" s="1">
        <v>12262</v>
      </c>
      <c r="I80">
        <v>7.4999999999999997E-2</v>
      </c>
      <c r="J80">
        <v>0.26400000000000001</v>
      </c>
      <c r="K80">
        <v>0</v>
      </c>
      <c r="L80">
        <v>1</v>
      </c>
      <c r="M80" t="s">
        <v>82</v>
      </c>
      <c r="N80" s="1">
        <v>11242</v>
      </c>
      <c r="O80">
        <v>7.4999999999999997E-2</v>
      </c>
      <c r="P80">
        <v>0.26400000000000001</v>
      </c>
      <c r="Q80">
        <v>0</v>
      </c>
      <c r="R80">
        <v>1</v>
      </c>
    </row>
    <row r="81" spans="1:18" x14ac:dyDescent="0.25">
      <c r="A81" t="s">
        <v>83</v>
      </c>
      <c r="B81" s="1">
        <v>23504</v>
      </c>
      <c r="C81">
        <v>0.28499999999999998</v>
      </c>
      <c r="D81">
        <v>0.45200000000000001</v>
      </c>
      <c r="E81">
        <v>0</v>
      </c>
      <c r="F81">
        <v>1</v>
      </c>
      <c r="G81" t="s">
        <v>83</v>
      </c>
      <c r="H81" s="1">
        <v>12262</v>
      </c>
      <c r="I81">
        <v>0.27100000000000002</v>
      </c>
      <c r="J81">
        <v>0.44400000000000001</v>
      </c>
      <c r="K81">
        <v>0</v>
      </c>
      <c r="L81">
        <v>1</v>
      </c>
      <c r="M81" t="s">
        <v>83</v>
      </c>
      <c r="N81" s="1">
        <v>11242</v>
      </c>
      <c r="O81">
        <v>0.30099999999999999</v>
      </c>
      <c r="P81">
        <v>0.45900000000000002</v>
      </c>
      <c r="Q81">
        <v>0</v>
      </c>
      <c r="R81">
        <v>1</v>
      </c>
    </row>
    <row r="82" spans="1:18" x14ac:dyDescent="0.25">
      <c r="A82" t="s">
        <v>84</v>
      </c>
      <c r="B82" s="1">
        <v>23504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12262</v>
      </c>
      <c r="I82">
        <v>8.0000000000000002E-3</v>
      </c>
      <c r="J82">
        <v>8.6999999999999994E-2</v>
      </c>
      <c r="K82">
        <v>0</v>
      </c>
      <c r="L82">
        <v>1</v>
      </c>
      <c r="M82" t="s">
        <v>84</v>
      </c>
      <c r="N82" s="1">
        <v>11242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23504</v>
      </c>
      <c r="C83">
        <v>0.40699999999999997</v>
      </c>
      <c r="D83">
        <v>0.49099999999999999</v>
      </c>
      <c r="E83">
        <v>0</v>
      </c>
      <c r="F83">
        <v>1</v>
      </c>
      <c r="G83" t="s">
        <v>85</v>
      </c>
      <c r="H83" s="1">
        <v>12262</v>
      </c>
      <c r="I83">
        <v>0.40899999999999997</v>
      </c>
      <c r="J83">
        <v>0.49199999999999999</v>
      </c>
      <c r="K83">
        <v>0</v>
      </c>
      <c r="L83">
        <v>1</v>
      </c>
      <c r="M83" t="s">
        <v>85</v>
      </c>
      <c r="N83" s="1">
        <v>11242</v>
      </c>
      <c r="O83">
        <v>0.40600000000000003</v>
      </c>
      <c r="P83">
        <v>0.49099999999999999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8</v>
      </c>
      <c r="R8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25F4-DAA0-4E75-8800-704CFF32D63F}">
  <sheetPr codeName="Sheet6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8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19915</v>
      </c>
      <c r="C3">
        <v>1.17</v>
      </c>
      <c r="D3">
        <v>0.41299999999999998</v>
      </c>
      <c r="E3">
        <v>1</v>
      </c>
      <c r="F3">
        <v>4</v>
      </c>
      <c r="G3" t="s">
        <v>10</v>
      </c>
      <c r="H3" s="1">
        <v>10578</v>
      </c>
      <c r="I3">
        <v>1.073</v>
      </c>
      <c r="J3">
        <v>0.26500000000000001</v>
      </c>
      <c r="K3">
        <v>1</v>
      </c>
      <c r="L3">
        <v>3</v>
      </c>
      <c r="M3" t="s">
        <v>10</v>
      </c>
      <c r="N3" s="1">
        <v>9337</v>
      </c>
      <c r="O3">
        <v>1.2789999999999999</v>
      </c>
      <c r="P3">
        <v>0.51100000000000001</v>
      </c>
      <c r="Q3">
        <v>1</v>
      </c>
      <c r="R3">
        <v>4</v>
      </c>
    </row>
    <row r="4" spans="1:18" x14ac:dyDescent="0.25">
      <c r="A4" t="s">
        <v>11</v>
      </c>
      <c r="B4" s="1">
        <v>19915</v>
      </c>
      <c r="C4">
        <v>0.46899999999999997</v>
      </c>
      <c r="D4">
        <v>0.499</v>
      </c>
      <c r="E4">
        <v>0</v>
      </c>
      <c r="F4">
        <v>1</v>
      </c>
      <c r="G4" t="s">
        <v>11</v>
      </c>
      <c r="H4" s="1">
        <v>10578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9337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19915</v>
      </c>
      <c r="C5">
        <v>0.40600000000000003</v>
      </c>
      <c r="D5">
        <v>0.49099999999999999</v>
      </c>
      <c r="E5">
        <v>0</v>
      </c>
      <c r="F5">
        <v>1</v>
      </c>
      <c r="G5" t="s">
        <v>12</v>
      </c>
      <c r="H5" s="1">
        <v>10578</v>
      </c>
      <c r="I5">
        <v>2E-3</v>
      </c>
      <c r="J5">
        <v>4.2000000000000003E-2</v>
      </c>
      <c r="K5">
        <v>0</v>
      </c>
      <c r="L5">
        <v>1</v>
      </c>
      <c r="M5" t="s">
        <v>12</v>
      </c>
      <c r="N5" s="1">
        <v>9337</v>
      </c>
      <c r="O5">
        <v>0.86299999999999999</v>
      </c>
      <c r="P5">
        <v>0.34399999999999997</v>
      </c>
      <c r="Q5">
        <v>0</v>
      </c>
      <c r="R5">
        <v>1</v>
      </c>
    </row>
    <row r="6" spans="1:18" x14ac:dyDescent="0.25">
      <c r="A6" t="s">
        <v>36</v>
      </c>
      <c r="B6" s="1">
        <v>9337</v>
      </c>
      <c r="C6">
        <v>295.142</v>
      </c>
      <c r="D6">
        <v>549.64099999999996</v>
      </c>
      <c r="E6">
        <v>0</v>
      </c>
      <c r="F6" s="1">
        <v>4021</v>
      </c>
      <c r="H6" s="1"/>
      <c r="M6" t="s">
        <v>36</v>
      </c>
      <c r="N6" s="1">
        <v>9337</v>
      </c>
      <c r="O6">
        <v>295.142</v>
      </c>
      <c r="P6">
        <v>549.64099999999996</v>
      </c>
      <c r="Q6">
        <v>0</v>
      </c>
      <c r="R6" s="1">
        <v>4021</v>
      </c>
    </row>
    <row r="7" spans="1:18" x14ac:dyDescent="0.25">
      <c r="A7" t="s">
        <v>13</v>
      </c>
      <c r="B7" s="1">
        <v>19915</v>
      </c>
      <c r="C7">
        <v>2.4020000000000001</v>
      </c>
      <c r="D7">
        <v>0.98799999999999999</v>
      </c>
      <c r="E7">
        <v>0</v>
      </c>
      <c r="F7">
        <v>17</v>
      </c>
      <c r="G7" t="s">
        <v>13</v>
      </c>
      <c r="H7" s="1">
        <v>10578</v>
      </c>
      <c r="I7">
        <v>2.363</v>
      </c>
      <c r="J7">
        <v>0.95399999999999996</v>
      </c>
      <c r="K7">
        <v>0</v>
      </c>
      <c r="L7">
        <v>17</v>
      </c>
      <c r="M7" t="s">
        <v>13</v>
      </c>
      <c r="N7" s="1">
        <v>9337</v>
      </c>
      <c r="O7">
        <v>2.4460000000000002</v>
      </c>
      <c r="P7">
        <v>1.0229999999999999</v>
      </c>
      <c r="Q7">
        <v>0</v>
      </c>
      <c r="R7">
        <v>15</v>
      </c>
    </row>
    <row r="8" spans="1:18" x14ac:dyDescent="0.25">
      <c r="A8" t="s">
        <v>14</v>
      </c>
      <c r="B8" s="1">
        <v>19915</v>
      </c>
      <c r="C8">
        <v>0.38400000000000001</v>
      </c>
      <c r="D8">
        <v>0.52500000000000002</v>
      </c>
      <c r="E8">
        <v>0</v>
      </c>
      <c r="F8">
        <v>5</v>
      </c>
      <c r="G8" t="s">
        <v>14</v>
      </c>
      <c r="H8" s="1">
        <v>10578</v>
      </c>
      <c r="I8">
        <v>0.38100000000000001</v>
      </c>
      <c r="J8">
        <v>0.51900000000000002</v>
      </c>
      <c r="K8">
        <v>0</v>
      </c>
      <c r="L8">
        <v>5</v>
      </c>
      <c r="M8" t="s">
        <v>14</v>
      </c>
      <c r="N8" s="1">
        <v>9337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19915</v>
      </c>
      <c r="C9">
        <v>3.8149999999999999</v>
      </c>
      <c r="D9">
        <v>1.276</v>
      </c>
      <c r="E9">
        <v>0</v>
      </c>
      <c r="F9">
        <v>25</v>
      </c>
      <c r="G9" t="s">
        <v>15</v>
      </c>
      <c r="H9" s="1">
        <v>10578</v>
      </c>
      <c r="I9">
        <v>3.7719999999999998</v>
      </c>
      <c r="J9">
        <v>1.236</v>
      </c>
      <c r="K9">
        <v>0</v>
      </c>
      <c r="L9">
        <v>18</v>
      </c>
      <c r="M9" t="s">
        <v>15</v>
      </c>
      <c r="N9" s="1">
        <v>9337</v>
      </c>
      <c r="O9">
        <v>3.8639999999999999</v>
      </c>
      <c r="P9">
        <v>1.3169999999999999</v>
      </c>
      <c r="Q9">
        <v>0</v>
      </c>
      <c r="R9">
        <v>25</v>
      </c>
    </row>
    <row r="10" spans="1:18" x14ac:dyDescent="0.25">
      <c r="A10" t="s">
        <v>16</v>
      </c>
      <c r="B10" s="1">
        <v>19915</v>
      </c>
      <c r="C10">
        <v>41.134</v>
      </c>
      <c r="D10">
        <v>55.743000000000002</v>
      </c>
      <c r="E10">
        <v>0</v>
      </c>
      <c r="F10">
        <v>739</v>
      </c>
      <c r="G10" t="s">
        <v>16</v>
      </c>
      <c r="H10" s="1">
        <v>10578</v>
      </c>
      <c r="I10">
        <v>51.408999999999999</v>
      </c>
      <c r="J10">
        <v>59.311</v>
      </c>
      <c r="K10">
        <v>0</v>
      </c>
      <c r="L10">
        <v>739</v>
      </c>
      <c r="M10" t="s">
        <v>16</v>
      </c>
      <c r="N10" s="1">
        <v>9337</v>
      </c>
      <c r="O10">
        <v>29.494</v>
      </c>
      <c r="P10">
        <v>48.86</v>
      </c>
      <c r="Q10">
        <v>0</v>
      </c>
      <c r="R10">
        <v>593</v>
      </c>
    </row>
    <row r="11" spans="1:18" x14ac:dyDescent="0.25">
      <c r="A11" t="s">
        <v>163</v>
      </c>
      <c r="B11" s="1">
        <v>19915</v>
      </c>
      <c r="C11" s="2">
        <v>1881.6489999999999</v>
      </c>
      <c r="D11">
        <v>914.43700000000001</v>
      </c>
      <c r="E11">
        <v>220</v>
      </c>
      <c r="F11" s="1">
        <v>17408</v>
      </c>
      <c r="G11" t="s">
        <v>163</v>
      </c>
      <c r="H11" s="1">
        <v>10578</v>
      </c>
      <c r="I11" s="2">
        <v>1856.4469999999999</v>
      </c>
      <c r="J11">
        <v>883.23500000000001</v>
      </c>
      <c r="K11">
        <v>420</v>
      </c>
      <c r="L11" s="1">
        <v>17408</v>
      </c>
      <c r="M11" t="s">
        <v>163</v>
      </c>
      <c r="N11" s="1">
        <v>9337</v>
      </c>
      <c r="O11" s="2">
        <v>1910.202</v>
      </c>
      <c r="P11">
        <v>947.78399999999999</v>
      </c>
      <c r="Q11">
        <v>220</v>
      </c>
      <c r="R11" s="1">
        <v>16703</v>
      </c>
    </row>
    <row r="12" spans="1:18" x14ac:dyDescent="0.25">
      <c r="A12" t="s">
        <v>17</v>
      </c>
      <c r="B12" s="1">
        <v>19915</v>
      </c>
      <c r="C12">
        <v>331.666</v>
      </c>
      <c r="D12">
        <v>231.548</v>
      </c>
      <c r="E12">
        <v>0</v>
      </c>
      <c r="F12" s="1">
        <v>4444</v>
      </c>
      <c r="G12" t="s">
        <v>17</v>
      </c>
      <c r="H12" s="1">
        <v>10578</v>
      </c>
      <c r="I12">
        <v>331.94</v>
      </c>
      <c r="J12">
        <v>230.23099999999999</v>
      </c>
      <c r="K12">
        <v>0</v>
      </c>
      <c r="L12" s="1">
        <v>4444</v>
      </c>
      <c r="M12" t="s">
        <v>17</v>
      </c>
      <c r="N12" s="1">
        <v>9337</v>
      </c>
      <c r="O12">
        <v>331.35500000000002</v>
      </c>
      <c r="P12">
        <v>233.042</v>
      </c>
      <c r="Q12">
        <v>0</v>
      </c>
      <c r="R12" s="1">
        <v>3200</v>
      </c>
    </row>
    <row r="13" spans="1:18" x14ac:dyDescent="0.25">
      <c r="A13" t="s">
        <v>19</v>
      </c>
      <c r="B13" s="1">
        <v>19915</v>
      </c>
      <c r="C13" s="2">
        <v>1291549</v>
      </c>
      <c r="D13" s="2">
        <v>1055709</v>
      </c>
      <c r="E13" s="2">
        <v>168375.1</v>
      </c>
      <c r="F13" s="2">
        <v>23293838</v>
      </c>
      <c r="G13" t="s">
        <v>19</v>
      </c>
      <c r="H13" s="1">
        <v>10578</v>
      </c>
      <c r="I13" s="2">
        <v>1215053</v>
      </c>
      <c r="J13" s="2">
        <v>1006619</v>
      </c>
      <c r="K13" s="2">
        <v>168375.1</v>
      </c>
      <c r="L13" s="2">
        <v>23293838</v>
      </c>
      <c r="M13" t="s">
        <v>19</v>
      </c>
      <c r="N13" s="1">
        <v>9337</v>
      </c>
      <c r="O13" s="2">
        <v>1378213</v>
      </c>
      <c r="P13" s="2">
        <v>1102360</v>
      </c>
      <c r="Q13" s="2">
        <v>322529.7</v>
      </c>
      <c r="R13" s="2">
        <v>22166108</v>
      </c>
    </row>
    <row r="14" spans="1:18" x14ac:dyDescent="0.25">
      <c r="A14" t="s">
        <v>20</v>
      </c>
      <c r="B14" s="1">
        <v>19915</v>
      </c>
      <c r="C14" s="2">
        <v>1279360</v>
      </c>
      <c r="D14" s="2">
        <v>981225.3</v>
      </c>
      <c r="E14" s="2">
        <v>180401.9</v>
      </c>
      <c r="F14" s="2">
        <v>22166108</v>
      </c>
      <c r="G14" t="s">
        <v>20</v>
      </c>
      <c r="H14" s="1">
        <v>10578</v>
      </c>
      <c r="I14" s="2">
        <v>1189751</v>
      </c>
      <c r="J14" s="2">
        <v>926722.5</v>
      </c>
      <c r="K14" s="2">
        <v>180401.9</v>
      </c>
      <c r="L14" s="2">
        <v>21058570</v>
      </c>
      <c r="M14" t="s">
        <v>20</v>
      </c>
      <c r="N14" s="1">
        <v>9337</v>
      </c>
      <c r="O14" s="2">
        <v>1380878</v>
      </c>
      <c r="P14" s="2">
        <v>1030200</v>
      </c>
      <c r="Q14" s="2">
        <v>310013.3</v>
      </c>
      <c r="R14" s="2">
        <v>22166108</v>
      </c>
    </row>
    <row r="15" spans="1:18" x14ac:dyDescent="0.25">
      <c r="A15" t="s">
        <v>190</v>
      </c>
      <c r="B15" s="1">
        <v>19915</v>
      </c>
      <c r="C15" s="2">
        <v>9764.0740000000005</v>
      </c>
      <c r="D15" s="2">
        <v>125143.1</v>
      </c>
      <c r="E15" s="2">
        <v>-2010000</v>
      </c>
      <c r="F15" s="2">
        <v>6900000</v>
      </c>
      <c r="G15" t="s">
        <v>190</v>
      </c>
      <c r="H15" s="1">
        <v>10578</v>
      </c>
      <c r="I15" s="2">
        <v>20807.72</v>
      </c>
      <c r="J15" s="2">
        <v>96865.89</v>
      </c>
      <c r="K15" s="1">
        <v>-1850000</v>
      </c>
      <c r="L15" s="1">
        <v>2950000</v>
      </c>
      <c r="M15" t="s">
        <v>190</v>
      </c>
      <c r="N15" s="1">
        <v>9337</v>
      </c>
      <c r="O15" s="2">
        <v>-2747.4029999999998</v>
      </c>
      <c r="P15" s="2">
        <v>149933.29999999999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19915</v>
      </c>
      <c r="C16">
        <v>2.7E-2</v>
      </c>
      <c r="D16">
        <v>0.16300000000000001</v>
      </c>
      <c r="E16">
        <v>0</v>
      </c>
      <c r="F16">
        <v>1</v>
      </c>
      <c r="G16" t="s">
        <v>21</v>
      </c>
      <c r="H16" s="1">
        <v>10578</v>
      </c>
      <c r="I16">
        <v>2.5000000000000001E-2</v>
      </c>
      <c r="J16">
        <v>0.157</v>
      </c>
      <c r="K16">
        <v>0</v>
      </c>
      <c r="L16">
        <v>1</v>
      </c>
      <c r="M16" t="s">
        <v>21</v>
      </c>
      <c r="N16" s="1">
        <v>9337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19915</v>
      </c>
      <c r="C17">
        <v>4.4999999999999998E-2</v>
      </c>
      <c r="D17">
        <v>0.20799999999999999</v>
      </c>
      <c r="E17">
        <v>0</v>
      </c>
      <c r="F17">
        <v>1</v>
      </c>
      <c r="G17" t="s">
        <v>22</v>
      </c>
      <c r="H17" s="1">
        <v>10578</v>
      </c>
      <c r="I17">
        <v>4.2999999999999997E-2</v>
      </c>
      <c r="J17">
        <v>0.20300000000000001</v>
      </c>
      <c r="K17">
        <v>0</v>
      </c>
      <c r="L17">
        <v>1</v>
      </c>
      <c r="M17" t="s">
        <v>22</v>
      </c>
      <c r="N17" s="1">
        <v>9337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19915</v>
      </c>
      <c r="C18">
        <v>8.9999999999999993E-3</v>
      </c>
      <c r="D18">
        <v>9.2999999999999999E-2</v>
      </c>
      <c r="E18">
        <v>0</v>
      </c>
      <c r="F18">
        <v>1</v>
      </c>
      <c r="G18" t="s">
        <v>23</v>
      </c>
      <c r="H18" s="1">
        <v>10578</v>
      </c>
      <c r="I18">
        <v>8.0000000000000002E-3</v>
      </c>
      <c r="J18">
        <v>0.09</v>
      </c>
      <c r="K18">
        <v>0</v>
      </c>
      <c r="L18">
        <v>1</v>
      </c>
      <c r="M18" t="s">
        <v>23</v>
      </c>
      <c r="N18" s="1">
        <v>9337</v>
      </c>
      <c r="O18">
        <v>8.9999999999999993E-3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19915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10578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9337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19915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10578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9337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19915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10578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9337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19915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10578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9337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19915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10578</v>
      </c>
      <c r="I23">
        <v>0.92200000000000004</v>
      </c>
      <c r="J23">
        <v>0.26900000000000002</v>
      </c>
      <c r="K23">
        <v>0</v>
      </c>
      <c r="L23">
        <v>1</v>
      </c>
      <c r="M23" t="s">
        <v>28</v>
      </c>
      <c r="N23" s="1">
        <v>9337</v>
      </c>
      <c r="O23">
        <v>0.92</v>
      </c>
      <c r="P23">
        <v>0.27100000000000002</v>
      </c>
      <c r="Q23">
        <v>0</v>
      </c>
      <c r="R23">
        <v>1</v>
      </c>
    </row>
    <row r="24" spans="1:18" x14ac:dyDescent="0.25">
      <c r="A24" t="s">
        <v>29</v>
      </c>
      <c r="B24" s="1">
        <v>19915</v>
      </c>
      <c r="C24">
        <v>1.7999999999999999E-2</v>
      </c>
      <c r="D24">
        <v>0.13500000000000001</v>
      </c>
      <c r="E24">
        <v>0</v>
      </c>
      <c r="F24">
        <v>1</v>
      </c>
      <c r="G24" t="s">
        <v>29</v>
      </c>
      <c r="H24" s="1">
        <v>10578</v>
      </c>
      <c r="I24">
        <v>1.9E-2</v>
      </c>
      <c r="J24">
        <v>0.13600000000000001</v>
      </c>
      <c r="K24">
        <v>0</v>
      </c>
      <c r="L24">
        <v>1</v>
      </c>
      <c r="M24" t="s">
        <v>29</v>
      </c>
      <c r="N24" s="1">
        <v>9337</v>
      </c>
      <c r="O24">
        <v>1.7999999999999999E-2</v>
      </c>
      <c r="P24">
        <v>0.13400000000000001</v>
      </c>
      <c r="Q24">
        <v>0</v>
      </c>
      <c r="R24">
        <v>1</v>
      </c>
    </row>
    <row r="25" spans="1:18" x14ac:dyDescent="0.25">
      <c r="A25" t="s">
        <v>30</v>
      </c>
      <c r="B25" s="1">
        <v>19915</v>
      </c>
      <c r="C25">
        <v>4.1000000000000002E-2</v>
      </c>
      <c r="D25">
        <v>0.19900000000000001</v>
      </c>
      <c r="E25">
        <v>0</v>
      </c>
      <c r="F25">
        <v>1</v>
      </c>
      <c r="G25" t="s">
        <v>30</v>
      </c>
      <c r="H25" s="1">
        <v>10578</v>
      </c>
      <c r="I25">
        <v>3.6999999999999998E-2</v>
      </c>
      <c r="J25">
        <v>0.188</v>
      </c>
      <c r="K25">
        <v>0</v>
      </c>
      <c r="L25">
        <v>1</v>
      </c>
      <c r="M25" t="s">
        <v>30</v>
      </c>
      <c r="N25" s="1">
        <v>9337</v>
      </c>
      <c r="O25">
        <v>4.5999999999999999E-2</v>
      </c>
      <c r="P25">
        <v>0.21</v>
      </c>
      <c r="Q25">
        <v>0</v>
      </c>
      <c r="R25">
        <v>1</v>
      </c>
    </row>
    <row r="26" spans="1:18" x14ac:dyDescent="0.25">
      <c r="A26" t="s">
        <v>31</v>
      </c>
      <c r="B26" s="1">
        <v>19915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10578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9337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19915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10578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9337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19915</v>
      </c>
      <c r="C28">
        <v>39.856000000000002</v>
      </c>
      <c r="D28">
        <v>22.977</v>
      </c>
      <c r="E28">
        <v>0</v>
      </c>
      <c r="F28">
        <v>123</v>
      </c>
      <c r="G28" t="s">
        <v>33</v>
      </c>
      <c r="H28" s="1">
        <v>10578</v>
      </c>
      <c r="I28">
        <v>38.298000000000002</v>
      </c>
      <c r="J28">
        <v>22.652000000000001</v>
      </c>
      <c r="K28">
        <v>0</v>
      </c>
      <c r="L28">
        <v>112</v>
      </c>
      <c r="M28" t="s">
        <v>33</v>
      </c>
      <c r="N28" s="1">
        <v>9337</v>
      </c>
      <c r="O28">
        <v>41.621000000000002</v>
      </c>
      <c r="P28">
        <v>23.213999999999999</v>
      </c>
      <c r="Q28">
        <v>0</v>
      </c>
      <c r="R28">
        <v>123</v>
      </c>
    </row>
    <row r="29" spans="1:18" x14ac:dyDescent="0.25">
      <c r="A29" t="s">
        <v>34</v>
      </c>
      <c r="B29" s="1">
        <v>19915</v>
      </c>
      <c r="C29">
        <v>2.1160000000000001</v>
      </c>
      <c r="D29">
        <v>1.996</v>
      </c>
      <c r="E29">
        <v>0</v>
      </c>
      <c r="F29">
        <v>15.129</v>
      </c>
      <c r="G29" t="s">
        <v>34</v>
      </c>
      <c r="H29" s="1">
        <v>10578</v>
      </c>
      <c r="I29">
        <v>1.98</v>
      </c>
      <c r="J29">
        <v>1.8939999999999999</v>
      </c>
      <c r="K29">
        <v>0</v>
      </c>
      <c r="L29">
        <v>12.544</v>
      </c>
      <c r="M29" t="s">
        <v>34</v>
      </c>
      <c r="N29" s="1">
        <v>9337</v>
      </c>
      <c r="O29">
        <v>2.2709999999999999</v>
      </c>
      <c r="P29">
        <v>2.0960000000000001</v>
      </c>
      <c r="Q29">
        <v>0</v>
      </c>
      <c r="R29">
        <v>15.129</v>
      </c>
    </row>
    <row r="30" spans="1:18" x14ac:dyDescent="0.25">
      <c r="A30" t="s">
        <v>35</v>
      </c>
      <c r="B30" s="1">
        <v>19915</v>
      </c>
      <c r="C30">
        <v>5.173</v>
      </c>
      <c r="D30">
        <v>12.856</v>
      </c>
      <c r="E30">
        <v>0</v>
      </c>
      <c r="F30">
        <v>94</v>
      </c>
      <c r="G30" t="s">
        <v>35</v>
      </c>
      <c r="H30" s="1">
        <v>10578</v>
      </c>
      <c r="I30">
        <v>4.883</v>
      </c>
      <c r="J30">
        <v>12.48</v>
      </c>
      <c r="K30">
        <v>0</v>
      </c>
      <c r="L30">
        <v>88</v>
      </c>
      <c r="M30" t="s">
        <v>35</v>
      </c>
      <c r="N30" s="1">
        <v>9337</v>
      </c>
      <c r="O30">
        <v>5.5010000000000003</v>
      </c>
      <c r="P30">
        <v>13.263</v>
      </c>
      <c r="Q30">
        <v>0</v>
      </c>
      <c r="R30">
        <v>94</v>
      </c>
    </row>
    <row r="31" spans="1:18" x14ac:dyDescent="0.25">
      <c r="A31" t="s">
        <v>18</v>
      </c>
      <c r="B31" s="1">
        <v>19915</v>
      </c>
      <c r="C31" s="2">
        <v>2103.6</v>
      </c>
      <c r="D31" s="2">
        <v>1115.6600000000001</v>
      </c>
      <c r="E31">
        <v>220</v>
      </c>
      <c r="F31" s="1">
        <v>23350</v>
      </c>
      <c r="G31" t="s">
        <v>18</v>
      </c>
      <c r="H31" s="1">
        <v>10578</v>
      </c>
      <c r="I31" s="2">
        <v>2074.1489999999999</v>
      </c>
      <c r="J31" s="2">
        <v>1081.2339999999999</v>
      </c>
      <c r="K31">
        <v>496</v>
      </c>
      <c r="L31" s="1">
        <v>23350</v>
      </c>
      <c r="M31" t="s">
        <v>18</v>
      </c>
      <c r="N31" s="1">
        <v>9337</v>
      </c>
      <c r="O31" s="2">
        <v>2136.9659999999999</v>
      </c>
      <c r="P31" s="2">
        <v>1152.57</v>
      </c>
      <c r="Q31">
        <v>220</v>
      </c>
      <c r="R31" s="1">
        <v>18919</v>
      </c>
    </row>
    <row r="32" spans="1:18" x14ac:dyDescent="0.25">
      <c r="A32" t="s">
        <v>37</v>
      </c>
      <c r="B32" s="1">
        <v>19915</v>
      </c>
      <c r="C32">
        <v>0.88700000000000001</v>
      </c>
      <c r="D32">
        <v>3.5270000000000001</v>
      </c>
      <c r="E32">
        <v>2.1000000000000001E-2</v>
      </c>
      <c r="F32">
        <v>128.91800000000001</v>
      </c>
      <c r="G32" t="s">
        <v>37</v>
      </c>
      <c r="H32" s="1">
        <v>10578</v>
      </c>
      <c r="I32">
        <v>0.86099999999999999</v>
      </c>
      <c r="J32">
        <v>3.4289999999999998</v>
      </c>
      <c r="K32">
        <v>2.9000000000000001E-2</v>
      </c>
      <c r="L32">
        <v>128.91800000000001</v>
      </c>
      <c r="M32" t="s">
        <v>37</v>
      </c>
      <c r="N32" s="1">
        <v>9337</v>
      </c>
      <c r="O32">
        <v>0.91700000000000004</v>
      </c>
      <c r="P32">
        <v>3.6349999999999998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19915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10578</v>
      </c>
      <c r="I33">
        <v>2.6120000000000001</v>
      </c>
      <c r="J33">
        <v>2.669</v>
      </c>
      <c r="K33">
        <v>0</v>
      </c>
      <c r="L33">
        <v>13.552</v>
      </c>
      <c r="M33" t="s">
        <v>164</v>
      </c>
      <c r="N33" s="1">
        <v>9337</v>
      </c>
      <c r="O33">
        <v>2.4329999999999998</v>
      </c>
      <c r="P33">
        <v>2.54</v>
      </c>
      <c r="Q33">
        <v>0</v>
      </c>
      <c r="R33">
        <v>13.477</v>
      </c>
    </row>
    <row r="34" spans="1:18" x14ac:dyDescent="0.25">
      <c r="A34" t="s">
        <v>39</v>
      </c>
      <c r="B34" s="1">
        <v>19915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10578</v>
      </c>
      <c r="I34">
        <v>0.52800000000000002</v>
      </c>
      <c r="J34">
        <v>0.32400000000000001</v>
      </c>
      <c r="K34">
        <v>0</v>
      </c>
      <c r="L34">
        <v>3.302</v>
      </c>
      <c r="M34" t="s">
        <v>39</v>
      </c>
      <c r="N34" s="1">
        <v>9337</v>
      </c>
      <c r="O34">
        <v>0.52500000000000002</v>
      </c>
      <c r="P34">
        <v>0.33600000000000002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19915</v>
      </c>
      <c r="C35">
        <v>5.15</v>
      </c>
      <c r="D35">
        <v>4.1840000000000002</v>
      </c>
      <c r="E35">
        <v>0.01</v>
      </c>
      <c r="F35">
        <v>20.997</v>
      </c>
      <c r="G35" t="s">
        <v>40</v>
      </c>
      <c r="H35" s="1">
        <v>10578</v>
      </c>
      <c r="I35">
        <v>5.0519999999999996</v>
      </c>
      <c r="J35">
        <v>4.1040000000000001</v>
      </c>
      <c r="K35">
        <v>2.1999999999999999E-2</v>
      </c>
      <c r="L35">
        <v>20.997</v>
      </c>
      <c r="M35" t="s">
        <v>40</v>
      </c>
      <c r="N35" s="1">
        <v>9337</v>
      </c>
      <c r="O35">
        <v>5.2619999999999996</v>
      </c>
      <c r="P35">
        <v>4.2699999999999996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19915</v>
      </c>
      <c r="C36">
        <v>10.901</v>
      </c>
      <c r="D36">
        <v>5.5940000000000003</v>
      </c>
      <c r="E36">
        <v>1.274</v>
      </c>
      <c r="F36">
        <v>30.986000000000001</v>
      </c>
      <c r="G36" t="s">
        <v>41</v>
      </c>
      <c r="H36" s="1">
        <v>10578</v>
      </c>
      <c r="I36">
        <v>10.893000000000001</v>
      </c>
      <c r="J36">
        <v>5.593</v>
      </c>
      <c r="K36">
        <v>1.296</v>
      </c>
      <c r="L36">
        <v>30.003</v>
      </c>
      <c r="M36" t="s">
        <v>41</v>
      </c>
      <c r="N36" s="1">
        <v>9337</v>
      </c>
      <c r="O36">
        <v>10.909000000000001</v>
      </c>
      <c r="P36">
        <v>5.5960000000000001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19915</v>
      </c>
      <c r="C37">
        <v>1.042</v>
      </c>
      <c r="D37">
        <v>0.80900000000000005</v>
      </c>
      <c r="E37">
        <v>1.6E-2</v>
      </c>
      <c r="F37">
        <v>7.4530000000000003</v>
      </c>
      <c r="G37" t="s">
        <v>173</v>
      </c>
      <c r="H37" s="1">
        <v>10578</v>
      </c>
      <c r="I37">
        <v>1.0229999999999999</v>
      </c>
      <c r="J37">
        <v>0.77400000000000002</v>
      </c>
      <c r="K37">
        <v>2.5999999999999999E-2</v>
      </c>
      <c r="L37">
        <v>7.1159999999999997</v>
      </c>
      <c r="M37" t="s">
        <v>173</v>
      </c>
      <c r="N37" s="1">
        <v>9337</v>
      </c>
      <c r="O37">
        <v>1.0629999999999999</v>
      </c>
      <c r="P37">
        <v>0.84699999999999998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19915</v>
      </c>
      <c r="C38">
        <v>2.4809999999999999</v>
      </c>
      <c r="D38">
        <v>1.8220000000000001</v>
      </c>
      <c r="E38">
        <v>3.6999999999999998E-2</v>
      </c>
      <c r="F38">
        <v>17.684000000000001</v>
      </c>
      <c r="G38" t="s">
        <v>174</v>
      </c>
      <c r="H38" s="1">
        <v>10578</v>
      </c>
      <c r="I38">
        <v>2.4580000000000002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9337</v>
      </c>
      <c r="O38">
        <v>2.5070000000000001</v>
      </c>
      <c r="P38">
        <v>1.85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19915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10578</v>
      </c>
      <c r="I39">
        <v>2.5270000000000001</v>
      </c>
      <c r="J39">
        <v>1.704</v>
      </c>
      <c r="K39">
        <v>4.8000000000000001E-2</v>
      </c>
      <c r="L39">
        <v>17.684000000000001</v>
      </c>
      <c r="M39" t="s">
        <v>175</v>
      </c>
      <c r="N39" s="1">
        <v>9337</v>
      </c>
      <c r="O39">
        <v>2.6150000000000002</v>
      </c>
      <c r="P39">
        <v>1.77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19915</v>
      </c>
      <c r="C40">
        <v>0.20799999999999999</v>
      </c>
      <c r="D40">
        <v>0.159</v>
      </c>
      <c r="E40">
        <v>0</v>
      </c>
      <c r="F40">
        <v>0.85</v>
      </c>
      <c r="G40" t="s">
        <v>42</v>
      </c>
      <c r="H40" s="1">
        <v>10578</v>
      </c>
      <c r="I40">
        <v>0.20300000000000001</v>
      </c>
      <c r="J40">
        <v>0.154</v>
      </c>
      <c r="K40">
        <v>0</v>
      </c>
      <c r="L40">
        <v>0.85</v>
      </c>
      <c r="M40" t="s">
        <v>42</v>
      </c>
      <c r="N40" s="1">
        <v>9337</v>
      </c>
      <c r="O40">
        <v>0.215</v>
      </c>
      <c r="P40">
        <v>0.16300000000000001</v>
      </c>
      <c r="Q40">
        <v>0</v>
      </c>
      <c r="R40">
        <v>0.85</v>
      </c>
    </row>
    <row r="41" spans="1:18" x14ac:dyDescent="0.25">
      <c r="A41" t="s">
        <v>43</v>
      </c>
      <c r="B41" s="1">
        <v>19915</v>
      </c>
      <c r="C41">
        <v>1.9E-2</v>
      </c>
      <c r="D41">
        <v>3.3000000000000002E-2</v>
      </c>
      <c r="E41">
        <v>0</v>
      </c>
      <c r="F41">
        <v>0.26100000000000001</v>
      </c>
      <c r="G41" t="s">
        <v>43</v>
      </c>
      <c r="H41" s="1">
        <v>10578</v>
      </c>
      <c r="I41">
        <v>1.9E-2</v>
      </c>
      <c r="J41">
        <v>3.3000000000000002E-2</v>
      </c>
      <c r="K41">
        <v>0</v>
      </c>
      <c r="L41">
        <v>0.26100000000000001</v>
      </c>
      <c r="M41" t="s">
        <v>43</v>
      </c>
      <c r="N41" s="1">
        <v>9337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19915</v>
      </c>
      <c r="C42">
        <v>0.42199999999999999</v>
      </c>
      <c r="D42">
        <v>0.2</v>
      </c>
      <c r="E42">
        <v>0</v>
      </c>
      <c r="F42">
        <v>0.95699999999999996</v>
      </c>
      <c r="G42" t="s">
        <v>44</v>
      </c>
      <c r="H42" s="1">
        <v>10578</v>
      </c>
      <c r="I42">
        <v>0.42899999999999999</v>
      </c>
      <c r="J42">
        <v>0.19800000000000001</v>
      </c>
      <c r="K42">
        <v>2.0000000000000001E-4</v>
      </c>
      <c r="L42">
        <v>0.95699999999999996</v>
      </c>
      <c r="M42" t="s">
        <v>44</v>
      </c>
      <c r="N42" s="1">
        <v>9337</v>
      </c>
      <c r="O42">
        <v>0.41399999999999998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19915</v>
      </c>
      <c r="C43">
        <v>8.3000000000000004E-2</v>
      </c>
      <c r="D43">
        <v>0.114</v>
      </c>
      <c r="E43">
        <v>0</v>
      </c>
      <c r="F43">
        <v>0.69499999999999995</v>
      </c>
      <c r="G43" t="s">
        <v>45</v>
      </c>
      <c r="H43" s="1">
        <v>10578</v>
      </c>
      <c r="I43">
        <v>8.2000000000000003E-2</v>
      </c>
      <c r="J43">
        <v>0.111</v>
      </c>
      <c r="K43">
        <v>0</v>
      </c>
      <c r="L43">
        <v>0.69499999999999995</v>
      </c>
      <c r="M43" t="s">
        <v>45</v>
      </c>
      <c r="N43" s="1">
        <v>9337</v>
      </c>
      <c r="O43">
        <v>8.4000000000000005E-2</v>
      </c>
      <c r="P43">
        <v>0.11700000000000001</v>
      </c>
      <c r="Q43">
        <v>0</v>
      </c>
      <c r="R43">
        <v>0.69499999999999995</v>
      </c>
    </row>
    <row r="44" spans="1:18" x14ac:dyDescent="0.25">
      <c r="A44" t="s">
        <v>46</v>
      </c>
      <c r="B44" s="1">
        <v>19915</v>
      </c>
      <c r="C44">
        <v>0.93600000000000005</v>
      </c>
      <c r="D44">
        <v>8.7999999999999995E-2</v>
      </c>
      <c r="E44">
        <v>4.0000000000000002E-4</v>
      </c>
      <c r="F44">
        <v>1</v>
      </c>
      <c r="G44" t="s">
        <v>46</v>
      </c>
      <c r="H44" s="1">
        <v>10578</v>
      </c>
      <c r="I44">
        <v>0.93700000000000006</v>
      </c>
      <c r="J44">
        <v>8.5999999999999993E-2</v>
      </c>
      <c r="K44">
        <v>4.0000000000000002E-4</v>
      </c>
      <c r="L44">
        <v>1</v>
      </c>
      <c r="M44" t="s">
        <v>46</v>
      </c>
      <c r="N44" s="1">
        <v>9337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19915</v>
      </c>
      <c r="C45">
        <v>6.3E-2</v>
      </c>
      <c r="D45">
        <v>8.3000000000000004E-2</v>
      </c>
      <c r="E45">
        <v>0</v>
      </c>
      <c r="F45">
        <v>0.69899999999999995</v>
      </c>
      <c r="G45" t="s">
        <v>47</v>
      </c>
      <c r="H45" s="1">
        <v>10578</v>
      </c>
      <c r="I45">
        <v>6.0999999999999999E-2</v>
      </c>
      <c r="J45">
        <v>0.08</v>
      </c>
      <c r="K45">
        <v>0</v>
      </c>
      <c r="L45">
        <v>0.69899999999999995</v>
      </c>
      <c r="M45" t="s">
        <v>47</v>
      </c>
      <c r="N45" s="1">
        <v>9337</v>
      </c>
      <c r="O45">
        <v>6.4000000000000001E-2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19915</v>
      </c>
      <c r="C46">
        <v>0.76500000000000001</v>
      </c>
      <c r="D46">
        <v>0.16900000000000001</v>
      </c>
      <c r="E46">
        <v>0</v>
      </c>
      <c r="F46">
        <v>1</v>
      </c>
      <c r="G46" t="s">
        <v>48</v>
      </c>
      <c r="H46" s="1">
        <v>10578</v>
      </c>
      <c r="I46">
        <v>0.76800000000000002</v>
      </c>
      <c r="J46">
        <v>0.16700000000000001</v>
      </c>
      <c r="K46">
        <v>4.0000000000000002E-4</v>
      </c>
      <c r="L46">
        <v>1</v>
      </c>
      <c r="M46" t="s">
        <v>48</v>
      </c>
      <c r="N46" s="1">
        <v>9337</v>
      </c>
      <c r="O46">
        <v>0.76200000000000001</v>
      </c>
      <c r="P46">
        <v>0.17199999999999999</v>
      </c>
      <c r="Q46">
        <v>0</v>
      </c>
      <c r="R46">
        <v>1</v>
      </c>
    </row>
    <row r="47" spans="1:18" x14ac:dyDescent="0.25">
      <c r="A47" t="s">
        <v>49</v>
      </c>
      <c r="B47" s="1">
        <v>19915</v>
      </c>
      <c r="C47">
        <v>0.23300000000000001</v>
      </c>
      <c r="D47">
        <v>0.16800000000000001</v>
      </c>
      <c r="E47">
        <v>0</v>
      </c>
      <c r="F47">
        <v>1</v>
      </c>
      <c r="G47" t="s">
        <v>49</v>
      </c>
      <c r="H47" s="1">
        <v>10578</v>
      </c>
      <c r="I47">
        <v>0.23100000000000001</v>
      </c>
      <c r="J47">
        <v>0.16600000000000001</v>
      </c>
      <c r="K47">
        <v>0</v>
      </c>
      <c r="L47">
        <v>0.98599999999999999</v>
      </c>
      <c r="M47" t="s">
        <v>49</v>
      </c>
      <c r="N47" s="1">
        <v>9337</v>
      </c>
      <c r="O47">
        <v>0.23599999999999999</v>
      </c>
      <c r="P47">
        <v>0.17100000000000001</v>
      </c>
      <c r="Q47">
        <v>0</v>
      </c>
      <c r="R47">
        <v>1</v>
      </c>
    </row>
    <row r="48" spans="1:18" x14ac:dyDescent="0.25">
      <c r="A48" t="s">
        <v>50</v>
      </c>
      <c r="B48" s="1">
        <v>19915</v>
      </c>
      <c r="C48">
        <v>23.504999999999999</v>
      </c>
      <c r="D48">
        <v>52.029000000000003</v>
      </c>
      <c r="E48">
        <v>0</v>
      </c>
      <c r="F48">
        <v>667</v>
      </c>
      <c r="G48" t="s">
        <v>50</v>
      </c>
      <c r="H48" s="1">
        <v>10578</v>
      </c>
      <c r="I48">
        <v>22.664000000000001</v>
      </c>
      <c r="J48">
        <v>50.048000000000002</v>
      </c>
      <c r="K48">
        <v>0</v>
      </c>
      <c r="L48">
        <v>667</v>
      </c>
      <c r="M48" t="s">
        <v>50</v>
      </c>
      <c r="N48" s="1">
        <v>9337</v>
      </c>
      <c r="O48">
        <v>24.457999999999998</v>
      </c>
      <c r="P48">
        <v>54.173999999999999</v>
      </c>
      <c r="Q48">
        <v>0</v>
      </c>
      <c r="R48">
        <v>623</v>
      </c>
    </row>
    <row r="49" spans="1:18" x14ac:dyDescent="0.25">
      <c r="A49" t="s">
        <v>51</v>
      </c>
      <c r="B49" s="1">
        <v>19915</v>
      </c>
      <c r="C49">
        <v>2.4E-2</v>
      </c>
      <c r="D49">
        <v>0.154</v>
      </c>
      <c r="E49">
        <v>0</v>
      </c>
      <c r="F49">
        <v>1</v>
      </c>
      <c r="G49" t="s">
        <v>51</v>
      </c>
      <c r="H49" s="1">
        <v>10578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9337</v>
      </c>
      <c r="O49">
        <v>5.1999999999999998E-2</v>
      </c>
      <c r="P49">
        <v>0.222</v>
      </c>
      <c r="Q49">
        <v>0</v>
      </c>
      <c r="R49">
        <v>1</v>
      </c>
    </row>
    <row r="50" spans="1:18" x14ac:dyDescent="0.25">
      <c r="A50" t="s">
        <v>52</v>
      </c>
      <c r="B50" s="1">
        <v>19915</v>
      </c>
      <c r="C50">
        <v>0.45400000000000001</v>
      </c>
      <c r="D50">
        <v>0.498</v>
      </c>
      <c r="E50">
        <v>0</v>
      </c>
      <c r="F50">
        <v>1</v>
      </c>
      <c r="G50" t="s">
        <v>52</v>
      </c>
      <c r="H50" s="1">
        <v>10578</v>
      </c>
      <c r="I50">
        <v>0.42099999999999999</v>
      </c>
      <c r="J50">
        <v>0.49399999999999999</v>
      </c>
      <c r="K50">
        <v>0</v>
      </c>
      <c r="L50">
        <v>1</v>
      </c>
      <c r="M50" t="s">
        <v>52</v>
      </c>
      <c r="N50" s="1">
        <v>9337</v>
      </c>
      <c r="O50">
        <v>0.49099999999999999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19915</v>
      </c>
      <c r="C51" s="2">
        <v>2363533</v>
      </c>
      <c r="D51" s="2">
        <v>7931.2520000000004</v>
      </c>
      <c r="E51" s="2">
        <v>2350907</v>
      </c>
      <c r="F51" s="2">
        <v>2399920</v>
      </c>
      <c r="G51" t="s">
        <v>53</v>
      </c>
      <c r="H51" s="1">
        <v>10578</v>
      </c>
      <c r="I51" s="2">
        <v>2363561</v>
      </c>
      <c r="J51" s="2">
        <v>7779.7730000000001</v>
      </c>
      <c r="K51" s="2">
        <v>2350907</v>
      </c>
      <c r="L51" s="2">
        <v>2399920</v>
      </c>
      <c r="M51" t="s">
        <v>53</v>
      </c>
      <c r="N51" s="1">
        <v>9337</v>
      </c>
      <c r="O51" s="2">
        <v>2363502</v>
      </c>
      <c r="P51" s="2">
        <v>8099.7439999999997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19915</v>
      </c>
      <c r="C52" s="2">
        <v>611464.80000000005</v>
      </c>
      <c r="D52" s="2">
        <v>14765.7</v>
      </c>
      <c r="E52" s="2">
        <v>579824.19999999995</v>
      </c>
      <c r="F52" s="2">
        <v>638667.69999999995</v>
      </c>
      <c r="G52" t="s">
        <v>54</v>
      </c>
      <c r="H52" s="1">
        <v>10578</v>
      </c>
      <c r="I52" s="2">
        <v>611415.19999999995</v>
      </c>
      <c r="J52" s="2">
        <v>14568.25</v>
      </c>
      <c r="K52" s="2">
        <v>579824.19999999995</v>
      </c>
      <c r="L52" s="2">
        <v>638667.69999999995</v>
      </c>
      <c r="M52" t="s">
        <v>54</v>
      </c>
      <c r="N52" s="1">
        <v>9337</v>
      </c>
      <c r="O52" s="2">
        <v>611521</v>
      </c>
      <c r="P52" s="2">
        <v>14986.84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19915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10578</v>
      </c>
      <c r="I53">
        <v>0</v>
      </c>
      <c r="J53">
        <v>0</v>
      </c>
      <c r="K53">
        <v>0</v>
      </c>
      <c r="L53">
        <v>0</v>
      </c>
      <c r="M53" t="s">
        <v>56</v>
      </c>
      <c r="N53" s="1">
        <v>9337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19915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10578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9337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19915</v>
      </c>
      <c r="C55">
        <v>0.44900000000000001</v>
      </c>
      <c r="D55">
        <v>0.497</v>
      </c>
      <c r="E55">
        <v>0</v>
      </c>
      <c r="F55">
        <v>1</v>
      </c>
      <c r="G55" t="s">
        <v>58</v>
      </c>
      <c r="H55" s="1">
        <v>10578</v>
      </c>
      <c r="I55">
        <v>0.45800000000000002</v>
      </c>
      <c r="J55">
        <v>0.498</v>
      </c>
      <c r="K55">
        <v>0</v>
      </c>
      <c r="L55">
        <v>1</v>
      </c>
      <c r="M55" t="s">
        <v>58</v>
      </c>
      <c r="N55" s="1">
        <v>9337</v>
      </c>
      <c r="O55">
        <v>0.438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19915</v>
      </c>
      <c r="C56">
        <v>0.499</v>
      </c>
      <c r="D56">
        <v>0.5</v>
      </c>
      <c r="E56">
        <v>0</v>
      </c>
      <c r="F56">
        <v>1</v>
      </c>
      <c r="G56" t="s">
        <v>59</v>
      </c>
      <c r="H56" s="1">
        <v>10578</v>
      </c>
      <c r="I56">
        <v>0.49299999999999999</v>
      </c>
      <c r="J56">
        <v>0.5</v>
      </c>
      <c r="K56">
        <v>0</v>
      </c>
      <c r="L56">
        <v>1</v>
      </c>
      <c r="M56" t="s">
        <v>59</v>
      </c>
      <c r="N56" s="1">
        <v>9337</v>
      </c>
      <c r="O56">
        <v>0.50600000000000001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19915</v>
      </c>
      <c r="C57">
        <v>5.1999999999999998E-2</v>
      </c>
      <c r="D57">
        <v>0.222</v>
      </c>
      <c r="E57">
        <v>0</v>
      </c>
      <c r="F57">
        <v>1</v>
      </c>
      <c r="G57" t="s">
        <v>60</v>
      </c>
      <c r="H57" s="1">
        <v>10578</v>
      </c>
      <c r="I57">
        <v>4.9000000000000002E-2</v>
      </c>
      <c r="J57">
        <v>0.216</v>
      </c>
      <c r="K57">
        <v>0</v>
      </c>
      <c r="L57">
        <v>1</v>
      </c>
      <c r="M57" t="s">
        <v>60</v>
      </c>
      <c r="N57" s="1">
        <v>9337</v>
      </c>
      <c r="O57">
        <v>5.6000000000000001E-2</v>
      </c>
      <c r="P57">
        <v>0.23</v>
      </c>
      <c r="Q57">
        <v>0</v>
      </c>
      <c r="R57">
        <v>1</v>
      </c>
    </row>
    <row r="58" spans="1:18" x14ac:dyDescent="0.25">
      <c r="A58" t="s">
        <v>61</v>
      </c>
      <c r="B58" s="1">
        <v>19915</v>
      </c>
      <c r="C58" s="2">
        <v>2019.242</v>
      </c>
      <c r="D58">
        <v>2</v>
      </c>
      <c r="E58" s="1">
        <v>2016</v>
      </c>
      <c r="F58" s="1">
        <v>2023</v>
      </c>
      <c r="G58" t="s">
        <v>61</v>
      </c>
      <c r="H58" s="1">
        <v>10578</v>
      </c>
      <c r="I58" s="2">
        <v>2017.633</v>
      </c>
      <c r="J58">
        <v>1.1870000000000001</v>
      </c>
      <c r="K58" s="1">
        <v>2016</v>
      </c>
      <c r="L58" s="1">
        <v>2020</v>
      </c>
      <c r="M58" t="s">
        <v>61</v>
      </c>
      <c r="N58" s="1">
        <v>9337</v>
      </c>
      <c r="O58" s="2">
        <v>2021.0640000000001</v>
      </c>
      <c r="P58">
        <v>0.82299999999999995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19915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10578</v>
      </c>
      <c r="I59">
        <v>0.88300000000000001</v>
      </c>
      <c r="J59">
        <v>0.32100000000000001</v>
      </c>
      <c r="K59">
        <v>0</v>
      </c>
      <c r="L59">
        <v>1</v>
      </c>
      <c r="M59" t="s">
        <v>62</v>
      </c>
      <c r="N59" s="1">
        <v>9337</v>
      </c>
      <c r="O59">
        <v>0.878</v>
      </c>
      <c r="P59">
        <v>0.32700000000000001</v>
      </c>
      <c r="Q59">
        <v>0</v>
      </c>
      <c r="R59">
        <v>1</v>
      </c>
    </row>
    <row r="60" spans="1:18" x14ac:dyDescent="0.25">
      <c r="A60" t="s">
        <v>63</v>
      </c>
      <c r="B60" s="1">
        <v>19915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10578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9337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19915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10578</v>
      </c>
      <c r="I61">
        <v>2.0000000000000001E-4</v>
      </c>
      <c r="J61">
        <v>1.4E-2</v>
      </c>
      <c r="K61">
        <v>0</v>
      </c>
      <c r="L61">
        <v>1</v>
      </c>
      <c r="M61" t="s">
        <v>64</v>
      </c>
      <c r="N61" s="1">
        <v>9337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19915</v>
      </c>
      <c r="C62">
        <v>7.0000000000000007E-2</v>
      </c>
      <c r="D62">
        <v>0.254</v>
      </c>
      <c r="E62">
        <v>0</v>
      </c>
      <c r="F62">
        <v>1</v>
      </c>
      <c r="G62" t="s">
        <v>65</v>
      </c>
      <c r="H62" s="1">
        <v>10578</v>
      </c>
      <c r="I62">
        <v>6.8000000000000005E-2</v>
      </c>
      <c r="J62">
        <v>0.251</v>
      </c>
      <c r="K62">
        <v>0</v>
      </c>
      <c r="L62">
        <v>1</v>
      </c>
      <c r="M62" t="s">
        <v>65</v>
      </c>
      <c r="N62" s="1">
        <v>9337</v>
      </c>
      <c r="O62">
        <v>7.1999999999999995E-2</v>
      </c>
      <c r="P62">
        <v>0.25800000000000001</v>
      </c>
      <c r="Q62">
        <v>0</v>
      </c>
      <c r="R62">
        <v>1</v>
      </c>
    </row>
    <row r="63" spans="1:18" x14ac:dyDescent="0.25">
      <c r="A63" t="s">
        <v>66</v>
      </c>
      <c r="B63" s="1">
        <v>19915</v>
      </c>
      <c r="C63">
        <v>1.7999999999999999E-2</v>
      </c>
      <c r="D63">
        <v>0.13200000000000001</v>
      </c>
      <c r="E63">
        <v>0</v>
      </c>
      <c r="F63">
        <v>1</v>
      </c>
      <c r="G63" t="s">
        <v>66</v>
      </c>
      <c r="H63" s="1">
        <v>10578</v>
      </c>
      <c r="I63">
        <v>1.7000000000000001E-2</v>
      </c>
      <c r="J63">
        <v>0.129</v>
      </c>
      <c r="K63">
        <v>0</v>
      </c>
      <c r="L63">
        <v>1</v>
      </c>
      <c r="M63" t="s">
        <v>66</v>
      </c>
      <c r="N63" s="1">
        <v>9337</v>
      </c>
      <c r="O63">
        <v>1.9E-2</v>
      </c>
      <c r="P63">
        <v>0.13500000000000001</v>
      </c>
      <c r="Q63">
        <v>0</v>
      </c>
      <c r="R63">
        <v>1</v>
      </c>
    </row>
    <row r="64" spans="1:18" x14ac:dyDescent="0.25">
      <c r="A64" t="s">
        <v>67</v>
      </c>
      <c r="B64" s="1">
        <v>19915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10578</v>
      </c>
      <c r="I64">
        <v>1E-3</v>
      </c>
      <c r="J64">
        <v>2.4E-2</v>
      </c>
      <c r="K64">
        <v>0</v>
      </c>
      <c r="L64">
        <v>1</v>
      </c>
      <c r="M64" t="s">
        <v>67</v>
      </c>
      <c r="N64" s="1">
        <v>9337</v>
      </c>
      <c r="O64">
        <v>4.0000000000000002E-4</v>
      </c>
      <c r="P64">
        <v>2.1000000000000001E-2</v>
      </c>
      <c r="Q64">
        <v>0</v>
      </c>
      <c r="R64">
        <v>1</v>
      </c>
    </row>
    <row r="65" spans="1:18" x14ac:dyDescent="0.25">
      <c r="A65" t="s">
        <v>68</v>
      </c>
      <c r="B65" s="1">
        <v>19915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10578</v>
      </c>
      <c r="I65">
        <v>1.4E-2</v>
      </c>
      <c r="J65">
        <v>0.11700000000000001</v>
      </c>
      <c r="K65">
        <v>0</v>
      </c>
      <c r="L65">
        <v>1</v>
      </c>
      <c r="M65" t="s">
        <v>68</v>
      </c>
      <c r="N65" s="1">
        <v>9337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19915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10578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9337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19915</v>
      </c>
      <c r="C67">
        <v>0.221</v>
      </c>
      <c r="D67">
        <v>0.41499999999999998</v>
      </c>
      <c r="E67">
        <v>0</v>
      </c>
      <c r="F67">
        <v>1</v>
      </c>
      <c r="G67" t="s">
        <v>70</v>
      </c>
      <c r="H67" s="1">
        <v>10578</v>
      </c>
      <c r="I67">
        <v>0.218</v>
      </c>
      <c r="J67">
        <v>0.41299999999999998</v>
      </c>
      <c r="K67">
        <v>0</v>
      </c>
      <c r="L67">
        <v>1</v>
      </c>
      <c r="M67" t="s">
        <v>70</v>
      </c>
      <c r="N67" s="1">
        <v>9337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19915</v>
      </c>
      <c r="C68">
        <v>0.29699999999999999</v>
      </c>
      <c r="D68">
        <v>0.45700000000000002</v>
      </c>
      <c r="E68">
        <v>0</v>
      </c>
      <c r="F68">
        <v>1</v>
      </c>
      <c r="G68" t="s">
        <v>71</v>
      </c>
      <c r="H68" s="1">
        <v>10578</v>
      </c>
      <c r="I68">
        <v>0.314</v>
      </c>
      <c r="J68">
        <v>0.46400000000000002</v>
      </c>
      <c r="K68">
        <v>0</v>
      </c>
      <c r="L68">
        <v>1</v>
      </c>
      <c r="M68" t="s">
        <v>71</v>
      </c>
      <c r="N68" s="1">
        <v>9337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19915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10578</v>
      </c>
      <c r="I69">
        <v>0.39300000000000002</v>
      </c>
      <c r="J69">
        <v>0.48799999999999999</v>
      </c>
      <c r="K69">
        <v>0</v>
      </c>
      <c r="L69">
        <v>1</v>
      </c>
      <c r="M69" t="s">
        <v>72</v>
      </c>
      <c r="N69" s="1">
        <v>9337</v>
      </c>
      <c r="O69">
        <v>0.434</v>
      </c>
      <c r="P69">
        <v>0.496</v>
      </c>
      <c r="Q69">
        <v>0</v>
      </c>
      <c r="R69">
        <v>1</v>
      </c>
    </row>
    <row r="70" spans="1:18" x14ac:dyDescent="0.25">
      <c r="A70" t="s">
        <v>73</v>
      </c>
      <c r="B70" s="1">
        <v>19915</v>
      </c>
      <c r="C70">
        <v>7.0000000000000007E-2</v>
      </c>
      <c r="D70">
        <v>0.254</v>
      </c>
      <c r="E70">
        <v>0</v>
      </c>
      <c r="F70">
        <v>1</v>
      </c>
      <c r="G70" t="s">
        <v>73</v>
      </c>
      <c r="H70" s="1">
        <v>10578</v>
      </c>
      <c r="I70">
        <v>7.3999999999999996E-2</v>
      </c>
      <c r="J70">
        <v>0.26300000000000001</v>
      </c>
      <c r="K70">
        <v>0</v>
      </c>
      <c r="L70">
        <v>1</v>
      </c>
      <c r="M70" t="s">
        <v>73</v>
      </c>
      <c r="N70" s="1">
        <v>9337</v>
      </c>
      <c r="O70">
        <v>6.4000000000000001E-2</v>
      </c>
      <c r="P70">
        <v>0.245</v>
      </c>
      <c r="Q70">
        <v>0</v>
      </c>
      <c r="R70">
        <v>1</v>
      </c>
    </row>
    <row r="71" spans="1:18" x14ac:dyDescent="0.25">
      <c r="A71" t="s">
        <v>165</v>
      </c>
      <c r="B71" s="1">
        <v>19915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10578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9337</v>
      </c>
      <c r="O71">
        <v>4.0000000000000001E-3</v>
      </c>
      <c r="P71">
        <v>6.2E-2</v>
      </c>
      <c r="Q71">
        <v>0</v>
      </c>
      <c r="R71">
        <v>1</v>
      </c>
    </row>
    <row r="72" spans="1:18" x14ac:dyDescent="0.25">
      <c r="A72" t="s">
        <v>166</v>
      </c>
      <c r="B72" s="1">
        <v>19915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10578</v>
      </c>
      <c r="I72">
        <v>3.6999999999999998E-2</v>
      </c>
      <c r="J72">
        <v>0.189</v>
      </c>
      <c r="K72">
        <v>0</v>
      </c>
      <c r="L72">
        <v>1</v>
      </c>
      <c r="M72" t="s">
        <v>166</v>
      </c>
      <c r="N72" s="1">
        <v>9337</v>
      </c>
      <c r="O72">
        <v>2.5999999999999999E-2</v>
      </c>
      <c r="P72">
        <v>0.159</v>
      </c>
      <c r="Q72">
        <v>0</v>
      </c>
      <c r="R72">
        <v>1</v>
      </c>
    </row>
    <row r="73" spans="1:18" x14ac:dyDescent="0.25">
      <c r="A73" t="s">
        <v>167</v>
      </c>
      <c r="B73" s="1">
        <v>19915</v>
      </c>
      <c r="C73">
        <v>0.5</v>
      </c>
      <c r="D73">
        <v>0.5</v>
      </c>
      <c r="E73">
        <v>0</v>
      </c>
      <c r="F73">
        <v>1</v>
      </c>
      <c r="G73" t="s">
        <v>167</v>
      </c>
      <c r="H73" s="1">
        <v>10578</v>
      </c>
      <c r="I73">
        <v>0.52900000000000003</v>
      </c>
      <c r="J73">
        <v>0.499</v>
      </c>
      <c r="K73">
        <v>0</v>
      </c>
      <c r="L73">
        <v>1</v>
      </c>
      <c r="M73" t="s">
        <v>167</v>
      </c>
      <c r="N73" s="1">
        <v>9337</v>
      </c>
      <c r="O73">
        <v>0.46600000000000003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19915</v>
      </c>
      <c r="C74">
        <v>0.124</v>
      </c>
      <c r="D74">
        <v>0.32900000000000001</v>
      </c>
      <c r="E74">
        <v>0</v>
      </c>
      <c r="F74">
        <v>1</v>
      </c>
      <c r="G74" t="s">
        <v>168</v>
      </c>
      <c r="H74" s="1">
        <v>10578</v>
      </c>
      <c r="I74">
        <v>0.11899999999999999</v>
      </c>
      <c r="J74">
        <v>0.32300000000000001</v>
      </c>
      <c r="K74">
        <v>0</v>
      </c>
      <c r="L74">
        <v>1</v>
      </c>
      <c r="M74" t="s">
        <v>168</v>
      </c>
      <c r="N74" s="1">
        <v>9337</v>
      </c>
      <c r="O74">
        <v>0.129</v>
      </c>
      <c r="P74">
        <v>0.33600000000000002</v>
      </c>
      <c r="Q74">
        <v>0</v>
      </c>
      <c r="R74">
        <v>1</v>
      </c>
    </row>
    <row r="75" spans="1:18" x14ac:dyDescent="0.25">
      <c r="A75" t="s">
        <v>169</v>
      </c>
      <c r="B75" s="1">
        <v>19915</v>
      </c>
      <c r="C75">
        <v>0.25800000000000001</v>
      </c>
      <c r="D75">
        <v>0.437</v>
      </c>
      <c r="E75">
        <v>0</v>
      </c>
      <c r="F75">
        <v>1</v>
      </c>
      <c r="G75" t="s">
        <v>169</v>
      </c>
      <c r="H75" s="1">
        <v>10578</v>
      </c>
      <c r="I75">
        <v>0.24</v>
      </c>
      <c r="J75">
        <v>0.42699999999999999</v>
      </c>
      <c r="K75">
        <v>0</v>
      </c>
      <c r="L75">
        <v>1</v>
      </c>
      <c r="M75" t="s">
        <v>169</v>
      </c>
      <c r="N75" s="1">
        <v>9337</v>
      </c>
      <c r="O75">
        <v>0.27800000000000002</v>
      </c>
      <c r="P75">
        <v>0.44800000000000001</v>
      </c>
      <c r="Q75">
        <v>0</v>
      </c>
      <c r="R75">
        <v>1</v>
      </c>
    </row>
    <row r="76" spans="1:18" x14ac:dyDescent="0.25">
      <c r="A76" t="s">
        <v>170</v>
      </c>
      <c r="B76" s="1">
        <v>19915</v>
      </c>
      <c r="C76">
        <v>8.3000000000000004E-2</v>
      </c>
      <c r="D76">
        <v>0.27600000000000002</v>
      </c>
      <c r="E76">
        <v>0</v>
      </c>
      <c r="F76">
        <v>1</v>
      </c>
      <c r="G76" t="s">
        <v>170</v>
      </c>
      <c r="H76" s="1">
        <v>10578</v>
      </c>
      <c r="I76">
        <v>7.0999999999999994E-2</v>
      </c>
      <c r="J76">
        <v>0.25700000000000001</v>
      </c>
      <c r="K76">
        <v>0</v>
      </c>
      <c r="L76">
        <v>1</v>
      </c>
      <c r="M76" t="s">
        <v>170</v>
      </c>
      <c r="N76" s="1">
        <v>9337</v>
      </c>
      <c r="O76">
        <v>9.6000000000000002E-2</v>
      </c>
      <c r="P76">
        <v>0.29499999999999998</v>
      </c>
      <c r="Q76">
        <v>0</v>
      </c>
      <c r="R76">
        <v>1</v>
      </c>
    </row>
    <row r="77" spans="1:18" x14ac:dyDescent="0.25">
      <c r="A77" t="s">
        <v>79</v>
      </c>
      <c r="B77" s="1">
        <v>19915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10578</v>
      </c>
      <c r="I77">
        <v>3.1E-2</v>
      </c>
      <c r="J77">
        <v>0.17199999999999999</v>
      </c>
      <c r="K77">
        <v>0</v>
      </c>
      <c r="L77">
        <v>1</v>
      </c>
      <c r="M77" t="s">
        <v>79</v>
      </c>
      <c r="N77" s="1">
        <v>9337</v>
      </c>
      <c r="O77">
        <v>3.5000000000000003E-2</v>
      </c>
      <c r="P77">
        <v>0.184</v>
      </c>
      <c r="Q77">
        <v>0</v>
      </c>
      <c r="R77">
        <v>1</v>
      </c>
    </row>
    <row r="78" spans="1:18" x14ac:dyDescent="0.25">
      <c r="A78" t="s">
        <v>80</v>
      </c>
      <c r="B78" s="1">
        <v>19915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10578</v>
      </c>
      <c r="I78">
        <v>1E-3</v>
      </c>
      <c r="J78">
        <v>2.4E-2</v>
      </c>
      <c r="K78">
        <v>0</v>
      </c>
      <c r="L78">
        <v>1</v>
      </c>
      <c r="M78" t="s">
        <v>80</v>
      </c>
      <c r="N78" s="1">
        <v>9337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19915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10578</v>
      </c>
      <c r="I79">
        <v>3.0000000000000001E-3</v>
      </c>
      <c r="J79">
        <v>5.2999999999999999E-2</v>
      </c>
      <c r="K79">
        <v>0</v>
      </c>
      <c r="L79">
        <v>1</v>
      </c>
      <c r="M79" t="s">
        <v>81</v>
      </c>
      <c r="N79" s="1">
        <v>9337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19915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10578</v>
      </c>
      <c r="I80">
        <v>4.0000000000000001E-3</v>
      </c>
      <c r="J80">
        <v>6.4000000000000001E-2</v>
      </c>
      <c r="K80">
        <v>0</v>
      </c>
      <c r="L80">
        <v>1</v>
      </c>
      <c r="M80" t="s">
        <v>82</v>
      </c>
      <c r="N80" s="1">
        <v>9337</v>
      </c>
      <c r="O80">
        <v>4.0000000000000001E-3</v>
      </c>
      <c r="P80">
        <v>0.06</v>
      </c>
      <c r="Q80">
        <v>0</v>
      </c>
      <c r="R80">
        <v>1</v>
      </c>
    </row>
    <row r="81" spans="1:18" x14ac:dyDescent="0.25">
      <c r="A81" t="s">
        <v>83</v>
      </c>
      <c r="B81" s="1">
        <v>19915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10578</v>
      </c>
      <c r="I81">
        <v>0.54500000000000004</v>
      </c>
      <c r="J81">
        <v>0.498</v>
      </c>
      <c r="K81">
        <v>0</v>
      </c>
      <c r="L81">
        <v>1</v>
      </c>
      <c r="M81" t="s">
        <v>83</v>
      </c>
      <c r="N81" s="1">
        <v>9337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19915</v>
      </c>
      <c r="C82">
        <v>8.0000000000000002E-3</v>
      </c>
      <c r="D82">
        <v>8.7999999999999995E-2</v>
      </c>
      <c r="E82">
        <v>0</v>
      </c>
      <c r="F82">
        <v>1</v>
      </c>
      <c r="G82" t="s">
        <v>84</v>
      </c>
      <c r="H82" s="1">
        <v>10578</v>
      </c>
      <c r="I82">
        <v>6.0000000000000001E-3</v>
      </c>
      <c r="J82">
        <v>7.8E-2</v>
      </c>
      <c r="K82">
        <v>0</v>
      </c>
      <c r="L82">
        <v>1</v>
      </c>
      <c r="M82" t="s">
        <v>84</v>
      </c>
      <c r="N82" s="1">
        <v>9337</v>
      </c>
      <c r="O82">
        <v>0.01</v>
      </c>
      <c r="P82">
        <v>9.8000000000000004E-2</v>
      </c>
      <c r="Q82">
        <v>0</v>
      </c>
      <c r="R82">
        <v>1</v>
      </c>
    </row>
    <row r="83" spans="1:18" x14ac:dyDescent="0.25">
      <c r="A83" t="s">
        <v>85</v>
      </c>
      <c r="B83" s="1">
        <v>19915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10578</v>
      </c>
      <c r="I83">
        <v>0.41099999999999998</v>
      </c>
      <c r="J83">
        <v>0.49199999999999999</v>
      </c>
      <c r="K83">
        <v>0</v>
      </c>
      <c r="L83">
        <v>1</v>
      </c>
      <c r="M83" t="s">
        <v>85</v>
      </c>
      <c r="N83" s="1">
        <v>9337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8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DF184-CC69-420F-B0BF-59A4DA9DAB0A}">
  <sheetPr codeName="Sheet7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43419</v>
      </c>
      <c r="C3">
        <v>1.1739999999999999</v>
      </c>
      <c r="D3">
        <v>0.41899999999999998</v>
      </c>
      <c r="E3">
        <v>1</v>
      </c>
      <c r="F3">
        <v>5</v>
      </c>
      <c r="G3" t="s">
        <v>10</v>
      </c>
      <c r="H3" s="1">
        <v>27358</v>
      </c>
      <c r="I3">
        <v>1.248</v>
      </c>
      <c r="J3">
        <v>0.48599999999999999</v>
      </c>
      <c r="K3">
        <v>1</v>
      </c>
      <c r="L3">
        <v>5</v>
      </c>
      <c r="M3" t="s">
        <v>10</v>
      </c>
      <c r="N3" s="1">
        <v>16061</v>
      </c>
      <c r="O3">
        <v>1.048</v>
      </c>
      <c r="P3">
        <v>0.217</v>
      </c>
      <c r="Q3">
        <v>1</v>
      </c>
      <c r="R3">
        <v>3</v>
      </c>
    </row>
    <row r="4" spans="1:18" x14ac:dyDescent="0.25">
      <c r="A4" t="s">
        <v>11</v>
      </c>
      <c r="B4" s="1">
        <v>43419</v>
      </c>
      <c r="C4">
        <v>0.37</v>
      </c>
      <c r="D4">
        <v>0.48299999999999998</v>
      </c>
      <c r="E4">
        <v>0</v>
      </c>
      <c r="F4">
        <v>1</v>
      </c>
      <c r="G4" t="s">
        <v>11</v>
      </c>
      <c r="H4" s="1">
        <v>27358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16061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43419</v>
      </c>
      <c r="C5">
        <v>0.33</v>
      </c>
      <c r="D5">
        <v>0.47</v>
      </c>
      <c r="E5">
        <v>0</v>
      </c>
      <c r="F5">
        <v>1</v>
      </c>
      <c r="G5" t="s">
        <v>12</v>
      </c>
      <c r="H5" s="1">
        <v>27358</v>
      </c>
      <c r="I5">
        <v>1E-3</v>
      </c>
      <c r="J5">
        <v>3.6999999999999998E-2</v>
      </c>
      <c r="K5">
        <v>0</v>
      </c>
      <c r="L5">
        <v>1</v>
      </c>
      <c r="M5" t="s">
        <v>12</v>
      </c>
      <c r="N5" s="1">
        <v>16061</v>
      </c>
      <c r="O5">
        <v>0.88900000000000001</v>
      </c>
      <c r="P5">
        <v>0.314</v>
      </c>
      <c r="Q5">
        <v>0</v>
      </c>
      <c r="R5">
        <v>1</v>
      </c>
    </row>
    <row r="6" spans="1:18" x14ac:dyDescent="0.25">
      <c r="A6" t="s">
        <v>36</v>
      </c>
      <c r="B6" s="1">
        <v>16061</v>
      </c>
      <c r="C6">
        <v>296.94900000000001</v>
      </c>
      <c r="D6">
        <v>555.55899999999997</v>
      </c>
      <c r="E6">
        <v>0</v>
      </c>
      <c r="F6" s="1">
        <v>4021</v>
      </c>
      <c r="H6" s="1"/>
      <c r="M6" t="s">
        <v>36</v>
      </c>
      <c r="N6" s="1">
        <v>16061</v>
      </c>
      <c r="O6">
        <v>296.94900000000001</v>
      </c>
      <c r="P6">
        <v>555.55899999999997</v>
      </c>
      <c r="Q6">
        <v>0</v>
      </c>
      <c r="R6" s="1">
        <v>4021</v>
      </c>
    </row>
    <row r="7" spans="1:18" x14ac:dyDescent="0.25">
      <c r="A7" t="s">
        <v>13</v>
      </c>
      <c r="B7" s="1">
        <v>43419</v>
      </c>
      <c r="C7">
        <v>1.903</v>
      </c>
      <c r="D7">
        <v>0.89800000000000002</v>
      </c>
      <c r="E7">
        <v>0</v>
      </c>
      <c r="F7">
        <v>17</v>
      </c>
      <c r="G7" t="s">
        <v>13</v>
      </c>
      <c r="H7" s="1">
        <v>27358</v>
      </c>
      <c r="I7">
        <v>1.891</v>
      </c>
      <c r="J7">
        <v>0.86599999999999999</v>
      </c>
      <c r="K7">
        <v>0</v>
      </c>
      <c r="L7">
        <v>17</v>
      </c>
      <c r="M7" t="s">
        <v>13</v>
      </c>
      <c r="N7" s="1">
        <v>16061</v>
      </c>
      <c r="O7">
        <v>1.9239999999999999</v>
      </c>
      <c r="P7">
        <v>0.94799999999999995</v>
      </c>
      <c r="Q7">
        <v>0</v>
      </c>
      <c r="R7">
        <v>14</v>
      </c>
    </row>
    <row r="8" spans="1:18" x14ac:dyDescent="0.25">
      <c r="A8" t="s">
        <v>14</v>
      </c>
      <c r="B8" s="1">
        <v>43419</v>
      </c>
      <c r="C8">
        <v>0.26700000000000002</v>
      </c>
      <c r="D8">
        <v>0.46400000000000002</v>
      </c>
      <c r="E8">
        <v>0</v>
      </c>
      <c r="F8">
        <v>5</v>
      </c>
      <c r="G8" t="s">
        <v>14</v>
      </c>
      <c r="H8" s="1">
        <v>27358</v>
      </c>
      <c r="I8">
        <v>0.27300000000000002</v>
      </c>
      <c r="J8">
        <v>0.46400000000000002</v>
      </c>
      <c r="K8">
        <v>0</v>
      </c>
      <c r="L8">
        <v>5</v>
      </c>
      <c r="M8" t="s">
        <v>14</v>
      </c>
      <c r="N8" s="1">
        <v>16061</v>
      </c>
      <c r="O8">
        <v>0.255</v>
      </c>
      <c r="P8">
        <v>0.46400000000000002</v>
      </c>
      <c r="Q8">
        <v>0</v>
      </c>
      <c r="R8">
        <v>5</v>
      </c>
    </row>
    <row r="9" spans="1:18" x14ac:dyDescent="0.25">
      <c r="A9" t="s">
        <v>15</v>
      </c>
      <c r="B9" s="1">
        <v>43419</v>
      </c>
      <c r="C9">
        <v>2.7130000000000001</v>
      </c>
      <c r="D9">
        <v>1.484</v>
      </c>
      <c r="E9">
        <v>0</v>
      </c>
      <c r="F9">
        <v>25</v>
      </c>
      <c r="G9" t="s">
        <v>15</v>
      </c>
      <c r="H9" s="1">
        <v>27358</v>
      </c>
      <c r="I9">
        <v>2.694</v>
      </c>
      <c r="J9">
        <v>1.427</v>
      </c>
      <c r="K9">
        <v>0</v>
      </c>
      <c r="L9">
        <v>18</v>
      </c>
      <c r="M9" t="s">
        <v>15</v>
      </c>
      <c r="N9" s="1">
        <v>16061</v>
      </c>
      <c r="O9">
        <v>2.7440000000000002</v>
      </c>
      <c r="P9">
        <v>1.575</v>
      </c>
      <c r="Q9">
        <v>0</v>
      </c>
      <c r="R9">
        <v>25</v>
      </c>
    </row>
    <row r="10" spans="1:18" x14ac:dyDescent="0.25">
      <c r="A10" t="s">
        <v>16</v>
      </c>
      <c r="B10" s="1">
        <v>43419</v>
      </c>
      <c r="C10">
        <v>46.415999999999997</v>
      </c>
      <c r="D10">
        <v>60.515999999999998</v>
      </c>
      <c r="E10">
        <v>0</v>
      </c>
      <c r="F10" s="1">
        <v>1402</v>
      </c>
      <c r="G10" t="s">
        <v>16</v>
      </c>
      <c r="H10" s="1">
        <v>27358</v>
      </c>
      <c r="I10">
        <v>51.673000000000002</v>
      </c>
      <c r="J10">
        <v>59.811</v>
      </c>
      <c r="K10">
        <v>0</v>
      </c>
      <c r="L10" s="1">
        <v>1402</v>
      </c>
      <c r="M10" t="s">
        <v>16</v>
      </c>
      <c r="N10" s="1">
        <v>16061</v>
      </c>
      <c r="O10">
        <v>37.462000000000003</v>
      </c>
      <c r="P10">
        <v>60.66</v>
      </c>
      <c r="Q10">
        <v>0</v>
      </c>
      <c r="R10">
        <v>946</v>
      </c>
    </row>
    <row r="11" spans="1:18" x14ac:dyDescent="0.25">
      <c r="A11" t="s">
        <v>163</v>
      </c>
      <c r="B11" s="1">
        <v>43419</v>
      </c>
      <c r="C11" s="2">
        <v>1334.7729999999999</v>
      </c>
      <c r="D11">
        <v>843.44899999999996</v>
      </c>
      <c r="E11">
        <v>120</v>
      </c>
      <c r="F11" s="1">
        <v>17408</v>
      </c>
      <c r="G11" t="s">
        <v>163</v>
      </c>
      <c r="H11" s="1">
        <v>27358</v>
      </c>
      <c r="I11" s="2">
        <v>1322.4280000000001</v>
      </c>
      <c r="J11">
        <v>809.577</v>
      </c>
      <c r="K11">
        <v>160</v>
      </c>
      <c r="L11" s="1">
        <v>17408</v>
      </c>
      <c r="M11" t="s">
        <v>163</v>
      </c>
      <c r="N11" s="1">
        <v>16061</v>
      </c>
      <c r="O11" s="2">
        <v>1355.8019999999999</v>
      </c>
      <c r="P11">
        <v>897.84299999999996</v>
      </c>
      <c r="Q11">
        <v>120</v>
      </c>
      <c r="R11" s="1">
        <v>16703</v>
      </c>
    </row>
    <row r="12" spans="1:18" x14ac:dyDescent="0.25">
      <c r="A12" t="s">
        <v>17</v>
      </c>
      <c r="B12" s="1">
        <v>43419</v>
      </c>
      <c r="C12">
        <v>163.82400000000001</v>
      </c>
      <c r="D12">
        <v>230.345</v>
      </c>
      <c r="E12">
        <v>0</v>
      </c>
      <c r="F12" s="1">
        <v>5000</v>
      </c>
      <c r="G12" t="s">
        <v>17</v>
      </c>
      <c r="H12" s="1">
        <v>27358</v>
      </c>
      <c r="I12">
        <v>161.12299999999999</v>
      </c>
      <c r="J12">
        <v>229</v>
      </c>
      <c r="K12">
        <v>0</v>
      </c>
      <c r="L12" s="1">
        <v>5000</v>
      </c>
      <c r="M12" t="s">
        <v>17</v>
      </c>
      <c r="N12" s="1">
        <v>16061</v>
      </c>
      <c r="O12">
        <v>168.42500000000001</v>
      </c>
      <c r="P12">
        <v>232.55500000000001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43419</v>
      </c>
      <c r="C13" s="2">
        <v>946930</v>
      </c>
      <c r="D13" s="2">
        <v>894159.5</v>
      </c>
      <c r="E13" s="2">
        <v>85418.51</v>
      </c>
      <c r="F13" s="2">
        <v>28197546</v>
      </c>
      <c r="G13" t="s">
        <v>19</v>
      </c>
      <c r="H13" s="1">
        <v>27358</v>
      </c>
      <c r="I13" s="2">
        <v>915255.7</v>
      </c>
      <c r="J13" s="2">
        <v>844893.6</v>
      </c>
      <c r="K13" s="2">
        <v>99684.44</v>
      </c>
      <c r="L13" s="2">
        <v>28197546</v>
      </c>
      <c r="M13" t="s">
        <v>19</v>
      </c>
      <c r="N13" s="1">
        <v>16061</v>
      </c>
      <c r="O13" s="2">
        <v>1000883</v>
      </c>
      <c r="P13" s="2">
        <v>969996.7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43419</v>
      </c>
      <c r="C14" s="2">
        <v>933946.1</v>
      </c>
      <c r="D14" s="2">
        <v>840772.2</v>
      </c>
      <c r="E14" s="2">
        <v>85418.51</v>
      </c>
      <c r="F14" s="2">
        <v>28197546</v>
      </c>
      <c r="G14" t="s">
        <v>20</v>
      </c>
      <c r="H14" s="1">
        <v>27358</v>
      </c>
      <c r="I14" s="2">
        <v>897238.3</v>
      </c>
      <c r="J14" s="2">
        <v>792180</v>
      </c>
      <c r="K14" s="2">
        <v>118448.6</v>
      </c>
      <c r="L14" s="2">
        <v>28197546</v>
      </c>
      <c r="M14" t="s">
        <v>20</v>
      </c>
      <c r="N14" s="1">
        <v>16061</v>
      </c>
      <c r="O14" s="2">
        <v>996473.4</v>
      </c>
      <c r="P14" s="2">
        <v>914276.4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43419</v>
      </c>
      <c r="C15" s="2">
        <v>10682.65</v>
      </c>
      <c r="D15" s="2">
        <v>92486.2</v>
      </c>
      <c r="E15" s="2">
        <v>-2010000</v>
      </c>
      <c r="F15" s="2">
        <v>6900000</v>
      </c>
      <c r="G15" t="s">
        <v>190</v>
      </c>
      <c r="H15" s="1">
        <v>27358</v>
      </c>
      <c r="I15" s="2">
        <v>14787.56</v>
      </c>
      <c r="J15" s="2">
        <v>70064.94</v>
      </c>
      <c r="K15" s="1">
        <v>-1850000</v>
      </c>
      <c r="L15" s="1">
        <v>2950000</v>
      </c>
      <c r="M15" t="s">
        <v>190</v>
      </c>
      <c r="N15" s="1">
        <v>16061</v>
      </c>
      <c r="O15" s="2">
        <v>3690.4070000000002</v>
      </c>
      <c r="P15" s="2">
        <v>121181.4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43419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27358</v>
      </c>
      <c r="I16">
        <v>1.2E-2</v>
      </c>
      <c r="J16">
        <v>0.107</v>
      </c>
      <c r="K16">
        <v>0</v>
      </c>
      <c r="L16">
        <v>1</v>
      </c>
      <c r="M16" t="s">
        <v>21</v>
      </c>
      <c r="N16" s="1">
        <v>16061</v>
      </c>
      <c r="O16">
        <v>1.6E-2</v>
      </c>
      <c r="P16">
        <v>0.126</v>
      </c>
      <c r="Q16">
        <v>0</v>
      </c>
      <c r="R16">
        <v>1</v>
      </c>
    </row>
    <row r="17" spans="1:18" x14ac:dyDescent="0.25">
      <c r="A17" t="s">
        <v>22</v>
      </c>
      <c r="B17" s="1">
        <v>43419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27358</v>
      </c>
      <c r="I17">
        <v>3.5999999999999997E-2</v>
      </c>
      <c r="J17">
        <v>0.187</v>
      </c>
      <c r="K17">
        <v>0</v>
      </c>
      <c r="L17">
        <v>1</v>
      </c>
      <c r="M17" t="s">
        <v>22</v>
      </c>
      <c r="N17" s="1">
        <v>16061</v>
      </c>
      <c r="O17">
        <v>3.5000000000000003E-2</v>
      </c>
      <c r="P17">
        <v>0.184</v>
      </c>
      <c r="Q17">
        <v>0</v>
      </c>
      <c r="R17">
        <v>1</v>
      </c>
    </row>
    <row r="18" spans="1:18" x14ac:dyDescent="0.25">
      <c r="A18" t="s">
        <v>23</v>
      </c>
      <c r="B18" s="1">
        <v>43419</v>
      </c>
      <c r="C18">
        <v>7.0000000000000001E-3</v>
      </c>
      <c r="D18">
        <v>8.4000000000000005E-2</v>
      </c>
      <c r="E18">
        <v>0</v>
      </c>
      <c r="F18">
        <v>1</v>
      </c>
      <c r="G18" t="s">
        <v>23</v>
      </c>
      <c r="H18" s="1">
        <v>27358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16061</v>
      </c>
      <c r="O18">
        <v>6.0000000000000001E-3</v>
      </c>
      <c r="P18">
        <v>7.6999999999999999E-2</v>
      </c>
      <c r="Q18">
        <v>0</v>
      </c>
      <c r="R18">
        <v>1</v>
      </c>
    </row>
    <row r="19" spans="1:18" x14ac:dyDescent="0.25">
      <c r="A19" t="s">
        <v>24</v>
      </c>
      <c r="B19" s="1">
        <v>43419</v>
      </c>
      <c r="C19">
        <v>0.09</v>
      </c>
      <c r="D19">
        <v>0.28699999999999998</v>
      </c>
      <c r="E19">
        <v>0</v>
      </c>
      <c r="F19">
        <v>1</v>
      </c>
      <c r="G19" t="s">
        <v>24</v>
      </c>
      <c r="H19" s="1">
        <v>27358</v>
      </c>
      <c r="I19">
        <v>9.4E-2</v>
      </c>
      <c r="J19">
        <v>0.29199999999999998</v>
      </c>
      <c r="K19">
        <v>0</v>
      </c>
      <c r="L19">
        <v>1</v>
      </c>
      <c r="M19" t="s">
        <v>24</v>
      </c>
      <c r="N19" s="1">
        <v>16061</v>
      </c>
      <c r="O19">
        <v>8.4000000000000005E-2</v>
      </c>
      <c r="P19">
        <v>0.27800000000000002</v>
      </c>
      <c r="Q19">
        <v>0</v>
      </c>
      <c r="R19">
        <v>1</v>
      </c>
    </row>
    <row r="20" spans="1:18" x14ac:dyDescent="0.25">
      <c r="A20" t="s">
        <v>25</v>
      </c>
      <c r="B20" s="1">
        <v>43419</v>
      </c>
      <c r="C20">
        <v>0.29399999999999998</v>
      </c>
      <c r="D20">
        <v>0.45600000000000002</v>
      </c>
      <c r="E20">
        <v>0</v>
      </c>
      <c r="F20">
        <v>1</v>
      </c>
      <c r="G20" t="s">
        <v>25</v>
      </c>
      <c r="H20" s="1">
        <v>27358</v>
      </c>
      <c r="I20">
        <v>0.28499999999999998</v>
      </c>
      <c r="J20">
        <v>0.45100000000000001</v>
      </c>
      <c r="K20">
        <v>0</v>
      </c>
      <c r="L20">
        <v>1</v>
      </c>
      <c r="M20" t="s">
        <v>25</v>
      </c>
      <c r="N20" s="1">
        <v>16061</v>
      </c>
      <c r="O20">
        <v>0.311</v>
      </c>
      <c r="P20">
        <v>0.46300000000000002</v>
      </c>
      <c r="Q20">
        <v>0</v>
      </c>
      <c r="R20">
        <v>1</v>
      </c>
    </row>
    <row r="21" spans="1:18" x14ac:dyDescent="0.25">
      <c r="A21" t="s">
        <v>26</v>
      </c>
      <c r="B21" s="1">
        <v>43419</v>
      </c>
      <c r="C21">
        <v>0.159</v>
      </c>
      <c r="D21">
        <v>0.36599999999999999</v>
      </c>
      <c r="E21">
        <v>0</v>
      </c>
      <c r="F21">
        <v>1</v>
      </c>
      <c r="G21" t="s">
        <v>26</v>
      </c>
      <c r="H21" s="1">
        <v>27358</v>
      </c>
      <c r="I21">
        <v>0.17</v>
      </c>
      <c r="J21">
        <v>0.375</v>
      </c>
      <c r="K21">
        <v>0</v>
      </c>
      <c r="L21">
        <v>1</v>
      </c>
      <c r="M21" t="s">
        <v>26</v>
      </c>
      <c r="N21" s="1">
        <v>16061</v>
      </c>
      <c r="O21">
        <v>0.14099999999999999</v>
      </c>
      <c r="P21">
        <v>0.34799999999999998</v>
      </c>
      <c r="Q21">
        <v>0</v>
      </c>
      <c r="R21">
        <v>1</v>
      </c>
    </row>
    <row r="22" spans="1:18" x14ac:dyDescent="0.25">
      <c r="A22" t="s">
        <v>27</v>
      </c>
      <c r="B22" s="1">
        <v>43419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27358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16061</v>
      </c>
      <c r="O22">
        <v>3.6999999999999998E-2</v>
      </c>
      <c r="P22">
        <v>0.188</v>
      </c>
      <c r="Q22">
        <v>0</v>
      </c>
      <c r="R22">
        <v>1</v>
      </c>
    </row>
    <row r="23" spans="1:18" x14ac:dyDescent="0.25">
      <c r="A23" t="s">
        <v>28</v>
      </c>
      <c r="B23" s="1">
        <v>43419</v>
      </c>
      <c r="C23">
        <v>0.42399999999999999</v>
      </c>
      <c r="D23">
        <v>0.49399999999999999</v>
      </c>
      <c r="E23">
        <v>0</v>
      </c>
      <c r="F23">
        <v>1</v>
      </c>
      <c r="G23" t="s">
        <v>28</v>
      </c>
      <c r="H23" s="1">
        <v>27358</v>
      </c>
      <c r="I23">
        <v>0.42</v>
      </c>
      <c r="J23">
        <v>0.49399999999999999</v>
      </c>
      <c r="K23">
        <v>0</v>
      </c>
      <c r="L23">
        <v>1</v>
      </c>
      <c r="M23" t="s">
        <v>28</v>
      </c>
      <c r="N23" s="1">
        <v>16061</v>
      </c>
      <c r="O23">
        <v>0.43</v>
      </c>
      <c r="P23">
        <v>0.495</v>
      </c>
      <c r="Q23">
        <v>0</v>
      </c>
      <c r="R23">
        <v>1</v>
      </c>
    </row>
    <row r="24" spans="1:18" x14ac:dyDescent="0.25">
      <c r="A24" t="s">
        <v>29</v>
      </c>
      <c r="B24" s="1">
        <v>43419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27358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16061</v>
      </c>
      <c r="O24">
        <v>8.9999999999999993E-3</v>
      </c>
      <c r="P24">
        <v>9.1999999999999998E-2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43419</v>
      </c>
      <c r="C25">
        <v>1.9E-2</v>
      </c>
      <c r="D25">
        <v>0.13500000000000001</v>
      </c>
      <c r="E25">
        <v>0</v>
      </c>
      <c r="F25">
        <v>1</v>
      </c>
      <c r="G25" t="s">
        <v>30</v>
      </c>
      <c r="H25" s="1">
        <v>27358</v>
      </c>
      <c r="I25">
        <v>1.6E-2</v>
      </c>
      <c r="J25">
        <v>0.124</v>
      </c>
      <c r="K25">
        <v>0</v>
      </c>
      <c r="L25">
        <v>1</v>
      </c>
      <c r="M25" t="s">
        <v>30</v>
      </c>
      <c r="N25" s="1">
        <v>16061</v>
      </c>
      <c r="O25">
        <v>2.4E-2</v>
      </c>
      <c r="P25">
        <v>0.152</v>
      </c>
      <c r="Q25">
        <v>0</v>
      </c>
      <c r="R25">
        <v>1</v>
      </c>
    </row>
    <row r="26" spans="1:18" x14ac:dyDescent="0.25">
      <c r="A26" t="s">
        <v>31</v>
      </c>
      <c r="B26" s="1">
        <v>43419</v>
      </c>
      <c r="C26">
        <v>4.3999999999999997E-2</v>
      </c>
      <c r="D26">
        <v>0.20499999999999999</v>
      </c>
      <c r="E26">
        <v>0</v>
      </c>
      <c r="F26">
        <v>1</v>
      </c>
      <c r="G26" t="s">
        <v>31</v>
      </c>
      <c r="H26" s="1">
        <v>27358</v>
      </c>
      <c r="I26">
        <v>4.5999999999999999E-2</v>
      </c>
      <c r="J26">
        <v>0.20899999999999999</v>
      </c>
      <c r="K26">
        <v>0</v>
      </c>
      <c r="L26">
        <v>1</v>
      </c>
      <c r="M26" t="s">
        <v>31</v>
      </c>
      <c r="N26" s="1">
        <v>16061</v>
      </c>
      <c r="O26">
        <v>4.1000000000000002E-2</v>
      </c>
      <c r="P26">
        <v>0.19800000000000001</v>
      </c>
      <c r="Q26">
        <v>0</v>
      </c>
      <c r="R26">
        <v>1</v>
      </c>
    </row>
    <row r="27" spans="1:18" x14ac:dyDescent="0.25">
      <c r="A27" t="s">
        <v>32</v>
      </c>
      <c r="B27" s="1">
        <v>43419</v>
      </c>
      <c r="C27">
        <v>0.45800000000000002</v>
      </c>
      <c r="D27">
        <v>0.498</v>
      </c>
      <c r="E27">
        <v>0</v>
      </c>
      <c r="F27">
        <v>1</v>
      </c>
      <c r="G27" t="s">
        <v>32</v>
      </c>
      <c r="H27" s="1">
        <v>27358</v>
      </c>
      <c r="I27">
        <v>0.45500000000000002</v>
      </c>
      <c r="J27">
        <v>0.498</v>
      </c>
      <c r="K27">
        <v>0</v>
      </c>
      <c r="L27">
        <v>1</v>
      </c>
      <c r="M27" t="s">
        <v>32</v>
      </c>
      <c r="N27" s="1">
        <v>16061</v>
      </c>
      <c r="O27">
        <v>0.46400000000000002</v>
      </c>
      <c r="P27">
        <v>0.499</v>
      </c>
      <c r="Q27">
        <v>0</v>
      </c>
      <c r="R27">
        <v>1</v>
      </c>
    </row>
    <row r="28" spans="1:18" x14ac:dyDescent="0.25">
      <c r="A28" t="s">
        <v>33</v>
      </c>
      <c r="B28" s="1">
        <v>43419</v>
      </c>
      <c r="C28">
        <v>37.128</v>
      </c>
      <c r="D28">
        <v>19.867999999999999</v>
      </c>
      <c r="E28">
        <v>0</v>
      </c>
      <c r="F28">
        <v>123</v>
      </c>
      <c r="G28" t="s">
        <v>33</v>
      </c>
      <c r="H28" s="1">
        <v>27358</v>
      </c>
      <c r="I28">
        <v>35.146999999999998</v>
      </c>
      <c r="J28">
        <v>19.565999999999999</v>
      </c>
      <c r="K28">
        <v>0</v>
      </c>
      <c r="L28">
        <v>112</v>
      </c>
      <c r="M28" t="s">
        <v>33</v>
      </c>
      <c r="N28" s="1">
        <v>16061</v>
      </c>
      <c r="O28">
        <v>40.502000000000002</v>
      </c>
      <c r="P28">
        <v>19.925000000000001</v>
      </c>
      <c r="Q28">
        <v>0</v>
      </c>
      <c r="R28">
        <v>123</v>
      </c>
    </row>
    <row r="29" spans="1:18" x14ac:dyDescent="0.25">
      <c r="A29" t="s">
        <v>34</v>
      </c>
      <c r="B29" s="1">
        <v>43419</v>
      </c>
      <c r="C29">
        <v>1.7729999999999999</v>
      </c>
      <c r="D29">
        <v>1.57</v>
      </c>
      <c r="E29">
        <v>0</v>
      </c>
      <c r="F29">
        <v>15.129</v>
      </c>
      <c r="G29" t="s">
        <v>34</v>
      </c>
      <c r="H29" s="1">
        <v>27358</v>
      </c>
      <c r="I29">
        <v>1.6180000000000001</v>
      </c>
      <c r="J29">
        <v>1.4850000000000001</v>
      </c>
      <c r="K29">
        <v>0</v>
      </c>
      <c r="L29">
        <v>12.544</v>
      </c>
      <c r="M29" t="s">
        <v>34</v>
      </c>
      <c r="N29" s="1">
        <v>16061</v>
      </c>
      <c r="O29">
        <v>2.0369999999999999</v>
      </c>
      <c r="P29">
        <v>1.6719999999999999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43419</v>
      </c>
      <c r="C30">
        <v>3.2040000000000002</v>
      </c>
      <c r="D30">
        <v>9.5879999999999992</v>
      </c>
      <c r="E30">
        <v>0</v>
      </c>
      <c r="F30">
        <v>94</v>
      </c>
      <c r="G30" t="s">
        <v>35</v>
      </c>
      <c r="H30" s="1">
        <v>27358</v>
      </c>
      <c r="I30">
        <v>2.8889999999999998</v>
      </c>
      <c r="J30">
        <v>8.9250000000000007</v>
      </c>
      <c r="K30">
        <v>0</v>
      </c>
      <c r="L30">
        <v>88</v>
      </c>
      <c r="M30" t="s">
        <v>35</v>
      </c>
      <c r="N30" s="1">
        <v>16061</v>
      </c>
      <c r="O30">
        <v>3.7389999999999999</v>
      </c>
      <c r="P30">
        <v>10.601000000000001</v>
      </c>
      <c r="Q30">
        <v>0</v>
      </c>
      <c r="R30">
        <v>94</v>
      </c>
    </row>
    <row r="31" spans="1:18" x14ac:dyDescent="0.25">
      <c r="A31" t="s">
        <v>18</v>
      </c>
      <c r="B31" s="1">
        <v>43419</v>
      </c>
      <c r="C31" s="2">
        <v>1479.421</v>
      </c>
      <c r="D31">
        <v>997.70799999999997</v>
      </c>
      <c r="E31">
        <v>175</v>
      </c>
      <c r="F31" s="1">
        <v>23350</v>
      </c>
      <c r="G31" t="s">
        <v>18</v>
      </c>
      <c r="H31" s="1">
        <v>27358</v>
      </c>
      <c r="I31" s="2">
        <v>1462.528</v>
      </c>
      <c r="J31">
        <v>956.28200000000004</v>
      </c>
      <c r="K31">
        <v>195</v>
      </c>
      <c r="L31" s="1">
        <v>23350</v>
      </c>
      <c r="M31" t="s">
        <v>18</v>
      </c>
      <c r="N31" s="1">
        <v>16061</v>
      </c>
      <c r="O31" s="2">
        <v>1508.1959999999999</v>
      </c>
      <c r="P31" s="2">
        <v>1063.981</v>
      </c>
      <c r="Q31">
        <v>175</v>
      </c>
      <c r="R31" s="1">
        <v>18919</v>
      </c>
    </row>
    <row r="32" spans="1:18" x14ac:dyDescent="0.25">
      <c r="A32" t="s">
        <v>37</v>
      </c>
      <c r="B32" s="1">
        <v>43419</v>
      </c>
      <c r="C32">
        <v>2.99</v>
      </c>
      <c r="D32">
        <v>5.8550000000000004</v>
      </c>
      <c r="E32">
        <v>1.4E-2</v>
      </c>
      <c r="F32">
        <v>128.91800000000001</v>
      </c>
      <c r="G32" t="s">
        <v>37</v>
      </c>
      <c r="H32" s="1">
        <v>27358</v>
      </c>
      <c r="I32">
        <v>3.0649999999999999</v>
      </c>
      <c r="J32">
        <v>5.859</v>
      </c>
      <c r="K32">
        <v>1.4E-2</v>
      </c>
      <c r="L32">
        <v>128.91800000000001</v>
      </c>
      <c r="M32" t="s">
        <v>37</v>
      </c>
      <c r="N32" s="1">
        <v>16061</v>
      </c>
      <c r="O32">
        <v>2.863</v>
      </c>
      <c r="P32">
        <v>5.8470000000000004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43419</v>
      </c>
      <c r="C33">
        <v>2.0779999999999998</v>
      </c>
      <c r="D33">
        <v>2.4390000000000001</v>
      </c>
      <c r="E33">
        <v>0</v>
      </c>
      <c r="F33">
        <v>13.552</v>
      </c>
      <c r="G33" t="s">
        <v>164</v>
      </c>
      <c r="H33" s="1">
        <v>27358</v>
      </c>
      <c r="I33">
        <v>2.1280000000000001</v>
      </c>
      <c r="J33">
        <v>2.4929999999999999</v>
      </c>
      <c r="K33">
        <v>0</v>
      </c>
      <c r="L33">
        <v>13.552</v>
      </c>
      <c r="M33" t="s">
        <v>164</v>
      </c>
      <c r="N33" s="1">
        <v>16061</v>
      </c>
      <c r="O33">
        <v>1.994</v>
      </c>
      <c r="P33">
        <v>2.3439999999999999</v>
      </c>
      <c r="Q33">
        <v>0</v>
      </c>
      <c r="R33">
        <v>13.477</v>
      </c>
    </row>
    <row r="34" spans="1:18" x14ac:dyDescent="0.25">
      <c r="A34" t="s">
        <v>39</v>
      </c>
      <c r="B34" s="1">
        <v>43419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27358</v>
      </c>
      <c r="I34">
        <v>0.42499999999999999</v>
      </c>
      <c r="J34">
        <v>0.308</v>
      </c>
      <c r="K34">
        <v>0</v>
      </c>
      <c r="L34">
        <v>3.302</v>
      </c>
      <c r="M34" t="s">
        <v>39</v>
      </c>
      <c r="N34" s="1">
        <v>16061</v>
      </c>
      <c r="O34">
        <v>0.42199999999999999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43419</v>
      </c>
      <c r="C35">
        <v>4.0369999999999999</v>
      </c>
      <c r="D35">
        <v>3.9329999999999998</v>
      </c>
      <c r="E35">
        <v>0.01</v>
      </c>
      <c r="F35">
        <v>20.997</v>
      </c>
      <c r="G35" t="s">
        <v>40</v>
      </c>
      <c r="H35" s="1">
        <v>27358</v>
      </c>
      <c r="I35">
        <v>4.0430000000000001</v>
      </c>
      <c r="J35">
        <v>3.8769999999999998</v>
      </c>
      <c r="K35">
        <v>0.01</v>
      </c>
      <c r="L35">
        <v>20.997</v>
      </c>
      <c r="M35" t="s">
        <v>40</v>
      </c>
      <c r="N35" s="1">
        <v>16061</v>
      </c>
      <c r="O35">
        <v>4.0289999999999999</v>
      </c>
      <c r="P35">
        <v>4.0279999999999996</v>
      </c>
      <c r="Q35">
        <v>1.4999999999999999E-2</v>
      </c>
      <c r="R35">
        <v>20.927</v>
      </c>
    </row>
    <row r="36" spans="1:18" x14ac:dyDescent="0.25">
      <c r="A36" t="s">
        <v>41</v>
      </c>
      <c r="B36" s="1">
        <v>43419</v>
      </c>
      <c r="C36">
        <v>9.0809999999999995</v>
      </c>
      <c r="D36">
        <v>5.6109999999999998</v>
      </c>
      <c r="E36">
        <v>0.99299999999999999</v>
      </c>
      <c r="F36">
        <v>30.986000000000001</v>
      </c>
      <c r="G36" t="s">
        <v>41</v>
      </c>
      <c r="H36" s="1">
        <v>27358</v>
      </c>
      <c r="I36">
        <v>9.0609999999999999</v>
      </c>
      <c r="J36">
        <v>5.6120000000000001</v>
      </c>
      <c r="K36">
        <v>0.99299999999999999</v>
      </c>
      <c r="L36">
        <v>30.003</v>
      </c>
      <c r="M36" t="s">
        <v>41</v>
      </c>
      <c r="N36" s="1">
        <v>16061</v>
      </c>
      <c r="O36">
        <v>9.1140000000000008</v>
      </c>
      <c r="P36">
        <v>5.609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43419</v>
      </c>
      <c r="C37">
        <v>1.159</v>
      </c>
      <c r="D37">
        <v>4.5750000000000002</v>
      </c>
      <c r="E37">
        <v>1.6E-2</v>
      </c>
      <c r="F37">
        <v>196.49</v>
      </c>
      <c r="G37" t="s">
        <v>173</v>
      </c>
      <c r="H37" s="1">
        <v>27358</v>
      </c>
      <c r="I37">
        <v>1.179</v>
      </c>
      <c r="J37">
        <v>4.8</v>
      </c>
      <c r="K37">
        <v>2.5999999999999999E-2</v>
      </c>
      <c r="L37">
        <v>196.49</v>
      </c>
      <c r="M37" t="s">
        <v>173</v>
      </c>
      <c r="N37" s="1">
        <v>16061</v>
      </c>
      <c r="O37">
        <v>1.123</v>
      </c>
      <c r="P37">
        <v>4.1619999999999999</v>
      </c>
      <c r="Q37">
        <v>1.6E-2</v>
      </c>
      <c r="R37">
        <v>196.49</v>
      </c>
    </row>
    <row r="38" spans="1:18" x14ac:dyDescent="0.25">
      <c r="A38" t="s">
        <v>174</v>
      </c>
      <c r="B38" s="1">
        <v>43419</v>
      </c>
      <c r="C38">
        <v>2.19</v>
      </c>
      <c r="D38">
        <v>1.59</v>
      </c>
      <c r="E38">
        <v>3.6999999999999998E-2</v>
      </c>
      <c r="F38">
        <v>17.684000000000001</v>
      </c>
      <c r="G38" t="s">
        <v>174</v>
      </c>
      <c r="H38" s="1">
        <v>27358</v>
      </c>
      <c r="I38">
        <v>2.1850000000000001</v>
      </c>
      <c r="J38">
        <v>1.5760000000000001</v>
      </c>
      <c r="K38">
        <v>4.2999999999999997E-2</v>
      </c>
      <c r="L38">
        <v>17.684000000000001</v>
      </c>
      <c r="M38" t="s">
        <v>174</v>
      </c>
      <c r="N38" s="1">
        <v>16061</v>
      </c>
      <c r="O38">
        <v>2.2000000000000002</v>
      </c>
      <c r="P38">
        <v>1.6140000000000001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43419</v>
      </c>
      <c r="C39">
        <v>2.15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27358</v>
      </c>
      <c r="I39">
        <v>2.1539999999999999</v>
      </c>
      <c r="J39">
        <v>1.494</v>
      </c>
      <c r="K39">
        <v>3.4000000000000002E-2</v>
      </c>
      <c r="L39">
        <v>17.684000000000001</v>
      </c>
      <c r="M39" t="s">
        <v>175</v>
      </c>
      <c r="N39" s="1">
        <v>16061</v>
      </c>
      <c r="O39">
        <v>2.1419999999999999</v>
      </c>
      <c r="P39">
        <v>1.556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43419</v>
      </c>
      <c r="C40">
        <v>0.24199999999999999</v>
      </c>
      <c r="D40">
        <v>0.17799999999999999</v>
      </c>
      <c r="E40">
        <v>0</v>
      </c>
      <c r="F40">
        <v>0.85</v>
      </c>
      <c r="G40" t="s">
        <v>42</v>
      </c>
      <c r="H40" s="1">
        <v>27358</v>
      </c>
      <c r="I40">
        <v>0.24399999999999999</v>
      </c>
      <c r="J40">
        <v>0.17899999999999999</v>
      </c>
      <c r="K40">
        <v>0</v>
      </c>
      <c r="L40">
        <v>0.85</v>
      </c>
      <c r="M40" t="s">
        <v>42</v>
      </c>
      <c r="N40" s="1">
        <v>16061</v>
      </c>
      <c r="O40">
        <v>0.24</v>
      </c>
      <c r="P40">
        <v>0.17499999999999999</v>
      </c>
      <c r="Q40">
        <v>0</v>
      </c>
      <c r="R40">
        <v>0.85</v>
      </c>
    </row>
    <row r="41" spans="1:18" x14ac:dyDescent="0.25">
      <c r="A41" t="s">
        <v>43</v>
      </c>
      <c r="B41" s="1">
        <v>43419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27358</v>
      </c>
      <c r="I41">
        <v>2.1000000000000001E-2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16061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43419</v>
      </c>
      <c r="C42">
        <v>0.435</v>
      </c>
      <c r="D42">
        <v>0.19800000000000001</v>
      </c>
      <c r="E42">
        <v>0</v>
      </c>
      <c r="F42">
        <v>1</v>
      </c>
      <c r="G42" t="s">
        <v>44</v>
      </c>
      <c r="H42" s="1">
        <v>27358</v>
      </c>
      <c r="I42">
        <v>0.432</v>
      </c>
      <c r="J42">
        <v>0.19600000000000001</v>
      </c>
      <c r="K42">
        <v>2.0000000000000001E-4</v>
      </c>
      <c r="L42">
        <v>1</v>
      </c>
      <c r="M42" t="s">
        <v>44</v>
      </c>
      <c r="N42" s="1">
        <v>16061</v>
      </c>
      <c r="O42">
        <v>0.441</v>
      </c>
      <c r="P42">
        <v>0.19900000000000001</v>
      </c>
      <c r="Q42">
        <v>0</v>
      </c>
      <c r="R42">
        <v>1</v>
      </c>
    </row>
    <row r="43" spans="1:18" x14ac:dyDescent="0.25">
      <c r="A43" t="s">
        <v>45</v>
      </c>
      <c r="B43" s="1">
        <v>43419</v>
      </c>
      <c r="C43">
        <v>6.9000000000000006E-2</v>
      </c>
      <c r="D43">
        <v>0.1</v>
      </c>
      <c r="E43">
        <v>0</v>
      </c>
      <c r="F43">
        <v>0.69499999999999995</v>
      </c>
      <c r="G43" t="s">
        <v>45</v>
      </c>
      <c r="H43" s="1">
        <v>27358</v>
      </c>
      <c r="I43">
        <v>6.9000000000000006E-2</v>
      </c>
      <c r="J43">
        <v>0.1</v>
      </c>
      <c r="K43">
        <v>0</v>
      </c>
      <c r="L43">
        <v>0.69499999999999995</v>
      </c>
      <c r="M43" t="s">
        <v>45</v>
      </c>
      <c r="N43" s="1">
        <v>16061</v>
      </c>
      <c r="O43">
        <v>6.8000000000000005E-2</v>
      </c>
      <c r="P43">
        <v>0.10100000000000001</v>
      </c>
      <c r="Q43">
        <v>0</v>
      </c>
      <c r="R43">
        <v>0.69499999999999995</v>
      </c>
    </row>
    <row r="44" spans="1:18" x14ac:dyDescent="0.25">
      <c r="A44" t="s">
        <v>46</v>
      </c>
      <c r="B44" s="1">
        <v>43419</v>
      </c>
      <c r="C44">
        <v>0.878</v>
      </c>
      <c r="D44">
        <v>0.16600000000000001</v>
      </c>
      <c r="E44">
        <v>4.0000000000000002E-4</v>
      </c>
      <c r="F44">
        <v>1</v>
      </c>
      <c r="G44" t="s">
        <v>46</v>
      </c>
      <c r="H44" s="1">
        <v>27358</v>
      </c>
      <c r="I44">
        <v>0.88100000000000001</v>
      </c>
      <c r="J44">
        <v>0.16800000000000001</v>
      </c>
      <c r="K44">
        <v>4.0000000000000002E-4</v>
      </c>
      <c r="L44">
        <v>1</v>
      </c>
      <c r="M44" t="s">
        <v>46</v>
      </c>
      <c r="N44" s="1">
        <v>16061</v>
      </c>
      <c r="O44">
        <v>0.874</v>
      </c>
      <c r="P44">
        <v>0.16200000000000001</v>
      </c>
      <c r="Q44">
        <v>0.107</v>
      </c>
      <c r="R44">
        <v>1</v>
      </c>
    </row>
    <row r="45" spans="1:18" x14ac:dyDescent="0.25">
      <c r="A45" t="s">
        <v>47</v>
      </c>
      <c r="B45" s="1">
        <v>43419</v>
      </c>
      <c r="C45">
        <v>0.121</v>
      </c>
      <c r="D45">
        <v>0.16400000000000001</v>
      </c>
      <c r="E45">
        <v>0</v>
      </c>
      <c r="F45">
        <v>0.89300000000000002</v>
      </c>
      <c r="G45" t="s">
        <v>47</v>
      </c>
      <c r="H45" s="1">
        <v>27358</v>
      </c>
      <c r="I45">
        <v>0.11799999999999999</v>
      </c>
      <c r="J45">
        <v>0.16600000000000001</v>
      </c>
      <c r="K45">
        <v>0</v>
      </c>
      <c r="L45">
        <v>0.89300000000000002</v>
      </c>
      <c r="M45" t="s">
        <v>47</v>
      </c>
      <c r="N45" s="1">
        <v>16061</v>
      </c>
      <c r="O45">
        <v>0.125</v>
      </c>
      <c r="P45">
        <v>0.16</v>
      </c>
      <c r="Q45">
        <v>0</v>
      </c>
      <c r="R45">
        <v>0.89300000000000002</v>
      </c>
    </row>
    <row r="46" spans="1:18" x14ac:dyDescent="0.25">
      <c r="A46" t="s">
        <v>48</v>
      </c>
      <c r="B46" s="1">
        <v>43419</v>
      </c>
      <c r="C46">
        <v>0.66300000000000003</v>
      </c>
      <c r="D46">
        <v>0.20499999999999999</v>
      </c>
      <c r="E46">
        <v>0</v>
      </c>
      <c r="F46">
        <v>1</v>
      </c>
      <c r="G46" t="s">
        <v>48</v>
      </c>
      <c r="H46" s="1">
        <v>27358</v>
      </c>
      <c r="I46">
        <v>0.66800000000000004</v>
      </c>
      <c r="J46">
        <v>0.20100000000000001</v>
      </c>
      <c r="K46">
        <v>4.0000000000000002E-4</v>
      </c>
      <c r="L46">
        <v>1</v>
      </c>
      <c r="M46" t="s">
        <v>48</v>
      </c>
      <c r="N46" s="1">
        <v>16061</v>
      </c>
      <c r="O46">
        <v>0.65500000000000003</v>
      </c>
      <c r="P46">
        <v>0.21099999999999999</v>
      </c>
      <c r="Q46">
        <v>0</v>
      </c>
      <c r="R46">
        <v>1</v>
      </c>
    </row>
    <row r="47" spans="1:18" x14ac:dyDescent="0.25">
      <c r="A47" t="s">
        <v>49</v>
      </c>
      <c r="B47" s="1">
        <v>43419</v>
      </c>
      <c r="C47">
        <v>0.33600000000000002</v>
      </c>
      <c r="D47">
        <v>0.20399999999999999</v>
      </c>
      <c r="E47">
        <v>0</v>
      </c>
      <c r="F47">
        <v>1</v>
      </c>
      <c r="G47" t="s">
        <v>49</v>
      </c>
      <c r="H47" s="1">
        <v>27358</v>
      </c>
      <c r="I47">
        <v>0.33100000000000002</v>
      </c>
      <c r="J47">
        <v>0.20100000000000001</v>
      </c>
      <c r="K47">
        <v>0</v>
      </c>
      <c r="L47">
        <v>0.98599999999999999</v>
      </c>
      <c r="M47" t="s">
        <v>49</v>
      </c>
      <c r="N47" s="1">
        <v>16061</v>
      </c>
      <c r="O47">
        <v>0.34399999999999997</v>
      </c>
      <c r="P47">
        <v>0.21</v>
      </c>
      <c r="Q47">
        <v>0</v>
      </c>
      <c r="R47">
        <v>1</v>
      </c>
    </row>
    <row r="48" spans="1:18" x14ac:dyDescent="0.25">
      <c r="A48" t="s">
        <v>50</v>
      </c>
      <c r="B48" s="1">
        <v>43419</v>
      </c>
      <c r="C48">
        <v>16.683</v>
      </c>
      <c r="D48">
        <v>45.975999999999999</v>
      </c>
      <c r="E48">
        <v>0</v>
      </c>
      <c r="F48" s="1">
        <v>1000</v>
      </c>
      <c r="G48" t="s">
        <v>50</v>
      </c>
      <c r="H48" s="1">
        <v>27358</v>
      </c>
      <c r="I48">
        <v>17.324999999999999</v>
      </c>
      <c r="J48">
        <v>45.284999999999997</v>
      </c>
      <c r="K48">
        <v>0</v>
      </c>
      <c r="L48">
        <v>667</v>
      </c>
      <c r="M48" t="s">
        <v>50</v>
      </c>
      <c r="N48" s="1">
        <v>16061</v>
      </c>
      <c r="O48">
        <v>15.589</v>
      </c>
      <c r="P48">
        <v>47.112000000000002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43419</v>
      </c>
      <c r="C49">
        <v>0.73</v>
      </c>
      <c r="D49">
        <v>1.5649999999999999</v>
      </c>
      <c r="E49">
        <v>0</v>
      </c>
      <c r="F49">
        <v>36</v>
      </c>
      <c r="G49" t="s">
        <v>51</v>
      </c>
      <c r="H49" s="1">
        <v>27358</v>
      </c>
      <c r="I49">
        <v>0.71799999999999997</v>
      </c>
      <c r="J49">
        <v>1.577</v>
      </c>
      <c r="K49">
        <v>0</v>
      </c>
      <c r="L49">
        <v>36</v>
      </c>
      <c r="M49" t="s">
        <v>51</v>
      </c>
      <c r="N49" s="1">
        <v>16061</v>
      </c>
      <c r="O49">
        <v>0.75</v>
      </c>
      <c r="P49">
        <v>1.544</v>
      </c>
      <c r="Q49">
        <v>0</v>
      </c>
      <c r="R49">
        <v>23</v>
      </c>
    </row>
    <row r="50" spans="1:18" x14ac:dyDescent="0.25">
      <c r="A50" t="s">
        <v>52</v>
      </c>
      <c r="B50" s="1">
        <v>43419</v>
      </c>
      <c r="C50">
        <v>0.38700000000000001</v>
      </c>
      <c r="D50">
        <v>0.48699999999999999</v>
      </c>
      <c r="E50">
        <v>0</v>
      </c>
      <c r="F50">
        <v>1</v>
      </c>
      <c r="G50" t="s">
        <v>52</v>
      </c>
      <c r="H50" s="1">
        <v>27358</v>
      </c>
      <c r="I50">
        <v>0.372</v>
      </c>
      <c r="J50">
        <v>0.48299999999999998</v>
      </c>
      <c r="K50">
        <v>0</v>
      </c>
      <c r="L50">
        <v>1</v>
      </c>
      <c r="M50" t="s">
        <v>52</v>
      </c>
      <c r="N50" s="1">
        <v>16061</v>
      </c>
      <c r="O50">
        <v>0.41399999999999998</v>
      </c>
      <c r="P50">
        <v>0.49199999999999999</v>
      </c>
      <c r="Q50">
        <v>0</v>
      </c>
      <c r="R50">
        <v>1</v>
      </c>
    </row>
    <row r="51" spans="1:18" x14ac:dyDescent="0.25">
      <c r="A51" t="s">
        <v>53</v>
      </c>
      <c r="B51" s="1">
        <v>43419</v>
      </c>
      <c r="C51" s="2">
        <v>2361376</v>
      </c>
      <c r="D51" s="2">
        <v>7639.9489999999996</v>
      </c>
      <c r="E51" s="2">
        <v>2350907</v>
      </c>
      <c r="F51" s="2">
        <v>2400056</v>
      </c>
      <c r="G51" t="s">
        <v>53</v>
      </c>
      <c r="H51" s="1">
        <v>27358</v>
      </c>
      <c r="I51" s="2">
        <v>2361425</v>
      </c>
      <c r="J51" s="2">
        <v>7559.9160000000002</v>
      </c>
      <c r="K51" s="2">
        <v>2350907</v>
      </c>
      <c r="L51" s="2">
        <v>2400056</v>
      </c>
      <c r="M51" t="s">
        <v>53</v>
      </c>
      <c r="N51" s="1">
        <v>16061</v>
      </c>
      <c r="O51" s="2">
        <v>2361293</v>
      </c>
      <c r="P51" s="2">
        <v>7773.9030000000002</v>
      </c>
      <c r="Q51" s="2">
        <v>2350948</v>
      </c>
      <c r="R51" s="2">
        <v>2400056</v>
      </c>
    </row>
    <row r="52" spans="1:18" x14ac:dyDescent="0.25">
      <c r="A52" t="s">
        <v>54</v>
      </c>
      <c r="B52" s="1">
        <v>43419</v>
      </c>
      <c r="C52" s="2">
        <v>613206</v>
      </c>
      <c r="D52" s="2">
        <v>13139.06</v>
      </c>
      <c r="E52" s="2">
        <v>579824.19999999995</v>
      </c>
      <c r="F52" s="2">
        <v>638667.69999999995</v>
      </c>
      <c r="G52" t="s">
        <v>54</v>
      </c>
      <c r="H52" s="1">
        <v>27358</v>
      </c>
      <c r="I52" s="2">
        <v>612782.69999999995</v>
      </c>
      <c r="J52" s="2">
        <v>13110.52</v>
      </c>
      <c r="K52" s="2">
        <v>579824.19999999995</v>
      </c>
      <c r="L52" s="2">
        <v>638667.69999999995</v>
      </c>
      <c r="M52" t="s">
        <v>54</v>
      </c>
      <c r="N52" s="1">
        <v>16061</v>
      </c>
      <c r="O52" s="2">
        <v>613927</v>
      </c>
      <c r="P52" s="2">
        <v>13156.63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43419</v>
      </c>
      <c r="C53">
        <v>0.54200000000000004</v>
      </c>
      <c r="D53">
        <v>0.498</v>
      </c>
      <c r="E53">
        <v>0</v>
      </c>
      <c r="F53">
        <v>1</v>
      </c>
      <c r="G53" t="s">
        <v>56</v>
      </c>
      <c r="H53" s="1">
        <v>27358</v>
      </c>
      <c r="I53">
        <v>0.54500000000000004</v>
      </c>
      <c r="J53">
        <v>0.498</v>
      </c>
      <c r="K53">
        <v>0</v>
      </c>
      <c r="L53">
        <v>1</v>
      </c>
      <c r="M53" t="s">
        <v>56</v>
      </c>
      <c r="N53" s="1">
        <v>16061</v>
      </c>
      <c r="O53">
        <v>0.53600000000000003</v>
      </c>
      <c r="P53">
        <v>0.499</v>
      </c>
      <c r="Q53">
        <v>0</v>
      </c>
      <c r="R53">
        <v>1</v>
      </c>
    </row>
    <row r="54" spans="1:18" x14ac:dyDescent="0.25">
      <c r="A54" t="s">
        <v>57</v>
      </c>
      <c r="B54" s="1">
        <v>43419</v>
      </c>
      <c r="C54">
        <v>0.45800000000000002</v>
      </c>
      <c r="D54">
        <v>0.498</v>
      </c>
      <c r="E54">
        <v>0</v>
      </c>
      <c r="F54">
        <v>1</v>
      </c>
      <c r="G54" t="s">
        <v>57</v>
      </c>
      <c r="H54" s="1">
        <v>27358</v>
      </c>
      <c r="I54">
        <v>0.45500000000000002</v>
      </c>
      <c r="J54">
        <v>0.498</v>
      </c>
      <c r="K54">
        <v>0</v>
      </c>
      <c r="L54">
        <v>1</v>
      </c>
      <c r="M54" t="s">
        <v>57</v>
      </c>
      <c r="N54" s="1">
        <v>16061</v>
      </c>
      <c r="O54">
        <v>0.46400000000000002</v>
      </c>
      <c r="P54">
        <v>0.499</v>
      </c>
      <c r="Q54">
        <v>0</v>
      </c>
      <c r="R54">
        <v>1</v>
      </c>
    </row>
    <row r="55" spans="1:18" x14ac:dyDescent="0.25">
      <c r="A55" t="s">
        <v>58</v>
      </c>
      <c r="B55" s="1">
        <v>43419</v>
      </c>
      <c r="C55">
        <v>0.34799999999999998</v>
      </c>
      <c r="D55">
        <v>0.47599999999999998</v>
      </c>
      <c r="E55">
        <v>0</v>
      </c>
      <c r="F55">
        <v>1</v>
      </c>
      <c r="G55" t="s">
        <v>58</v>
      </c>
      <c r="H55" s="1">
        <v>27358</v>
      </c>
      <c r="I55">
        <v>0.34799999999999998</v>
      </c>
      <c r="J55">
        <v>0.47599999999999998</v>
      </c>
      <c r="K55">
        <v>0</v>
      </c>
      <c r="L55">
        <v>1</v>
      </c>
      <c r="M55" t="s">
        <v>58</v>
      </c>
      <c r="N55" s="1">
        <v>16061</v>
      </c>
      <c r="O55">
        <v>0.34699999999999998</v>
      </c>
      <c r="P55">
        <v>0.47599999999999998</v>
      </c>
      <c r="Q55">
        <v>0</v>
      </c>
      <c r="R55">
        <v>1</v>
      </c>
    </row>
    <row r="56" spans="1:18" x14ac:dyDescent="0.25">
      <c r="A56" t="s">
        <v>59</v>
      </c>
      <c r="B56" s="1">
        <v>43419</v>
      </c>
      <c r="C56">
        <v>0.33400000000000002</v>
      </c>
      <c r="D56">
        <v>0.47199999999999998</v>
      </c>
      <c r="E56">
        <v>0</v>
      </c>
      <c r="F56">
        <v>1</v>
      </c>
      <c r="G56" t="s">
        <v>59</v>
      </c>
      <c r="H56" s="1">
        <v>27358</v>
      </c>
      <c r="I56">
        <v>0.34499999999999997</v>
      </c>
      <c r="J56">
        <v>0.47499999999999998</v>
      </c>
      <c r="K56">
        <v>0</v>
      </c>
      <c r="L56">
        <v>1</v>
      </c>
      <c r="M56" t="s">
        <v>59</v>
      </c>
      <c r="N56" s="1">
        <v>16061</v>
      </c>
      <c r="O56">
        <v>0.315</v>
      </c>
      <c r="P56">
        <v>0.46500000000000002</v>
      </c>
      <c r="Q56">
        <v>0</v>
      </c>
      <c r="R56">
        <v>1</v>
      </c>
    </row>
    <row r="57" spans="1:18" x14ac:dyDescent="0.25">
      <c r="A57" t="s">
        <v>60</v>
      </c>
      <c r="B57" s="1">
        <v>43419</v>
      </c>
      <c r="C57">
        <v>0.318</v>
      </c>
      <c r="D57">
        <v>0.46600000000000003</v>
      </c>
      <c r="E57">
        <v>0</v>
      </c>
      <c r="F57">
        <v>1</v>
      </c>
      <c r="G57" t="s">
        <v>60</v>
      </c>
      <c r="H57" s="1">
        <v>27358</v>
      </c>
      <c r="I57">
        <v>0.307</v>
      </c>
      <c r="J57">
        <v>0.46100000000000002</v>
      </c>
      <c r="K57">
        <v>0</v>
      </c>
      <c r="L57">
        <v>1</v>
      </c>
      <c r="M57" t="s">
        <v>60</v>
      </c>
      <c r="N57" s="1">
        <v>16061</v>
      </c>
      <c r="O57">
        <v>0.33700000000000002</v>
      </c>
      <c r="P57">
        <v>0.47299999999999998</v>
      </c>
      <c r="Q57">
        <v>0</v>
      </c>
      <c r="R57">
        <v>1</v>
      </c>
    </row>
    <row r="58" spans="1:18" x14ac:dyDescent="0.25">
      <c r="A58" t="s">
        <v>61</v>
      </c>
      <c r="B58" s="1">
        <v>43419</v>
      </c>
      <c r="C58" s="2">
        <v>2018.806</v>
      </c>
      <c r="D58">
        <v>1.9990000000000001</v>
      </c>
      <c r="E58" s="1">
        <v>2016</v>
      </c>
      <c r="F58" s="1">
        <v>2023</v>
      </c>
      <c r="G58" t="s">
        <v>61</v>
      </c>
      <c r="H58" s="1">
        <v>27358</v>
      </c>
      <c r="I58" s="2">
        <v>2017.4960000000001</v>
      </c>
      <c r="J58">
        <v>1.159</v>
      </c>
      <c r="K58" s="1">
        <v>2016</v>
      </c>
      <c r="L58" s="1">
        <v>2020</v>
      </c>
      <c r="M58" t="s">
        <v>61</v>
      </c>
      <c r="N58" s="1">
        <v>16061</v>
      </c>
      <c r="O58" s="2">
        <v>2021.0360000000001</v>
      </c>
      <c r="P58">
        <v>0.79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43419</v>
      </c>
      <c r="C59">
        <v>0.45800000000000002</v>
      </c>
      <c r="D59">
        <v>0.498</v>
      </c>
      <c r="E59">
        <v>0</v>
      </c>
      <c r="F59">
        <v>1</v>
      </c>
      <c r="G59" t="s">
        <v>62</v>
      </c>
      <c r="H59" s="1">
        <v>27358</v>
      </c>
      <c r="I59">
        <v>0.45600000000000002</v>
      </c>
      <c r="J59">
        <v>0.498</v>
      </c>
      <c r="K59">
        <v>0</v>
      </c>
      <c r="L59">
        <v>1</v>
      </c>
      <c r="M59" t="s">
        <v>62</v>
      </c>
      <c r="N59" s="1">
        <v>16061</v>
      </c>
      <c r="O59">
        <v>0.46100000000000002</v>
      </c>
      <c r="P59">
        <v>0.499</v>
      </c>
      <c r="Q59">
        <v>0</v>
      </c>
      <c r="R59">
        <v>1</v>
      </c>
    </row>
    <row r="60" spans="1:18" x14ac:dyDescent="0.25">
      <c r="A60" t="s">
        <v>63</v>
      </c>
      <c r="B60" s="1">
        <v>43419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27358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16061</v>
      </c>
      <c r="O60">
        <v>8.0000000000000002E-3</v>
      </c>
      <c r="P60">
        <v>8.8999999999999996E-2</v>
      </c>
      <c r="Q60">
        <v>0</v>
      </c>
      <c r="R60">
        <v>1</v>
      </c>
    </row>
    <row r="61" spans="1:18" x14ac:dyDescent="0.25">
      <c r="A61" t="s">
        <v>64</v>
      </c>
      <c r="B61" s="1">
        <v>43419</v>
      </c>
      <c r="C61">
        <v>0.03</v>
      </c>
      <c r="D61">
        <v>0.17199999999999999</v>
      </c>
      <c r="E61">
        <v>0</v>
      </c>
      <c r="F61">
        <v>1</v>
      </c>
      <c r="G61" t="s">
        <v>64</v>
      </c>
      <c r="H61" s="1">
        <v>27358</v>
      </c>
      <c r="I61">
        <v>2.8000000000000001E-2</v>
      </c>
      <c r="J61">
        <v>0.16500000000000001</v>
      </c>
      <c r="K61">
        <v>0</v>
      </c>
      <c r="L61">
        <v>1</v>
      </c>
      <c r="M61" t="s">
        <v>64</v>
      </c>
      <c r="N61" s="1">
        <v>16061</v>
      </c>
      <c r="O61">
        <v>3.4000000000000002E-2</v>
      </c>
      <c r="P61">
        <v>0.182</v>
      </c>
      <c r="Q61">
        <v>0</v>
      </c>
      <c r="R61">
        <v>1</v>
      </c>
    </row>
    <row r="62" spans="1:18" x14ac:dyDescent="0.25">
      <c r="A62" t="s">
        <v>65</v>
      </c>
      <c r="B62" s="1">
        <v>43419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27358</v>
      </c>
      <c r="I62">
        <v>0.159</v>
      </c>
      <c r="J62">
        <v>0.36599999999999999</v>
      </c>
      <c r="K62">
        <v>0</v>
      </c>
      <c r="L62">
        <v>1</v>
      </c>
      <c r="M62" t="s">
        <v>65</v>
      </c>
      <c r="N62" s="1">
        <v>16061</v>
      </c>
      <c r="O62">
        <v>0.13100000000000001</v>
      </c>
      <c r="P62">
        <v>0.33700000000000002</v>
      </c>
      <c r="Q62">
        <v>0</v>
      </c>
      <c r="R62">
        <v>1</v>
      </c>
    </row>
    <row r="63" spans="1:18" x14ac:dyDescent="0.25">
      <c r="A63" t="s">
        <v>66</v>
      </c>
      <c r="B63" s="1">
        <v>43419</v>
      </c>
      <c r="C63">
        <v>0.16500000000000001</v>
      </c>
      <c r="D63">
        <v>0.371</v>
      </c>
      <c r="E63">
        <v>0</v>
      </c>
      <c r="F63">
        <v>1</v>
      </c>
      <c r="G63" t="s">
        <v>66</v>
      </c>
      <c r="H63" s="1">
        <v>27358</v>
      </c>
      <c r="I63">
        <v>0.159</v>
      </c>
      <c r="J63">
        <v>0.36499999999999999</v>
      </c>
      <c r="K63">
        <v>0</v>
      </c>
      <c r="L63">
        <v>1</v>
      </c>
      <c r="M63" t="s">
        <v>66</v>
      </c>
      <c r="N63" s="1">
        <v>16061</v>
      </c>
      <c r="O63">
        <v>0.17599999999999999</v>
      </c>
      <c r="P63">
        <v>0.38100000000000001</v>
      </c>
      <c r="Q63">
        <v>0</v>
      </c>
      <c r="R63">
        <v>1</v>
      </c>
    </row>
    <row r="64" spans="1:18" x14ac:dyDescent="0.25">
      <c r="A64" t="s">
        <v>67</v>
      </c>
      <c r="B64" s="1">
        <v>43419</v>
      </c>
      <c r="C64">
        <v>3.7999999999999999E-2</v>
      </c>
      <c r="D64">
        <v>0.191</v>
      </c>
      <c r="E64">
        <v>0</v>
      </c>
      <c r="F64">
        <v>1</v>
      </c>
      <c r="G64" t="s">
        <v>67</v>
      </c>
      <c r="H64" s="1">
        <v>27358</v>
      </c>
      <c r="I64">
        <v>3.6999999999999998E-2</v>
      </c>
      <c r="J64">
        <v>0.19</v>
      </c>
      <c r="K64">
        <v>0</v>
      </c>
      <c r="L64">
        <v>1</v>
      </c>
      <c r="M64" t="s">
        <v>67</v>
      </c>
      <c r="N64" s="1">
        <v>16061</v>
      </c>
      <c r="O64">
        <v>3.9E-2</v>
      </c>
      <c r="P64">
        <v>0.19400000000000001</v>
      </c>
      <c r="Q64">
        <v>0</v>
      </c>
      <c r="R64">
        <v>1</v>
      </c>
    </row>
    <row r="65" spans="1:18" x14ac:dyDescent="0.25">
      <c r="A65" t="s">
        <v>68</v>
      </c>
      <c r="B65" s="1">
        <v>43419</v>
      </c>
      <c r="C65">
        <v>0.12</v>
      </c>
      <c r="D65">
        <v>0.32500000000000001</v>
      </c>
      <c r="E65">
        <v>0</v>
      </c>
      <c r="F65">
        <v>1</v>
      </c>
      <c r="G65" t="s">
        <v>68</v>
      </c>
      <c r="H65" s="1">
        <v>27358</v>
      </c>
      <c r="I65">
        <v>0.11899999999999999</v>
      </c>
      <c r="J65">
        <v>0.32300000000000001</v>
      </c>
      <c r="K65">
        <v>0</v>
      </c>
      <c r="L65">
        <v>1</v>
      </c>
      <c r="M65" t="s">
        <v>68</v>
      </c>
      <c r="N65" s="1">
        <v>16061</v>
      </c>
      <c r="O65">
        <v>0.123</v>
      </c>
      <c r="P65">
        <v>0.32800000000000001</v>
      </c>
      <c r="Q65">
        <v>0</v>
      </c>
      <c r="R65">
        <v>1</v>
      </c>
    </row>
    <row r="66" spans="1:18" x14ac:dyDescent="0.25">
      <c r="A66" t="s">
        <v>69</v>
      </c>
      <c r="B66" s="1">
        <v>43419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27358</v>
      </c>
      <c r="I66">
        <v>3.4000000000000002E-2</v>
      </c>
      <c r="J66">
        <v>0.18099999999999999</v>
      </c>
      <c r="K66">
        <v>0</v>
      </c>
      <c r="L66">
        <v>1</v>
      </c>
      <c r="M66" t="s">
        <v>69</v>
      </c>
      <c r="N66" s="1">
        <v>16061</v>
      </c>
      <c r="O66">
        <v>2.8000000000000001E-2</v>
      </c>
      <c r="P66">
        <v>0.16500000000000001</v>
      </c>
      <c r="Q66">
        <v>0</v>
      </c>
      <c r="R66">
        <v>1</v>
      </c>
    </row>
    <row r="67" spans="1:18" x14ac:dyDescent="0.25">
      <c r="A67" t="s">
        <v>70</v>
      </c>
      <c r="B67" s="1">
        <v>43419</v>
      </c>
      <c r="C67">
        <v>0.20599999999999999</v>
      </c>
      <c r="D67">
        <v>0.40500000000000003</v>
      </c>
      <c r="E67">
        <v>0</v>
      </c>
      <c r="F67">
        <v>1</v>
      </c>
      <c r="G67" t="s">
        <v>70</v>
      </c>
      <c r="H67" s="1">
        <v>27358</v>
      </c>
      <c r="I67">
        <v>0.19600000000000001</v>
      </c>
      <c r="J67">
        <v>0.39700000000000002</v>
      </c>
      <c r="K67">
        <v>0</v>
      </c>
      <c r="L67">
        <v>1</v>
      </c>
      <c r="M67" t="s">
        <v>70</v>
      </c>
      <c r="N67" s="1">
        <v>16061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43419</v>
      </c>
      <c r="C68">
        <v>0.32800000000000001</v>
      </c>
      <c r="D68">
        <v>0.47</v>
      </c>
      <c r="E68">
        <v>0</v>
      </c>
      <c r="F68">
        <v>1</v>
      </c>
      <c r="G68" t="s">
        <v>71</v>
      </c>
      <c r="H68" s="1">
        <v>27358</v>
      </c>
      <c r="I68">
        <v>0.34799999999999998</v>
      </c>
      <c r="J68">
        <v>0.47599999999999998</v>
      </c>
      <c r="K68">
        <v>0</v>
      </c>
      <c r="L68">
        <v>1</v>
      </c>
      <c r="M68" t="s">
        <v>71</v>
      </c>
      <c r="N68" s="1">
        <v>16061</v>
      </c>
      <c r="O68">
        <v>0.29499999999999998</v>
      </c>
      <c r="P68">
        <v>0.45600000000000002</v>
      </c>
      <c r="Q68">
        <v>0</v>
      </c>
      <c r="R68">
        <v>1</v>
      </c>
    </row>
    <row r="69" spans="1:18" x14ac:dyDescent="0.25">
      <c r="A69" t="s">
        <v>72</v>
      </c>
      <c r="B69" s="1">
        <v>43419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27358</v>
      </c>
      <c r="I69">
        <v>0.40500000000000003</v>
      </c>
      <c r="J69">
        <v>0.49099999999999999</v>
      </c>
      <c r="K69">
        <v>0</v>
      </c>
      <c r="L69">
        <v>1</v>
      </c>
      <c r="M69" t="s">
        <v>72</v>
      </c>
      <c r="N69" s="1">
        <v>16061</v>
      </c>
      <c r="O69">
        <v>0.42299999999999999</v>
      </c>
      <c r="P69">
        <v>0.49399999999999999</v>
      </c>
      <c r="Q69">
        <v>0</v>
      </c>
      <c r="R69">
        <v>1</v>
      </c>
    </row>
    <row r="70" spans="1:18" x14ac:dyDescent="0.25">
      <c r="A70" t="s">
        <v>73</v>
      </c>
      <c r="B70" s="1">
        <v>43419</v>
      </c>
      <c r="C70">
        <v>5.3999999999999999E-2</v>
      </c>
      <c r="D70">
        <v>0.22600000000000001</v>
      </c>
      <c r="E70">
        <v>0</v>
      </c>
      <c r="F70">
        <v>1</v>
      </c>
      <c r="G70" t="s">
        <v>73</v>
      </c>
      <c r="H70" s="1">
        <v>27358</v>
      </c>
      <c r="I70">
        <v>5.0999999999999997E-2</v>
      </c>
      <c r="J70">
        <v>0.22</v>
      </c>
      <c r="K70">
        <v>0</v>
      </c>
      <c r="L70">
        <v>1</v>
      </c>
      <c r="M70" t="s">
        <v>73</v>
      </c>
      <c r="N70" s="1">
        <v>16061</v>
      </c>
      <c r="O70">
        <v>5.8000000000000003E-2</v>
      </c>
      <c r="P70">
        <v>0.23499999999999999</v>
      </c>
      <c r="Q70">
        <v>0</v>
      </c>
      <c r="R70">
        <v>1</v>
      </c>
    </row>
    <row r="71" spans="1:18" x14ac:dyDescent="0.25">
      <c r="A71" t="s">
        <v>165</v>
      </c>
      <c r="B71" s="1">
        <v>43419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27358</v>
      </c>
      <c r="I71">
        <v>5.8000000000000003E-2</v>
      </c>
      <c r="J71">
        <v>0.23400000000000001</v>
      </c>
      <c r="K71">
        <v>0</v>
      </c>
      <c r="L71">
        <v>1</v>
      </c>
      <c r="M71" t="s">
        <v>165</v>
      </c>
      <c r="N71" s="1">
        <v>16061</v>
      </c>
      <c r="O71">
        <v>5.7000000000000002E-2</v>
      </c>
      <c r="P71">
        <v>0.23100000000000001</v>
      </c>
      <c r="Q71">
        <v>0</v>
      </c>
      <c r="R71">
        <v>1</v>
      </c>
    </row>
    <row r="72" spans="1:18" x14ac:dyDescent="0.25">
      <c r="A72" t="s">
        <v>166</v>
      </c>
      <c r="B72" s="1">
        <v>43419</v>
      </c>
      <c r="C72">
        <v>0.26200000000000001</v>
      </c>
      <c r="D72">
        <v>0.44</v>
      </c>
      <c r="E72">
        <v>0</v>
      </c>
      <c r="F72">
        <v>1</v>
      </c>
      <c r="G72" t="s">
        <v>166</v>
      </c>
      <c r="H72" s="1">
        <v>27358</v>
      </c>
      <c r="I72">
        <v>0.25700000000000001</v>
      </c>
      <c r="J72">
        <v>0.437</v>
      </c>
      <c r="K72">
        <v>0</v>
      </c>
      <c r="L72">
        <v>1</v>
      </c>
      <c r="M72" t="s">
        <v>166</v>
      </c>
      <c r="N72" s="1">
        <v>16061</v>
      </c>
      <c r="O72">
        <v>0.27200000000000002</v>
      </c>
      <c r="P72">
        <v>0.44500000000000001</v>
      </c>
      <c r="Q72">
        <v>0</v>
      </c>
      <c r="R72">
        <v>1</v>
      </c>
    </row>
    <row r="73" spans="1:18" x14ac:dyDescent="0.25">
      <c r="A73" t="s">
        <v>167</v>
      </c>
      <c r="B73" s="1">
        <v>43419</v>
      </c>
      <c r="C73">
        <v>0.46600000000000003</v>
      </c>
      <c r="D73">
        <v>0.499</v>
      </c>
      <c r="E73">
        <v>0</v>
      </c>
      <c r="F73">
        <v>1</v>
      </c>
      <c r="G73" t="s">
        <v>167</v>
      </c>
      <c r="H73" s="1">
        <v>27358</v>
      </c>
      <c r="I73">
        <v>0.48599999999999999</v>
      </c>
      <c r="J73">
        <v>0.5</v>
      </c>
      <c r="K73">
        <v>0</v>
      </c>
      <c r="L73">
        <v>1</v>
      </c>
      <c r="M73" t="s">
        <v>167</v>
      </c>
      <c r="N73" s="1">
        <v>16061</v>
      </c>
      <c r="O73">
        <v>0.43099999999999999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43419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27358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16061</v>
      </c>
      <c r="O74">
        <v>6.4000000000000001E-2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43419</v>
      </c>
      <c r="C75">
        <v>0.11700000000000001</v>
      </c>
      <c r="D75">
        <v>0.32200000000000001</v>
      </c>
      <c r="E75">
        <v>0</v>
      </c>
      <c r="F75">
        <v>1</v>
      </c>
      <c r="G75" t="s">
        <v>169</v>
      </c>
      <c r="H75" s="1">
        <v>27358</v>
      </c>
      <c r="I75">
        <v>0.11</v>
      </c>
      <c r="J75">
        <v>0.313</v>
      </c>
      <c r="K75">
        <v>0</v>
      </c>
      <c r="L75">
        <v>1</v>
      </c>
      <c r="M75" t="s">
        <v>169</v>
      </c>
      <c r="N75" s="1">
        <v>16061</v>
      </c>
      <c r="O75">
        <v>0.13</v>
      </c>
      <c r="P75">
        <v>0.33600000000000002</v>
      </c>
      <c r="Q75">
        <v>0</v>
      </c>
      <c r="R75">
        <v>1</v>
      </c>
    </row>
    <row r="76" spans="1:18" x14ac:dyDescent="0.25">
      <c r="A76" t="s">
        <v>170</v>
      </c>
      <c r="B76" s="1">
        <v>43419</v>
      </c>
      <c r="C76">
        <v>3.6999999999999998E-2</v>
      </c>
      <c r="D76">
        <v>0.19</v>
      </c>
      <c r="E76">
        <v>0</v>
      </c>
      <c r="F76">
        <v>1</v>
      </c>
      <c r="G76" t="s">
        <v>170</v>
      </c>
      <c r="H76" s="1">
        <v>27358</v>
      </c>
      <c r="I76">
        <v>3.2000000000000001E-2</v>
      </c>
      <c r="J76">
        <v>0.17599999999999999</v>
      </c>
      <c r="K76">
        <v>0</v>
      </c>
      <c r="L76">
        <v>1</v>
      </c>
      <c r="M76" t="s">
        <v>170</v>
      </c>
      <c r="N76" s="1">
        <v>16061</v>
      </c>
      <c r="O76">
        <v>4.7E-2</v>
      </c>
      <c r="P76">
        <v>0.21099999999999999</v>
      </c>
      <c r="Q76">
        <v>0</v>
      </c>
      <c r="R76">
        <v>1</v>
      </c>
    </row>
    <row r="77" spans="1:18" x14ac:dyDescent="0.25">
      <c r="A77" t="s">
        <v>79</v>
      </c>
      <c r="B77" s="1">
        <v>43419</v>
      </c>
      <c r="C77">
        <v>0.13</v>
      </c>
      <c r="D77">
        <v>0.33600000000000002</v>
      </c>
      <c r="E77">
        <v>0</v>
      </c>
      <c r="F77">
        <v>1</v>
      </c>
      <c r="G77" t="s">
        <v>79</v>
      </c>
      <c r="H77" s="1">
        <v>27358</v>
      </c>
      <c r="I77">
        <v>0.13300000000000001</v>
      </c>
      <c r="J77">
        <v>0.33900000000000002</v>
      </c>
      <c r="K77">
        <v>0</v>
      </c>
      <c r="L77">
        <v>1</v>
      </c>
      <c r="M77" t="s">
        <v>79</v>
      </c>
      <c r="N77" s="1">
        <v>16061</v>
      </c>
      <c r="O77">
        <v>0.126</v>
      </c>
      <c r="P77">
        <v>0.33100000000000002</v>
      </c>
      <c r="Q77">
        <v>0</v>
      </c>
      <c r="R77">
        <v>1</v>
      </c>
    </row>
    <row r="78" spans="1:18" x14ac:dyDescent="0.25">
      <c r="A78" t="s">
        <v>80</v>
      </c>
      <c r="B78" s="1">
        <v>43419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27358</v>
      </c>
      <c r="I78">
        <v>5.0000000000000001E-3</v>
      </c>
      <c r="J78">
        <v>7.2999999999999995E-2</v>
      </c>
      <c r="K78">
        <v>0</v>
      </c>
      <c r="L78">
        <v>1</v>
      </c>
      <c r="M78" t="s">
        <v>80</v>
      </c>
      <c r="N78" s="1">
        <v>16061</v>
      </c>
      <c r="O78">
        <v>7.0000000000000001E-3</v>
      </c>
      <c r="P78">
        <v>8.5999999999999993E-2</v>
      </c>
      <c r="Q78">
        <v>0</v>
      </c>
      <c r="R78">
        <v>1</v>
      </c>
    </row>
    <row r="79" spans="1:18" x14ac:dyDescent="0.25">
      <c r="A79" t="s">
        <v>81</v>
      </c>
      <c r="B79" s="1">
        <v>43419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27358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16061</v>
      </c>
      <c r="O79">
        <v>2E-3</v>
      </c>
      <c r="P79">
        <v>0.04</v>
      </c>
      <c r="Q79">
        <v>0</v>
      </c>
      <c r="R79">
        <v>1</v>
      </c>
    </row>
    <row r="80" spans="1:18" x14ac:dyDescent="0.25">
      <c r="A80" t="s">
        <v>82</v>
      </c>
      <c r="B80" s="1">
        <v>43419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27358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16061</v>
      </c>
      <c r="O80">
        <v>4.2999999999999997E-2</v>
      </c>
      <c r="P80">
        <v>0.20300000000000001</v>
      </c>
      <c r="Q80">
        <v>0</v>
      </c>
      <c r="R80">
        <v>1</v>
      </c>
    </row>
    <row r="81" spans="1:18" x14ac:dyDescent="0.25">
      <c r="A81" t="s">
        <v>83</v>
      </c>
      <c r="B81" s="1">
        <v>43419</v>
      </c>
      <c r="C81">
        <v>0.40100000000000002</v>
      </c>
      <c r="D81">
        <v>0.49</v>
      </c>
      <c r="E81">
        <v>0</v>
      </c>
      <c r="F81">
        <v>1</v>
      </c>
      <c r="G81" t="s">
        <v>83</v>
      </c>
      <c r="H81" s="1">
        <v>27358</v>
      </c>
      <c r="I81">
        <v>0.41699999999999998</v>
      </c>
      <c r="J81">
        <v>0.49299999999999999</v>
      </c>
      <c r="K81">
        <v>0</v>
      </c>
      <c r="L81">
        <v>1</v>
      </c>
      <c r="M81" t="s">
        <v>83</v>
      </c>
      <c r="N81" s="1">
        <v>16061</v>
      </c>
      <c r="O81">
        <v>0.375</v>
      </c>
      <c r="P81">
        <v>0.48399999999999999</v>
      </c>
      <c r="Q81">
        <v>0</v>
      </c>
      <c r="R81">
        <v>1</v>
      </c>
    </row>
    <row r="82" spans="1:18" x14ac:dyDescent="0.25">
      <c r="A82" t="s">
        <v>84</v>
      </c>
      <c r="B82" s="1">
        <v>43419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27358</v>
      </c>
      <c r="I82">
        <v>7.0000000000000001E-3</v>
      </c>
      <c r="J82">
        <v>8.2000000000000003E-2</v>
      </c>
      <c r="K82">
        <v>0</v>
      </c>
      <c r="L82">
        <v>1</v>
      </c>
      <c r="M82" t="s">
        <v>84</v>
      </c>
      <c r="N82" s="1">
        <v>16061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43419</v>
      </c>
      <c r="C83">
        <v>0.41099999999999998</v>
      </c>
      <c r="D83">
        <v>0.49199999999999999</v>
      </c>
      <c r="E83">
        <v>0</v>
      </c>
      <c r="F83">
        <v>1</v>
      </c>
      <c r="G83" t="s">
        <v>85</v>
      </c>
      <c r="H83" s="1">
        <v>27358</v>
      </c>
      <c r="I83">
        <v>0.39500000000000002</v>
      </c>
      <c r="J83">
        <v>0.48899999999999999</v>
      </c>
      <c r="K83">
        <v>0</v>
      </c>
      <c r="L83">
        <v>1</v>
      </c>
      <c r="M83" t="s">
        <v>85</v>
      </c>
      <c r="N83" s="1">
        <v>16061</v>
      </c>
      <c r="O83">
        <v>0.437</v>
      </c>
      <c r="P83">
        <v>0.496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B3AD-0BB9-49C9-B4CF-B1EDD454AED5}">
  <sheetPr codeName="Sheet8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23513</v>
      </c>
      <c r="C3">
        <v>1.1779999999999999</v>
      </c>
      <c r="D3">
        <v>0.42599999999999999</v>
      </c>
      <c r="E3">
        <v>1</v>
      </c>
      <c r="F3">
        <v>5</v>
      </c>
      <c r="G3" t="s">
        <v>10</v>
      </c>
      <c r="H3" s="1">
        <v>14899</v>
      </c>
      <c r="I3">
        <v>1.2609999999999999</v>
      </c>
      <c r="J3">
        <v>0.497</v>
      </c>
      <c r="K3">
        <v>1</v>
      </c>
      <c r="L3">
        <v>5</v>
      </c>
      <c r="M3" t="s">
        <v>10</v>
      </c>
      <c r="N3" s="1">
        <v>8614</v>
      </c>
      <c r="O3">
        <v>1.036</v>
      </c>
      <c r="P3">
        <v>0.189</v>
      </c>
      <c r="Q3">
        <v>1</v>
      </c>
      <c r="R3">
        <v>3</v>
      </c>
    </row>
    <row r="4" spans="1:18" x14ac:dyDescent="0.25">
      <c r="A4" t="s">
        <v>11</v>
      </c>
      <c r="B4" s="1">
        <v>23513</v>
      </c>
      <c r="C4">
        <v>0.36599999999999999</v>
      </c>
      <c r="D4">
        <v>0.48199999999999998</v>
      </c>
      <c r="E4">
        <v>0</v>
      </c>
      <c r="F4">
        <v>1</v>
      </c>
      <c r="G4" t="s">
        <v>11</v>
      </c>
      <c r="H4" s="1">
        <v>14899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8614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23513</v>
      </c>
      <c r="C5">
        <v>0.33200000000000002</v>
      </c>
      <c r="D5">
        <v>0.47099999999999997</v>
      </c>
      <c r="E5">
        <v>0</v>
      </c>
      <c r="F5">
        <v>1</v>
      </c>
      <c r="G5" t="s">
        <v>12</v>
      </c>
      <c r="H5" s="1">
        <v>14899</v>
      </c>
      <c r="I5">
        <v>2E-3</v>
      </c>
      <c r="J5">
        <v>3.9E-2</v>
      </c>
      <c r="K5">
        <v>0</v>
      </c>
      <c r="L5">
        <v>1</v>
      </c>
      <c r="M5" t="s">
        <v>12</v>
      </c>
      <c r="N5" s="1">
        <v>8614</v>
      </c>
      <c r="O5">
        <v>0.90400000000000003</v>
      </c>
      <c r="P5">
        <v>0.29399999999999998</v>
      </c>
      <c r="Q5">
        <v>0</v>
      </c>
      <c r="R5">
        <v>1</v>
      </c>
    </row>
    <row r="6" spans="1:18" x14ac:dyDescent="0.25">
      <c r="A6" t="s">
        <v>36</v>
      </c>
      <c r="B6" s="1">
        <v>8614</v>
      </c>
      <c r="C6">
        <v>305.15199999999999</v>
      </c>
      <c r="D6">
        <v>566.29100000000005</v>
      </c>
      <c r="E6">
        <v>0</v>
      </c>
      <c r="F6" s="1">
        <v>4021</v>
      </c>
      <c r="H6" s="1"/>
      <c r="M6" t="s">
        <v>36</v>
      </c>
      <c r="N6" s="1">
        <v>8614</v>
      </c>
      <c r="O6">
        <v>305.15199999999999</v>
      </c>
      <c r="P6">
        <v>566.29100000000005</v>
      </c>
      <c r="Q6">
        <v>0</v>
      </c>
      <c r="R6" s="1">
        <v>4021</v>
      </c>
    </row>
    <row r="7" spans="1:18" x14ac:dyDescent="0.25">
      <c r="A7" t="s">
        <v>13</v>
      </c>
      <c r="B7" s="1">
        <v>23513</v>
      </c>
      <c r="C7">
        <v>1.4930000000000001</v>
      </c>
      <c r="D7">
        <v>0.55600000000000005</v>
      </c>
      <c r="E7">
        <v>0</v>
      </c>
      <c r="F7">
        <v>6</v>
      </c>
      <c r="G7" t="s">
        <v>13</v>
      </c>
      <c r="H7" s="1">
        <v>14899</v>
      </c>
      <c r="I7">
        <v>1.504</v>
      </c>
      <c r="J7">
        <v>0.55800000000000005</v>
      </c>
      <c r="K7">
        <v>0</v>
      </c>
      <c r="L7">
        <v>5</v>
      </c>
      <c r="M7" t="s">
        <v>13</v>
      </c>
      <c r="N7" s="1">
        <v>8614</v>
      </c>
      <c r="O7">
        <v>1.474</v>
      </c>
      <c r="P7">
        <v>0.55200000000000005</v>
      </c>
      <c r="Q7">
        <v>1</v>
      </c>
      <c r="R7">
        <v>6</v>
      </c>
    </row>
    <row r="8" spans="1:18" x14ac:dyDescent="0.25">
      <c r="A8" t="s">
        <v>14</v>
      </c>
      <c r="B8" s="1">
        <v>23513</v>
      </c>
      <c r="C8">
        <v>0.16700000000000001</v>
      </c>
      <c r="D8">
        <v>0.378</v>
      </c>
      <c r="E8">
        <v>0</v>
      </c>
      <c r="F8">
        <v>5</v>
      </c>
      <c r="G8" t="s">
        <v>14</v>
      </c>
      <c r="H8" s="1">
        <v>14899</v>
      </c>
      <c r="I8">
        <v>0.17299999999999999</v>
      </c>
      <c r="J8">
        <v>0.38500000000000001</v>
      </c>
      <c r="K8">
        <v>0</v>
      </c>
      <c r="L8">
        <v>5</v>
      </c>
      <c r="M8" t="s">
        <v>14</v>
      </c>
      <c r="N8" s="1">
        <v>8614</v>
      </c>
      <c r="O8">
        <v>0.155</v>
      </c>
      <c r="P8">
        <v>0.36599999999999999</v>
      </c>
      <c r="Q8">
        <v>0</v>
      </c>
      <c r="R8">
        <v>2</v>
      </c>
    </row>
    <row r="9" spans="1:18" x14ac:dyDescent="0.25">
      <c r="A9" t="s">
        <v>15</v>
      </c>
      <c r="B9" s="1">
        <v>23513</v>
      </c>
      <c r="C9">
        <v>1.79</v>
      </c>
      <c r="D9">
        <v>0.91900000000000004</v>
      </c>
      <c r="E9">
        <v>0</v>
      </c>
      <c r="F9">
        <v>8</v>
      </c>
      <c r="G9" t="s">
        <v>15</v>
      </c>
      <c r="H9" s="1">
        <v>14899</v>
      </c>
      <c r="I9">
        <v>1.8160000000000001</v>
      </c>
      <c r="J9">
        <v>0.91600000000000004</v>
      </c>
      <c r="K9">
        <v>0</v>
      </c>
      <c r="L9">
        <v>5</v>
      </c>
      <c r="M9" t="s">
        <v>15</v>
      </c>
      <c r="N9" s="1">
        <v>8614</v>
      </c>
      <c r="O9">
        <v>1.7470000000000001</v>
      </c>
      <c r="P9">
        <v>0.92200000000000004</v>
      </c>
      <c r="Q9">
        <v>0</v>
      </c>
      <c r="R9">
        <v>8</v>
      </c>
    </row>
    <row r="10" spans="1:18" x14ac:dyDescent="0.25">
      <c r="A10" t="s">
        <v>16</v>
      </c>
      <c r="B10" s="1">
        <v>23513</v>
      </c>
      <c r="C10">
        <v>47.966999999999999</v>
      </c>
      <c r="D10">
        <v>62.305</v>
      </c>
      <c r="E10">
        <v>0</v>
      </c>
      <c r="F10">
        <v>946</v>
      </c>
      <c r="G10" t="s">
        <v>16</v>
      </c>
      <c r="H10" s="1">
        <v>14899</v>
      </c>
      <c r="I10">
        <v>51.073999999999998</v>
      </c>
      <c r="J10">
        <v>59.235999999999997</v>
      </c>
      <c r="K10">
        <v>0</v>
      </c>
      <c r="L10">
        <v>785</v>
      </c>
      <c r="M10" t="s">
        <v>16</v>
      </c>
      <c r="N10" s="1">
        <v>8614</v>
      </c>
      <c r="O10">
        <v>42.593000000000004</v>
      </c>
      <c r="P10">
        <v>66.947000000000003</v>
      </c>
      <c r="Q10">
        <v>0</v>
      </c>
      <c r="R10">
        <v>946</v>
      </c>
    </row>
    <row r="11" spans="1:18" x14ac:dyDescent="0.25">
      <c r="A11" t="s">
        <v>163</v>
      </c>
      <c r="B11" s="1">
        <v>23513</v>
      </c>
      <c r="C11">
        <v>877.23</v>
      </c>
      <c r="D11">
        <v>392.27699999999999</v>
      </c>
      <c r="E11">
        <v>120</v>
      </c>
      <c r="F11" s="1">
        <v>10740</v>
      </c>
      <c r="G11" t="s">
        <v>163</v>
      </c>
      <c r="H11" s="1">
        <v>14899</v>
      </c>
      <c r="I11">
        <v>887.00400000000002</v>
      </c>
      <c r="J11">
        <v>389.63400000000001</v>
      </c>
      <c r="K11">
        <v>160</v>
      </c>
      <c r="L11" s="1">
        <v>6273</v>
      </c>
      <c r="M11" t="s">
        <v>163</v>
      </c>
      <c r="N11" s="1">
        <v>8614</v>
      </c>
      <c r="O11">
        <v>860.32500000000005</v>
      </c>
      <c r="P11">
        <v>396.26100000000002</v>
      </c>
      <c r="Q11">
        <v>120</v>
      </c>
      <c r="R11" s="1">
        <v>10740</v>
      </c>
    </row>
    <row r="12" spans="1:18" x14ac:dyDescent="0.25">
      <c r="A12" t="s">
        <v>17</v>
      </c>
      <c r="B12" s="1">
        <v>23513</v>
      </c>
      <c r="C12">
        <v>21.773</v>
      </c>
      <c r="D12">
        <v>87.962000000000003</v>
      </c>
      <c r="E12">
        <v>0</v>
      </c>
      <c r="F12" s="1">
        <v>1042</v>
      </c>
      <c r="G12" t="s">
        <v>17</v>
      </c>
      <c r="H12" s="1">
        <v>14899</v>
      </c>
      <c r="I12">
        <v>19.73</v>
      </c>
      <c r="J12">
        <v>83.569000000000003</v>
      </c>
      <c r="K12">
        <v>0</v>
      </c>
      <c r="L12">
        <v>942</v>
      </c>
      <c r="M12" t="s">
        <v>17</v>
      </c>
      <c r="N12" s="1">
        <v>8614</v>
      </c>
      <c r="O12">
        <v>25.306999999999999</v>
      </c>
      <c r="P12">
        <v>94.983999999999995</v>
      </c>
      <c r="Q12">
        <v>0</v>
      </c>
      <c r="R12" s="1">
        <v>1042</v>
      </c>
    </row>
    <row r="13" spans="1:18" x14ac:dyDescent="0.25">
      <c r="A13" t="s">
        <v>19</v>
      </c>
      <c r="B13" s="1">
        <v>23513</v>
      </c>
      <c r="C13" s="2">
        <v>676394</v>
      </c>
      <c r="D13" s="2">
        <v>632199.30000000005</v>
      </c>
      <c r="E13" s="2">
        <v>85418.51</v>
      </c>
      <c r="F13" s="2">
        <v>28197546</v>
      </c>
      <c r="G13" t="s">
        <v>19</v>
      </c>
      <c r="H13" s="1">
        <v>14899</v>
      </c>
      <c r="I13" s="2">
        <v>683730.8</v>
      </c>
      <c r="J13" s="2">
        <v>644167.5</v>
      </c>
      <c r="K13" s="2">
        <v>99684.44</v>
      </c>
      <c r="L13" s="2">
        <v>28197546</v>
      </c>
      <c r="M13" t="s">
        <v>19</v>
      </c>
      <c r="N13" s="1">
        <v>8614</v>
      </c>
      <c r="O13" s="2">
        <v>663704</v>
      </c>
      <c r="P13" s="2">
        <v>610774.5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23513</v>
      </c>
      <c r="C14" s="2">
        <v>666354.4</v>
      </c>
      <c r="D14" s="2">
        <v>605137.69999999995</v>
      </c>
      <c r="E14" s="2">
        <v>85418.51</v>
      </c>
      <c r="F14" s="2">
        <v>28197546</v>
      </c>
      <c r="G14" t="s">
        <v>20</v>
      </c>
      <c r="H14" s="1">
        <v>14899</v>
      </c>
      <c r="I14" s="2">
        <v>671895.9</v>
      </c>
      <c r="J14" s="2">
        <v>622943.6</v>
      </c>
      <c r="K14" s="2">
        <v>118448.6</v>
      </c>
      <c r="L14" s="2">
        <v>28197546</v>
      </c>
      <c r="M14" t="s">
        <v>20</v>
      </c>
      <c r="N14" s="1">
        <v>8614</v>
      </c>
      <c r="O14" s="2">
        <v>656769.6</v>
      </c>
      <c r="P14" s="2">
        <v>572944.6</v>
      </c>
      <c r="Q14" s="2">
        <v>85418.51</v>
      </c>
      <c r="R14" s="2">
        <v>11791788</v>
      </c>
    </row>
    <row r="15" spans="1:18" x14ac:dyDescent="0.25">
      <c r="A15" t="s">
        <v>190</v>
      </c>
      <c r="B15" s="1">
        <v>23513</v>
      </c>
      <c r="C15" s="2">
        <v>8374.7119999999995</v>
      </c>
      <c r="D15" s="2">
        <v>47901.36</v>
      </c>
      <c r="E15" s="1">
        <v>-300000</v>
      </c>
      <c r="F15" s="1">
        <v>4750000</v>
      </c>
      <c r="G15" t="s">
        <v>190</v>
      </c>
      <c r="H15" s="1">
        <v>14899</v>
      </c>
      <c r="I15" s="2">
        <v>9712.7950000000001</v>
      </c>
      <c r="J15" s="2">
        <v>32753.94</v>
      </c>
      <c r="K15" s="1">
        <v>-152000</v>
      </c>
      <c r="L15" s="1">
        <v>750000</v>
      </c>
      <c r="M15" t="s">
        <v>190</v>
      </c>
      <c r="N15" s="1">
        <v>8614</v>
      </c>
      <c r="O15" s="2">
        <v>6060.3280000000004</v>
      </c>
      <c r="P15" s="2">
        <v>66329.289999999994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23513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14899</v>
      </c>
      <c r="I16">
        <v>1E-3</v>
      </c>
      <c r="J16">
        <v>3.4000000000000002E-2</v>
      </c>
      <c r="K16">
        <v>0</v>
      </c>
      <c r="L16">
        <v>1</v>
      </c>
      <c r="M16" t="s">
        <v>21</v>
      </c>
      <c r="N16" s="1">
        <v>8614</v>
      </c>
      <c r="O16">
        <v>2E-3</v>
      </c>
      <c r="P16">
        <v>0.04</v>
      </c>
      <c r="Q16">
        <v>0</v>
      </c>
      <c r="R16">
        <v>1</v>
      </c>
    </row>
    <row r="17" spans="1:18" x14ac:dyDescent="0.25">
      <c r="A17" t="s">
        <v>22</v>
      </c>
      <c r="B17" s="1">
        <v>23513</v>
      </c>
      <c r="C17">
        <v>2.7E-2</v>
      </c>
      <c r="D17">
        <v>0.16300000000000001</v>
      </c>
      <c r="E17">
        <v>0</v>
      </c>
      <c r="F17">
        <v>1</v>
      </c>
      <c r="G17" t="s">
        <v>22</v>
      </c>
      <c r="H17" s="1">
        <v>14899</v>
      </c>
      <c r="I17">
        <v>0.03</v>
      </c>
      <c r="J17">
        <v>0.17</v>
      </c>
      <c r="K17">
        <v>0</v>
      </c>
      <c r="L17">
        <v>1</v>
      </c>
      <c r="M17" t="s">
        <v>22</v>
      </c>
      <c r="N17" s="1">
        <v>8614</v>
      </c>
      <c r="O17">
        <v>2.3E-2</v>
      </c>
      <c r="P17">
        <v>0.151</v>
      </c>
      <c r="Q17">
        <v>0</v>
      </c>
      <c r="R17">
        <v>1</v>
      </c>
    </row>
    <row r="18" spans="1:18" x14ac:dyDescent="0.25">
      <c r="A18" t="s">
        <v>23</v>
      </c>
      <c r="B18" s="1">
        <v>23513</v>
      </c>
      <c r="C18">
        <v>6.0000000000000001E-3</v>
      </c>
      <c r="D18">
        <v>7.5999999999999998E-2</v>
      </c>
      <c r="E18">
        <v>0</v>
      </c>
      <c r="F18">
        <v>1</v>
      </c>
      <c r="G18" t="s">
        <v>23</v>
      </c>
      <c r="H18" s="1">
        <v>14899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8614</v>
      </c>
      <c r="O18">
        <v>4.0000000000000001E-3</v>
      </c>
      <c r="P18">
        <v>6.2E-2</v>
      </c>
      <c r="Q18">
        <v>0</v>
      </c>
      <c r="R18">
        <v>1</v>
      </c>
    </row>
    <row r="19" spans="1:18" x14ac:dyDescent="0.25">
      <c r="A19" t="s">
        <v>24</v>
      </c>
      <c r="B19" s="1">
        <v>23513</v>
      </c>
      <c r="C19">
        <v>0.16700000000000001</v>
      </c>
      <c r="D19">
        <v>0.373</v>
      </c>
      <c r="E19">
        <v>0</v>
      </c>
      <c r="F19">
        <v>1</v>
      </c>
      <c r="G19" t="s">
        <v>24</v>
      </c>
      <c r="H19" s="1">
        <v>14899</v>
      </c>
      <c r="I19">
        <v>0.17199999999999999</v>
      </c>
      <c r="J19">
        <v>0.378</v>
      </c>
      <c r="K19">
        <v>0</v>
      </c>
      <c r="L19">
        <v>1</v>
      </c>
      <c r="M19" t="s">
        <v>24</v>
      </c>
      <c r="N19" s="1">
        <v>8614</v>
      </c>
      <c r="O19">
        <v>0.157</v>
      </c>
      <c r="P19">
        <v>0.36399999999999999</v>
      </c>
      <c r="Q19">
        <v>0</v>
      </c>
      <c r="R19">
        <v>1</v>
      </c>
    </row>
    <row r="20" spans="1:18" x14ac:dyDescent="0.25">
      <c r="A20" t="s">
        <v>25</v>
      </c>
      <c r="B20" s="1">
        <v>23513</v>
      </c>
      <c r="C20">
        <v>0.54400000000000004</v>
      </c>
      <c r="D20">
        <v>0.498</v>
      </c>
      <c r="E20">
        <v>0</v>
      </c>
      <c r="F20">
        <v>1</v>
      </c>
      <c r="G20" t="s">
        <v>25</v>
      </c>
      <c r="H20" s="1">
        <v>14899</v>
      </c>
      <c r="I20">
        <v>0.52300000000000002</v>
      </c>
      <c r="J20">
        <v>0.499</v>
      </c>
      <c r="K20">
        <v>0</v>
      </c>
      <c r="L20">
        <v>1</v>
      </c>
      <c r="M20" t="s">
        <v>25</v>
      </c>
      <c r="N20" s="1">
        <v>8614</v>
      </c>
      <c r="O20">
        <v>0.57999999999999996</v>
      </c>
      <c r="P20">
        <v>0.49399999999999999</v>
      </c>
      <c r="Q20">
        <v>0</v>
      </c>
      <c r="R20">
        <v>1</v>
      </c>
    </row>
    <row r="21" spans="1:18" x14ac:dyDescent="0.25">
      <c r="A21" t="s">
        <v>26</v>
      </c>
      <c r="B21" s="1">
        <v>23513</v>
      </c>
      <c r="C21">
        <v>0.29399999999999998</v>
      </c>
      <c r="D21">
        <v>0.45500000000000002</v>
      </c>
      <c r="E21">
        <v>0</v>
      </c>
      <c r="F21">
        <v>1</v>
      </c>
      <c r="G21" t="s">
        <v>26</v>
      </c>
      <c r="H21" s="1">
        <v>14899</v>
      </c>
      <c r="I21">
        <v>0.312</v>
      </c>
      <c r="J21">
        <v>0.46300000000000002</v>
      </c>
      <c r="K21">
        <v>0</v>
      </c>
      <c r="L21">
        <v>1</v>
      </c>
      <c r="M21" t="s">
        <v>26</v>
      </c>
      <c r="N21" s="1">
        <v>8614</v>
      </c>
      <c r="O21">
        <v>0.26200000000000001</v>
      </c>
      <c r="P21">
        <v>0.44</v>
      </c>
      <c r="Q21">
        <v>0</v>
      </c>
      <c r="R21">
        <v>1</v>
      </c>
    </row>
    <row r="22" spans="1:18" x14ac:dyDescent="0.25">
      <c r="A22" t="s">
        <v>27</v>
      </c>
      <c r="B22" s="1">
        <v>23513</v>
      </c>
      <c r="C22">
        <v>6.7000000000000004E-2</v>
      </c>
      <c r="D22">
        <v>0.249</v>
      </c>
      <c r="E22">
        <v>0</v>
      </c>
      <c r="F22">
        <v>1</v>
      </c>
      <c r="G22" t="s">
        <v>27</v>
      </c>
      <c r="H22" s="1">
        <v>14899</v>
      </c>
      <c r="I22">
        <v>6.6000000000000003E-2</v>
      </c>
      <c r="J22">
        <v>0.248</v>
      </c>
      <c r="K22">
        <v>0</v>
      </c>
      <c r="L22">
        <v>1</v>
      </c>
      <c r="M22" t="s">
        <v>27</v>
      </c>
      <c r="N22" s="1">
        <v>8614</v>
      </c>
      <c r="O22">
        <v>6.8000000000000005E-2</v>
      </c>
      <c r="P22">
        <v>0.252</v>
      </c>
      <c r="Q22">
        <v>0</v>
      </c>
      <c r="R22">
        <v>1</v>
      </c>
    </row>
    <row r="23" spans="1:18" x14ac:dyDescent="0.25">
      <c r="A23" t="s">
        <v>28</v>
      </c>
      <c r="B23" s="1">
        <v>23513</v>
      </c>
      <c r="C23">
        <v>3.0000000000000001E-3</v>
      </c>
      <c r="D23">
        <v>5.1999999999999998E-2</v>
      </c>
      <c r="E23">
        <v>0</v>
      </c>
      <c r="F23">
        <v>1</v>
      </c>
      <c r="G23" t="s">
        <v>28</v>
      </c>
      <c r="H23" s="1">
        <v>14899</v>
      </c>
      <c r="I23">
        <v>3.0000000000000001E-3</v>
      </c>
      <c r="J23">
        <v>5.6000000000000001E-2</v>
      </c>
      <c r="K23">
        <v>0</v>
      </c>
      <c r="L23">
        <v>1</v>
      </c>
      <c r="M23" t="s">
        <v>28</v>
      </c>
      <c r="N23" s="1">
        <v>8614</v>
      </c>
      <c r="O23">
        <v>2E-3</v>
      </c>
      <c r="P23">
        <v>4.2999999999999997E-2</v>
      </c>
      <c r="Q23">
        <v>0</v>
      </c>
      <c r="R23">
        <v>1</v>
      </c>
    </row>
    <row r="24" spans="1:18" x14ac:dyDescent="0.25">
      <c r="A24" t="s">
        <v>29</v>
      </c>
      <c r="B24" s="1">
        <v>23513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14899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8614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23513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14899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8614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23513</v>
      </c>
      <c r="C26">
        <v>8.1000000000000003E-2</v>
      </c>
      <c r="D26">
        <v>0.27300000000000002</v>
      </c>
      <c r="E26">
        <v>0</v>
      </c>
      <c r="F26">
        <v>1</v>
      </c>
      <c r="G26" t="s">
        <v>31</v>
      </c>
      <c r="H26" s="1">
        <v>14899</v>
      </c>
      <c r="I26">
        <v>8.4000000000000005E-2</v>
      </c>
      <c r="J26">
        <v>0.27800000000000002</v>
      </c>
      <c r="K26">
        <v>0</v>
      </c>
      <c r="L26">
        <v>1</v>
      </c>
      <c r="M26" t="s">
        <v>31</v>
      </c>
      <c r="N26" s="1">
        <v>8614</v>
      </c>
      <c r="O26">
        <v>7.5999999999999998E-2</v>
      </c>
      <c r="P26">
        <v>0.26600000000000001</v>
      </c>
      <c r="Q26">
        <v>0</v>
      </c>
      <c r="R26">
        <v>1</v>
      </c>
    </row>
    <row r="27" spans="1:18" x14ac:dyDescent="0.25">
      <c r="A27" t="s">
        <v>32</v>
      </c>
      <c r="B27" s="1">
        <v>23513</v>
      </c>
      <c r="C27">
        <v>4.0000000000000003E-5</v>
      </c>
      <c r="D27">
        <v>7.0000000000000001E-3</v>
      </c>
      <c r="E27">
        <v>0</v>
      </c>
      <c r="F27">
        <v>1</v>
      </c>
      <c r="G27" t="s">
        <v>32</v>
      </c>
      <c r="H27" s="1">
        <v>14899</v>
      </c>
      <c r="I27">
        <v>1E-4</v>
      </c>
      <c r="J27">
        <v>8.0000000000000002E-3</v>
      </c>
      <c r="K27">
        <v>0</v>
      </c>
      <c r="L27">
        <v>1</v>
      </c>
      <c r="M27" t="s">
        <v>32</v>
      </c>
      <c r="N27" s="1">
        <v>8614</v>
      </c>
      <c r="O27">
        <v>0</v>
      </c>
      <c r="P27">
        <v>0</v>
      </c>
      <c r="Q27">
        <v>0</v>
      </c>
      <c r="R27">
        <v>0</v>
      </c>
    </row>
    <row r="28" spans="1:18" x14ac:dyDescent="0.25">
      <c r="A28" t="s">
        <v>33</v>
      </c>
      <c r="B28" s="1">
        <v>23513</v>
      </c>
      <c r="C28">
        <v>35.106000000000002</v>
      </c>
      <c r="D28">
        <v>16.350000000000001</v>
      </c>
      <c r="E28">
        <v>0</v>
      </c>
      <c r="F28">
        <v>90</v>
      </c>
      <c r="G28" t="s">
        <v>33</v>
      </c>
      <c r="H28" s="1">
        <v>14899</v>
      </c>
      <c r="I28">
        <v>33.661000000000001</v>
      </c>
      <c r="J28">
        <v>16.100999999999999</v>
      </c>
      <c r="K28">
        <v>0</v>
      </c>
      <c r="L28">
        <v>90</v>
      </c>
      <c r="M28" t="s">
        <v>33</v>
      </c>
      <c r="N28" s="1">
        <v>8614</v>
      </c>
      <c r="O28">
        <v>37.606000000000002</v>
      </c>
      <c r="P28">
        <v>16.475999999999999</v>
      </c>
      <c r="Q28">
        <v>0</v>
      </c>
      <c r="R28">
        <v>83</v>
      </c>
    </row>
    <row r="29" spans="1:18" x14ac:dyDescent="0.25">
      <c r="A29" t="s">
        <v>34</v>
      </c>
      <c r="B29" s="1">
        <v>23513</v>
      </c>
      <c r="C29">
        <v>1.5</v>
      </c>
      <c r="D29">
        <v>1.0169999999999999</v>
      </c>
      <c r="E29">
        <v>0</v>
      </c>
      <c r="F29">
        <v>8.1</v>
      </c>
      <c r="G29" t="s">
        <v>34</v>
      </c>
      <c r="H29" s="1">
        <v>14899</v>
      </c>
      <c r="I29">
        <v>1.3919999999999999</v>
      </c>
      <c r="J29">
        <v>0.97099999999999997</v>
      </c>
      <c r="K29">
        <v>0</v>
      </c>
      <c r="L29">
        <v>8.1</v>
      </c>
      <c r="M29" t="s">
        <v>34</v>
      </c>
      <c r="N29" s="1">
        <v>8614</v>
      </c>
      <c r="O29">
        <v>1.6859999999999999</v>
      </c>
      <c r="P29">
        <v>1.0680000000000001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23513</v>
      </c>
      <c r="C30">
        <v>1.4279999999999999</v>
      </c>
      <c r="D30">
        <v>4.0570000000000004</v>
      </c>
      <c r="E30">
        <v>0</v>
      </c>
      <c r="F30">
        <v>57</v>
      </c>
      <c r="G30" t="s">
        <v>35</v>
      </c>
      <c r="H30" s="1">
        <v>14899</v>
      </c>
      <c r="I30">
        <v>1.3740000000000001</v>
      </c>
      <c r="J30">
        <v>3.8679999999999999</v>
      </c>
      <c r="K30">
        <v>0</v>
      </c>
      <c r="L30">
        <v>57</v>
      </c>
      <c r="M30" t="s">
        <v>35</v>
      </c>
      <c r="N30" s="1">
        <v>8614</v>
      </c>
      <c r="O30">
        <v>1.5209999999999999</v>
      </c>
      <c r="P30">
        <v>4.3639999999999999</v>
      </c>
      <c r="Q30">
        <v>0</v>
      </c>
      <c r="R30">
        <v>45</v>
      </c>
    </row>
    <row r="31" spans="1:18" x14ac:dyDescent="0.25">
      <c r="A31" t="s">
        <v>18</v>
      </c>
      <c r="B31" s="1">
        <v>23513</v>
      </c>
      <c r="C31">
        <v>957.16099999999994</v>
      </c>
      <c r="D31">
        <v>441.86900000000003</v>
      </c>
      <c r="E31">
        <v>175</v>
      </c>
      <c r="F31" s="1">
        <v>11155</v>
      </c>
      <c r="G31" t="s">
        <v>18</v>
      </c>
      <c r="H31" s="1">
        <v>14899</v>
      </c>
      <c r="I31">
        <v>967.23699999999997</v>
      </c>
      <c r="J31">
        <v>439.84399999999999</v>
      </c>
      <c r="K31">
        <v>195</v>
      </c>
      <c r="L31" s="1">
        <v>7582</v>
      </c>
      <c r="M31" t="s">
        <v>18</v>
      </c>
      <c r="N31" s="1">
        <v>8614</v>
      </c>
      <c r="O31">
        <v>939.73299999999995</v>
      </c>
      <c r="P31">
        <v>444.83600000000001</v>
      </c>
      <c r="Q31">
        <v>175</v>
      </c>
      <c r="R31" s="1">
        <v>11155</v>
      </c>
    </row>
    <row r="32" spans="1:18" x14ac:dyDescent="0.25">
      <c r="A32" t="s">
        <v>37</v>
      </c>
      <c r="B32" s="1">
        <v>23513</v>
      </c>
      <c r="C32">
        <v>4.7690000000000001</v>
      </c>
      <c r="D32">
        <v>6.7720000000000002</v>
      </c>
      <c r="E32">
        <v>1.4E-2</v>
      </c>
      <c r="F32">
        <v>111.96899999999999</v>
      </c>
      <c r="G32" t="s">
        <v>37</v>
      </c>
      <c r="H32" s="1">
        <v>14899</v>
      </c>
      <c r="I32">
        <v>4.8259999999999996</v>
      </c>
      <c r="J32">
        <v>6.7750000000000004</v>
      </c>
      <c r="K32">
        <v>1.4E-2</v>
      </c>
      <c r="L32">
        <v>52.774999999999999</v>
      </c>
      <c r="M32" t="s">
        <v>37</v>
      </c>
      <c r="N32" s="1">
        <v>8614</v>
      </c>
      <c r="O32">
        <v>4.6710000000000003</v>
      </c>
      <c r="P32">
        <v>6.7649999999999997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23513</v>
      </c>
      <c r="C33">
        <v>1.698</v>
      </c>
      <c r="D33">
        <v>2.214</v>
      </c>
      <c r="E33">
        <v>0</v>
      </c>
      <c r="F33">
        <v>12.788</v>
      </c>
      <c r="G33" t="s">
        <v>164</v>
      </c>
      <c r="H33" s="1">
        <v>14899</v>
      </c>
      <c r="I33">
        <v>1.7629999999999999</v>
      </c>
      <c r="J33">
        <v>2.3050000000000002</v>
      </c>
      <c r="K33">
        <v>0</v>
      </c>
      <c r="L33">
        <v>12.788</v>
      </c>
      <c r="M33" t="s">
        <v>164</v>
      </c>
      <c r="N33" s="1">
        <v>8614</v>
      </c>
      <c r="O33">
        <v>1.5860000000000001</v>
      </c>
      <c r="P33">
        <v>2.0430000000000001</v>
      </c>
      <c r="Q33">
        <v>0</v>
      </c>
      <c r="R33">
        <v>12.788</v>
      </c>
    </row>
    <row r="34" spans="1:18" x14ac:dyDescent="0.25">
      <c r="A34" t="s">
        <v>39</v>
      </c>
      <c r="B34" s="1">
        <v>23513</v>
      </c>
      <c r="C34">
        <v>0.33700000000000002</v>
      </c>
      <c r="D34">
        <v>0.26700000000000002</v>
      </c>
      <c r="E34">
        <v>0</v>
      </c>
      <c r="F34">
        <v>2.165</v>
      </c>
      <c r="G34" t="s">
        <v>39</v>
      </c>
      <c r="H34" s="1">
        <v>14899</v>
      </c>
      <c r="I34">
        <v>0.33700000000000002</v>
      </c>
      <c r="J34">
        <v>0.26300000000000001</v>
      </c>
      <c r="K34">
        <v>1.2E-2</v>
      </c>
      <c r="L34">
        <v>1.7529999999999999</v>
      </c>
      <c r="M34" t="s">
        <v>39</v>
      </c>
      <c r="N34" s="1">
        <v>8614</v>
      </c>
      <c r="O34">
        <v>0.33800000000000002</v>
      </c>
      <c r="P34">
        <v>0.27300000000000002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23513</v>
      </c>
      <c r="C35">
        <v>3.0950000000000002</v>
      </c>
      <c r="D35">
        <v>3.4359999999999999</v>
      </c>
      <c r="E35">
        <v>1.4999999999999999E-2</v>
      </c>
      <c r="F35">
        <v>20.402999999999999</v>
      </c>
      <c r="G35" t="s">
        <v>40</v>
      </c>
      <c r="H35" s="1">
        <v>14899</v>
      </c>
      <c r="I35">
        <v>3.0790000000000002</v>
      </c>
      <c r="J35">
        <v>3.32</v>
      </c>
      <c r="K35">
        <v>1.4999999999999999E-2</v>
      </c>
      <c r="L35">
        <v>20.402999999999999</v>
      </c>
      <c r="M35" t="s">
        <v>40</v>
      </c>
      <c r="N35" s="1">
        <v>8614</v>
      </c>
      <c r="O35">
        <v>3.1230000000000002</v>
      </c>
      <c r="P35">
        <v>3.6280000000000001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23513</v>
      </c>
      <c r="C36">
        <v>7.5410000000000004</v>
      </c>
      <c r="D36">
        <v>5.1440000000000001</v>
      </c>
      <c r="E36">
        <v>0.99299999999999999</v>
      </c>
      <c r="F36">
        <v>25.135999999999999</v>
      </c>
      <c r="G36" t="s">
        <v>41</v>
      </c>
      <c r="H36" s="1">
        <v>14899</v>
      </c>
      <c r="I36">
        <v>7.617</v>
      </c>
      <c r="J36">
        <v>5.194</v>
      </c>
      <c r="K36">
        <v>0.99299999999999999</v>
      </c>
      <c r="L36">
        <v>25.135999999999999</v>
      </c>
      <c r="M36" t="s">
        <v>41</v>
      </c>
      <c r="N36" s="1">
        <v>8614</v>
      </c>
      <c r="O36">
        <v>7.4080000000000004</v>
      </c>
      <c r="P36">
        <v>5.056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23513</v>
      </c>
      <c r="C37">
        <v>1.2569999999999999</v>
      </c>
      <c r="D37">
        <v>6.17</v>
      </c>
      <c r="E37">
        <v>4.2999999999999997E-2</v>
      </c>
      <c r="F37">
        <v>196.49</v>
      </c>
      <c r="G37" t="s">
        <v>173</v>
      </c>
      <c r="H37" s="1">
        <v>14899</v>
      </c>
      <c r="I37">
        <v>1.2909999999999999</v>
      </c>
      <c r="J37">
        <v>6.4619999999999997</v>
      </c>
      <c r="K37">
        <v>4.2999999999999997E-2</v>
      </c>
      <c r="L37">
        <v>196.49</v>
      </c>
      <c r="M37" t="s">
        <v>173</v>
      </c>
      <c r="N37" s="1">
        <v>8614</v>
      </c>
      <c r="O37">
        <v>1.1990000000000001</v>
      </c>
      <c r="P37">
        <v>5.63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23513</v>
      </c>
      <c r="C38">
        <v>1.944</v>
      </c>
      <c r="D38">
        <v>1.3129999999999999</v>
      </c>
      <c r="E38">
        <v>7.0999999999999994E-2</v>
      </c>
      <c r="F38">
        <v>7.2789999999999999</v>
      </c>
      <c r="G38" t="s">
        <v>174</v>
      </c>
      <c r="H38" s="1">
        <v>14899</v>
      </c>
      <c r="I38">
        <v>1.95</v>
      </c>
      <c r="J38">
        <v>1.32</v>
      </c>
      <c r="K38">
        <v>7.3999999999999996E-2</v>
      </c>
      <c r="L38">
        <v>7.2789999999999999</v>
      </c>
      <c r="M38" t="s">
        <v>174</v>
      </c>
      <c r="N38" s="1">
        <v>8614</v>
      </c>
      <c r="O38">
        <v>1.9330000000000001</v>
      </c>
      <c r="P38">
        <v>1.302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23513</v>
      </c>
      <c r="C39">
        <v>1.7949999999999999</v>
      </c>
      <c r="D39">
        <v>1.194</v>
      </c>
      <c r="E39">
        <v>3.4000000000000002E-2</v>
      </c>
      <c r="F39">
        <v>6.8040000000000003</v>
      </c>
      <c r="G39" t="s">
        <v>175</v>
      </c>
      <c r="H39" s="1">
        <v>14899</v>
      </c>
      <c r="I39">
        <v>1.8220000000000001</v>
      </c>
      <c r="J39">
        <v>1.2010000000000001</v>
      </c>
      <c r="K39">
        <v>3.4000000000000002E-2</v>
      </c>
      <c r="L39">
        <v>6.8040000000000003</v>
      </c>
      <c r="M39" t="s">
        <v>175</v>
      </c>
      <c r="N39" s="1">
        <v>8614</v>
      </c>
      <c r="O39">
        <v>1.7490000000000001</v>
      </c>
      <c r="P39">
        <v>1.179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23513</v>
      </c>
      <c r="C40">
        <v>0.27100000000000002</v>
      </c>
      <c r="D40">
        <v>0.187</v>
      </c>
      <c r="E40">
        <v>0</v>
      </c>
      <c r="F40">
        <v>0.82799999999999996</v>
      </c>
      <c r="G40" t="s">
        <v>42</v>
      </c>
      <c r="H40" s="1">
        <v>14899</v>
      </c>
      <c r="I40">
        <v>0.27500000000000002</v>
      </c>
      <c r="J40">
        <v>0.192</v>
      </c>
      <c r="K40">
        <v>0</v>
      </c>
      <c r="L40">
        <v>0.82799999999999996</v>
      </c>
      <c r="M40" t="s">
        <v>42</v>
      </c>
      <c r="N40" s="1">
        <v>8614</v>
      </c>
      <c r="O40">
        <v>0.26400000000000001</v>
      </c>
      <c r="P40">
        <v>0.17899999999999999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23513</v>
      </c>
      <c r="C41">
        <v>2.1999999999999999E-2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14899</v>
      </c>
      <c r="I41">
        <v>2.1999999999999999E-2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8614</v>
      </c>
      <c r="O41">
        <v>2.1999999999999999E-2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23513</v>
      </c>
      <c r="C42">
        <v>0.44700000000000001</v>
      </c>
      <c r="D42">
        <v>0.19500000000000001</v>
      </c>
      <c r="E42">
        <v>1.4E-2</v>
      </c>
      <c r="F42">
        <v>1</v>
      </c>
      <c r="G42" t="s">
        <v>44</v>
      </c>
      <c r="H42" s="1">
        <v>14899</v>
      </c>
      <c r="I42">
        <v>0.441</v>
      </c>
      <c r="J42">
        <v>0.19500000000000001</v>
      </c>
      <c r="K42">
        <v>1.4E-2</v>
      </c>
      <c r="L42">
        <v>1</v>
      </c>
      <c r="M42" t="s">
        <v>44</v>
      </c>
      <c r="N42" s="1">
        <v>8614</v>
      </c>
      <c r="O42">
        <v>0.45600000000000002</v>
      </c>
      <c r="P42">
        <v>0.19400000000000001</v>
      </c>
      <c r="Q42">
        <v>1.4E-2</v>
      </c>
      <c r="R42">
        <v>1</v>
      </c>
    </row>
    <row r="43" spans="1:18" x14ac:dyDescent="0.25">
      <c r="A43" t="s">
        <v>45</v>
      </c>
      <c r="B43" s="1">
        <v>23513</v>
      </c>
      <c r="C43">
        <v>5.7000000000000002E-2</v>
      </c>
      <c r="D43">
        <v>8.5000000000000006E-2</v>
      </c>
      <c r="E43">
        <v>0</v>
      </c>
      <c r="F43">
        <v>0.64</v>
      </c>
      <c r="G43" t="s">
        <v>45</v>
      </c>
      <c r="H43" s="1">
        <v>14899</v>
      </c>
      <c r="I43">
        <v>5.7000000000000002E-2</v>
      </c>
      <c r="J43">
        <v>8.5000000000000006E-2</v>
      </c>
      <c r="K43">
        <v>0</v>
      </c>
      <c r="L43">
        <v>0.64</v>
      </c>
      <c r="M43" t="s">
        <v>45</v>
      </c>
      <c r="N43" s="1">
        <v>8614</v>
      </c>
      <c r="O43">
        <v>5.6000000000000001E-2</v>
      </c>
      <c r="P43">
        <v>8.5999999999999993E-2</v>
      </c>
      <c r="Q43">
        <v>0</v>
      </c>
      <c r="R43">
        <v>0.64</v>
      </c>
    </row>
    <row r="44" spans="1:18" x14ac:dyDescent="0.25">
      <c r="A44" t="s">
        <v>46</v>
      </c>
      <c r="B44" s="1">
        <v>23513</v>
      </c>
      <c r="C44">
        <v>0.82899999999999996</v>
      </c>
      <c r="D44">
        <v>0.19700000000000001</v>
      </c>
      <c r="E44">
        <v>0.107</v>
      </c>
      <c r="F44">
        <v>1</v>
      </c>
      <c r="G44" t="s">
        <v>46</v>
      </c>
      <c r="H44" s="1">
        <v>14899</v>
      </c>
      <c r="I44">
        <v>0.83299999999999996</v>
      </c>
      <c r="J44">
        <v>0.20100000000000001</v>
      </c>
      <c r="K44">
        <v>0.107</v>
      </c>
      <c r="L44">
        <v>1</v>
      </c>
      <c r="M44" t="s">
        <v>46</v>
      </c>
      <c r="N44" s="1">
        <v>8614</v>
      </c>
      <c r="O44">
        <v>0.82299999999999995</v>
      </c>
      <c r="P44">
        <v>0.191</v>
      </c>
      <c r="Q44">
        <v>0.107</v>
      </c>
      <c r="R44">
        <v>1</v>
      </c>
    </row>
    <row r="45" spans="1:18" x14ac:dyDescent="0.25">
      <c r="A45" t="s">
        <v>47</v>
      </c>
      <c r="B45" s="1">
        <v>23513</v>
      </c>
      <c r="C45">
        <v>0.17</v>
      </c>
      <c r="D45">
        <v>0.19700000000000001</v>
      </c>
      <c r="E45">
        <v>0</v>
      </c>
      <c r="F45">
        <v>0.89300000000000002</v>
      </c>
      <c r="G45" t="s">
        <v>47</v>
      </c>
      <c r="H45" s="1">
        <v>14899</v>
      </c>
      <c r="I45">
        <v>0.16700000000000001</v>
      </c>
      <c r="J45">
        <v>0.2</v>
      </c>
      <c r="K45">
        <v>0</v>
      </c>
      <c r="L45">
        <v>0.89300000000000002</v>
      </c>
      <c r="M45" t="s">
        <v>47</v>
      </c>
      <c r="N45" s="1">
        <v>8614</v>
      </c>
      <c r="O45">
        <v>0.17499999999999999</v>
      </c>
      <c r="P45">
        <v>0.19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23513</v>
      </c>
      <c r="C46">
        <v>0.57699999999999996</v>
      </c>
      <c r="D46">
        <v>0.192</v>
      </c>
      <c r="E46">
        <v>2.8000000000000001E-2</v>
      </c>
      <c r="F46">
        <v>0.98499999999999999</v>
      </c>
      <c r="G46" t="s">
        <v>48</v>
      </c>
      <c r="H46" s="1">
        <v>14899</v>
      </c>
      <c r="I46">
        <v>0.58399999999999996</v>
      </c>
      <c r="J46">
        <v>0.188</v>
      </c>
      <c r="K46">
        <v>2.8000000000000001E-2</v>
      </c>
      <c r="L46">
        <v>0.98499999999999999</v>
      </c>
      <c r="M46" t="s">
        <v>48</v>
      </c>
      <c r="N46" s="1">
        <v>8614</v>
      </c>
      <c r="O46">
        <v>0.56499999999999995</v>
      </c>
      <c r="P46">
        <v>0.19700000000000001</v>
      </c>
      <c r="Q46">
        <v>0.06</v>
      </c>
      <c r="R46">
        <v>0.98099999999999998</v>
      </c>
    </row>
    <row r="47" spans="1:18" x14ac:dyDescent="0.25">
      <c r="A47" t="s">
        <v>49</v>
      </c>
      <c r="B47" s="1">
        <v>23513</v>
      </c>
      <c r="C47">
        <v>0.42199999999999999</v>
      </c>
      <c r="D47">
        <v>0.191</v>
      </c>
      <c r="E47">
        <v>1.4999999999999999E-2</v>
      </c>
      <c r="F47">
        <v>0.97199999999999998</v>
      </c>
      <c r="G47" t="s">
        <v>49</v>
      </c>
      <c r="H47" s="1">
        <v>14899</v>
      </c>
      <c r="I47">
        <v>0.41599999999999998</v>
      </c>
      <c r="J47">
        <v>0.188</v>
      </c>
      <c r="K47">
        <v>1.4999999999999999E-2</v>
      </c>
      <c r="L47">
        <v>0.97199999999999998</v>
      </c>
      <c r="M47" t="s">
        <v>49</v>
      </c>
      <c r="N47" s="1">
        <v>8614</v>
      </c>
      <c r="O47">
        <v>0.434</v>
      </c>
      <c r="P47">
        <v>0.19600000000000001</v>
      </c>
      <c r="Q47">
        <v>1.9E-2</v>
      </c>
      <c r="R47">
        <v>0.94</v>
      </c>
    </row>
    <row r="48" spans="1:18" x14ac:dyDescent="0.25">
      <c r="A48" t="s">
        <v>50</v>
      </c>
      <c r="B48" s="1">
        <v>23513</v>
      </c>
      <c r="C48">
        <v>11.193</v>
      </c>
      <c r="D48">
        <v>40.249000000000002</v>
      </c>
      <c r="E48">
        <v>0</v>
      </c>
      <c r="F48" s="1">
        <v>1000</v>
      </c>
      <c r="G48" t="s">
        <v>50</v>
      </c>
      <c r="H48" s="1">
        <v>14899</v>
      </c>
      <c r="I48">
        <v>11.281000000000001</v>
      </c>
      <c r="J48">
        <v>38.826999999999998</v>
      </c>
      <c r="K48">
        <v>0</v>
      </c>
      <c r="L48">
        <v>651</v>
      </c>
      <c r="M48" t="s">
        <v>50</v>
      </c>
      <c r="N48" s="1">
        <v>8614</v>
      </c>
      <c r="O48">
        <v>11.04</v>
      </c>
      <c r="P48">
        <v>42.6</v>
      </c>
      <c r="Q48">
        <v>0</v>
      </c>
      <c r="R48" s="1">
        <v>1000</v>
      </c>
    </row>
    <row r="49" spans="1:18" x14ac:dyDescent="0.25">
      <c r="A49" t="s">
        <v>51</v>
      </c>
      <c r="B49" s="1">
        <v>23513</v>
      </c>
      <c r="C49">
        <v>1.3320000000000001</v>
      </c>
      <c r="D49">
        <v>1.9279999999999999</v>
      </c>
      <c r="E49">
        <v>0</v>
      </c>
      <c r="F49">
        <v>36</v>
      </c>
      <c r="G49" t="s">
        <v>51</v>
      </c>
      <c r="H49" s="1">
        <v>14899</v>
      </c>
      <c r="I49">
        <v>1.3180000000000001</v>
      </c>
      <c r="J49">
        <v>1.9430000000000001</v>
      </c>
      <c r="K49">
        <v>0</v>
      </c>
      <c r="L49">
        <v>36</v>
      </c>
      <c r="M49" t="s">
        <v>51</v>
      </c>
      <c r="N49" s="1">
        <v>8614</v>
      </c>
      <c r="O49">
        <v>1.355</v>
      </c>
      <c r="P49">
        <v>1.901</v>
      </c>
      <c r="Q49">
        <v>0</v>
      </c>
      <c r="R49">
        <v>23</v>
      </c>
    </row>
    <row r="50" spans="1:18" x14ac:dyDescent="0.25">
      <c r="A50" t="s">
        <v>52</v>
      </c>
      <c r="B50" s="1">
        <v>23513</v>
      </c>
      <c r="C50">
        <v>0.35499999999999998</v>
      </c>
      <c r="D50">
        <v>0.47799999999999998</v>
      </c>
      <c r="E50">
        <v>0</v>
      </c>
      <c r="F50">
        <v>1</v>
      </c>
      <c r="G50" t="s">
        <v>52</v>
      </c>
      <c r="H50" s="1">
        <v>14899</v>
      </c>
      <c r="I50">
        <v>0.35099999999999998</v>
      </c>
      <c r="J50">
        <v>0.47699999999999998</v>
      </c>
      <c r="K50">
        <v>0</v>
      </c>
      <c r="L50">
        <v>1</v>
      </c>
      <c r="M50" t="s">
        <v>52</v>
      </c>
      <c r="N50" s="1">
        <v>8614</v>
      </c>
      <c r="O50">
        <v>0.36199999999999999</v>
      </c>
      <c r="P50">
        <v>0.48099999999999998</v>
      </c>
      <c r="Q50">
        <v>0</v>
      </c>
      <c r="R50">
        <v>1</v>
      </c>
    </row>
    <row r="51" spans="1:18" x14ac:dyDescent="0.25">
      <c r="A51" t="s">
        <v>53</v>
      </c>
      <c r="B51" s="1">
        <v>23513</v>
      </c>
      <c r="C51" s="2">
        <v>2359551</v>
      </c>
      <c r="D51" s="2">
        <v>6874.5780000000004</v>
      </c>
      <c r="E51" s="2">
        <v>2351041</v>
      </c>
      <c r="F51" s="2">
        <v>2400056</v>
      </c>
      <c r="G51" t="s">
        <v>53</v>
      </c>
      <c r="H51" s="1">
        <v>14899</v>
      </c>
      <c r="I51" s="2">
        <v>2359711</v>
      </c>
      <c r="J51" s="2">
        <v>6950.8329999999996</v>
      </c>
      <c r="K51" s="2">
        <v>2351041</v>
      </c>
      <c r="L51" s="2">
        <v>2400056</v>
      </c>
      <c r="M51" t="s">
        <v>53</v>
      </c>
      <c r="N51" s="1">
        <v>8614</v>
      </c>
      <c r="O51" s="2">
        <v>2359275</v>
      </c>
      <c r="P51" s="2">
        <v>6732.1040000000003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23513</v>
      </c>
      <c r="C52" s="2">
        <v>614679.1</v>
      </c>
      <c r="D52" s="2">
        <v>11377.33</v>
      </c>
      <c r="E52" s="2">
        <v>580446.1</v>
      </c>
      <c r="F52" s="2">
        <v>637819.69999999995</v>
      </c>
      <c r="G52" t="s">
        <v>54</v>
      </c>
      <c r="H52" s="1">
        <v>14899</v>
      </c>
      <c r="I52" s="2">
        <v>614420.30000000005</v>
      </c>
      <c r="J52" s="2">
        <v>11358.05</v>
      </c>
      <c r="K52" s="2">
        <v>580446.1</v>
      </c>
      <c r="L52" s="2">
        <v>637819.69999999995</v>
      </c>
      <c r="M52" t="s">
        <v>54</v>
      </c>
      <c r="N52" s="1">
        <v>8614</v>
      </c>
      <c r="O52" s="2">
        <v>615126.80000000005</v>
      </c>
      <c r="P52" s="2">
        <v>11397.4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23513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14899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8614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23513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14899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8614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23513</v>
      </c>
      <c r="C55">
        <v>0.26100000000000001</v>
      </c>
      <c r="D55">
        <v>0.439</v>
      </c>
      <c r="E55">
        <v>0</v>
      </c>
      <c r="F55">
        <v>1</v>
      </c>
      <c r="G55" t="s">
        <v>58</v>
      </c>
      <c r="H55" s="1">
        <v>14899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8614</v>
      </c>
      <c r="O55">
        <v>0.24299999999999999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23513</v>
      </c>
      <c r="C56">
        <v>0.19600000000000001</v>
      </c>
      <c r="D56">
        <v>0.39700000000000002</v>
      </c>
      <c r="E56">
        <v>0</v>
      </c>
      <c r="F56">
        <v>1</v>
      </c>
      <c r="G56" t="s">
        <v>59</v>
      </c>
      <c r="H56" s="1">
        <v>14899</v>
      </c>
      <c r="I56">
        <v>0.20499999999999999</v>
      </c>
      <c r="J56">
        <v>0.40400000000000003</v>
      </c>
      <c r="K56">
        <v>0</v>
      </c>
      <c r="L56">
        <v>1</v>
      </c>
      <c r="M56" t="s">
        <v>59</v>
      </c>
      <c r="N56" s="1">
        <v>8614</v>
      </c>
      <c r="O56">
        <v>0.17899999999999999</v>
      </c>
      <c r="P56">
        <v>0.38300000000000001</v>
      </c>
      <c r="Q56">
        <v>0</v>
      </c>
      <c r="R56">
        <v>1</v>
      </c>
    </row>
    <row r="57" spans="1:18" x14ac:dyDescent="0.25">
      <c r="A57" t="s">
        <v>60</v>
      </c>
      <c r="B57" s="1">
        <v>23513</v>
      </c>
      <c r="C57">
        <v>0.54300000000000004</v>
      </c>
      <c r="D57">
        <v>0.498</v>
      </c>
      <c r="E57">
        <v>0</v>
      </c>
      <c r="F57">
        <v>1</v>
      </c>
      <c r="G57" t="s">
        <v>60</v>
      </c>
      <c r="H57" s="1">
        <v>14899</v>
      </c>
      <c r="I57">
        <v>0.52300000000000002</v>
      </c>
      <c r="J57">
        <v>0.499</v>
      </c>
      <c r="K57">
        <v>0</v>
      </c>
      <c r="L57">
        <v>1</v>
      </c>
      <c r="M57" t="s">
        <v>60</v>
      </c>
      <c r="N57" s="1">
        <v>8614</v>
      </c>
      <c r="O57">
        <v>0.57899999999999996</v>
      </c>
      <c r="P57">
        <v>0.49399999999999999</v>
      </c>
      <c r="Q57">
        <v>0</v>
      </c>
      <c r="R57">
        <v>1</v>
      </c>
    </row>
    <row r="58" spans="1:18" x14ac:dyDescent="0.25">
      <c r="A58" t="s">
        <v>61</v>
      </c>
      <c r="B58" s="1">
        <v>23513</v>
      </c>
      <c r="C58" s="2">
        <v>2018.7940000000001</v>
      </c>
      <c r="D58">
        <v>1.9990000000000001</v>
      </c>
      <c r="E58" s="1">
        <v>2016</v>
      </c>
      <c r="F58" s="1">
        <v>2023</v>
      </c>
      <c r="G58" t="s">
        <v>61</v>
      </c>
      <c r="H58" s="1">
        <v>14899</v>
      </c>
      <c r="I58" s="2">
        <v>2017.4880000000001</v>
      </c>
      <c r="J58">
        <v>1.1499999999999999</v>
      </c>
      <c r="K58" s="1">
        <v>2016</v>
      </c>
      <c r="L58" s="1">
        <v>2020</v>
      </c>
      <c r="M58" t="s">
        <v>61</v>
      </c>
      <c r="N58" s="1">
        <v>8614</v>
      </c>
      <c r="O58" s="2">
        <v>2021.0519999999999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23513</v>
      </c>
      <c r="C59">
        <v>0.1</v>
      </c>
      <c r="D59">
        <v>0.3</v>
      </c>
      <c r="E59">
        <v>0</v>
      </c>
      <c r="F59">
        <v>1</v>
      </c>
      <c r="G59" t="s">
        <v>62</v>
      </c>
      <c r="H59" s="1">
        <v>14899</v>
      </c>
      <c r="I59">
        <v>0.108</v>
      </c>
      <c r="J59">
        <v>0.311</v>
      </c>
      <c r="K59">
        <v>0</v>
      </c>
      <c r="L59">
        <v>1</v>
      </c>
      <c r="M59" t="s">
        <v>62</v>
      </c>
      <c r="N59" s="1">
        <v>8614</v>
      </c>
      <c r="O59">
        <v>8.5999999999999993E-2</v>
      </c>
      <c r="P59">
        <v>0.28100000000000003</v>
      </c>
      <c r="Q59">
        <v>0</v>
      </c>
      <c r="R59">
        <v>1</v>
      </c>
    </row>
    <row r="60" spans="1:18" x14ac:dyDescent="0.25">
      <c r="A60" t="s">
        <v>63</v>
      </c>
      <c r="B60" s="1">
        <v>23513</v>
      </c>
      <c r="C60">
        <v>4.0000000000000002E-4</v>
      </c>
      <c r="D60">
        <v>2.1000000000000001E-2</v>
      </c>
      <c r="E60">
        <v>0</v>
      </c>
      <c r="F60">
        <v>1</v>
      </c>
      <c r="G60" t="s">
        <v>63</v>
      </c>
      <c r="H60" s="1">
        <v>14899</v>
      </c>
      <c r="I60">
        <v>2.9999999999999997E-4</v>
      </c>
      <c r="J60">
        <v>1.7999999999999999E-2</v>
      </c>
      <c r="K60">
        <v>0</v>
      </c>
      <c r="L60">
        <v>1</v>
      </c>
      <c r="M60" t="s">
        <v>63</v>
      </c>
      <c r="N60" s="1">
        <v>8614</v>
      </c>
      <c r="O60">
        <v>1E-3</v>
      </c>
      <c r="P60">
        <v>2.4E-2</v>
      </c>
      <c r="Q60">
        <v>0</v>
      </c>
      <c r="R60">
        <v>1</v>
      </c>
    </row>
    <row r="61" spans="1:18" x14ac:dyDescent="0.25">
      <c r="A61" t="s">
        <v>64</v>
      </c>
      <c r="B61" s="1">
        <v>23513</v>
      </c>
      <c r="C61">
        <v>5.6000000000000001E-2</v>
      </c>
      <c r="D61">
        <v>0.23</v>
      </c>
      <c r="E61">
        <v>0</v>
      </c>
      <c r="F61">
        <v>1</v>
      </c>
      <c r="G61" t="s">
        <v>64</v>
      </c>
      <c r="H61" s="1">
        <v>14899</v>
      </c>
      <c r="I61">
        <v>5.1999999999999998E-2</v>
      </c>
      <c r="J61">
        <v>0.221</v>
      </c>
      <c r="K61">
        <v>0</v>
      </c>
      <c r="L61">
        <v>1</v>
      </c>
      <c r="M61" t="s">
        <v>64</v>
      </c>
      <c r="N61" s="1">
        <v>8614</v>
      </c>
      <c r="O61">
        <v>6.4000000000000001E-2</v>
      </c>
      <c r="P61">
        <v>0.24399999999999999</v>
      </c>
      <c r="Q61">
        <v>0</v>
      </c>
      <c r="R61">
        <v>1</v>
      </c>
    </row>
    <row r="62" spans="1:18" x14ac:dyDescent="0.25">
      <c r="A62" t="s">
        <v>65</v>
      </c>
      <c r="B62" s="1">
        <v>23513</v>
      </c>
      <c r="C62">
        <v>0.216</v>
      </c>
      <c r="D62">
        <v>0.41099999999999998</v>
      </c>
      <c r="E62">
        <v>0</v>
      </c>
      <c r="F62">
        <v>1</v>
      </c>
      <c r="G62" t="s">
        <v>65</v>
      </c>
      <c r="H62" s="1">
        <v>14899</v>
      </c>
      <c r="I62">
        <v>0.22700000000000001</v>
      </c>
      <c r="J62">
        <v>0.41899999999999998</v>
      </c>
      <c r="K62">
        <v>0</v>
      </c>
      <c r="L62">
        <v>1</v>
      </c>
      <c r="M62" t="s">
        <v>65</v>
      </c>
      <c r="N62" s="1">
        <v>8614</v>
      </c>
      <c r="O62">
        <v>0.19700000000000001</v>
      </c>
      <c r="P62">
        <v>0.39800000000000002</v>
      </c>
      <c r="Q62">
        <v>0</v>
      </c>
      <c r="R62">
        <v>1</v>
      </c>
    </row>
    <row r="63" spans="1:18" x14ac:dyDescent="0.25">
      <c r="A63" t="s">
        <v>66</v>
      </c>
      <c r="B63" s="1">
        <v>23513</v>
      </c>
      <c r="C63">
        <v>0.28999999999999998</v>
      </c>
      <c r="D63">
        <v>0.45400000000000001</v>
      </c>
      <c r="E63">
        <v>0</v>
      </c>
      <c r="F63">
        <v>1</v>
      </c>
      <c r="G63" t="s">
        <v>66</v>
      </c>
      <c r="H63" s="1">
        <v>14899</v>
      </c>
      <c r="I63">
        <v>0.27600000000000002</v>
      </c>
      <c r="J63">
        <v>0.44700000000000001</v>
      </c>
      <c r="K63">
        <v>0</v>
      </c>
      <c r="L63">
        <v>1</v>
      </c>
      <c r="M63" t="s">
        <v>66</v>
      </c>
      <c r="N63" s="1">
        <v>8614</v>
      </c>
      <c r="O63">
        <v>0.313</v>
      </c>
      <c r="P63">
        <v>0.46400000000000002</v>
      </c>
      <c r="Q63">
        <v>0</v>
      </c>
      <c r="R63">
        <v>1</v>
      </c>
    </row>
    <row r="64" spans="1:18" x14ac:dyDescent="0.25">
      <c r="A64" t="s">
        <v>67</v>
      </c>
      <c r="B64" s="1">
        <v>23513</v>
      </c>
      <c r="C64">
        <v>7.0000000000000007E-2</v>
      </c>
      <c r="D64">
        <v>0.255</v>
      </c>
      <c r="E64">
        <v>0</v>
      </c>
      <c r="F64">
        <v>1</v>
      </c>
      <c r="G64" t="s">
        <v>67</v>
      </c>
      <c r="H64" s="1">
        <v>14899</v>
      </c>
      <c r="I64">
        <v>6.8000000000000005E-2</v>
      </c>
      <c r="J64">
        <v>0.252</v>
      </c>
      <c r="K64">
        <v>0</v>
      </c>
      <c r="L64">
        <v>1</v>
      </c>
      <c r="M64" t="s">
        <v>67</v>
      </c>
      <c r="N64" s="1">
        <v>8614</v>
      </c>
      <c r="O64">
        <v>7.2999999999999995E-2</v>
      </c>
      <c r="P64">
        <v>0.26</v>
      </c>
      <c r="Q64">
        <v>0</v>
      </c>
      <c r="R64">
        <v>1</v>
      </c>
    </row>
    <row r="65" spans="1:18" x14ac:dyDescent="0.25">
      <c r="A65" t="s">
        <v>68</v>
      </c>
      <c r="B65" s="1">
        <v>23513</v>
      </c>
      <c r="C65">
        <v>0.21</v>
      </c>
      <c r="D65">
        <v>0.40699999999999997</v>
      </c>
      <c r="E65">
        <v>0</v>
      </c>
      <c r="F65">
        <v>1</v>
      </c>
      <c r="G65" t="s">
        <v>68</v>
      </c>
      <c r="H65" s="1">
        <v>14899</v>
      </c>
      <c r="I65">
        <v>0.20699999999999999</v>
      </c>
      <c r="J65">
        <v>0.40500000000000003</v>
      </c>
      <c r="K65">
        <v>0</v>
      </c>
      <c r="L65">
        <v>1</v>
      </c>
      <c r="M65" t="s">
        <v>68</v>
      </c>
      <c r="N65" s="1">
        <v>8614</v>
      </c>
      <c r="O65">
        <v>0.216</v>
      </c>
      <c r="P65">
        <v>0.41099999999999998</v>
      </c>
      <c r="Q65">
        <v>0</v>
      </c>
      <c r="R65">
        <v>1</v>
      </c>
    </row>
    <row r="66" spans="1:18" x14ac:dyDescent="0.25">
      <c r="A66" t="s">
        <v>69</v>
      </c>
      <c r="B66" s="1">
        <v>23513</v>
      </c>
      <c r="C66">
        <v>5.8000000000000003E-2</v>
      </c>
      <c r="D66">
        <v>0.23400000000000001</v>
      </c>
      <c r="E66">
        <v>0</v>
      </c>
      <c r="F66">
        <v>1</v>
      </c>
      <c r="G66" t="s">
        <v>69</v>
      </c>
      <c r="H66" s="1">
        <v>14899</v>
      </c>
      <c r="I66">
        <v>6.2E-2</v>
      </c>
      <c r="J66">
        <v>0.24099999999999999</v>
      </c>
      <c r="K66">
        <v>0</v>
      </c>
      <c r="L66">
        <v>1</v>
      </c>
      <c r="M66" t="s">
        <v>69</v>
      </c>
      <c r="N66" s="1">
        <v>8614</v>
      </c>
      <c r="O66">
        <v>5.1999999999999998E-2</v>
      </c>
      <c r="P66">
        <v>0.221</v>
      </c>
      <c r="Q66">
        <v>0</v>
      </c>
      <c r="R66">
        <v>1</v>
      </c>
    </row>
    <row r="67" spans="1:18" x14ac:dyDescent="0.25">
      <c r="A67" t="s">
        <v>70</v>
      </c>
      <c r="B67" s="1">
        <v>23513</v>
      </c>
      <c r="C67">
        <v>0.183</v>
      </c>
      <c r="D67">
        <v>0.38700000000000001</v>
      </c>
      <c r="E67">
        <v>0</v>
      </c>
      <c r="F67">
        <v>1</v>
      </c>
      <c r="G67" t="s">
        <v>70</v>
      </c>
      <c r="H67" s="1">
        <v>14899</v>
      </c>
      <c r="I67">
        <v>0.17699999999999999</v>
      </c>
      <c r="J67">
        <v>0.38200000000000001</v>
      </c>
      <c r="K67">
        <v>0</v>
      </c>
      <c r="L67">
        <v>1</v>
      </c>
      <c r="M67" t="s">
        <v>70</v>
      </c>
      <c r="N67" s="1">
        <v>8614</v>
      </c>
      <c r="O67">
        <v>0.19400000000000001</v>
      </c>
      <c r="P67">
        <v>0.39600000000000002</v>
      </c>
      <c r="Q67">
        <v>0</v>
      </c>
      <c r="R67">
        <v>1</v>
      </c>
    </row>
    <row r="68" spans="1:18" x14ac:dyDescent="0.25">
      <c r="A68" t="s">
        <v>71</v>
      </c>
      <c r="B68" s="1">
        <v>23513</v>
      </c>
      <c r="C68">
        <v>0.36299999999999999</v>
      </c>
      <c r="D68">
        <v>0.48099999999999998</v>
      </c>
      <c r="E68">
        <v>0</v>
      </c>
      <c r="F68">
        <v>1</v>
      </c>
      <c r="G68" t="s">
        <v>71</v>
      </c>
      <c r="H68" s="1">
        <v>14899</v>
      </c>
      <c r="I68">
        <v>0.38100000000000001</v>
      </c>
      <c r="J68">
        <v>0.48599999999999999</v>
      </c>
      <c r="K68">
        <v>0</v>
      </c>
      <c r="L68">
        <v>1</v>
      </c>
      <c r="M68" t="s">
        <v>71</v>
      </c>
      <c r="N68" s="1">
        <v>8614</v>
      </c>
      <c r="O68">
        <v>0.33200000000000002</v>
      </c>
      <c r="P68">
        <v>0.47099999999999997</v>
      </c>
      <c r="Q68">
        <v>0</v>
      </c>
      <c r="R68">
        <v>1</v>
      </c>
    </row>
    <row r="69" spans="1:18" x14ac:dyDescent="0.25">
      <c r="A69" t="s">
        <v>72</v>
      </c>
      <c r="B69" s="1">
        <v>23513</v>
      </c>
      <c r="C69">
        <v>0.42499999999999999</v>
      </c>
      <c r="D69">
        <v>0.49399999999999999</v>
      </c>
      <c r="E69">
        <v>0</v>
      </c>
      <c r="F69">
        <v>1</v>
      </c>
      <c r="G69" t="s">
        <v>72</v>
      </c>
      <c r="H69" s="1">
        <v>14899</v>
      </c>
      <c r="I69">
        <v>0.41599999999999998</v>
      </c>
      <c r="J69">
        <v>0.49299999999999999</v>
      </c>
      <c r="K69">
        <v>0</v>
      </c>
      <c r="L69">
        <v>1</v>
      </c>
      <c r="M69" t="s">
        <v>72</v>
      </c>
      <c r="N69" s="1">
        <v>8614</v>
      </c>
      <c r="O69">
        <v>0.443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23513</v>
      </c>
      <c r="C70">
        <v>2.8000000000000001E-2</v>
      </c>
      <c r="D70">
        <v>0.16600000000000001</v>
      </c>
      <c r="E70">
        <v>0</v>
      </c>
      <c r="F70">
        <v>1</v>
      </c>
      <c r="G70" t="s">
        <v>73</v>
      </c>
      <c r="H70" s="1">
        <v>14899</v>
      </c>
      <c r="I70">
        <v>2.7E-2</v>
      </c>
      <c r="J70">
        <v>0.161</v>
      </c>
      <c r="K70">
        <v>0</v>
      </c>
      <c r="L70">
        <v>1</v>
      </c>
      <c r="M70" t="s">
        <v>73</v>
      </c>
      <c r="N70" s="1">
        <v>8614</v>
      </c>
      <c r="O70">
        <v>3.1E-2</v>
      </c>
      <c r="P70">
        <v>0.17399999999999999</v>
      </c>
      <c r="Q70">
        <v>0</v>
      </c>
      <c r="R70">
        <v>1</v>
      </c>
    </row>
    <row r="71" spans="1:18" x14ac:dyDescent="0.25">
      <c r="A71" t="s">
        <v>165</v>
      </c>
      <c r="B71" s="1">
        <v>23513</v>
      </c>
      <c r="C71">
        <v>0.10299999999999999</v>
      </c>
      <c r="D71">
        <v>0.30299999999999999</v>
      </c>
      <c r="E71">
        <v>0</v>
      </c>
      <c r="F71">
        <v>1</v>
      </c>
      <c r="G71" t="s">
        <v>165</v>
      </c>
      <c r="H71" s="1">
        <v>14899</v>
      </c>
      <c r="I71">
        <v>0.10299999999999999</v>
      </c>
      <c r="J71">
        <v>0.30399999999999999</v>
      </c>
      <c r="K71">
        <v>0</v>
      </c>
      <c r="L71">
        <v>1</v>
      </c>
      <c r="M71" t="s">
        <v>165</v>
      </c>
      <c r="N71" s="1">
        <v>8614</v>
      </c>
      <c r="O71">
        <v>0.10199999999999999</v>
      </c>
      <c r="P71">
        <v>0.30299999999999999</v>
      </c>
      <c r="Q71">
        <v>0</v>
      </c>
      <c r="R71">
        <v>1</v>
      </c>
    </row>
    <row r="72" spans="1:18" x14ac:dyDescent="0.25">
      <c r="A72" t="s">
        <v>166</v>
      </c>
      <c r="B72" s="1">
        <v>23513</v>
      </c>
      <c r="C72">
        <v>0.45600000000000002</v>
      </c>
      <c r="D72">
        <v>0.498</v>
      </c>
      <c r="E72">
        <v>0</v>
      </c>
      <c r="F72">
        <v>1</v>
      </c>
      <c r="G72" t="s">
        <v>166</v>
      </c>
      <c r="H72" s="1">
        <v>14899</v>
      </c>
      <c r="I72">
        <v>0.441</v>
      </c>
      <c r="J72">
        <v>0.496</v>
      </c>
      <c r="K72">
        <v>0</v>
      </c>
      <c r="L72">
        <v>1</v>
      </c>
      <c r="M72" t="s">
        <v>166</v>
      </c>
      <c r="N72" s="1">
        <v>8614</v>
      </c>
      <c r="O72">
        <v>0.48099999999999998</v>
      </c>
      <c r="P72">
        <v>0.5</v>
      </c>
      <c r="Q72">
        <v>0</v>
      </c>
      <c r="R72">
        <v>1</v>
      </c>
    </row>
    <row r="73" spans="1:18" x14ac:dyDescent="0.25">
      <c r="A73" t="s">
        <v>167</v>
      </c>
      <c r="B73" s="1">
        <v>23513</v>
      </c>
      <c r="C73">
        <v>0.42399999999999999</v>
      </c>
      <c r="D73">
        <v>0.49399999999999999</v>
      </c>
      <c r="E73">
        <v>0</v>
      </c>
      <c r="F73">
        <v>1</v>
      </c>
      <c r="G73" t="s">
        <v>167</v>
      </c>
      <c r="H73" s="1">
        <v>14899</v>
      </c>
      <c r="I73">
        <v>0.439</v>
      </c>
      <c r="J73">
        <v>0.496</v>
      </c>
      <c r="K73">
        <v>0</v>
      </c>
      <c r="L73">
        <v>1</v>
      </c>
      <c r="M73" t="s">
        <v>167</v>
      </c>
      <c r="N73" s="1">
        <v>8614</v>
      </c>
      <c r="O73">
        <v>0.39700000000000002</v>
      </c>
      <c r="P73">
        <v>0.48899999999999999</v>
      </c>
      <c r="Q73">
        <v>0</v>
      </c>
      <c r="R73">
        <v>1</v>
      </c>
    </row>
    <row r="74" spans="1:18" x14ac:dyDescent="0.25">
      <c r="A74" t="s">
        <v>168</v>
      </c>
      <c r="B74" s="1">
        <v>23513</v>
      </c>
      <c r="C74">
        <v>8.9999999999999993E-3</v>
      </c>
      <c r="D74">
        <v>9.4E-2</v>
      </c>
      <c r="E74">
        <v>0</v>
      </c>
      <c r="F74">
        <v>1</v>
      </c>
      <c r="G74" t="s">
        <v>168</v>
      </c>
      <c r="H74" s="1">
        <v>14899</v>
      </c>
      <c r="I74">
        <v>8.9999999999999993E-3</v>
      </c>
      <c r="J74">
        <v>9.2999999999999999E-2</v>
      </c>
      <c r="K74">
        <v>0</v>
      </c>
      <c r="L74">
        <v>1</v>
      </c>
      <c r="M74" t="s">
        <v>168</v>
      </c>
      <c r="N74" s="1">
        <v>8614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23513</v>
      </c>
      <c r="C75">
        <v>8.0000000000000002E-3</v>
      </c>
      <c r="D75">
        <v>8.8999999999999996E-2</v>
      </c>
      <c r="E75">
        <v>0</v>
      </c>
      <c r="F75">
        <v>1</v>
      </c>
      <c r="G75" t="s">
        <v>169</v>
      </c>
      <c r="H75" s="1">
        <v>14899</v>
      </c>
      <c r="I75">
        <v>8.0000000000000002E-3</v>
      </c>
      <c r="J75">
        <v>8.7999999999999995E-2</v>
      </c>
      <c r="K75">
        <v>0</v>
      </c>
      <c r="L75">
        <v>1</v>
      </c>
      <c r="M75" t="s">
        <v>169</v>
      </c>
      <c r="N75" s="1">
        <v>8614</v>
      </c>
      <c r="O75">
        <v>8.0000000000000002E-3</v>
      </c>
      <c r="P75">
        <v>9.0999999999999998E-2</v>
      </c>
      <c r="Q75">
        <v>0</v>
      </c>
      <c r="R75">
        <v>1</v>
      </c>
    </row>
    <row r="76" spans="1:18" x14ac:dyDescent="0.25">
      <c r="A76" t="s">
        <v>170</v>
      </c>
      <c r="B76" s="1">
        <v>23513</v>
      </c>
      <c r="C76">
        <v>1E-3</v>
      </c>
      <c r="D76">
        <v>3.5000000000000003E-2</v>
      </c>
      <c r="E76">
        <v>0</v>
      </c>
      <c r="F76">
        <v>1</v>
      </c>
      <c r="G76" t="s">
        <v>170</v>
      </c>
      <c r="H76" s="1">
        <v>14899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8614</v>
      </c>
      <c r="O76">
        <v>1E-3</v>
      </c>
      <c r="P76">
        <v>3.6999999999999998E-2</v>
      </c>
      <c r="Q76">
        <v>0</v>
      </c>
      <c r="R76">
        <v>1</v>
      </c>
    </row>
    <row r="77" spans="1:18" x14ac:dyDescent="0.25">
      <c r="A77" t="s">
        <v>79</v>
      </c>
      <c r="B77" s="1">
        <v>23513</v>
      </c>
      <c r="C77">
        <v>0.21199999999999999</v>
      </c>
      <c r="D77">
        <v>0.40899999999999997</v>
      </c>
      <c r="E77">
        <v>0</v>
      </c>
      <c r="F77">
        <v>1</v>
      </c>
      <c r="G77" t="s">
        <v>79</v>
      </c>
      <c r="H77" s="1">
        <v>14899</v>
      </c>
      <c r="I77">
        <v>0.218</v>
      </c>
      <c r="J77">
        <v>0.41299999999999998</v>
      </c>
      <c r="K77">
        <v>0</v>
      </c>
      <c r="L77">
        <v>1</v>
      </c>
      <c r="M77" t="s">
        <v>79</v>
      </c>
      <c r="N77" s="1">
        <v>8614</v>
      </c>
      <c r="O77">
        <v>0.20300000000000001</v>
      </c>
      <c r="P77">
        <v>0.40200000000000002</v>
      </c>
      <c r="Q77">
        <v>0</v>
      </c>
      <c r="R77">
        <v>1</v>
      </c>
    </row>
    <row r="78" spans="1:18" x14ac:dyDescent="0.25">
      <c r="A78" t="s">
        <v>80</v>
      </c>
      <c r="B78" s="1">
        <v>23513</v>
      </c>
      <c r="C78">
        <v>1.0999999999999999E-2</v>
      </c>
      <c r="D78">
        <v>0.104</v>
      </c>
      <c r="E78">
        <v>0</v>
      </c>
      <c r="F78">
        <v>1</v>
      </c>
      <c r="G78" t="s">
        <v>80</v>
      </c>
      <c r="H78" s="1">
        <v>14899</v>
      </c>
      <c r="I78">
        <v>8.9999999999999993E-3</v>
      </c>
      <c r="J78">
        <v>9.6000000000000002E-2</v>
      </c>
      <c r="K78">
        <v>0</v>
      </c>
      <c r="L78">
        <v>1</v>
      </c>
      <c r="M78" t="s">
        <v>80</v>
      </c>
      <c r="N78" s="1">
        <v>8614</v>
      </c>
      <c r="O78">
        <v>1.4E-2</v>
      </c>
      <c r="P78">
        <v>0.11700000000000001</v>
      </c>
      <c r="Q78">
        <v>0</v>
      </c>
      <c r="R78">
        <v>1</v>
      </c>
    </row>
    <row r="79" spans="1:18" x14ac:dyDescent="0.25">
      <c r="A79" t="s">
        <v>81</v>
      </c>
      <c r="B79" s="1">
        <v>23513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14899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8614</v>
      </c>
      <c r="O79">
        <v>1E-3</v>
      </c>
      <c r="P79">
        <v>2.4E-2</v>
      </c>
      <c r="Q79">
        <v>0</v>
      </c>
      <c r="R79">
        <v>1</v>
      </c>
    </row>
    <row r="80" spans="1:18" x14ac:dyDescent="0.25">
      <c r="A80" t="s">
        <v>82</v>
      </c>
      <c r="B80" s="1">
        <v>23513</v>
      </c>
      <c r="C80">
        <v>7.4999999999999997E-2</v>
      </c>
      <c r="D80">
        <v>0.26400000000000001</v>
      </c>
      <c r="E80">
        <v>0</v>
      </c>
      <c r="F80">
        <v>1</v>
      </c>
      <c r="G80" t="s">
        <v>82</v>
      </c>
      <c r="H80" s="1">
        <v>14899</v>
      </c>
      <c r="I80">
        <v>7.3999999999999996E-2</v>
      </c>
      <c r="J80">
        <v>0.26200000000000001</v>
      </c>
      <c r="K80">
        <v>0</v>
      </c>
      <c r="L80">
        <v>1</v>
      </c>
      <c r="M80" t="s">
        <v>82</v>
      </c>
      <c r="N80" s="1">
        <v>8614</v>
      </c>
      <c r="O80">
        <v>7.6999999999999999E-2</v>
      </c>
      <c r="P80">
        <v>0.26600000000000001</v>
      </c>
      <c r="Q80">
        <v>0</v>
      </c>
      <c r="R80">
        <v>1</v>
      </c>
    </row>
    <row r="81" spans="1:18" x14ac:dyDescent="0.25">
      <c r="A81" t="s">
        <v>83</v>
      </c>
      <c r="B81" s="1">
        <v>23513</v>
      </c>
      <c r="C81">
        <v>0.28499999999999998</v>
      </c>
      <c r="D81">
        <v>0.45200000000000001</v>
      </c>
      <c r="E81">
        <v>0</v>
      </c>
      <c r="F81">
        <v>1</v>
      </c>
      <c r="G81" t="s">
        <v>83</v>
      </c>
      <c r="H81" s="1">
        <v>14899</v>
      </c>
      <c r="I81">
        <v>0.29699999999999999</v>
      </c>
      <c r="J81">
        <v>0.45700000000000002</v>
      </c>
      <c r="K81">
        <v>0</v>
      </c>
      <c r="L81">
        <v>1</v>
      </c>
      <c r="M81" t="s">
        <v>83</v>
      </c>
      <c r="N81" s="1">
        <v>8614</v>
      </c>
      <c r="O81">
        <v>0.26500000000000001</v>
      </c>
      <c r="P81">
        <v>0.441</v>
      </c>
      <c r="Q81">
        <v>0</v>
      </c>
      <c r="R81">
        <v>1</v>
      </c>
    </row>
    <row r="82" spans="1:18" x14ac:dyDescent="0.25">
      <c r="A82" t="s">
        <v>84</v>
      </c>
      <c r="B82" s="1">
        <v>23513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14899</v>
      </c>
      <c r="I82">
        <v>7.0000000000000001E-3</v>
      </c>
      <c r="J82">
        <v>8.4000000000000005E-2</v>
      </c>
      <c r="K82">
        <v>0</v>
      </c>
      <c r="L82">
        <v>1</v>
      </c>
      <c r="M82" t="s">
        <v>84</v>
      </c>
      <c r="N82" s="1">
        <v>8614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23513</v>
      </c>
      <c r="C83">
        <v>0.40699999999999997</v>
      </c>
      <c r="D83">
        <v>0.49099999999999999</v>
      </c>
      <c r="E83">
        <v>0</v>
      </c>
      <c r="F83">
        <v>1</v>
      </c>
      <c r="G83" t="s">
        <v>85</v>
      </c>
      <c r="H83" s="1">
        <v>14899</v>
      </c>
      <c r="I83">
        <v>0.39300000000000002</v>
      </c>
      <c r="J83">
        <v>0.48899999999999999</v>
      </c>
      <c r="K83">
        <v>0</v>
      </c>
      <c r="L83">
        <v>1</v>
      </c>
      <c r="M83" t="s">
        <v>85</v>
      </c>
      <c r="N83" s="1">
        <v>8614</v>
      </c>
      <c r="O83">
        <v>0.43099999999999999</v>
      </c>
      <c r="P83">
        <v>0.495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162</v>
      </c>
      <c r="Q84" t="s">
        <v>8</v>
      </c>
      <c r="R84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49C9-FB3B-4E53-8F09-613CE49C1E96}">
  <sheetPr codeName="Sheet9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19906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12459</v>
      </c>
      <c r="I3">
        <v>1.234</v>
      </c>
      <c r="J3">
        <v>0.47299999999999998</v>
      </c>
      <c r="K3">
        <v>1</v>
      </c>
      <c r="L3">
        <v>4</v>
      </c>
      <c r="M3" t="s">
        <v>10</v>
      </c>
      <c r="N3" s="1">
        <v>7447</v>
      </c>
      <c r="O3">
        <v>1.0609999999999999</v>
      </c>
      <c r="P3">
        <v>0.245</v>
      </c>
      <c r="Q3">
        <v>1</v>
      </c>
      <c r="R3">
        <v>3</v>
      </c>
    </row>
    <row r="4" spans="1:18" x14ac:dyDescent="0.25">
      <c r="A4" t="s">
        <v>11</v>
      </c>
      <c r="B4" s="1">
        <v>19906</v>
      </c>
      <c r="C4">
        <v>0.374</v>
      </c>
      <c r="D4">
        <v>0.48399999999999999</v>
      </c>
      <c r="E4">
        <v>0</v>
      </c>
      <c r="F4">
        <v>1</v>
      </c>
      <c r="G4" t="s">
        <v>11</v>
      </c>
      <c r="H4" s="1">
        <v>12459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7447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19906</v>
      </c>
      <c r="C5">
        <v>0.32700000000000001</v>
      </c>
      <c r="D5">
        <v>0.46899999999999997</v>
      </c>
      <c r="E5">
        <v>0</v>
      </c>
      <c r="F5">
        <v>1</v>
      </c>
      <c r="G5" t="s">
        <v>12</v>
      </c>
      <c r="H5" s="1">
        <v>12459</v>
      </c>
      <c r="I5">
        <v>1E-3</v>
      </c>
      <c r="J5">
        <v>3.4000000000000002E-2</v>
      </c>
      <c r="K5">
        <v>0</v>
      </c>
      <c r="L5">
        <v>1</v>
      </c>
      <c r="M5" t="s">
        <v>12</v>
      </c>
      <c r="N5" s="1">
        <v>7447</v>
      </c>
      <c r="O5">
        <v>0.872</v>
      </c>
      <c r="P5">
        <v>0.33400000000000002</v>
      </c>
      <c r="Q5">
        <v>0</v>
      </c>
      <c r="R5">
        <v>1</v>
      </c>
    </row>
    <row r="6" spans="1:18" x14ac:dyDescent="0.25">
      <c r="A6" t="s">
        <v>36</v>
      </c>
      <c r="B6" s="1">
        <v>7447</v>
      </c>
      <c r="C6">
        <v>287.45999999999998</v>
      </c>
      <c r="D6">
        <v>542.76499999999999</v>
      </c>
      <c r="E6">
        <v>0</v>
      </c>
      <c r="F6" s="1">
        <v>4021</v>
      </c>
      <c r="H6" s="1"/>
      <c r="M6" t="s">
        <v>36</v>
      </c>
      <c r="N6" s="1">
        <v>7447</v>
      </c>
      <c r="O6">
        <v>287.45999999999998</v>
      </c>
      <c r="P6">
        <v>542.76499999999999</v>
      </c>
      <c r="Q6">
        <v>0</v>
      </c>
      <c r="R6" s="1">
        <v>4021</v>
      </c>
    </row>
    <row r="7" spans="1:18" x14ac:dyDescent="0.25">
      <c r="A7" t="s">
        <v>13</v>
      </c>
      <c r="B7" s="1">
        <v>19906</v>
      </c>
      <c r="C7">
        <v>2.3879999999999999</v>
      </c>
      <c r="D7">
        <v>0.97899999999999998</v>
      </c>
      <c r="E7">
        <v>0</v>
      </c>
      <c r="F7">
        <v>17</v>
      </c>
      <c r="G7" t="s">
        <v>13</v>
      </c>
      <c r="H7" s="1">
        <v>12459</v>
      </c>
      <c r="I7">
        <v>2.3540000000000001</v>
      </c>
      <c r="J7">
        <v>0.94</v>
      </c>
      <c r="K7">
        <v>0</v>
      </c>
      <c r="L7">
        <v>17</v>
      </c>
      <c r="M7" t="s">
        <v>13</v>
      </c>
      <c r="N7" s="1">
        <v>7447</v>
      </c>
      <c r="O7">
        <v>2.4449999999999998</v>
      </c>
      <c r="P7">
        <v>1.04</v>
      </c>
      <c r="Q7">
        <v>0</v>
      </c>
      <c r="R7">
        <v>14</v>
      </c>
    </row>
    <row r="8" spans="1:18" x14ac:dyDescent="0.25">
      <c r="A8" t="s">
        <v>14</v>
      </c>
      <c r="B8" s="1">
        <v>19906</v>
      </c>
      <c r="C8">
        <v>0.38500000000000001</v>
      </c>
      <c r="D8">
        <v>0.52500000000000002</v>
      </c>
      <c r="E8">
        <v>0</v>
      </c>
      <c r="F8">
        <v>5</v>
      </c>
      <c r="G8" t="s">
        <v>14</v>
      </c>
      <c r="H8" s="1">
        <v>12459</v>
      </c>
      <c r="I8">
        <v>0.39300000000000002</v>
      </c>
      <c r="J8">
        <v>0.52</v>
      </c>
      <c r="K8">
        <v>0</v>
      </c>
      <c r="L8">
        <v>5</v>
      </c>
      <c r="M8" t="s">
        <v>14</v>
      </c>
      <c r="N8" s="1">
        <v>7447</v>
      </c>
      <c r="O8">
        <v>0.371</v>
      </c>
      <c r="P8">
        <v>0.53400000000000003</v>
      </c>
      <c r="Q8">
        <v>0</v>
      </c>
      <c r="R8">
        <v>5</v>
      </c>
    </row>
    <row r="9" spans="1:18" x14ac:dyDescent="0.25">
      <c r="A9" t="s">
        <v>15</v>
      </c>
      <c r="B9" s="1">
        <v>19906</v>
      </c>
      <c r="C9">
        <v>3.802</v>
      </c>
      <c r="D9">
        <v>1.2689999999999999</v>
      </c>
      <c r="E9">
        <v>0</v>
      </c>
      <c r="F9">
        <v>25</v>
      </c>
      <c r="G9" t="s">
        <v>15</v>
      </c>
      <c r="H9" s="1">
        <v>12459</v>
      </c>
      <c r="I9">
        <v>3.7450000000000001</v>
      </c>
      <c r="J9">
        <v>1.2</v>
      </c>
      <c r="K9">
        <v>0</v>
      </c>
      <c r="L9">
        <v>18</v>
      </c>
      <c r="M9" t="s">
        <v>15</v>
      </c>
      <c r="N9" s="1">
        <v>7447</v>
      </c>
      <c r="O9">
        <v>3.8980000000000001</v>
      </c>
      <c r="P9">
        <v>1.3720000000000001</v>
      </c>
      <c r="Q9">
        <v>0</v>
      </c>
      <c r="R9">
        <v>25</v>
      </c>
    </row>
    <row r="10" spans="1:18" x14ac:dyDescent="0.25">
      <c r="A10" t="s">
        <v>16</v>
      </c>
      <c r="B10" s="1">
        <v>19906</v>
      </c>
      <c r="C10">
        <v>44.585000000000001</v>
      </c>
      <c r="D10">
        <v>58.28</v>
      </c>
      <c r="E10">
        <v>0</v>
      </c>
      <c r="F10" s="1">
        <v>1402</v>
      </c>
      <c r="G10" t="s">
        <v>16</v>
      </c>
      <c r="H10" s="1">
        <v>12459</v>
      </c>
      <c r="I10">
        <v>52.39</v>
      </c>
      <c r="J10">
        <v>60.484999999999999</v>
      </c>
      <c r="K10">
        <v>0</v>
      </c>
      <c r="L10" s="1">
        <v>1402</v>
      </c>
      <c r="M10" t="s">
        <v>16</v>
      </c>
      <c r="N10" s="1">
        <v>7447</v>
      </c>
      <c r="O10">
        <v>31.526</v>
      </c>
      <c r="P10">
        <v>51.831000000000003</v>
      </c>
      <c r="Q10">
        <v>0</v>
      </c>
      <c r="R10">
        <v>593</v>
      </c>
    </row>
    <row r="11" spans="1:18" x14ac:dyDescent="0.25">
      <c r="A11" t="s">
        <v>163</v>
      </c>
      <c r="B11" s="1">
        <v>19906</v>
      </c>
      <c r="C11" s="2">
        <v>1875.2239999999999</v>
      </c>
      <c r="D11">
        <v>911.37300000000005</v>
      </c>
      <c r="E11">
        <v>220</v>
      </c>
      <c r="F11" s="1">
        <v>17408</v>
      </c>
      <c r="G11" t="s">
        <v>163</v>
      </c>
      <c r="H11" s="1">
        <v>12459</v>
      </c>
      <c r="I11" s="2">
        <v>1843.125</v>
      </c>
      <c r="J11">
        <v>871.673</v>
      </c>
      <c r="K11">
        <v>420</v>
      </c>
      <c r="L11" s="1">
        <v>17408</v>
      </c>
      <c r="M11" t="s">
        <v>163</v>
      </c>
      <c r="N11" s="1">
        <v>7447</v>
      </c>
      <c r="O11" s="2">
        <v>1928.925</v>
      </c>
      <c r="P11">
        <v>971.875</v>
      </c>
      <c r="Q11">
        <v>220</v>
      </c>
      <c r="R11" s="1">
        <v>16703</v>
      </c>
    </row>
    <row r="12" spans="1:18" x14ac:dyDescent="0.25">
      <c r="A12" t="s">
        <v>17</v>
      </c>
      <c r="B12" s="1">
        <v>19906</v>
      </c>
      <c r="C12">
        <v>331.61500000000001</v>
      </c>
      <c r="D12">
        <v>233.67699999999999</v>
      </c>
      <c r="E12">
        <v>0</v>
      </c>
      <c r="F12" s="1">
        <v>5000</v>
      </c>
      <c r="G12" t="s">
        <v>17</v>
      </c>
      <c r="H12" s="1">
        <v>12459</v>
      </c>
      <c r="I12">
        <v>330.20699999999999</v>
      </c>
      <c r="J12">
        <v>233.03399999999999</v>
      </c>
      <c r="K12">
        <v>0</v>
      </c>
      <c r="L12" s="1">
        <v>5000</v>
      </c>
      <c r="M12" t="s">
        <v>17</v>
      </c>
      <c r="N12" s="1">
        <v>7447</v>
      </c>
      <c r="O12">
        <v>333.97199999999998</v>
      </c>
      <c r="P12">
        <v>234.745</v>
      </c>
      <c r="Q12">
        <v>0</v>
      </c>
      <c r="R12" s="1">
        <v>3200</v>
      </c>
    </row>
    <row r="13" spans="1:18" x14ac:dyDescent="0.25">
      <c r="A13" t="s">
        <v>19</v>
      </c>
      <c r="B13" s="1">
        <v>19906</v>
      </c>
      <c r="C13" s="2">
        <v>1266487</v>
      </c>
      <c r="D13" s="2">
        <v>1040810</v>
      </c>
      <c r="E13" s="2">
        <v>168375.1</v>
      </c>
      <c r="F13" s="2">
        <v>23293838</v>
      </c>
      <c r="G13" t="s">
        <v>19</v>
      </c>
      <c r="H13" s="1">
        <v>12459</v>
      </c>
      <c r="I13" s="2">
        <v>1192123</v>
      </c>
      <c r="J13" s="2">
        <v>964659.6</v>
      </c>
      <c r="K13" s="2">
        <v>168375.1</v>
      </c>
      <c r="L13" s="2">
        <v>23293838</v>
      </c>
      <c r="M13" t="s">
        <v>19</v>
      </c>
      <c r="N13" s="1">
        <v>7447</v>
      </c>
      <c r="O13" s="2">
        <v>1390901</v>
      </c>
      <c r="P13" s="2">
        <v>1146389</v>
      </c>
      <c r="Q13" s="2">
        <v>294931.09999999998</v>
      </c>
      <c r="R13" s="2">
        <v>22166108</v>
      </c>
    </row>
    <row r="14" spans="1:18" x14ac:dyDescent="0.25">
      <c r="A14" t="s">
        <v>20</v>
      </c>
      <c r="B14" s="1">
        <v>19906</v>
      </c>
      <c r="C14" s="2">
        <v>1250026</v>
      </c>
      <c r="D14" s="2">
        <v>961708.6</v>
      </c>
      <c r="E14" s="2">
        <v>180401.9</v>
      </c>
      <c r="F14" s="2">
        <v>22166108</v>
      </c>
      <c r="G14" t="s">
        <v>20</v>
      </c>
      <c r="H14" s="1">
        <v>12459</v>
      </c>
      <c r="I14" s="2">
        <v>1166712</v>
      </c>
      <c r="J14" s="2">
        <v>883541.3</v>
      </c>
      <c r="K14" s="2">
        <v>180401.9</v>
      </c>
      <c r="L14" s="2">
        <v>21058570</v>
      </c>
      <c r="M14" t="s">
        <v>20</v>
      </c>
      <c r="N14" s="1">
        <v>7447</v>
      </c>
      <c r="O14" s="2">
        <v>1389411</v>
      </c>
      <c r="P14" s="2">
        <v>1065499</v>
      </c>
      <c r="Q14" s="2">
        <v>278558</v>
      </c>
      <c r="R14" s="2">
        <v>22166108</v>
      </c>
    </row>
    <row r="15" spans="1:18" x14ac:dyDescent="0.25">
      <c r="A15" t="s">
        <v>190</v>
      </c>
      <c r="B15" s="1">
        <v>19906</v>
      </c>
      <c r="C15" s="2">
        <v>13408.78</v>
      </c>
      <c r="D15" s="2">
        <v>126229.1</v>
      </c>
      <c r="E15" s="2">
        <v>-2010000</v>
      </c>
      <c r="F15" s="2">
        <v>6900000</v>
      </c>
      <c r="G15" t="s">
        <v>190</v>
      </c>
      <c r="H15" s="1">
        <v>12459</v>
      </c>
      <c r="I15" s="2">
        <v>20856.18</v>
      </c>
      <c r="J15" s="2">
        <v>97105.61</v>
      </c>
      <c r="K15" s="1">
        <v>-1850000</v>
      </c>
      <c r="L15" s="1">
        <v>2950000</v>
      </c>
      <c r="M15" t="s">
        <v>190</v>
      </c>
      <c r="N15" s="1">
        <v>7447</v>
      </c>
      <c r="O15">
        <v>949.10299999999995</v>
      </c>
      <c r="P15" s="2">
        <v>163003.9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19906</v>
      </c>
      <c r="C16">
        <v>2.7E-2</v>
      </c>
      <c r="D16">
        <v>0.16300000000000001</v>
      </c>
      <c r="E16">
        <v>0</v>
      </c>
      <c r="F16">
        <v>1</v>
      </c>
      <c r="G16" t="s">
        <v>21</v>
      </c>
      <c r="H16" s="1">
        <v>12459</v>
      </c>
      <c r="I16">
        <v>2.4E-2</v>
      </c>
      <c r="J16">
        <v>0.154</v>
      </c>
      <c r="K16">
        <v>0</v>
      </c>
      <c r="L16">
        <v>1</v>
      </c>
      <c r="M16" t="s">
        <v>21</v>
      </c>
      <c r="N16" s="1">
        <v>7447</v>
      </c>
      <c r="O16">
        <v>3.3000000000000002E-2</v>
      </c>
      <c r="P16">
        <v>0.17799999999999999</v>
      </c>
      <c r="Q16">
        <v>0</v>
      </c>
      <c r="R16">
        <v>1</v>
      </c>
    </row>
    <row r="17" spans="1:18" x14ac:dyDescent="0.25">
      <c r="A17" t="s">
        <v>22</v>
      </c>
      <c r="B17" s="1">
        <v>19906</v>
      </c>
      <c r="C17">
        <v>4.5999999999999999E-2</v>
      </c>
      <c r="D17">
        <v>0.20899999999999999</v>
      </c>
      <c r="E17">
        <v>0</v>
      </c>
      <c r="F17">
        <v>1</v>
      </c>
      <c r="G17" t="s">
        <v>22</v>
      </c>
      <c r="H17" s="1">
        <v>12459</v>
      </c>
      <c r="I17">
        <v>4.3999999999999997E-2</v>
      </c>
      <c r="J17">
        <v>0.20499999999999999</v>
      </c>
      <c r="K17">
        <v>0</v>
      </c>
      <c r="L17">
        <v>1</v>
      </c>
      <c r="M17" t="s">
        <v>22</v>
      </c>
      <c r="N17" s="1">
        <v>7447</v>
      </c>
      <c r="O17">
        <v>4.9000000000000002E-2</v>
      </c>
      <c r="P17">
        <v>0.216</v>
      </c>
      <c r="Q17">
        <v>0</v>
      </c>
      <c r="R17">
        <v>1</v>
      </c>
    </row>
    <row r="18" spans="1:18" x14ac:dyDescent="0.25">
      <c r="A18" t="s">
        <v>23</v>
      </c>
      <c r="B18" s="1">
        <v>19906</v>
      </c>
      <c r="C18">
        <v>8.0000000000000002E-3</v>
      </c>
      <c r="D18">
        <v>9.1999999999999998E-2</v>
      </c>
      <c r="E18">
        <v>0</v>
      </c>
      <c r="F18">
        <v>1</v>
      </c>
      <c r="G18" t="s">
        <v>23</v>
      </c>
      <c r="H18" s="1">
        <v>12459</v>
      </c>
      <c r="I18">
        <v>8.0000000000000002E-3</v>
      </c>
      <c r="J18">
        <v>9.0999999999999998E-2</v>
      </c>
      <c r="K18">
        <v>0</v>
      </c>
      <c r="L18">
        <v>1</v>
      </c>
      <c r="M18" t="s">
        <v>23</v>
      </c>
      <c r="N18" s="1">
        <v>7447</v>
      </c>
      <c r="O18">
        <v>8.9999999999999993E-3</v>
      </c>
      <c r="P18">
        <v>9.1999999999999998E-2</v>
      </c>
      <c r="Q18">
        <v>0</v>
      </c>
      <c r="R18">
        <v>1</v>
      </c>
    </row>
    <row r="19" spans="1:18" x14ac:dyDescent="0.25">
      <c r="A19" t="s">
        <v>24</v>
      </c>
      <c r="B19" s="1">
        <v>19906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12459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7447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19906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12459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7447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19906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12459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7447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19906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12459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7447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19906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12459</v>
      </c>
      <c r="I23">
        <v>0.91800000000000004</v>
      </c>
      <c r="J23">
        <v>0.27500000000000002</v>
      </c>
      <c r="K23">
        <v>0</v>
      </c>
      <c r="L23">
        <v>1</v>
      </c>
      <c r="M23" t="s">
        <v>28</v>
      </c>
      <c r="N23" s="1">
        <v>7447</v>
      </c>
      <c r="O23">
        <v>0.92600000000000005</v>
      </c>
      <c r="P23">
        <v>0.26200000000000001</v>
      </c>
      <c r="Q23">
        <v>0</v>
      </c>
      <c r="R23">
        <v>1</v>
      </c>
    </row>
    <row r="24" spans="1:18" x14ac:dyDescent="0.25">
      <c r="A24" t="s">
        <v>29</v>
      </c>
      <c r="B24" s="1">
        <v>19906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12459</v>
      </c>
      <c r="I24">
        <v>1.9E-2</v>
      </c>
      <c r="J24">
        <v>0.13700000000000001</v>
      </c>
      <c r="K24">
        <v>0</v>
      </c>
      <c r="L24">
        <v>1</v>
      </c>
      <c r="M24" t="s">
        <v>29</v>
      </c>
      <c r="N24" s="1">
        <v>7447</v>
      </c>
      <c r="O24">
        <v>1.9E-2</v>
      </c>
      <c r="P24">
        <v>0.13500000000000001</v>
      </c>
      <c r="Q24">
        <v>0</v>
      </c>
      <c r="R24">
        <v>1</v>
      </c>
    </row>
    <row r="25" spans="1:18" x14ac:dyDescent="0.25">
      <c r="A25" t="s">
        <v>30</v>
      </c>
      <c r="B25" s="1">
        <v>19906</v>
      </c>
      <c r="C25">
        <v>0.04</v>
      </c>
      <c r="D25">
        <v>0.19700000000000001</v>
      </c>
      <c r="E25">
        <v>0</v>
      </c>
      <c r="F25">
        <v>1</v>
      </c>
      <c r="G25" t="s">
        <v>30</v>
      </c>
      <c r="H25" s="1">
        <v>12459</v>
      </c>
      <c r="I25">
        <v>3.4000000000000002E-2</v>
      </c>
      <c r="J25">
        <v>0.182</v>
      </c>
      <c r="K25">
        <v>0</v>
      </c>
      <c r="L25">
        <v>1</v>
      </c>
      <c r="M25" t="s">
        <v>30</v>
      </c>
      <c r="N25" s="1">
        <v>7447</v>
      </c>
      <c r="O25">
        <v>5.0999999999999997E-2</v>
      </c>
      <c r="P25">
        <v>0.22</v>
      </c>
      <c r="Q25">
        <v>0</v>
      </c>
      <c r="R25">
        <v>1</v>
      </c>
    </row>
    <row r="26" spans="1:18" x14ac:dyDescent="0.25">
      <c r="A26" t="s">
        <v>31</v>
      </c>
      <c r="B26" s="1">
        <v>19906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12459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7447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19906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12459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7447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19906</v>
      </c>
      <c r="C28">
        <v>39.515999999999998</v>
      </c>
      <c r="D28">
        <v>23.125</v>
      </c>
      <c r="E28">
        <v>0</v>
      </c>
      <c r="F28">
        <v>123</v>
      </c>
      <c r="G28" t="s">
        <v>33</v>
      </c>
      <c r="H28" s="1">
        <v>12459</v>
      </c>
      <c r="I28">
        <v>36.923999999999999</v>
      </c>
      <c r="J28">
        <v>22.908999999999999</v>
      </c>
      <c r="K28">
        <v>0</v>
      </c>
      <c r="L28">
        <v>112</v>
      </c>
      <c r="M28" t="s">
        <v>33</v>
      </c>
      <c r="N28" s="1">
        <v>7447</v>
      </c>
      <c r="O28">
        <v>43.851999999999997</v>
      </c>
      <c r="P28">
        <v>22.834</v>
      </c>
      <c r="Q28">
        <v>0</v>
      </c>
      <c r="R28">
        <v>123</v>
      </c>
    </row>
    <row r="29" spans="1:18" x14ac:dyDescent="0.25">
      <c r="A29" t="s">
        <v>34</v>
      </c>
      <c r="B29" s="1">
        <v>19906</v>
      </c>
      <c r="C29">
        <v>2.0960000000000001</v>
      </c>
      <c r="D29">
        <v>1.9910000000000001</v>
      </c>
      <c r="E29">
        <v>0</v>
      </c>
      <c r="F29">
        <v>15.129</v>
      </c>
      <c r="G29" t="s">
        <v>34</v>
      </c>
      <c r="H29" s="1">
        <v>12459</v>
      </c>
      <c r="I29">
        <v>1.8879999999999999</v>
      </c>
      <c r="J29">
        <v>1.893</v>
      </c>
      <c r="K29">
        <v>0</v>
      </c>
      <c r="L29">
        <v>12.544</v>
      </c>
      <c r="M29" t="s">
        <v>34</v>
      </c>
      <c r="N29" s="1">
        <v>7447</v>
      </c>
      <c r="O29">
        <v>2.444</v>
      </c>
      <c r="P29">
        <v>2.0990000000000002</v>
      </c>
      <c r="Q29">
        <v>0</v>
      </c>
      <c r="R29">
        <v>15.129</v>
      </c>
    </row>
    <row r="30" spans="1:18" x14ac:dyDescent="0.25">
      <c r="A30" t="s">
        <v>35</v>
      </c>
      <c r="B30" s="1">
        <v>19906</v>
      </c>
      <c r="C30">
        <v>5.3010000000000002</v>
      </c>
      <c r="D30">
        <v>13.151</v>
      </c>
      <c r="E30">
        <v>0</v>
      </c>
      <c r="F30">
        <v>94</v>
      </c>
      <c r="G30" t="s">
        <v>35</v>
      </c>
      <c r="H30" s="1">
        <v>12459</v>
      </c>
      <c r="I30">
        <v>4.7009999999999996</v>
      </c>
      <c r="J30">
        <v>12.288</v>
      </c>
      <c r="K30">
        <v>0</v>
      </c>
      <c r="L30">
        <v>88</v>
      </c>
      <c r="M30" t="s">
        <v>35</v>
      </c>
      <c r="N30" s="1">
        <v>7447</v>
      </c>
      <c r="O30">
        <v>6.3049999999999997</v>
      </c>
      <c r="P30">
        <v>14.425000000000001</v>
      </c>
      <c r="Q30">
        <v>0</v>
      </c>
      <c r="R30">
        <v>94</v>
      </c>
    </row>
    <row r="31" spans="1:18" x14ac:dyDescent="0.25">
      <c r="A31" t="s">
        <v>18</v>
      </c>
      <c r="B31" s="1">
        <v>19906</v>
      </c>
      <c r="C31" s="2">
        <v>2096.3150000000001</v>
      </c>
      <c r="D31" s="2">
        <v>1112.597</v>
      </c>
      <c r="E31">
        <v>220</v>
      </c>
      <c r="F31" s="1">
        <v>23350</v>
      </c>
      <c r="G31" t="s">
        <v>18</v>
      </c>
      <c r="H31" s="1">
        <v>12459</v>
      </c>
      <c r="I31" s="2">
        <v>2054.8180000000002</v>
      </c>
      <c r="J31" s="2">
        <v>1064.2190000000001</v>
      </c>
      <c r="K31">
        <v>455</v>
      </c>
      <c r="L31" s="1">
        <v>23350</v>
      </c>
      <c r="M31" t="s">
        <v>18</v>
      </c>
      <c r="N31" s="1">
        <v>7447</v>
      </c>
      <c r="O31" s="2">
        <v>2165.741</v>
      </c>
      <c r="P31" s="2">
        <v>1185.9739999999999</v>
      </c>
      <c r="Q31">
        <v>220</v>
      </c>
      <c r="R31" s="1">
        <v>18919</v>
      </c>
    </row>
    <row r="32" spans="1:18" x14ac:dyDescent="0.25">
      <c r="A32" t="s">
        <v>37</v>
      </c>
      <c r="B32" s="1">
        <v>19906</v>
      </c>
      <c r="C32">
        <v>0.88800000000000001</v>
      </c>
      <c r="D32">
        <v>3.53</v>
      </c>
      <c r="E32">
        <v>2.1000000000000001E-2</v>
      </c>
      <c r="F32">
        <v>128.91800000000001</v>
      </c>
      <c r="G32" t="s">
        <v>37</v>
      </c>
      <c r="H32" s="1">
        <v>12459</v>
      </c>
      <c r="I32">
        <v>0.95899999999999996</v>
      </c>
      <c r="J32">
        <v>3.5129999999999999</v>
      </c>
      <c r="K32">
        <v>2.1000000000000001E-2</v>
      </c>
      <c r="L32">
        <v>128.91800000000001</v>
      </c>
      <c r="M32" t="s">
        <v>37</v>
      </c>
      <c r="N32" s="1">
        <v>7447</v>
      </c>
      <c r="O32">
        <v>0.77100000000000002</v>
      </c>
      <c r="P32">
        <v>3.5550000000000002</v>
      </c>
      <c r="Q32">
        <v>0.03</v>
      </c>
      <c r="R32">
        <v>103.124</v>
      </c>
    </row>
    <row r="33" spans="1:18" x14ac:dyDescent="0.25">
      <c r="A33" t="s">
        <v>164</v>
      </c>
      <c r="B33" s="1">
        <v>19906</v>
      </c>
      <c r="C33">
        <v>2.528</v>
      </c>
      <c r="D33">
        <v>2.61</v>
      </c>
      <c r="E33">
        <v>0</v>
      </c>
      <c r="F33">
        <v>13.552</v>
      </c>
      <c r="G33" t="s">
        <v>164</v>
      </c>
      <c r="H33" s="1">
        <v>12459</v>
      </c>
      <c r="I33">
        <v>2.5649999999999999</v>
      </c>
      <c r="J33">
        <v>2.6339999999999999</v>
      </c>
      <c r="K33">
        <v>0</v>
      </c>
      <c r="L33">
        <v>13.552</v>
      </c>
      <c r="M33" t="s">
        <v>164</v>
      </c>
      <c r="N33" s="1">
        <v>7447</v>
      </c>
      <c r="O33">
        <v>2.4660000000000002</v>
      </c>
      <c r="P33">
        <v>2.57</v>
      </c>
      <c r="Q33">
        <v>0</v>
      </c>
      <c r="R33">
        <v>13.477</v>
      </c>
    </row>
    <row r="34" spans="1:18" x14ac:dyDescent="0.25">
      <c r="A34" t="s">
        <v>39</v>
      </c>
      <c r="B34" s="1">
        <v>19906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12459</v>
      </c>
      <c r="I34">
        <v>0.53100000000000003</v>
      </c>
      <c r="J34">
        <v>0.32500000000000001</v>
      </c>
      <c r="K34">
        <v>0</v>
      </c>
      <c r="L34">
        <v>3.302</v>
      </c>
      <c r="M34" t="s">
        <v>39</v>
      </c>
      <c r="N34" s="1">
        <v>7447</v>
      </c>
      <c r="O34">
        <v>0.52</v>
      </c>
      <c r="P34">
        <v>0.33800000000000002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19906</v>
      </c>
      <c r="C35">
        <v>5.1509999999999998</v>
      </c>
      <c r="D35">
        <v>4.1840000000000002</v>
      </c>
      <c r="E35">
        <v>0.01</v>
      </c>
      <c r="F35">
        <v>20.997</v>
      </c>
      <c r="G35" t="s">
        <v>40</v>
      </c>
      <c r="H35" s="1">
        <v>12459</v>
      </c>
      <c r="I35">
        <v>5.1950000000000003</v>
      </c>
      <c r="J35">
        <v>4.1689999999999996</v>
      </c>
      <c r="K35">
        <v>0.01</v>
      </c>
      <c r="L35">
        <v>20.997</v>
      </c>
      <c r="M35" t="s">
        <v>40</v>
      </c>
      <c r="N35" s="1">
        <v>7447</v>
      </c>
      <c r="O35">
        <v>5.077</v>
      </c>
      <c r="P35">
        <v>4.2089999999999996</v>
      </c>
      <c r="Q35">
        <v>5.7000000000000002E-2</v>
      </c>
      <c r="R35">
        <v>20.927</v>
      </c>
    </row>
    <row r="36" spans="1:18" x14ac:dyDescent="0.25">
      <c r="A36" t="s">
        <v>41</v>
      </c>
      <c r="B36" s="1">
        <v>19906</v>
      </c>
      <c r="C36">
        <v>10.9</v>
      </c>
      <c r="D36">
        <v>5.5940000000000003</v>
      </c>
      <c r="E36">
        <v>1.274</v>
      </c>
      <c r="F36">
        <v>30.986000000000001</v>
      </c>
      <c r="G36" t="s">
        <v>41</v>
      </c>
      <c r="H36" s="1">
        <v>12459</v>
      </c>
      <c r="I36">
        <v>10.789</v>
      </c>
      <c r="J36">
        <v>5.6050000000000004</v>
      </c>
      <c r="K36">
        <v>1.274</v>
      </c>
      <c r="L36">
        <v>30.003</v>
      </c>
      <c r="M36" t="s">
        <v>41</v>
      </c>
      <c r="N36" s="1">
        <v>7447</v>
      </c>
      <c r="O36">
        <v>11.087</v>
      </c>
      <c r="P36">
        <v>5.57</v>
      </c>
      <c r="Q36">
        <v>1.3220000000000001</v>
      </c>
      <c r="R36">
        <v>30.986000000000001</v>
      </c>
    </row>
    <row r="37" spans="1:18" x14ac:dyDescent="0.25">
      <c r="A37" t="s">
        <v>173</v>
      </c>
      <c r="B37" s="1">
        <v>19906</v>
      </c>
      <c r="C37">
        <v>1.042</v>
      </c>
      <c r="D37">
        <v>0.81</v>
      </c>
      <c r="E37">
        <v>1.6E-2</v>
      </c>
      <c r="F37">
        <v>7.4530000000000003</v>
      </c>
      <c r="G37" t="s">
        <v>173</v>
      </c>
      <c r="H37" s="1">
        <v>12459</v>
      </c>
      <c r="I37">
        <v>1.046</v>
      </c>
      <c r="J37">
        <v>0.79700000000000004</v>
      </c>
      <c r="K37">
        <v>2.5999999999999999E-2</v>
      </c>
      <c r="L37">
        <v>7.14</v>
      </c>
      <c r="M37" t="s">
        <v>173</v>
      </c>
      <c r="N37" s="1">
        <v>7447</v>
      </c>
      <c r="O37">
        <v>1.0349999999999999</v>
      </c>
      <c r="P37">
        <v>0.83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19906</v>
      </c>
      <c r="C38">
        <v>2.4809999999999999</v>
      </c>
      <c r="D38">
        <v>1.8220000000000001</v>
      </c>
      <c r="E38">
        <v>3.6999999999999998E-2</v>
      </c>
      <c r="F38">
        <v>17.684000000000001</v>
      </c>
      <c r="G38" t="s">
        <v>174</v>
      </c>
      <c r="H38" s="1">
        <v>12459</v>
      </c>
      <c r="I38">
        <v>2.4649999999999999</v>
      </c>
      <c r="J38">
        <v>1.796</v>
      </c>
      <c r="K38">
        <v>4.2999999999999997E-2</v>
      </c>
      <c r="L38">
        <v>17.684000000000001</v>
      </c>
      <c r="M38" t="s">
        <v>174</v>
      </c>
      <c r="N38" s="1">
        <v>7447</v>
      </c>
      <c r="O38">
        <v>2.5089999999999999</v>
      </c>
      <c r="P38">
        <v>1.865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19906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12459</v>
      </c>
      <c r="I39">
        <v>2.5510000000000002</v>
      </c>
      <c r="J39">
        <v>1.698</v>
      </c>
      <c r="K39">
        <v>4.8000000000000001E-2</v>
      </c>
      <c r="L39">
        <v>17.684000000000001</v>
      </c>
      <c r="M39" t="s">
        <v>175</v>
      </c>
      <c r="N39" s="1">
        <v>7447</v>
      </c>
      <c r="O39">
        <v>2.597</v>
      </c>
      <c r="P39">
        <v>1.796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19906</v>
      </c>
      <c r="C40">
        <v>0.20799999999999999</v>
      </c>
      <c r="D40">
        <v>0.159</v>
      </c>
      <c r="E40">
        <v>0</v>
      </c>
      <c r="F40">
        <v>0.85</v>
      </c>
      <c r="G40" t="s">
        <v>42</v>
      </c>
      <c r="H40" s="1">
        <v>12459</v>
      </c>
      <c r="I40">
        <v>0.20599999999999999</v>
      </c>
      <c r="J40">
        <v>0.154</v>
      </c>
      <c r="K40">
        <v>0</v>
      </c>
      <c r="L40">
        <v>0.85</v>
      </c>
      <c r="M40" t="s">
        <v>42</v>
      </c>
      <c r="N40" s="1">
        <v>7447</v>
      </c>
      <c r="O40">
        <v>0.21199999999999999</v>
      </c>
      <c r="P40">
        <v>0.16600000000000001</v>
      </c>
      <c r="Q40">
        <v>0</v>
      </c>
      <c r="R40">
        <v>0.85</v>
      </c>
    </row>
    <row r="41" spans="1:18" x14ac:dyDescent="0.25">
      <c r="A41" t="s">
        <v>43</v>
      </c>
      <c r="B41" s="1">
        <v>19906</v>
      </c>
      <c r="C41">
        <v>1.9E-2</v>
      </c>
      <c r="D41">
        <v>3.3000000000000002E-2</v>
      </c>
      <c r="E41">
        <v>0</v>
      </c>
      <c r="F41">
        <v>0.26100000000000001</v>
      </c>
      <c r="G41" t="s">
        <v>43</v>
      </c>
      <c r="H41" s="1">
        <v>12459</v>
      </c>
      <c r="I41">
        <v>0.02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7447</v>
      </c>
      <c r="O41">
        <v>1.6E-2</v>
      </c>
      <c r="P41">
        <v>3.1E-2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19906</v>
      </c>
      <c r="C42">
        <v>0.42199999999999999</v>
      </c>
      <c r="D42">
        <v>0.2</v>
      </c>
      <c r="E42">
        <v>0</v>
      </c>
      <c r="F42">
        <v>0.95699999999999996</v>
      </c>
      <c r="G42" t="s">
        <v>44</v>
      </c>
      <c r="H42" s="1">
        <v>12459</v>
      </c>
      <c r="I42">
        <v>0.42099999999999999</v>
      </c>
      <c r="J42">
        <v>0.19700000000000001</v>
      </c>
      <c r="K42">
        <v>2.0000000000000001E-4</v>
      </c>
      <c r="L42">
        <v>0.95699999999999996</v>
      </c>
      <c r="M42" t="s">
        <v>44</v>
      </c>
      <c r="N42" s="1">
        <v>7447</v>
      </c>
      <c r="O42">
        <v>0.42399999999999999</v>
      </c>
      <c r="P42">
        <v>0.20399999999999999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19906</v>
      </c>
      <c r="C43">
        <v>8.3000000000000004E-2</v>
      </c>
      <c r="D43">
        <v>0.114</v>
      </c>
      <c r="E43">
        <v>0</v>
      </c>
      <c r="F43">
        <v>0.69499999999999995</v>
      </c>
      <c r="G43" t="s">
        <v>45</v>
      </c>
      <c r="H43" s="1">
        <v>12459</v>
      </c>
      <c r="I43">
        <v>8.3000000000000004E-2</v>
      </c>
      <c r="J43">
        <v>0.114</v>
      </c>
      <c r="K43">
        <v>0</v>
      </c>
      <c r="L43">
        <v>0.69499999999999995</v>
      </c>
      <c r="M43" t="s">
        <v>45</v>
      </c>
      <c r="N43" s="1">
        <v>7447</v>
      </c>
      <c r="O43">
        <v>8.2000000000000003E-2</v>
      </c>
      <c r="P43">
        <v>0.115</v>
      </c>
      <c r="Q43">
        <v>0</v>
      </c>
      <c r="R43">
        <v>0.69499999999999995</v>
      </c>
    </row>
    <row r="44" spans="1:18" x14ac:dyDescent="0.25">
      <c r="A44" t="s">
        <v>46</v>
      </c>
      <c r="B44" s="1">
        <v>19906</v>
      </c>
      <c r="C44">
        <v>0.93600000000000005</v>
      </c>
      <c r="D44">
        <v>8.6999999999999994E-2</v>
      </c>
      <c r="E44">
        <v>4.0000000000000002E-4</v>
      </c>
      <c r="F44">
        <v>1</v>
      </c>
      <c r="G44" t="s">
        <v>46</v>
      </c>
      <c r="H44" s="1">
        <v>12459</v>
      </c>
      <c r="I44">
        <v>0.93799999999999994</v>
      </c>
      <c r="J44">
        <v>8.5000000000000006E-2</v>
      </c>
      <c r="K44">
        <v>4.0000000000000002E-4</v>
      </c>
      <c r="L44">
        <v>1</v>
      </c>
      <c r="M44" t="s">
        <v>46</v>
      </c>
      <c r="N44" s="1">
        <v>7447</v>
      </c>
      <c r="O44">
        <v>0.93200000000000005</v>
      </c>
      <c r="P44">
        <v>9.0999999999999998E-2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19906</v>
      </c>
      <c r="C45">
        <v>6.3E-2</v>
      </c>
      <c r="D45">
        <v>8.3000000000000004E-2</v>
      </c>
      <c r="E45">
        <v>0</v>
      </c>
      <c r="F45">
        <v>0.69899999999999995</v>
      </c>
      <c r="G45" t="s">
        <v>47</v>
      </c>
      <c r="H45" s="1">
        <v>12459</v>
      </c>
      <c r="I45">
        <v>0.06</v>
      </c>
      <c r="J45">
        <v>0.08</v>
      </c>
      <c r="K45">
        <v>0</v>
      </c>
      <c r="L45">
        <v>0.69899999999999995</v>
      </c>
      <c r="M45" t="s">
        <v>47</v>
      </c>
      <c r="N45" s="1">
        <v>7447</v>
      </c>
      <c r="O45">
        <v>6.6000000000000003E-2</v>
      </c>
      <c r="P45">
        <v>8.5999999999999993E-2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19906</v>
      </c>
      <c r="C46">
        <v>0.76500000000000001</v>
      </c>
      <c r="D46">
        <v>0.16900000000000001</v>
      </c>
      <c r="E46">
        <v>0</v>
      </c>
      <c r="F46">
        <v>1</v>
      </c>
      <c r="G46" t="s">
        <v>48</v>
      </c>
      <c r="H46" s="1">
        <v>12459</v>
      </c>
      <c r="I46">
        <v>0.76900000000000002</v>
      </c>
      <c r="J46">
        <v>0.16600000000000001</v>
      </c>
      <c r="K46">
        <v>4.0000000000000002E-4</v>
      </c>
      <c r="L46">
        <v>1</v>
      </c>
      <c r="M46" t="s">
        <v>48</v>
      </c>
      <c r="N46" s="1">
        <v>7447</v>
      </c>
      <c r="O46">
        <v>0.75900000000000001</v>
      </c>
      <c r="P46">
        <v>0.17499999999999999</v>
      </c>
      <c r="Q46">
        <v>0</v>
      </c>
      <c r="R46">
        <v>1</v>
      </c>
    </row>
    <row r="47" spans="1:18" x14ac:dyDescent="0.25">
      <c r="A47" t="s">
        <v>49</v>
      </c>
      <c r="B47" s="1">
        <v>19906</v>
      </c>
      <c r="C47">
        <v>0.23300000000000001</v>
      </c>
      <c r="D47">
        <v>0.16800000000000001</v>
      </c>
      <c r="E47">
        <v>0</v>
      </c>
      <c r="F47">
        <v>1</v>
      </c>
      <c r="G47" t="s">
        <v>49</v>
      </c>
      <c r="H47" s="1">
        <v>12459</v>
      </c>
      <c r="I47">
        <v>0.23</v>
      </c>
      <c r="J47">
        <v>0.16400000000000001</v>
      </c>
      <c r="K47">
        <v>0</v>
      </c>
      <c r="L47">
        <v>0.98599999999999999</v>
      </c>
      <c r="M47" t="s">
        <v>49</v>
      </c>
      <c r="N47" s="1">
        <v>7447</v>
      </c>
      <c r="O47">
        <v>0.24</v>
      </c>
      <c r="P47">
        <v>0.17399999999999999</v>
      </c>
      <c r="Q47">
        <v>0</v>
      </c>
      <c r="R47">
        <v>1</v>
      </c>
    </row>
    <row r="48" spans="1:18" x14ac:dyDescent="0.25">
      <c r="A48" t="s">
        <v>50</v>
      </c>
      <c r="B48" s="1">
        <v>19906</v>
      </c>
      <c r="C48">
        <v>23.167000000000002</v>
      </c>
      <c r="D48">
        <v>51.182000000000002</v>
      </c>
      <c r="E48">
        <v>0</v>
      </c>
      <c r="F48">
        <v>667</v>
      </c>
      <c r="G48" t="s">
        <v>50</v>
      </c>
      <c r="H48" s="1">
        <v>12459</v>
      </c>
      <c r="I48">
        <v>24.552</v>
      </c>
      <c r="J48">
        <v>51.036000000000001</v>
      </c>
      <c r="K48">
        <v>0</v>
      </c>
      <c r="L48">
        <v>667</v>
      </c>
      <c r="M48" t="s">
        <v>50</v>
      </c>
      <c r="N48" s="1">
        <v>7447</v>
      </c>
      <c r="O48">
        <v>20.85</v>
      </c>
      <c r="P48">
        <v>51.345999999999997</v>
      </c>
      <c r="Q48">
        <v>0</v>
      </c>
      <c r="R48">
        <v>550</v>
      </c>
    </row>
    <row r="49" spans="1:18" x14ac:dyDescent="0.25">
      <c r="A49" t="s">
        <v>51</v>
      </c>
      <c r="B49" s="1">
        <v>19906</v>
      </c>
      <c r="C49">
        <v>1.7999999999999999E-2</v>
      </c>
      <c r="D49">
        <v>0.13500000000000001</v>
      </c>
      <c r="E49">
        <v>0</v>
      </c>
      <c r="F49">
        <v>1</v>
      </c>
      <c r="G49" t="s">
        <v>51</v>
      </c>
      <c r="H49" s="1">
        <v>12459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7447</v>
      </c>
      <c r="O49">
        <v>4.9000000000000002E-2</v>
      </c>
      <c r="P49">
        <v>0.217</v>
      </c>
      <c r="Q49">
        <v>0</v>
      </c>
      <c r="R49">
        <v>1</v>
      </c>
    </row>
    <row r="50" spans="1:18" x14ac:dyDescent="0.25">
      <c r="A50" t="s">
        <v>52</v>
      </c>
      <c r="B50" s="1">
        <v>19906</v>
      </c>
      <c r="C50">
        <v>0.42599999999999999</v>
      </c>
      <c r="D50">
        <v>0.49399999999999999</v>
      </c>
      <c r="E50">
        <v>0</v>
      </c>
      <c r="F50">
        <v>1</v>
      </c>
      <c r="G50" t="s">
        <v>52</v>
      </c>
      <c r="H50" s="1">
        <v>12459</v>
      </c>
      <c r="I50">
        <v>0.39700000000000002</v>
      </c>
      <c r="J50">
        <v>0.48899999999999999</v>
      </c>
      <c r="K50">
        <v>0</v>
      </c>
      <c r="L50">
        <v>1</v>
      </c>
      <c r="M50" t="s">
        <v>52</v>
      </c>
      <c r="N50" s="1">
        <v>7447</v>
      </c>
      <c r="O50">
        <v>0.47299999999999998</v>
      </c>
      <c r="P50">
        <v>0.499</v>
      </c>
      <c r="Q50">
        <v>0</v>
      </c>
      <c r="R50">
        <v>1</v>
      </c>
    </row>
    <row r="51" spans="1:18" x14ac:dyDescent="0.25">
      <c r="A51" t="s">
        <v>53</v>
      </c>
      <c r="B51" s="1">
        <v>19906</v>
      </c>
      <c r="C51" s="2">
        <v>2363532</v>
      </c>
      <c r="D51" s="2">
        <v>7931.5619999999999</v>
      </c>
      <c r="E51" s="2">
        <v>2350907</v>
      </c>
      <c r="F51" s="2">
        <v>2399920</v>
      </c>
      <c r="G51" t="s">
        <v>53</v>
      </c>
      <c r="H51" s="1">
        <v>12459</v>
      </c>
      <c r="I51" s="2">
        <v>2363476</v>
      </c>
      <c r="J51" s="2">
        <v>7746.3860000000004</v>
      </c>
      <c r="K51" s="2">
        <v>2350907</v>
      </c>
      <c r="L51" s="2">
        <v>2399920</v>
      </c>
      <c r="M51" t="s">
        <v>53</v>
      </c>
      <c r="N51" s="1">
        <v>7447</v>
      </c>
      <c r="O51" s="2">
        <v>2363627</v>
      </c>
      <c r="P51" s="2">
        <v>8231.7139999999999</v>
      </c>
      <c r="Q51" s="2">
        <v>2350948</v>
      </c>
      <c r="R51" s="2">
        <v>2399530</v>
      </c>
    </row>
    <row r="52" spans="1:18" x14ac:dyDescent="0.25">
      <c r="A52" t="s">
        <v>54</v>
      </c>
      <c r="B52" s="1">
        <v>19906</v>
      </c>
      <c r="C52" s="2">
        <v>611466</v>
      </c>
      <c r="D52" s="2">
        <v>14767.2</v>
      </c>
      <c r="E52" s="2">
        <v>579824.19999999995</v>
      </c>
      <c r="F52" s="2">
        <v>638667.69999999995</v>
      </c>
      <c r="G52" t="s">
        <v>54</v>
      </c>
      <c r="H52" s="1">
        <v>12459</v>
      </c>
      <c r="I52" s="2">
        <v>610824.4</v>
      </c>
      <c r="J52" s="2">
        <v>14701.56</v>
      </c>
      <c r="K52" s="2">
        <v>579824.19999999995</v>
      </c>
      <c r="L52" s="2">
        <v>638667.69999999995</v>
      </c>
      <c r="M52" t="s">
        <v>54</v>
      </c>
      <c r="N52" s="1">
        <v>7447</v>
      </c>
      <c r="O52" s="2">
        <v>612539.30000000005</v>
      </c>
      <c r="P52" s="2">
        <v>14815.36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19906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12459</v>
      </c>
      <c r="I53">
        <v>0</v>
      </c>
      <c r="J53">
        <v>0</v>
      </c>
      <c r="K53">
        <v>0</v>
      </c>
      <c r="L53">
        <v>0</v>
      </c>
      <c r="M53" t="s">
        <v>56</v>
      </c>
      <c r="N53" s="1">
        <v>7447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19906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12459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7447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19906</v>
      </c>
      <c r="C55">
        <v>0.45</v>
      </c>
      <c r="D55">
        <v>0.498</v>
      </c>
      <c r="E55">
        <v>0</v>
      </c>
      <c r="F55">
        <v>1</v>
      </c>
      <c r="G55" t="s">
        <v>58</v>
      </c>
      <c r="H55" s="1">
        <v>12459</v>
      </c>
      <c r="I55">
        <v>0.439</v>
      </c>
      <c r="J55">
        <v>0.496</v>
      </c>
      <c r="K55">
        <v>0</v>
      </c>
      <c r="L55">
        <v>1</v>
      </c>
      <c r="M55" t="s">
        <v>58</v>
      </c>
      <c r="N55" s="1">
        <v>7447</v>
      </c>
      <c r="O55">
        <v>0.46899999999999997</v>
      </c>
      <c r="P55">
        <v>0.499</v>
      </c>
      <c r="Q55">
        <v>0</v>
      </c>
      <c r="R55">
        <v>1</v>
      </c>
    </row>
    <row r="56" spans="1:18" x14ac:dyDescent="0.25">
      <c r="A56" t="s">
        <v>59</v>
      </c>
      <c r="B56" s="1">
        <v>19906</v>
      </c>
      <c r="C56">
        <v>0.497</v>
      </c>
      <c r="D56">
        <v>0.5</v>
      </c>
      <c r="E56">
        <v>0</v>
      </c>
      <c r="F56">
        <v>1</v>
      </c>
      <c r="G56" t="s">
        <v>59</v>
      </c>
      <c r="H56" s="1">
        <v>12459</v>
      </c>
      <c r="I56">
        <v>0.51100000000000001</v>
      </c>
      <c r="J56">
        <v>0.5</v>
      </c>
      <c r="K56">
        <v>0</v>
      </c>
      <c r="L56">
        <v>1</v>
      </c>
      <c r="M56" t="s">
        <v>59</v>
      </c>
      <c r="N56" s="1">
        <v>7447</v>
      </c>
      <c r="O56">
        <v>0.47299999999999998</v>
      </c>
      <c r="P56">
        <v>0.499</v>
      </c>
      <c r="Q56">
        <v>0</v>
      </c>
      <c r="R56">
        <v>1</v>
      </c>
    </row>
    <row r="57" spans="1:18" x14ac:dyDescent="0.25">
      <c r="A57" t="s">
        <v>60</v>
      </c>
      <c r="B57" s="1">
        <v>19906</v>
      </c>
      <c r="C57">
        <v>5.2999999999999999E-2</v>
      </c>
      <c r="D57">
        <v>0.223</v>
      </c>
      <c r="E57">
        <v>0</v>
      </c>
      <c r="F57">
        <v>1</v>
      </c>
      <c r="G57" t="s">
        <v>60</v>
      </c>
      <c r="H57" s="1">
        <v>12459</v>
      </c>
      <c r="I57">
        <v>4.9000000000000002E-2</v>
      </c>
      <c r="J57">
        <v>0.217</v>
      </c>
      <c r="K57">
        <v>0</v>
      </c>
      <c r="L57">
        <v>1</v>
      </c>
      <c r="M57" t="s">
        <v>60</v>
      </c>
      <c r="N57" s="1">
        <v>7447</v>
      </c>
      <c r="O57">
        <v>5.8000000000000003E-2</v>
      </c>
      <c r="P57">
        <v>0.23400000000000001</v>
      </c>
      <c r="Q57">
        <v>0</v>
      </c>
      <c r="R57">
        <v>1</v>
      </c>
    </row>
    <row r="58" spans="1:18" x14ac:dyDescent="0.25">
      <c r="A58" t="s">
        <v>61</v>
      </c>
      <c r="B58" s="1">
        <v>19906</v>
      </c>
      <c r="C58" s="2">
        <v>2018.82</v>
      </c>
      <c r="D58">
        <v>2</v>
      </c>
      <c r="E58" s="1">
        <v>2016</v>
      </c>
      <c r="F58" s="1">
        <v>2023</v>
      </c>
      <c r="G58" t="s">
        <v>61</v>
      </c>
      <c r="H58" s="1">
        <v>12459</v>
      </c>
      <c r="I58" s="2">
        <v>2017.5060000000001</v>
      </c>
      <c r="J58">
        <v>1.169</v>
      </c>
      <c r="K58" s="1">
        <v>2016</v>
      </c>
      <c r="L58" s="1">
        <v>2020</v>
      </c>
      <c r="M58" t="s">
        <v>61</v>
      </c>
      <c r="N58" s="1">
        <v>7447</v>
      </c>
      <c r="O58" s="2">
        <v>2021.018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19906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12459</v>
      </c>
      <c r="I59">
        <v>0.872</v>
      </c>
      <c r="J59">
        <v>0.33400000000000002</v>
      </c>
      <c r="K59">
        <v>0</v>
      </c>
      <c r="L59">
        <v>1</v>
      </c>
      <c r="M59" t="s">
        <v>62</v>
      </c>
      <c r="N59" s="1">
        <v>7447</v>
      </c>
      <c r="O59">
        <v>0.89500000000000002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19906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12459</v>
      </c>
      <c r="I60">
        <v>1.7999999999999999E-2</v>
      </c>
      <c r="J60">
        <v>0.13100000000000001</v>
      </c>
      <c r="K60">
        <v>0</v>
      </c>
      <c r="L60">
        <v>1</v>
      </c>
      <c r="M60" t="s">
        <v>63</v>
      </c>
      <c r="N60" s="1">
        <v>7447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19906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12459</v>
      </c>
      <c r="I61">
        <v>2.0000000000000001E-4</v>
      </c>
      <c r="J61">
        <v>1.2999999999999999E-2</v>
      </c>
      <c r="K61">
        <v>0</v>
      </c>
      <c r="L61">
        <v>1</v>
      </c>
      <c r="M61" t="s">
        <v>64</v>
      </c>
      <c r="N61" s="1">
        <v>7447</v>
      </c>
      <c r="O61">
        <v>1E-4</v>
      </c>
      <c r="P61">
        <v>1.2E-2</v>
      </c>
      <c r="Q61">
        <v>0</v>
      </c>
      <c r="R61">
        <v>1</v>
      </c>
    </row>
    <row r="62" spans="1:18" x14ac:dyDescent="0.25">
      <c r="A62" t="s">
        <v>65</v>
      </c>
      <c r="B62" s="1">
        <v>19906</v>
      </c>
      <c r="C62">
        <v>7.0000000000000007E-2</v>
      </c>
      <c r="D62">
        <v>0.255</v>
      </c>
      <c r="E62">
        <v>0</v>
      </c>
      <c r="F62">
        <v>1</v>
      </c>
      <c r="G62" t="s">
        <v>65</v>
      </c>
      <c r="H62" s="1">
        <v>12459</v>
      </c>
      <c r="I62">
        <v>7.9000000000000001E-2</v>
      </c>
      <c r="J62">
        <v>0.26900000000000002</v>
      </c>
      <c r="K62">
        <v>0</v>
      </c>
      <c r="L62">
        <v>1</v>
      </c>
      <c r="M62" t="s">
        <v>65</v>
      </c>
      <c r="N62" s="1">
        <v>7447</v>
      </c>
      <c r="O62">
        <v>5.5E-2</v>
      </c>
      <c r="P62">
        <v>0.22700000000000001</v>
      </c>
      <c r="Q62">
        <v>0</v>
      </c>
      <c r="R62">
        <v>1</v>
      </c>
    </row>
    <row r="63" spans="1:18" x14ac:dyDescent="0.25">
      <c r="A63" t="s">
        <v>66</v>
      </c>
      <c r="B63" s="1">
        <v>19906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12459</v>
      </c>
      <c r="I63">
        <v>1.7999999999999999E-2</v>
      </c>
      <c r="J63">
        <v>0.13100000000000001</v>
      </c>
      <c r="K63">
        <v>0</v>
      </c>
      <c r="L63">
        <v>1</v>
      </c>
      <c r="M63" t="s">
        <v>66</v>
      </c>
      <c r="N63" s="1">
        <v>7447</v>
      </c>
      <c r="O63">
        <v>1.7000000000000001E-2</v>
      </c>
      <c r="P63">
        <v>0.13100000000000001</v>
      </c>
      <c r="Q63">
        <v>0</v>
      </c>
      <c r="R63">
        <v>1</v>
      </c>
    </row>
    <row r="64" spans="1:18" x14ac:dyDescent="0.25">
      <c r="A64" t="s">
        <v>67</v>
      </c>
      <c r="B64" s="1">
        <v>19906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12459</v>
      </c>
      <c r="I64">
        <v>5.0000000000000001E-4</v>
      </c>
      <c r="J64">
        <v>2.1999999999999999E-2</v>
      </c>
      <c r="K64">
        <v>0</v>
      </c>
      <c r="L64">
        <v>1</v>
      </c>
      <c r="M64" t="s">
        <v>67</v>
      </c>
      <c r="N64" s="1">
        <v>7447</v>
      </c>
      <c r="O64">
        <v>1E-3</v>
      </c>
      <c r="P64">
        <v>2.3E-2</v>
      </c>
      <c r="Q64">
        <v>0</v>
      </c>
      <c r="R64">
        <v>1</v>
      </c>
    </row>
    <row r="65" spans="1:18" x14ac:dyDescent="0.25">
      <c r="A65" t="s">
        <v>68</v>
      </c>
      <c r="B65" s="1">
        <v>19906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12459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7447</v>
      </c>
      <c r="O65">
        <v>1.4999999999999999E-2</v>
      </c>
      <c r="P65">
        <v>0.122</v>
      </c>
      <c r="Q65">
        <v>0</v>
      </c>
      <c r="R65">
        <v>1</v>
      </c>
    </row>
    <row r="66" spans="1:18" x14ac:dyDescent="0.25">
      <c r="A66" t="s">
        <v>69</v>
      </c>
      <c r="B66" s="1">
        <v>19906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12459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7447</v>
      </c>
      <c r="O66">
        <v>4.0000000000000002E-4</v>
      </c>
      <c r="P66">
        <v>0.02</v>
      </c>
      <c r="Q66">
        <v>0</v>
      </c>
      <c r="R66">
        <v>1</v>
      </c>
    </row>
    <row r="67" spans="1:18" x14ac:dyDescent="0.25">
      <c r="A67" t="s">
        <v>70</v>
      </c>
      <c r="B67" s="1">
        <v>19906</v>
      </c>
      <c r="C67">
        <v>0.23300000000000001</v>
      </c>
      <c r="D67">
        <v>0.42299999999999999</v>
      </c>
      <c r="E67">
        <v>0</v>
      </c>
      <c r="F67">
        <v>1</v>
      </c>
      <c r="G67" t="s">
        <v>70</v>
      </c>
      <c r="H67" s="1">
        <v>12459</v>
      </c>
      <c r="I67">
        <v>0.219</v>
      </c>
      <c r="J67">
        <v>0.41399999999999998</v>
      </c>
      <c r="K67">
        <v>0</v>
      </c>
      <c r="L67">
        <v>1</v>
      </c>
      <c r="M67" t="s">
        <v>70</v>
      </c>
      <c r="N67" s="1">
        <v>7447</v>
      </c>
      <c r="O67">
        <v>0.25700000000000001</v>
      </c>
      <c r="P67">
        <v>0.437</v>
      </c>
      <c r="Q67">
        <v>0</v>
      </c>
      <c r="R67">
        <v>1</v>
      </c>
    </row>
    <row r="68" spans="1:18" x14ac:dyDescent="0.25">
      <c r="A68" t="s">
        <v>71</v>
      </c>
      <c r="B68" s="1">
        <v>19906</v>
      </c>
      <c r="C68">
        <v>0.28699999999999998</v>
      </c>
      <c r="D68">
        <v>0.45300000000000001</v>
      </c>
      <c r="E68">
        <v>0</v>
      </c>
      <c r="F68">
        <v>1</v>
      </c>
      <c r="G68" t="s">
        <v>71</v>
      </c>
      <c r="H68" s="1">
        <v>12459</v>
      </c>
      <c r="I68">
        <v>0.308</v>
      </c>
      <c r="J68">
        <v>0.46200000000000002</v>
      </c>
      <c r="K68">
        <v>0</v>
      </c>
      <c r="L68">
        <v>1</v>
      </c>
      <c r="M68" t="s">
        <v>71</v>
      </c>
      <c r="N68" s="1">
        <v>7447</v>
      </c>
      <c r="O68">
        <v>0.252</v>
      </c>
      <c r="P68">
        <v>0.434</v>
      </c>
      <c r="Q68">
        <v>0</v>
      </c>
      <c r="R68">
        <v>1</v>
      </c>
    </row>
    <row r="69" spans="1:18" x14ac:dyDescent="0.25">
      <c r="A69" t="s">
        <v>72</v>
      </c>
      <c r="B69" s="1">
        <v>19906</v>
      </c>
      <c r="C69">
        <v>0.39500000000000002</v>
      </c>
      <c r="D69">
        <v>0.48899999999999999</v>
      </c>
      <c r="E69">
        <v>0</v>
      </c>
      <c r="F69">
        <v>1</v>
      </c>
      <c r="G69" t="s">
        <v>72</v>
      </c>
      <c r="H69" s="1">
        <v>12459</v>
      </c>
      <c r="I69">
        <v>0.39200000000000002</v>
      </c>
      <c r="J69">
        <v>0.48799999999999999</v>
      </c>
      <c r="K69">
        <v>0</v>
      </c>
      <c r="L69">
        <v>1</v>
      </c>
      <c r="M69" t="s">
        <v>72</v>
      </c>
      <c r="N69" s="1">
        <v>7447</v>
      </c>
      <c r="O69">
        <v>0.40100000000000002</v>
      </c>
      <c r="P69">
        <v>0.49</v>
      </c>
      <c r="Q69">
        <v>0</v>
      </c>
      <c r="R69">
        <v>1</v>
      </c>
    </row>
    <row r="70" spans="1:18" x14ac:dyDescent="0.25">
      <c r="A70" t="s">
        <v>73</v>
      </c>
      <c r="B70" s="1">
        <v>19906</v>
      </c>
      <c r="C70">
        <v>8.4000000000000005E-2</v>
      </c>
      <c r="D70">
        <v>0.27700000000000002</v>
      </c>
      <c r="E70">
        <v>0</v>
      </c>
      <c r="F70">
        <v>1</v>
      </c>
      <c r="G70" t="s">
        <v>73</v>
      </c>
      <c r="H70" s="1">
        <v>12459</v>
      </c>
      <c r="I70">
        <v>0.08</v>
      </c>
      <c r="J70">
        <v>0.27200000000000002</v>
      </c>
      <c r="K70">
        <v>0</v>
      </c>
      <c r="L70">
        <v>1</v>
      </c>
      <c r="M70" t="s">
        <v>73</v>
      </c>
      <c r="N70" s="1">
        <v>7447</v>
      </c>
      <c r="O70">
        <v>0.09</v>
      </c>
      <c r="P70">
        <v>0.28599999999999998</v>
      </c>
      <c r="Q70">
        <v>0</v>
      </c>
      <c r="R70">
        <v>1</v>
      </c>
    </row>
    <row r="71" spans="1:18" x14ac:dyDescent="0.25">
      <c r="A71" t="s">
        <v>165</v>
      </c>
      <c r="B71" s="1">
        <v>19906</v>
      </c>
      <c r="C71">
        <v>4.0000000000000001E-3</v>
      </c>
      <c r="D71">
        <v>6.6000000000000003E-2</v>
      </c>
      <c r="E71">
        <v>0</v>
      </c>
      <c r="F71">
        <v>1</v>
      </c>
      <c r="G71" t="s">
        <v>165</v>
      </c>
      <c r="H71" s="1">
        <v>12459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7447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19906</v>
      </c>
      <c r="C72">
        <v>3.4000000000000002E-2</v>
      </c>
      <c r="D72">
        <v>0.18099999999999999</v>
      </c>
      <c r="E72">
        <v>0</v>
      </c>
      <c r="F72">
        <v>1</v>
      </c>
      <c r="G72" t="s">
        <v>166</v>
      </c>
      <c r="H72" s="1">
        <v>12459</v>
      </c>
      <c r="I72">
        <v>3.6999999999999998E-2</v>
      </c>
      <c r="J72">
        <v>0.188</v>
      </c>
      <c r="K72">
        <v>0</v>
      </c>
      <c r="L72">
        <v>1</v>
      </c>
      <c r="M72" t="s">
        <v>166</v>
      </c>
      <c r="N72" s="1">
        <v>7447</v>
      </c>
      <c r="O72">
        <v>0.03</v>
      </c>
      <c r="P72">
        <v>0.17</v>
      </c>
      <c r="Q72">
        <v>0</v>
      </c>
      <c r="R72">
        <v>1</v>
      </c>
    </row>
    <row r="73" spans="1:18" x14ac:dyDescent="0.25">
      <c r="A73" t="s">
        <v>167</v>
      </c>
      <c r="B73" s="1">
        <v>19906</v>
      </c>
      <c r="C73">
        <v>0.51500000000000001</v>
      </c>
      <c r="D73">
        <v>0.5</v>
      </c>
      <c r="E73">
        <v>0</v>
      </c>
      <c r="F73">
        <v>1</v>
      </c>
      <c r="G73" t="s">
        <v>167</v>
      </c>
      <c r="H73" s="1">
        <v>12459</v>
      </c>
      <c r="I73">
        <v>0.54200000000000004</v>
      </c>
      <c r="J73">
        <v>0.498</v>
      </c>
      <c r="K73">
        <v>0</v>
      </c>
      <c r="L73">
        <v>1</v>
      </c>
      <c r="M73" t="s">
        <v>167</v>
      </c>
      <c r="N73" s="1">
        <v>7447</v>
      </c>
      <c r="O73">
        <v>0.47099999999999997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19906</v>
      </c>
      <c r="C74">
        <v>0.12</v>
      </c>
      <c r="D74">
        <v>0.32500000000000001</v>
      </c>
      <c r="E74">
        <v>0</v>
      </c>
      <c r="F74">
        <v>1</v>
      </c>
      <c r="G74" t="s">
        <v>168</v>
      </c>
      <c r="H74" s="1">
        <v>12459</v>
      </c>
      <c r="I74">
        <v>0.11700000000000001</v>
      </c>
      <c r="J74">
        <v>0.32100000000000001</v>
      </c>
      <c r="K74">
        <v>0</v>
      </c>
      <c r="L74">
        <v>1</v>
      </c>
      <c r="M74" t="s">
        <v>168</v>
      </c>
      <c r="N74" s="1">
        <v>7447</v>
      </c>
      <c r="O74">
        <v>0.126</v>
      </c>
      <c r="P74">
        <v>0.33200000000000002</v>
      </c>
      <c r="Q74">
        <v>0</v>
      </c>
      <c r="R74">
        <v>1</v>
      </c>
    </row>
    <row r="75" spans="1:18" x14ac:dyDescent="0.25">
      <c r="A75" t="s">
        <v>169</v>
      </c>
      <c r="B75" s="1">
        <v>19906</v>
      </c>
      <c r="C75">
        <v>0.246</v>
      </c>
      <c r="D75">
        <v>0.43099999999999999</v>
      </c>
      <c r="E75">
        <v>0</v>
      </c>
      <c r="F75">
        <v>1</v>
      </c>
      <c r="G75" t="s">
        <v>169</v>
      </c>
      <c r="H75" s="1">
        <v>12459</v>
      </c>
      <c r="I75">
        <v>0.23200000000000001</v>
      </c>
      <c r="J75">
        <v>0.42199999999999999</v>
      </c>
      <c r="K75">
        <v>0</v>
      </c>
      <c r="L75">
        <v>1</v>
      </c>
      <c r="M75" t="s">
        <v>169</v>
      </c>
      <c r="N75" s="1">
        <v>7447</v>
      </c>
      <c r="O75">
        <v>0.27</v>
      </c>
      <c r="P75">
        <v>0.44400000000000001</v>
      </c>
      <c r="Q75">
        <v>0</v>
      </c>
      <c r="R75">
        <v>1</v>
      </c>
    </row>
    <row r="76" spans="1:18" x14ac:dyDescent="0.25">
      <c r="A76" t="s">
        <v>170</v>
      </c>
      <c r="B76" s="1">
        <v>19906</v>
      </c>
      <c r="C76">
        <v>0.08</v>
      </c>
      <c r="D76">
        <v>0.27100000000000002</v>
      </c>
      <c r="E76">
        <v>0</v>
      </c>
      <c r="F76">
        <v>1</v>
      </c>
      <c r="G76" t="s">
        <v>170</v>
      </c>
      <c r="H76" s="1">
        <v>12459</v>
      </c>
      <c r="I76">
        <v>6.9000000000000006E-2</v>
      </c>
      <c r="J76">
        <v>0.253</v>
      </c>
      <c r="K76">
        <v>0</v>
      </c>
      <c r="L76">
        <v>1</v>
      </c>
      <c r="M76" t="s">
        <v>170</v>
      </c>
      <c r="N76" s="1">
        <v>7447</v>
      </c>
      <c r="O76">
        <v>9.9000000000000005E-2</v>
      </c>
      <c r="P76">
        <v>0.29899999999999999</v>
      </c>
      <c r="Q76">
        <v>0</v>
      </c>
      <c r="R76">
        <v>1</v>
      </c>
    </row>
    <row r="77" spans="1:18" x14ac:dyDescent="0.25">
      <c r="A77" t="s">
        <v>79</v>
      </c>
      <c r="B77" s="1">
        <v>19906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12459</v>
      </c>
      <c r="I77">
        <v>0.03</v>
      </c>
      <c r="J77">
        <v>0.17199999999999999</v>
      </c>
      <c r="K77">
        <v>0</v>
      </c>
      <c r="L77">
        <v>1</v>
      </c>
      <c r="M77" t="s">
        <v>79</v>
      </c>
      <c r="N77" s="1">
        <v>7447</v>
      </c>
      <c r="O77">
        <v>3.5999999999999997E-2</v>
      </c>
      <c r="P77">
        <v>0.187</v>
      </c>
      <c r="Q77">
        <v>0</v>
      </c>
      <c r="R77">
        <v>1</v>
      </c>
    </row>
    <row r="78" spans="1:18" x14ac:dyDescent="0.25">
      <c r="A78" t="s">
        <v>80</v>
      </c>
      <c r="B78" s="1">
        <v>19906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12459</v>
      </c>
      <c r="I78">
        <v>5.0000000000000001E-4</v>
      </c>
      <c r="J78">
        <v>2.1999999999999999E-2</v>
      </c>
      <c r="K78">
        <v>0</v>
      </c>
      <c r="L78">
        <v>1</v>
      </c>
      <c r="M78" t="s">
        <v>80</v>
      </c>
      <c r="N78" s="1">
        <v>7447</v>
      </c>
      <c r="O78">
        <v>1E-4</v>
      </c>
      <c r="P78">
        <v>1.2E-2</v>
      </c>
      <c r="Q78">
        <v>0</v>
      </c>
      <c r="R78">
        <v>1</v>
      </c>
    </row>
    <row r="79" spans="1:18" x14ac:dyDescent="0.25">
      <c r="A79" t="s">
        <v>81</v>
      </c>
      <c r="B79" s="1">
        <v>19906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12459</v>
      </c>
      <c r="I79">
        <v>3.0000000000000001E-3</v>
      </c>
      <c r="J79">
        <v>5.8000000000000003E-2</v>
      </c>
      <c r="K79">
        <v>0</v>
      </c>
      <c r="L79">
        <v>1</v>
      </c>
      <c r="M79" t="s">
        <v>81</v>
      </c>
      <c r="N79" s="1">
        <v>7447</v>
      </c>
      <c r="O79">
        <v>3.0000000000000001E-3</v>
      </c>
      <c r="P79">
        <v>5.2999999999999999E-2</v>
      </c>
      <c r="Q79">
        <v>0</v>
      </c>
      <c r="R79">
        <v>1</v>
      </c>
    </row>
    <row r="80" spans="1:18" x14ac:dyDescent="0.25">
      <c r="A80" t="s">
        <v>82</v>
      </c>
      <c r="B80" s="1">
        <v>19906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12459</v>
      </c>
      <c r="I80">
        <v>4.0000000000000001E-3</v>
      </c>
      <c r="J80">
        <v>6.3E-2</v>
      </c>
      <c r="K80">
        <v>0</v>
      </c>
      <c r="L80">
        <v>1</v>
      </c>
      <c r="M80" t="s">
        <v>82</v>
      </c>
      <c r="N80" s="1">
        <v>7447</v>
      </c>
      <c r="O80">
        <v>4.0000000000000001E-3</v>
      </c>
      <c r="P80">
        <v>6.2E-2</v>
      </c>
      <c r="Q80">
        <v>0</v>
      </c>
      <c r="R80">
        <v>1</v>
      </c>
    </row>
    <row r="81" spans="1:18" x14ac:dyDescent="0.25">
      <c r="A81" t="s">
        <v>83</v>
      </c>
      <c r="B81" s="1">
        <v>19906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12459</v>
      </c>
      <c r="I81">
        <v>0.55900000000000005</v>
      </c>
      <c r="J81">
        <v>0.496</v>
      </c>
      <c r="K81">
        <v>0</v>
      </c>
      <c r="L81">
        <v>1</v>
      </c>
      <c r="M81" t="s">
        <v>83</v>
      </c>
      <c r="N81" s="1">
        <v>7447</v>
      </c>
      <c r="O81">
        <v>0.502</v>
      </c>
      <c r="P81">
        <v>0.5</v>
      </c>
      <c r="Q81">
        <v>0</v>
      </c>
      <c r="R81">
        <v>1</v>
      </c>
    </row>
    <row r="82" spans="1:18" x14ac:dyDescent="0.25">
      <c r="A82" t="s">
        <v>84</v>
      </c>
      <c r="B82" s="1">
        <v>19906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12459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7447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19906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12459</v>
      </c>
      <c r="I83">
        <v>0.39600000000000002</v>
      </c>
      <c r="J83">
        <v>0.48899999999999999</v>
      </c>
      <c r="K83">
        <v>0</v>
      </c>
      <c r="L83">
        <v>1</v>
      </c>
      <c r="M83" t="s">
        <v>85</v>
      </c>
      <c r="N83" s="1">
        <v>7447</v>
      </c>
      <c r="O83">
        <v>0.44500000000000001</v>
      </c>
      <c r="P83">
        <v>0.497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A770-7EE7-416B-B796-64D8C5745098}">
  <sheetPr codeName="Sheet10">
    <pageSetUpPr fitToPage="1"/>
  </sheetPr>
  <dimension ref="A1:AN92"/>
  <sheetViews>
    <sheetView topLeftCell="C1" workbookViewId="0">
      <selection activeCell="AN8" sqref="AN8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2.7109375" style="3" customWidth="1"/>
    <col min="5" max="5" width="11.7109375" style="3" hidden="1" customWidth="1"/>
    <col min="6" max="6" width="12.7109375" style="3" hidden="1" customWidth="1"/>
    <col min="7" max="8" width="8.7109375" style="3" hidden="1" customWidth="1"/>
    <col min="9" max="9" width="11.7109375" style="3" hidden="1" customWidth="1"/>
    <col min="10" max="10" width="12.7109375" style="3" hidden="1" customWidth="1"/>
    <col min="11" max="12" width="8.7109375" style="3" hidden="1" customWidth="1"/>
    <col min="13" max="13" width="11.7109375" style="3" hidden="1" customWidth="1"/>
    <col min="14" max="14" width="12.7109375" style="3" hidden="1" customWidth="1"/>
    <col min="15" max="16" width="12.7109375" customWidth="1"/>
    <col min="17" max="17" width="11.7109375" hidden="1" customWidth="1"/>
    <col min="18" max="18" width="12.7109375" hidden="1" customWidth="1"/>
    <col min="19" max="20" width="8.7109375" hidden="1" customWidth="1"/>
    <col min="21" max="21" width="11.7109375" hidden="1" customWidth="1"/>
    <col min="22" max="22" width="12.7109375" hidden="1" customWidth="1"/>
    <col min="23" max="24" width="8.7109375" hidden="1" customWidth="1"/>
    <col min="25" max="25" width="11.7109375" hidden="1" customWidth="1"/>
    <col min="26" max="26" width="12.7109375" hidden="1" customWidth="1"/>
    <col min="27" max="28" width="12.7109375" customWidth="1"/>
    <col min="29" max="29" width="12.42578125" hidden="1" customWidth="1"/>
    <col min="30" max="30" width="12.7109375" hidden="1" customWidth="1"/>
    <col min="31" max="32" width="8.7109375" hidden="1" customWidth="1"/>
    <col min="33" max="33" width="12.42578125" hidden="1" customWidth="1"/>
    <col min="34" max="34" width="12.7109375" hidden="1" customWidth="1"/>
    <col min="35" max="36" width="8.7109375" hidden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6" t="s">
        <v>188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</row>
    <row r="3" spans="1:40" ht="23.25" x14ac:dyDescent="0.35">
      <c r="A3" s="37" t="s">
        <v>352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</row>
    <row r="4" spans="1:40" ht="29.25" customHeight="1" x14ac:dyDescent="0.25">
      <c r="C4" s="30" t="s">
        <v>92</v>
      </c>
      <c r="D4" s="31"/>
      <c r="E4" s="31"/>
      <c r="F4" s="31"/>
      <c r="G4" s="31"/>
      <c r="H4" s="31"/>
      <c r="I4" s="31"/>
      <c r="J4" s="31"/>
      <c r="K4" s="31"/>
      <c r="L4" s="31"/>
      <c r="M4" s="21"/>
      <c r="N4" s="22"/>
      <c r="O4" s="30" t="s">
        <v>347</v>
      </c>
      <c r="P4" s="31"/>
      <c r="Q4" s="31"/>
      <c r="R4" s="31"/>
      <c r="S4" s="31"/>
      <c r="T4" s="31"/>
      <c r="U4" s="31"/>
      <c r="V4" s="31"/>
      <c r="W4" s="31"/>
      <c r="X4" s="31"/>
      <c r="Y4" s="24"/>
      <c r="Z4" s="24"/>
      <c r="AA4" s="30" t="s">
        <v>348</v>
      </c>
      <c r="AB4" s="31"/>
      <c r="AC4" s="31"/>
      <c r="AD4" s="31"/>
      <c r="AE4" s="31"/>
      <c r="AF4" s="31"/>
      <c r="AG4" s="31"/>
      <c r="AH4" s="31"/>
      <c r="AI4" s="31"/>
      <c r="AJ4" s="31"/>
    </row>
    <row r="5" spans="1:40" x14ac:dyDescent="0.25">
      <c r="A5" s="5"/>
      <c r="B5" s="5"/>
      <c r="C5" s="30" t="s">
        <v>92</v>
      </c>
      <c r="D5" s="31"/>
      <c r="E5" s="31"/>
      <c r="F5" s="31"/>
      <c r="G5" s="32" t="s">
        <v>345</v>
      </c>
      <c r="H5" s="33"/>
      <c r="I5" s="33"/>
      <c r="J5" s="34"/>
      <c r="K5" s="30" t="s">
        <v>346</v>
      </c>
      <c r="L5" s="31"/>
      <c r="M5" s="31"/>
      <c r="N5" s="35"/>
      <c r="O5" s="30" t="s">
        <v>92</v>
      </c>
      <c r="P5" s="31"/>
      <c r="Q5" s="31"/>
      <c r="R5" s="31"/>
      <c r="S5" s="32" t="s">
        <v>345</v>
      </c>
      <c r="T5" s="33"/>
      <c r="U5" s="33"/>
      <c r="V5" s="34"/>
      <c r="W5" s="30" t="s">
        <v>346</v>
      </c>
      <c r="X5" s="31"/>
      <c r="Y5" s="31"/>
      <c r="Z5" s="35"/>
      <c r="AA5" s="30" t="s">
        <v>92</v>
      </c>
      <c r="AB5" s="31"/>
      <c r="AC5" s="31"/>
      <c r="AD5" s="31"/>
      <c r="AE5" s="32" t="s">
        <v>345</v>
      </c>
      <c r="AF5" s="33"/>
      <c r="AG5" s="33"/>
      <c r="AH5" s="34"/>
      <c r="AI5" s="30" t="s">
        <v>346</v>
      </c>
      <c r="AJ5" s="31"/>
      <c r="AK5" s="31"/>
      <c r="AL5" s="35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343</v>
      </c>
      <c r="C7" s="9" t="str">
        <f>FIXED(VLOOKUP($A7,'Full Sample-No Sub'!$A:$R,C$1,0)/100000,2)</f>
        <v>9.32</v>
      </c>
      <c r="D7" s="3" t="str">
        <f>FIXED(VLOOKUP($A7,'Full Sample-No Sub'!$A:$R,D$1,0)/100000,2)</f>
        <v>8.29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8.94</v>
      </c>
      <c r="H7" s="3" t="str">
        <f>FIXED(VLOOKUP($A7,'Full Sample-No Sub'!$A:$R,H$1,0)/100000,2)</f>
        <v>7.93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9.85</v>
      </c>
      <c r="L7" s="3" t="str">
        <f>FIXED(VLOOKUP($A7,'Full Sample-No Sub'!$A:$R,L$1,0)/100000,2)</f>
        <v>8.74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6.66</v>
      </c>
      <c r="P7" s="3" t="str">
        <f>FIXED(VLOOKUP($A7,'Full Sample-Townhouse'!$A:$R,P$1,0)/100000,2)</f>
        <v>5.84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6.70</v>
      </c>
      <c r="T7" s="3" t="str">
        <f>FIXED(VLOOKUP($A7,'Full Sample-Townhouse'!$A:$R,T$1,0)/100000,2)</f>
        <v>6.10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6.60</v>
      </c>
      <c r="X7" s="3" t="str">
        <f>FIXED(VLOOKUP($A7,'Full Sample-Townhouse'!$A:$R,X$1,0)/100000,2)</f>
        <v>5.46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12.53</v>
      </c>
      <c r="AB7" s="3" t="str">
        <f>FIXED(VLOOKUP($A7,'Full Sample-Single Family'!$A:$R,AB$1,0)/100000,2)</f>
        <v>9.58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8.99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10.22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AA7*0.039*100000</f>
        <v>48867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0.57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1.30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1.29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0.42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0.37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44.20</v>
      </c>
      <c r="D11" s="3" t="str">
        <f>FIXED(VLOOKUP($A11,'Full Sample-No Sub'!$A:$R,D$1,0),2)</f>
        <v>58.81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50.78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57.27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45.78</v>
      </c>
      <c r="P11" s="3" t="str">
        <f>FIXED(VLOOKUP($A11,'Full Sample-Townhouse'!$A:$R,P$1,0),2)</f>
        <v>60.60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50.12</v>
      </c>
      <c r="T11" s="3" t="str">
        <f>FIXED(VLOOKUP($A11,'Full Sample-Townhouse'!$A:$R,T$1,0),2)</f>
        <v>58.35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39.79</v>
      </c>
      <c r="X11" s="3" t="str">
        <f>FIXED(VLOOKUP($A11,'Full Sample-Townhouse'!$A:$R,X$1,0),2)</f>
        <v>63.08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42.31</v>
      </c>
      <c r="AB11" s="3" t="str">
        <f>FIXED(VLOOKUP($A11,'Full Sample-Single Family'!$A:$R,AB$1,0),2)</f>
        <v>56.51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51.58</v>
      </c>
      <c r="AF11" s="3" t="str">
        <f>FIXED(VLOOKUP($A11,'Full Sample-Single Family'!$A:$R,AF$1,0),2)</f>
        <v>59.84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29.63</v>
      </c>
      <c r="AJ11" s="3" t="str">
        <f>FIXED(VLOOKUP($A11,'Full Sample-Single Family'!$A:$R,AJ$1,0),2)</f>
        <v>48.86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1.51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0.56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0.98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2.71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2.69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1.31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0.27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0.21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0.53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0.52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0.21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344</v>
      </c>
      <c r="C18" s="9" t="str">
        <f>FIXED(VLOOKUP($A18,'Full Sample-No Sub'!$A:$R,C$1,0),2)</f>
        <v>1,472.42</v>
      </c>
      <c r="D18" s="3" t="str">
        <f>FIXED(VLOOKUP($A18,'Full Sample-No Sub'!$A:$R,D$1,0),2)</f>
        <v>980.20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1,457.67</v>
      </c>
      <c r="H18" s="3" t="str">
        <f>FIXED(VLOOKUP($A18,'Full Sample-No Sub'!$A:$R,H$1,0),2)</f>
        <v>947.47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1,492.68</v>
      </c>
      <c r="L18" s="3" t="str">
        <f>FIXED(VLOOKUP($A18,'Full Sample-No Sub'!$A:$R,L$1,0),2)</f>
        <v>1,023.13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966.29</v>
      </c>
      <c r="P18" s="3" t="str">
        <f>FIXED(VLOOKUP($A18,'Full Sample-Townhouse'!$A:$R,P$1,0),2)</f>
        <v>439.74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970.93</v>
      </c>
      <c r="T18" s="3" t="str">
        <f>FIXED(VLOOKUP($A18,'Full Sample-Townhouse'!$A:$R,T$1,0),2)</f>
        <v>438.71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959.90</v>
      </c>
      <c r="X18" s="3" t="str">
        <f>FIXED(VLOOKUP($A18,'Full Sample-Townhouse'!$A:$R,X$1,0),2)</f>
        <v>441.09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2,082.08</v>
      </c>
      <c r="AB18" s="3" t="str">
        <f>FIXED(VLOOKUP($A18,'Full Sample-Single Family'!$A:$R,AB$1,0),2)</f>
        <v>1,097.71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2,046.12</v>
      </c>
      <c r="AF18" s="3" t="str">
        <f>FIXED(VLOOKUP($A18,'Full Sample-Single Family'!$A:$R,AF$1,0),2)</f>
        <v>1,057.17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2,131.24</v>
      </c>
      <c r="AJ18" s="3" t="str">
        <f>FIXED(VLOOKUP($A18,'Full Sample-Single Family'!$A:$R,AJ$1,0),2)</f>
        <v>1,149.04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36.71</v>
      </c>
      <c r="D19" s="3" t="str">
        <f>FIXED(VLOOKUP($A19,'Full Sample-No Sub'!$A:$R,D$1,0),2)</f>
        <v>19.79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34.92</v>
      </c>
      <c r="H19" s="3" t="str">
        <f>FIXED(VLOOKUP($A19,'Full Sample-No Sub'!$A:$R,H$1,0),2)</f>
        <v>19.53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39.16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35.02</v>
      </c>
      <c r="P19" s="3" t="str">
        <f>FIXED(VLOOKUP($A19,'Full Sample-Townhouse'!$A:$R,P$1,0),2)</f>
        <v>16.28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33.54</v>
      </c>
      <c r="T19" s="3" t="str">
        <f>FIXED(VLOOKUP($A19,'Full Sample-Townhouse'!$A:$R,T$1,0),2)</f>
        <v>16.10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37.07</v>
      </c>
      <c r="X19" s="3" t="str">
        <f>FIXED(VLOOKUP($A19,'Full Sample-Townhouse'!$A:$R,X$1,0),2)</f>
        <v>16.31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38.74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36.60</v>
      </c>
      <c r="AF19" s="3" t="str">
        <f>FIXED(VLOOKUP($A19,'Full Sample-Single Family'!$A:$R,AF$1,0),2)</f>
        <v>22.89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41.66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1.74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1.60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1.49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1.38</v>
      </c>
      <c r="T20" s="3" t="str">
        <f>FIXED(VLOOKUP($A20,'Full Sample-Townhouse'!$A:$R,T$1,0),2)</f>
        <v>0.97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1.06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71</v>
      </c>
      <c r="B22" s="4" t="s">
        <v>147</v>
      </c>
      <c r="C22" s="9" t="str">
        <f>FIXED(VLOOKUP($A22,'Full Sample-No Sub'!$A:$R,C$1,0),2)</f>
        <v>0.34</v>
      </c>
      <c r="D22" s="3" t="str">
        <f>FIXED(VLOOKUP($A22,'Full Sample-No Sub'!$A:$R,D$1,0),2)</f>
        <v>0.47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0.36</v>
      </c>
      <c r="H22" s="3" t="str">
        <f>FIXED(VLOOKUP($A22,'Full Sample-No Sub'!$A:$R,H$1,0),2)</f>
        <v>0.48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0.31</v>
      </c>
      <c r="L22" s="3" t="str">
        <f>FIXED(VLOOKUP($A22,'Full Sample-No Sub'!$A:$R,L$1,0),2)</f>
        <v>0.46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0.37</v>
      </c>
      <c r="P22" s="3" t="str">
        <f>FIXED(VLOOKUP($A22,'Full Sample-Townhouse'!$A:$R,P$1,0),2)</f>
        <v>0.48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0.39</v>
      </c>
      <c r="T22" s="3" t="str">
        <f>FIXED(VLOOKUP($A22,'Full Sample-Townhouse'!$A:$R,T$1,0),2)</f>
        <v>0.49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0.34</v>
      </c>
      <c r="X22" s="3" t="str">
        <f>FIXED(VLOOKUP($A22,'Full Sample-Townhouse'!$A:$R,X$1,0),2)</f>
        <v>0.47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0.30</v>
      </c>
      <c r="AB22" s="3" t="str">
        <f>FIXED(VLOOKUP($A22,'Full Sample-Single Family'!$A:$R,AB$1,0),2)</f>
        <v>0.46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0.32</v>
      </c>
      <c r="AF22" s="3" t="str">
        <f>FIXED(VLOOKUP($A22,'Full Sample-Single Family'!$A:$R,AF$1,0),2)</f>
        <v>0.47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0.28</v>
      </c>
      <c r="AJ22" s="3" t="str">
        <f>FIXED(VLOOKUP($A22,'Full Sample-Single Family'!$A:$R,AJ$1,0),2)</f>
        <v>0.45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72</v>
      </c>
      <c r="B23" s="4" t="s">
        <v>148</v>
      </c>
      <c r="C23" s="9" t="str">
        <f>FIXED(VLOOKUP($A23,'Full Sample-No Sub'!$A:$R,C$1,0),2)</f>
        <v>0.42</v>
      </c>
      <c r="D23" s="3" t="str">
        <f>FIXED(VLOOKUP($A23,'Full Sample-No Sub'!$A:$R,D$1,0),2)</f>
        <v>0.49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0.41</v>
      </c>
      <c r="H23" s="3" t="str">
        <f>FIXED(VLOOKUP($A23,'Full Sample-No Sub'!$A:$R,H$1,0),2)</f>
        <v>0.49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0.45</v>
      </c>
      <c r="L23" s="3" t="str">
        <f>FIXED(VLOOKUP($A23,'Full Sample-No Sub'!$A:$R,L$1,0),2)</f>
        <v>0.50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0.44</v>
      </c>
      <c r="P23" s="3" t="str">
        <f>FIXED(VLOOKUP($A23,'Full Sample-Townhouse'!$A:$R,P$1,0),2)</f>
        <v>0.50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0.42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0.46</v>
      </c>
      <c r="X23" s="3" t="str">
        <f>FIXED(VLOOKUP($A23,'Full Sample-Townhouse'!$A:$R,X$1,0),2)</f>
        <v>0.50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0.41</v>
      </c>
      <c r="AB23" s="3" t="str">
        <f>FIXED(VLOOKUP($A23,'Full Sample-Single Family'!$A:$R,AB$1,0),2)</f>
        <v>0.49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0.40</v>
      </c>
      <c r="AF23" s="3" t="str">
        <f>FIXED(VLOOKUP($A23,'Full Sample-Single Family'!$A:$R,AF$1,0),2)</f>
        <v>0.49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0.43</v>
      </c>
      <c r="AJ23" s="3" t="str">
        <f>FIXED(VLOOKUP($A23,'Full Sample-Single Family'!$A:$R,AJ$1,0),2)</f>
        <v>0.50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70</v>
      </c>
      <c r="B24" s="4" t="s">
        <v>146</v>
      </c>
      <c r="C24" s="9" t="str">
        <f>FIXED(VLOOKUP($A24,'Full Sample-No Sub'!$A:$R,C$1,0),2)</f>
        <v>0.19</v>
      </c>
      <c r="D24" s="3" t="str">
        <f>FIXED(VLOOKUP($A24,'Full Sample-No Sub'!$A:$R,D$1,0),2)</f>
        <v>0.39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0.19</v>
      </c>
      <c r="H24" s="3" t="str">
        <f>FIXED(VLOOKUP($A24,'Full Sample-No Sub'!$A:$R,H$1,0),2)</f>
        <v>0.39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0.20</v>
      </c>
      <c r="L24" s="3" t="str">
        <f>FIXED(VLOOKUP($A24,'Full Sample-No Sub'!$A:$R,L$1,0),2)</f>
        <v>0.40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0.17</v>
      </c>
      <c r="P24" s="3" t="str">
        <f>FIXED(VLOOKUP($A24,'Full Sample-Townhouse'!$A:$R,P$1,0),2)</f>
        <v>0.38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0.17</v>
      </c>
      <c r="T24" s="3" t="str">
        <f>FIXED(VLOOKUP($A24,'Full Sample-Townhouse'!$A:$R,T$1,0),2)</f>
        <v>0.38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0.18</v>
      </c>
      <c r="X24" s="3" t="str">
        <f>FIXED(VLOOKUP($A24,'Full Sample-Townhouse'!$A:$R,X$1,0),2)</f>
        <v>0.38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0.22</v>
      </c>
      <c r="AB24" s="3" t="str">
        <f>FIXED(VLOOKUP($A24,'Full Sample-Single Family'!$A:$R,AB$1,0),2)</f>
        <v>0.41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0.21</v>
      </c>
      <c r="AF24" s="3" t="str">
        <f>FIXED(VLOOKUP($A24,'Full Sample-Single Family'!$A:$R,AF$1,0),2)</f>
        <v>0.41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0.22</v>
      </c>
      <c r="AJ24" s="3" t="str">
        <f>FIXED(VLOOKUP($A24,'Full Sample-Single Family'!$A:$R,AJ$1,0),2)</f>
        <v>0.42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0.21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0.08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0.10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0.09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0.37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0.17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">
        <v>341</v>
      </c>
      <c r="AB28" s="3" t="s">
        <v>341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0.29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0.28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0.51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0.53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">
        <v>341</v>
      </c>
      <c r="AB29" s="3" t="s">
        <v>341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0.46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0.31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">
        <v>341</v>
      </c>
      <c r="AB30" s="3" t="s">
        <v>341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1.00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0.02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1.00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0.01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0.06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">
        <v>341</v>
      </c>
      <c r="AB31" s="3" t="s">
        <v>341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0.06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0.06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0.27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341</v>
      </c>
      <c r="P33" s="3" t="s">
        <v>341</v>
      </c>
      <c r="Q33" s="3" t="str">
        <f>FIXED(VLOOKUP($A33,'Full Sample-Townhouse'!$A:$R,Q$1,0),2)</f>
        <v>0.00</v>
      </c>
      <c r="R33" s="3" t="str">
        <f>FIXED(VLOOKUP($A33,'Full Sample-Townhouse'!$A:$R,R$1,0),2)</f>
        <v>1.00</v>
      </c>
      <c r="S33" s="9" t="str">
        <f>FIXED(VLOOKUP($A33,'Full Sample-Townhouse'!$A:$R,S$1,0),2)</f>
        <v>0.00</v>
      </c>
      <c r="T33" s="3" t="str">
        <f>FIXED(VLOOKUP($A33,'Full Sample-Townhouse'!$A:$R,T$1,0),2)</f>
        <v>0.01</v>
      </c>
      <c r="U33" s="3" t="str">
        <f>FIXED(VLOOKUP($A33,'Full Sample-Townhouse'!$A:$R,U$1,0),2)</f>
        <v>0.00</v>
      </c>
      <c r="V33" s="13" t="str">
        <f>FIXED(VLOOKUP($A33,'Full Sample-Townhouse'!$A:$R,V$1,0),2)</f>
        <v>1.00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341</v>
      </c>
      <c r="P34" s="3" t="s">
        <v>341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0.27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0.08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0.22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0.23</v>
      </c>
      <c r="T39" s="3" t="str">
        <f>FIXED(VLOOKUP($A39,'Full Sample-Townhouse'!$A:$R,T$1,0),2)</f>
        <v>0.42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0.27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0.36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0.28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0.27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0.07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0.12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0.12</v>
      </c>
      <c r="H42" s="3" t="str">
        <f>FIXED(VLOOKUP($A42,'Full Sample-No Sub'!$A:$R,H$1,0),2)</f>
        <v>0.32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0.20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0.21</v>
      </c>
      <c r="T42" s="3" t="str">
        <f>FIXED(VLOOKUP($A42,'Full Sample-Townhouse'!$A:$R,T$1,0),2)</f>
        <v>0.40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18.01</v>
      </c>
      <c r="D44" s="3" t="str">
        <f>FIXED(VLOOKUP($A44,'Full Sample-No Sub'!$A:$R,D$1,0),2)</f>
        <v>47.33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17.76</v>
      </c>
      <c r="H44" s="3" t="str">
        <f>FIXED(VLOOKUP($A44,'Full Sample-No Sub'!$A:$R,H$1,0),2)</f>
        <v>45.57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18.36</v>
      </c>
      <c r="L44" s="3" t="str">
        <f>FIXED(VLOOKUP($A44,'Full Sample-No Sub'!$A:$R,L$1,0),2)</f>
        <v>49.66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12.37</v>
      </c>
      <c r="P44" s="3" t="str">
        <f>FIXED(VLOOKUP($A44,'Full Sample-Townhouse'!$A:$R,P$1,0),2)</f>
        <v>41.82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11.81</v>
      </c>
      <c r="T44" s="3" t="str">
        <f>FIXED(VLOOKUP($A44,'Full Sample-Townhouse'!$A:$R,T$1,0),2)</f>
        <v>39.64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13.14</v>
      </c>
      <c r="X44" s="3" t="str">
        <f>FIXED(VLOOKUP($A44,'Full Sample-Townhouse'!$A:$R,X$1,0),2)</f>
        <v>44.63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52.43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50.92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24.61</v>
      </c>
      <c r="AJ44" s="3" t="str">
        <f>FIXED(VLOOKUP($A44,'Full Sample-Single Family'!$A:$R,AJ$1,0),2)</f>
        <v>54.44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0.26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0.44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0.25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0.32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0.31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0.17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0.70</v>
      </c>
      <c r="D52" s="3" t="str">
        <f>FIXED(VLOOKUP($A52,'Full Sample-No Sub'!$A:$R,D$1,0),2)</f>
        <v>1.53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0.71</v>
      </c>
      <c r="H52" s="3" t="str">
        <f>FIXED(VLOOKUP($A52,'Full Sample-No Sub'!$A:$R,H$1,0),2)</f>
        <v>1.57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1.27</v>
      </c>
      <c r="P52" s="3" t="str">
        <f>FIXED(VLOOKUP($A52,'Full Sample-Townhouse'!$A:$R,P$1,0),2)</f>
        <v>1.89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1.29</v>
      </c>
      <c r="T52" s="3" t="str">
        <f>FIXED(VLOOKUP($A52,'Full Sample-Townhouse'!$A:$R,T$1,0),2)</f>
        <v>1.93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2.09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2.13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1.76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1.78</v>
      </c>
      <c r="T53" s="3" t="str">
        <f>FIXED(VLOOKUP($A53,'Full Sample-Townhouse'!$A:$R,T$1,0),2)</f>
        <v>2.31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2.56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4.13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4.09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3.19</v>
      </c>
      <c r="P55" s="3" t="str">
        <f>FIXED(VLOOKUP($A55,'Full Sample-Townhouse'!$A:$R,P$1,0),2)</f>
        <v>3.46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3.13</v>
      </c>
      <c r="T55" s="3" t="str">
        <f>FIXED(VLOOKUP($A55,'Full Sample-Townhouse'!$A:$R,T$1,0),2)</f>
        <v>3.34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3.27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4.23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9.07</v>
      </c>
      <c r="D56" s="3" t="str">
        <f>FIXED(VLOOKUP($A56,'Full Sample-No Sub'!$A:$R,D$1,0),2)</f>
        <v>5.60</v>
      </c>
      <c r="E56" s="3" t="str">
        <f>FIXED(VLOOKUP($A56,'Full Sample-No Sub'!$A:$R,E$1,0),2)</f>
        <v>0.99</v>
      </c>
      <c r="F56" s="3" t="str">
        <f>FIXED(VLOOKUP($A56,'Full Sample-No Sub'!$A:$R,F$1,0),2)</f>
        <v>30.99</v>
      </c>
      <c r="G56" s="9" t="str">
        <f>FIXED(VLOOKUP($A56,'Full Sample-No Sub'!$A:$R,G$1,0),2)</f>
        <v>9.05</v>
      </c>
      <c r="H56" s="3" t="str">
        <f>FIXED(VLOOKUP($A56,'Full Sample-No Sub'!$A:$R,H$1,0),2)</f>
        <v>5.60</v>
      </c>
      <c r="I56" s="3" t="str">
        <f>FIXED(VLOOKUP($A56,'Full Sample-No Sub'!$A:$R,I$1,0),2)</f>
        <v>0.99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7.62</v>
      </c>
      <c r="P56" s="3" t="str">
        <f>FIXED(VLOOKUP($A56,'Full Sample-Townhouse'!$A:$R,P$1,0),2)</f>
        <v>5.17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7.63</v>
      </c>
      <c r="T56" s="3" t="str">
        <f>FIXED(VLOOKUP($A56,'Full Sample-Townhouse'!$A:$R,T$1,0),2)</f>
        <v>5.19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5.15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1.27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10.76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1.27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10.92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4.51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4.65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6.05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1.29</v>
      </c>
      <c r="T57" s="3" t="str">
        <f>FIXED(VLOOKUP($A57,'Full Sample-Townhouse'!$A:$R,T$1,0),2)</f>
        <v>6.24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1.24</v>
      </c>
      <c r="X57" s="3" t="str">
        <f>FIXED(VLOOKUP($A57,'Full Sample-Townhouse'!$A:$R,X$1,0),2)</f>
        <v>5.79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7.45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7.14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1.59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1.58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1.33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1.97</v>
      </c>
      <c r="T58" s="3" t="str">
        <f>FIXED(VLOOKUP($A58,'Full Sample-Townhouse'!$A:$R,T$1,0),2)</f>
        <v>1.33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2.17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2.17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1.84</v>
      </c>
      <c r="P59" s="3" t="str">
        <f>FIXED(VLOOKUP($A59,'Full Sample-Townhouse'!$A:$R,P$1,0),2)</f>
        <v>1.21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1.84</v>
      </c>
      <c r="T59" s="3" t="str">
        <f>FIXED(VLOOKUP($A59,'Full Sample-Townhouse'!$A:$R,T$1,0),2)</f>
        <v>1.21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1.82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0.13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0.13</v>
      </c>
      <c r="H60" s="3" t="str">
        <f>FIXED(VLOOKUP($A60,'Full Sample-No Sub'!$A:$R,H$1,0),2)</f>
        <v>0.34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0.21</v>
      </c>
      <c r="P60" s="3" t="str">
        <f>FIXED(VLOOKUP($A60,'Full Sample-Townhouse'!$A:$R,P$1,0),2)</f>
        <v>0.41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0.22</v>
      </c>
      <c r="T60" s="3" t="str">
        <f>FIXED(VLOOKUP($A60,'Full Sample-Townhouse'!$A:$R,T$1,0),2)</f>
        <v>0.41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0.09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0.07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0.42</v>
      </c>
      <c r="H64" s="3" t="str">
        <f>FIXED(VLOOKUP($A64,'Full Sample-No Sub'!$A:$R,H$1,0),2)</f>
        <v>0.49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0.39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0.18</v>
      </c>
      <c r="E67" s="3" t="str">
        <f>FIXED(VLOOKUP($A67,'Full Sample-No Sub'!$A:$R,E$1,0),2)</f>
        <v>0.00</v>
      </c>
      <c r="F67" s="3" t="str">
        <f>FIXED(VLOOKUP($A67,'Full Sample-No Sub'!$A:$R,F$1,0),2)</f>
        <v>0.85</v>
      </c>
      <c r="G67" s="9" t="str">
        <f>FIXED(VLOOKUP($A67,'Full Sample-No Sub'!$A:$R,G$1,0),2)</f>
        <v>0.25</v>
      </c>
      <c r="H67" s="3" t="str">
        <f>FIXED(VLOOKUP($A67,'Full Sample-No Sub'!$A:$R,H$1,0),2)</f>
        <v>0.18</v>
      </c>
      <c r="I67" s="3" t="str">
        <f>FIXED(VLOOKUP($A67,'Full Sample-No Sub'!$A:$R,I$1,0),2)</f>
        <v>0.00</v>
      </c>
      <c r="J67" s="13" t="str">
        <f>FIXED(VLOOKUP($A67,'Full Sample-No Sub'!$A:$R,J$1,0),2)</f>
        <v>0.85</v>
      </c>
      <c r="K67" s="9" t="str">
        <f>FIXED(VLOOKUP($A67,'Full Sample-No Sub'!$A:$R,K$1,0),2)</f>
        <v>0.24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0.85</v>
      </c>
      <c r="O67" s="9" t="str">
        <f>FIXED(VLOOKUP($A67,'Full Sample-Townhouse'!$A:$R,O$1,0),2)</f>
        <v>0.27</v>
      </c>
      <c r="P67" s="3" t="str">
        <f>FIXED(VLOOKUP($A67,'Full Sample-Townhouse'!$A:$R,P$1,0),2)</f>
        <v>0.19</v>
      </c>
      <c r="Q67" s="3" t="str">
        <f>FIXED(VLOOKUP($A67,'Full Sample-Townhouse'!$A:$R,Q$1,0),2)</f>
        <v>0.00</v>
      </c>
      <c r="R67" s="3" t="str">
        <f>FIXED(VLOOKUP($A67,'Full Sample-Townhouse'!$A:$R,R$1,0),2)</f>
        <v>0.83</v>
      </c>
      <c r="S67" s="9" t="str">
        <f>FIXED(VLOOKUP($A67,'Full Sample-Townhouse'!$A:$R,S$1,0),2)</f>
        <v>0.28</v>
      </c>
      <c r="T67" s="3" t="str">
        <f>FIXED(VLOOKUP($A67,'Full Sample-Townhouse'!$A:$R,T$1,0),2)</f>
        <v>0.19</v>
      </c>
      <c r="U67" s="3" t="str">
        <f>FIXED(VLOOKUP($A67,'Full Sample-Townhouse'!$A:$R,U$1,0),2)</f>
        <v>0.00</v>
      </c>
      <c r="V67" s="13" t="str">
        <f>FIXED(VLOOKUP($A67,'Full Sample-Townhouse'!$A:$R,V$1,0),2)</f>
        <v>0.83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0.21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0.85</v>
      </c>
      <c r="AE67" s="9" t="str">
        <f>FIXED(VLOOKUP($A67,'Full Sample-Single Family'!$A:$R,AE$1,0),2)</f>
        <v>0.21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0.85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0.03</v>
      </c>
      <c r="E68" s="3" t="str">
        <f>FIXED(VLOOKUP($A68,'Full Sample-No Sub'!$A:$R,E$1,0),2)</f>
        <v>0.00</v>
      </c>
      <c r="F68" s="3" t="str">
        <f>FIXED(VLOOKUP($A68,'Full Sample-No Sub'!$A:$R,F$1,0),2)</f>
        <v>0.26</v>
      </c>
      <c r="G68" s="9" t="str">
        <f>FIXED(VLOOKUP($A68,'Full Sample-No Sub'!$A:$R,G$1,0),2)</f>
        <v>0.02</v>
      </c>
      <c r="H68" s="3" t="str">
        <f>FIXED(VLOOKUP($A68,'Full Sample-No Sub'!$A:$R,H$1,0),2)</f>
        <v>0.04</v>
      </c>
      <c r="I68" s="3" t="str">
        <f>FIXED(VLOOKUP($A68,'Full Sample-No Sub'!$A:$R,I$1,0),2)</f>
        <v>0.00</v>
      </c>
      <c r="J68" s="13" t="str">
        <f>FIXED(VLOOKUP($A68,'Full Sample-No Sub'!$A:$R,J$1,0),2)</f>
        <v>0.26</v>
      </c>
      <c r="K68" s="9" t="str">
        <f>FIXED(VLOOKUP($A68,'Full Sample-No Sub'!$A:$R,K$1,0),2)</f>
        <v>0.02</v>
      </c>
      <c r="L68" s="3" t="str">
        <f>FIXED(VLOOKUP($A68,'Full Sample-No Sub'!$A:$R,L$1,0),2)</f>
        <v>0.03</v>
      </c>
      <c r="M68" s="3" t="str">
        <f>FIXED(VLOOKUP($A68,'Full Sample-No Sub'!$A:$R,M$1,0),2)</f>
        <v>0.00</v>
      </c>
      <c r="N68" s="13" t="str">
        <f>FIXED(VLOOKUP($A68,'Full Sample-No Sub'!$A:$R,N$1,0),2)</f>
        <v>0.26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0.24</v>
      </c>
      <c r="S68" s="9" t="str">
        <f>FIXED(VLOOKUP($A68,'Full Sample-Townhouse'!$A:$R,S$1,0),2)</f>
        <v>0.02</v>
      </c>
      <c r="T68" s="3" t="str">
        <f>FIXED(VLOOKUP($A68,'Full Sample-Townhouse'!$A:$R,T$1,0),2)</f>
        <v>0.04</v>
      </c>
      <c r="U68" s="3" t="str">
        <f>FIXED(VLOOKUP($A68,'Full Sample-Townhouse'!$A:$R,U$1,0),2)</f>
        <v>0.00</v>
      </c>
      <c r="V68" s="13" t="str">
        <f>FIXED(VLOOKUP($A68,'Full Sample-Townhouse'!$A:$R,V$1,0),2)</f>
        <v>0.24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0.24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0.26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0.26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0.03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0.20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0.43</v>
      </c>
      <c r="H69" s="3" t="str">
        <f>FIXED(VLOOKUP($A69,'Full Sample-No Sub'!$A:$R,H$1,0),2)</f>
        <v>0.20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0.44</v>
      </c>
      <c r="P69" s="3" t="str">
        <f>FIXED(VLOOKUP($A69,'Full Sample-Townhouse'!$A:$R,P$1,0),2)</f>
        <v>0.19</v>
      </c>
      <c r="Q69" s="3" t="str">
        <f>FIXED(VLOOKUP($A69,'Full Sample-Townhouse'!$A:$R,Q$1,0),2)</f>
        <v>0.01</v>
      </c>
      <c r="R69" s="3" t="str">
        <f>FIXED(VLOOKUP($A69,'Full Sample-Townhouse'!$A:$R,R$1,0),2)</f>
        <v>1.00</v>
      </c>
      <c r="S69" s="9" t="str">
        <f>FIXED(VLOOKUP($A69,'Full Sample-Townhouse'!$A:$R,S$1,0),2)</f>
        <v>0.44</v>
      </c>
      <c r="T69" s="3" t="str">
        <f>FIXED(VLOOKUP($A69,'Full Sample-Townhouse'!$A:$R,T$1,0),2)</f>
        <v>0.20</v>
      </c>
      <c r="U69" s="3" t="str">
        <f>FIXED(VLOOKUP($A69,'Full Sample-Townhouse'!$A:$R,U$1,0),2)</f>
        <v>0.01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0.42</v>
      </c>
      <c r="AB69" s="3" t="str">
        <f>FIXED(VLOOKUP($A69,'Full Sample-Single Family'!$A:$R,AB$1,0),2)</f>
        <v>0.20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0.96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0.20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0.96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0.10</v>
      </c>
      <c r="E70" s="3" t="str">
        <f>FIXED(VLOOKUP($A70,'Full Sample-No Sub'!$A:$R,E$1,0),2)</f>
        <v>0.00</v>
      </c>
      <c r="F70" s="3" t="str">
        <f>FIXED(VLOOKUP($A70,'Full Sample-No Sub'!$A:$R,F$1,0),2)</f>
        <v>0.70</v>
      </c>
      <c r="G70" s="9" t="str">
        <f>FIXED(VLOOKUP($A70,'Full Sample-No Sub'!$A:$R,G$1,0),2)</f>
        <v>0.07</v>
      </c>
      <c r="H70" s="3" t="str">
        <f>FIXED(VLOOKUP($A70,'Full Sample-No Sub'!$A:$R,H$1,0),2)</f>
        <v>0.10</v>
      </c>
      <c r="I70" s="3" t="str">
        <f>FIXED(VLOOKUP($A70,'Full Sample-No Sub'!$A:$R,I$1,0),2)</f>
        <v>0.00</v>
      </c>
      <c r="J70" s="13" t="str">
        <f>FIXED(VLOOKUP($A70,'Full Sample-No Sub'!$A:$R,J$1,0),2)</f>
        <v>0.70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0.70</v>
      </c>
      <c r="O70" s="9" t="str">
        <f>FIXED(VLOOKUP($A70,'Full Sample-Townhouse'!$A:$R,O$1,0),2)</f>
        <v>0.06</v>
      </c>
      <c r="P70" s="3" t="str">
        <f>FIXED(VLOOKUP($A70,'Full Sample-Townhouse'!$A:$R,P$1,0),2)</f>
        <v>0.09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0.09</v>
      </c>
      <c r="U70" s="3" t="str">
        <f>FIXED(VLOOKUP($A70,'Full Sample-Townhouse'!$A:$R,U$1,0),2)</f>
        <v>0.00</v>
      </c>
      <c r="V70" s="13" t="str">
        <f>FIXED(VLOOKUP($A70,'Full Sample-Townhouse'!$A:$R,V$1,0),2)</f>
        <v>0.64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0.12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0.70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0.12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0.70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46</v>
      </c>
      <c r="B71" t="s">
        <v>126</v>
      </c>
      <c r="C71" s="9" t="str">
        <f>FIXED(VLOOKUP($A71,'Full Sample-No Sub'!$A:$R,C$1,0),2)</f>
        <v>0.88</v>
      </c>
      <c r="D71" s="3" t="str">
        <f>FIXED(VLOOKUP($A71,'Full Sample-No Sub'!$A:$R,D$1,0),2)</f>
        <v>0.17</v>
      </c>
      <c r="E71" s="3" t="str">
        <f>FIXED(VLOOKUP($A71,'Full Sample-No Sub'!$A:$R,E$1,0),2)</f>
        <v>0.00</v>
      </c>
      <c r="F71" s="3" t="str">
        <f>FIXED(VLOOKUP($A71,'Full Sample-No Sub'!$A:$R,F$1,0),2)</f>
        <v>1.00</v>
      </c>
      <c r="G71" s="9" t="str">
        <f>FIXED(VLOOKUP($A71,'Full Sample-No Sub'!$A:$R,G$1,0),2)</f>
        <v>0.88</v>
      </c>
      <c r="H71" s="3" t="str">
        <f>FIXED(VLOOKUP($A71,'Full Sample-No Sub'!$A:$R,H$1,0),2)</f>
        <v>0.17</v>
      </c>
      <c r="I71" s="3" t="str">
        <f>FIXED(VLOOKUP($A71,'Full Sample-No Sub'!$A:$R,I$1,0),2)</f>
        <v>0.00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0.11</v>
      </c>
      <c r="N71" s="13" t="str">
        <f>FIXED(VLOOKUP($A71,'Full Sample-No Sub'!$A:$R,N$1,0),2)</f>
        <v>1.00</v>
      </c>
      <c r="O71" s="9" t="str">
        <f>FIXED(VLOOKUP($A71,'Full Sample-Townhouse'!$A:$R,O$1,0),2)</f>
        <v>0.83</v>
      </c>
      <c r="P71" s="3" t="str">
        <f>FIXED(VLOOKUP($A71,'Full Sample-Townhouse'!$A:$R,P$1,0),2)</f>
        <v>0.20</v>
      </c>
      <c r="Q71" s="3" t="str">
        <f>FIXED(VLOOKUP($A71,'Full Sample-Townhouse'!$A:$R,Q$1,0),2)</f>
        <v>0.11</v>
      </c>
      <c r="R71" s="3" t="str">
        <f>FIXED(VLOOKUP($A71,'Full Sample-Townhouse'!$A:$R,R$1,0),2)</f>
        <v>1.00</v>
      </c>
      <c r="S71" s="9" t="str">
        <f>FIXED(VLOOKUP($A71,'Full Sample-Townhouse'!$A:$R,S$1,0),2)</f>
        <v>0.84</v>
      </c>
      <c r="T71" s="3" t="str">
        <f>FIXED(VLOOKUP($A71,'Full Sample-Townhouse'!$A:$R,T$1,0),2)</f>
        <v>0.20</v>
      </c>
      <c r="U71" s="3" t="str">
        <f>FIXED(VLOOKUP($A71,'Full Sample-Townhouse'!$A:$R,U$1,0),2)</f>
        <v>0.11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0.11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0.09</v>
      </c>
      <c r="AC71" s="3" t="str">
        <f>FIXED(VLOOKUP($A71,'Full Sample-Single Family'!$A:$R,AC$1,0),2)</f>
        <v>0.00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0.09</v>
      </c>
      <c r="AG71" s="3" t="str">
        <f>FIXED(VLOOKUP($A71,'Full Sample-Single Family'!$A:$R,AG$1,0),2)</f>
        <v>0.00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47</v>
      </c>
      <c r="B72" t="s">
        <v>127</v>
      </c>
      <c r="C72" s="9" t="str">
        <f>FIXED(VLOOKUP($A72,'Full Sample-No Sub'!$A:$R,C$1,0),2)</f>
        <v>0.12</v>
      </c>
      <c r="D72" s="3" t="str">
        <f>FIXED(VLOOKUP($A72,'Full Sample-No Sub'!$A:$R,D$1,0),2)</f>
        <v>0.16</v>
      </c>
      <c r="E72" s="3" t="str">
        <f>FIXED(VLOOKUP($A72,'Full Sample-No Sub'!$A:$R,E$1,0),2)</f>
        <v>0.00</v>
      </c>
      <c r="F72" s="3" t="str">
        <f>FIXED(VLOOKUP($A72,'Full Sample-No Sub'!$A:$R,F$1,0),2)</f>
        <v>0.89</v>
      </c>
      <c r="G72" s="9" t="str">
        <f>FIXED(VLOOKUP($A72,'Full Sample-No Sub'!$A:$R,G$1,0),2)</f>
        <v>0.12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0.89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0.89</v>
      </c>
      <c r="O72" s="9" t="str">
        <f>FIXED(VLOOKUP($A72,'Full Sample-Townhouse'!$A:$R,O$1,0),2)</f>
        <v>0.17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0.89</v>
      </c>
      <c r="S72" s="9" t="str">
        <f>FIXED(VLOOKUP($A72,'Full Sample-Townhouse'!$A:$R,S$1,0),2)</f>
        <v>0.16</v>
      </c>
      <c r="T72" s="3" t="str">
        <f>FIXED(VLOOKUP($A72,'Full Sample-Townhouse'!$A:$R,T$1,0),2)</f>
        <v>0.20</v>
      </c>
      <c r="U72" s="3" t="str">
        <f>FIXED(VLOOKUP($A72,'Full Sample-Townhouse'!$A:$R,U$1,0),2)</f>
        <v>0.00</v>
      </c>
      <c r="V72" s="13" t="str">
        <f>FIXED(VLOOKUP($A72,'Full Sample-Townhouse'!$A:$R,V$1,0),2)</f>
        <v>0.89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0.89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0.08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0.09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48</v>
      </c>
      <c r="B73" t="s">
        <v>128</v>
      </c>
      <c r="C73" s="9" t="str">
        <f>FIXED(VLOOKUP($A73,'Full Sample-No Sub'!$A:$R,C$1,0),2)</f>
        <v>0.67</v>
      </c>
      <c r="D73" s="3" t="str">
        <f>FIXED(VLOOKUP($A73,'Full Sample-No Sub'!$A:$R,D$1,0),2)</f>
        <v>0.20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0.67</v>
      </c>
      <c r="H73" s="3" t="str">
        <f>FIXED(VLOOKUP($A73,'Full Sample-No Sub'!$A:$R,H$1,0),2)</f>
        <v>0.20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0.58</v>
      </c>
      <c r="P73" s="3" t="str">
        <f>FIXED(VLOOKUP($A73,'Full Sample-Townhouse'!$A:$R,P$1,0),2)</f>
        <v>0.19</v>
      </c>
      <c r="Q73" s="3" t="str">
        <f>FIXED(VLOOKUP($A73,'Full Sample-Townhouse'!$A:$R,Q$1,0),2)</f>
        <v>0.03</v>
      </c>
      <c r="R73" s="3" t="str">
        <f>FIXED(VLOOKUP($A73,'Full Sample-Townhouse'!$A:$R,R$1,0),2)</f>
        <v>0.99</v>
      </c>
      <c r="S73" s="9" t="str">
        <f>FIXED(VLOOKUP($A73,'Full Sample-Townhouse'!$A:$R,S$1,0),2)</f>
        <v>0.59</v>
      </c>
      <c r="T73" s="3" t="str">
        <f>FIXED(VLOOKUP($A73,'Full Sample-Townhouse'!$A:$R,T$1,0),2)</f>
        <v>0.19</v>
      </c>
      <c r="U73" s="3" t="str">
        <f>FIXED(VLOOKUP($A73,'Full Sample-Townhouse'!$A:$R,U$1,0),2)</f>
        <v>0.03</v>
      </c>
      <c r="V73" s="13" t="str">
        <f>FIXED(VLOOKUP($A73,'Full Sample-Townhouse'!$A:$R,V$1,0),2)</f>
        <v>0.99</v>
      </c>
      <c r="W73" s="9" t="str">
        <f>FIXED(VLOOKUP($A73,'Full Sample-Townhouse'!$A:$R,W$1,0),2)</f>
        <v>0.58</v>
      </c>
      <c r="X73" s="3" t="str">
        <f>FIXED(VLOOKUP($A73,'Full Sample-Townhouse'!$A:$R,X$1,0),2)</f>
        <v>0.20</v>
      </c>
      <c r="Y73" s="3" t="str">
        <f>FIXED(VLOOKUP($A73,'Full Sample-Townhouse'!$A:$R,Y$1,0),2)</f>
        <v>0.03</v>
      </c>
      <c r="Z73" s="3" t="str">
        <f>FIXED(VLOOKUP($A73,'Full Sample-Townhouse'!$A:$R,Z$1,0),2)</f>
        <v>0.98</v>
      </c>
      <c r="AA73" s="9" t="str">
        <f>FIXED(VLOOKUP($A73,'Full Sample-Single Family'!$A:$R,AA$1,0),2)</f>
        <v>0.77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0.77</v>
      </c>
      <c r="AF73" s="3" t="str">
        <f>FIXED(VLOOKUP($A73,'Full Sample-Single Family'!$A:$R,AF$1,0),2)</f>
        <v>0.17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49</v>
      </c>
      <c r="B74" t="s">
        <v>129</v>
      </c>
      <c r="C74" s="9" t="str">
        <f>FIXED(VLOOKUP($A74,'Full Sample-No Sub'!$A:$R,C$1,0),2)</f>
        <v>0.33</v>
      </c>
      <c r="D74" s="3" t="str">
        <f>FIXED(VLOOKUP($A74,'Full Sample-No Sub'!$A:$R,D$1,0),2)</f>
        <v>0.20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0.33</v>
      </c>
      <c r="H74" s="3" t="str">
        <f>FIXED(VLOOKUP($A74,'Full Sample-No Sub'!$A:$R,H$1,0),2)</f>
        <v>0.20</v>
      </c>
      <c r="I74" s="3" t="str">
        <f>FIXED(VLOOKUP($A74,'Full Sample-No Sub'!$A:$R,I$1,0),2)</f>
        <v>0.00</v>
      </c>
      <c r="J74" s="13" t="str">
        <f>FIXED(VLOOKUP($A74,'Full Sample-No Sub'!$A:$R,J$1,0),2)</f>
        <v>0.99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0.42</v>
      </c>
      <c r="P74" s="3" t="str">
        <f>FIXED(VLOOKUP($A74,'Full Sample-Townhouse'!$A:$R,P$1,0),2)</f>
        <v>0.19</v>
      </c>
      <c r="Q74" s="3" t="str">
        <f>FIXED(VLOOKUP($A74,'Full Sample-Townhouse'!$A:$R,Q$1,0),2)</f>
        <v>0.02</v>
      </c>
      <c r="R74" s="3" t="str">
        <f>FIXED(VLOOKUP($A74,'Full Sample-Townhouse'!$A:$R,R$1,0),2)</f>
        <v>0.97</v>
      </c>
      <c r="S74" s="9" t="str">
        <f>FIXED(VLOOKUP($A74,'Full Sample-Townhouse'!$A:$R,S$1,0),2)</f>
        <v>0.41</v>
      </c>
      <c r="T74" s="3" t="str">
        <f>FIXED(VLOOKUP($A74,'Full Sample-Townhouse'!$A:$R,T$1,0),2)</f>
        <v>0.19</v>
      </c>
      <c r="U74" s="3" t="str">
        <f>FIXED(VLOOKUP($A74,'Full Sample-Townhouse'!$A:$R,U$1,0),2)</f>
        <v>0.02</v>
      </c>
      <c r="V74" s="13" t="str">
        <f>FIXED(VLOOKUP($A74,'Full Sample-Townhouse'!$A:$R,V$1,0),2)</f>
        <v>0.97</v>
      </c>
      <c r="W74" s="9" t="str">
        <f>FIXED(VLOOKUP($A74,'Full Sample-Townhouse'!$A:$R,W$1,0),2)</f>
        <v>0.42</v>
      </c>
      <c r="X74" s="3" t="str">
        <f>FIXED(VLOOKUP($A74,'Full Sample-Townhouse'!$A:$R,X$1,0),2)</f>
        <v>0.20</v>
      </c>
      <c r="Y74" s="3" t="str">
        <f>FIXED(VLOOKUP($A74,'Full Sample-Townhouse'!$A:$R,Y$1,0),2)</f>
        <v>0.02</v>
      </c>
      <c r="Z74" s="3" t="str">
        <f>FIXED(VLOOKUP($A74,'Full Sample-Townhouse'!$A:$R,Z$1,0),2)</f>
        <v>0.97</v>
      </c>
      <c r="AA74" s="9" t="str">
        <f>FIXED(VLOOKUP($A74,'Full Sample-Single Family'!$A:$R,AA$1,0),2)</f>
        <v>0.23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0.23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0.99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38" x14ac:dyDescent="0.25">
      <c r="A76" t="s">
        <v>186</v>
      </c>
      <c r="B76" t="s">
        <v>187</v>
      </c>
      <c r="C76" s="27">
        <f>'Full Sample-No Sub'!B3</f>
        <v>50625</v>
      </c>
      <c r="D76" s="28"/>
      <c r="E76" s="28"/>
      <c r="F76" s="28"/>
      <c r="G76" s="27">
        <f>'Full Sample-No Sub'!H3</f>
        <v>29295</v>
      </c>
      <c r="H76" s="28"/>
      <c r="I76" s="28"/>
      <c r="J76" s="29"/>
      <c r="K76" s="27">
        <f>'Full Sample-No Sub'!N3</f>
        <v>21330</v>
      </c>
      <c r="L76" s="28"/>
      <c r="M76" s="28"/>
      <c r="N76" s="29"/>
      <c r="O76" s="27">
        <f>'Full Sample-Townhouse'!B3</f>
        <v>27661</v>
      </c>
      <c r="P76" s="28"/>
      <c r="Q76" s="28"/>
      <c r="R76" s="28"/>
      <c r="S76" s="27">
        <f>'Full Sample-Townhouse'!H3</f>
        <v>16033</v>
      </c>
      <c r="T76" s="28"/>
      <c r="U76" s="28"/>
      <c r="V76" s="29"/>
      <c r="W76" s="27">
        <f>'Full Sample-Townhouse'!N3</f>
        <v>11628</v>
      </c>
      <c r="X76" s="28"/>
      <c r="Y76" s="28"/>
      <c r="Z76" s="28"/>
      <c r="AA76" s="27">
        <f>'Full Sample-Single Family'!B3</f>
        <v>22964</v>
      </c>
      <c r="AB76" s="28"/>
      <c r="AC76" s="28"/>
      <c r="AD76" s="28"/>
      <c r="AE76" s="27">
        <f>'Full Sample-Single Family'!H3</f>
        <v>13262</v>
      </c>
      <c r="AF76" s="28"/>
      <c r="AG76" s="28"/>
      <c r="AH76" s="29"/>
      <c r="AI76" s="27">
        <f>'Full Sample-Single Family'!N3</f>
        <v>9702</v>
      </c>
      <c r="AJ76" s="28"/>
      <c r="AK76" s="28"/>
      <c r="AL76" s="28"/>
    </row>
    <row r="77" spans="1:38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t="s">
        <v>17</v>
      </c>
      <c r="B80" t="s">
        <v>101</v>
      </c>
      <c r="C80" s="3" t="str">
        <f>FIXED(VLOOKUP($A80,'Full Sample-No Sub'!$A:$R,C$1,0),2)</f>
        <v>163.94</v>
      </c>
      <c r="D80" s="3" t="str">
        <f>FIXED(VLOOKUP($A80,'Full Sample-No Sub'!$A:$R,D$1,0),2)</f>
        <v>229.12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161.07</v>
      </c>
      <c r="H80" s="3" t="str">
        <f>FIXED(VLOOKUP($A80,'Full Sample-No Sub'!$A:$R,H$1,0),2)</f>
        <v>228.43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167.88</v>
      </c>
      <c r="L80" s="3" t="str">
        <f>FIXED(VLOOKUP($A80,'Full Sample-No Sub'!$A:$R,L$1,0),2)</f>
        <v>230.01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26.30</v>
      </c>
      <c r="P80" s="3" t="str">
        <f>FIXED(VLOOKUP($A80,'Full Sample-Townhouse'!$A:$R,P$1,0),2)</f>
        <v>96.49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22.16</v>
      </c>
      <c r="T80" s="3" t="str">
        <f>FIXED(VLOOKUP($A80,'Full Sample-Townhouse'!$A:$R,T$1,0),2)</f>
        <v>88.55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31.99</v>
      </c>
      <c r="X80" s="3" t="str">
        <f>FIXED(VLOOKUP($A80,'Full Sample-Townhouse'!$A:$R,X$1,0),2)</f>
        <v>106.21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329.73</v>
      </c>
      <c r="AB80" s="3" t="str">
        <f>FIXED(VLOOKUP($A80,'Full Sample-Single Family'!$A:$R,AB$1,0),2)</f>
        <v>232.82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329.00</v>
      </c>
      <c r="AF80" s="3" t="str">
        <f>FIXED(VLOOKUP($A80,'Full Sample-Single Family'!$A:$R,AF$1,0),2)</f>
        <v>232.93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330.73</v>
      </c>
      <c r="AJ80" s="3" t="str">
        <f>FIXED(VLOOKUP($A80,'Full Sample-Single Family'!$A:$R,AJ$1,0),2)</f>
        <v>232.69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0.45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0.45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0.04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0.04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0.04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0.02</v>
      </c>
      <c r="AC81" s="3" t="str">
        <f>FIXED(VLOOKUP($A81,'Full Sample-Single Family'!$A:$R,AC$1,0),2)</f>
        <v>0.00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0.02</v>
      </c>
      <c r="AG81" s="3" t="str">
        <f>FIXED(VLOOKUP($A81,'Full Sample-Single Family'!$A:$R,AG$1,0),2)</f>
        <v>0.00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0.01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3.02</v>
      </c>
      <c r="D82" s="3" t="str">
        <f>FIXED(VLOOKUP($A82,'Full Sample-No Sub'!$A:$R,D$1,0),2)</f>
        <v>9.17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2.79</v>
      </c>
      <c r="H82" s="3" t="str">
        <f>FIXED(VLOOKUP($A82,'Full Sample-No Sub'!$A:$R,H$1,0),2)</f>
        <v>8.74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9.71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1.43</v>
      </c>
      <c r="P82" s="3" t="str">
        <f>FIXED(VLOOKUP($A82,'Full Sample-Townhouse'!$A:$R,P$1,0),2)</f>
        <v>4.02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1.35</v>
      </c>
      <c r="T82" s="3" t="str">
        <f>FIXED(VLOOKUP($A82,'Full Sample-Townhouse'!$A:$R,T$1,0),2)</f>
        <v>3.84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4.25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12.61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5.50</v>
      </c>
      <c r="AJ82" s="3" t="str">
        <f>FIXED(VLOOKUP($A82,'Full Sample-Single Family'!$A:$R,AJ$1,0),2)</f>
        <v>13.30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3.13</v>
      </c>
      <c r="D83" s="3" t="str">
        <f>FIXED(VLOOKUP($A83,'Full Sample-No Sub'!$A:$R,D$1,0),2)</f>
        <v>5.97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3.13</v>
      </c>
      <c r="H83" s="3" t="str">
        <f>FIXED(VLOOKUP($A83,'Full Sample-No Sub'!$A:$R,H$1,0),2)</f>
        <v>5.90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6.07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4.94</v>
      </c>
      <c r="P83" s="3" t="str">
        <f>FIXED(VLOOKUP($A83,'Full Sample-Townhouse'!$A:$R,P$1,0),2)</f>
        <v>6.89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4.90</v>
      </c>
      <c r="T83" s="3" t="str">
        <f>FIXED(VLOOKUP($A83,'Full Sample-Townhouse'!$A:$R,T$1,0),2)</f>
        <v>6.81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6.99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0.95</v>
      </c>
      <c r="AB83" s="3" t="str">
        <f>FIXED(VLOOKUP($A83,'Full Sample-Single Family'!$A:$R,AB$1,0),2)</f>
        <v>3.57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0.97</v>
      </c>
      <c r="AF83" s="3" t="str">
        <f>FIXED(VLOOKUP($A83,'Full Sample-Single Family'!$A:$R,AF$1,0),2)</f>
        <v>3.51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0.92</v>
      </c>
      <c r="AJ83" s="3" t="str">
        <f>FIXED(VLOOKUP($A83,'Full Sample-Single Family'!$A:$R,AJ$1,0),2)</f>
        <v>3.66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301.73</v>
      </c>
      <c r="D84" s="3" t="str">
        <f>FIXED(VLOOKUP($A84,'Full Sample-No Sub'!$A:$R,D$1,0),2)</f>
        <v>558.96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301.73</v>
      </c>
      <c r="L84" s="3" t="str">
        <f>FIXED(VLOOKUP($A84,'Full Sample-No Sub'!$A:$R,L$1,0),2)</f>
        <v>558.96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311.77</v>
      </c>
      <c r="P84" s="3" t="str">
        <f>FIXED(VLOOKUP($A84,'Full Sample-Townhouse'!$A:$R,P$1,0),2)</f>
        <v>571.95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311.77</v>
      </c>
      <c r="X84" s="3" t="str">
        <f>FIXED(VLOOKUP($A84,'Full Sample-Townhouse'!$A:$R,X$1,0),2)</f>
        <v>571.95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289.69</v>
      </c>
      <c r="AB84" s="3" t="str">
        <f>FIXED(VLOOKUP($A84,'Full Sample-Single Family'!$A:$R,AB$1,0),2)</f>
        <v>542.78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289.69</v>
      </c>
      <c r="AJ84" s="3" t="str">
        <f>FIXED(VLOOKUP($A84,'Full Sample-Single Family'!$A:$R,AJ$1,0),2)</f>
        <v>542.78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0.55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0.55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0.55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0.45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0.45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0.46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2,361,427.00</v>
      </c>
      <c r="D88" s="3" t="str">
        <f>FIXED(VLOOKUP($A88,'Full Sample-No Sub'!$A:$R,D$1,0),2)</f>
        <v>7,592.60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2,361,443.00</v>
      </c>
      <c r="H88" s="3" t="str">
        <f>FIXED(VLOOKUP($A88,'Full Sample-No Sub'!$A:$R,H$1,0),2)</f>
        <v>7,533.68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2,361,405.00</v>
      </c>
      <c r="L88" s="3" t="str">
        <f>FIXED(VLOOKUP($A88,'Full Sample-No Sub'!$A:$R,L$1,0),2)</f>
        <v>7,672.91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2,359,735.00</v>
      </c>
      <c r="P88" s="3" t="str">
        <f>FIXED(VLOOKUP($A88,'Full Sample-Townhouse'!$A:$R,P$1,0),2)</f>
        <v>6,910.85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2,359,780.00</v>
      </c>
      <c r="T88" s="3" t="str">
        <f>FIXED(VLOOKUP($A88,'Full Sample-Townhouse'!$A:$R,T$1,0),2)</f>
        <v>6,956.67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2,359,674.00</v>
      </c>
      <c r="X88" s="3" t="str">
        <f>FIXED(VLOOKUP($A88,'Full Sample-Townhouse'!$A:$R,X$1,0),2)</f>
        <v>6,847.01</v>
      </c>
      <c r="Y88" s="3" t="str">
        <f>FIXED(VLOOKUP($A88,'Full Sample-Townhouse'!$A:$R,Y$1,0),2)</f>
        <v>2,351,041.00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2,363,464.00</v>
      </c>
      <c r="AB88" s="3" t="str">
        <f>FIXED(VLOOKUP($A88,'Full Sample-Single Family'!$A:$R,AB$1,0),2)</f>
        <v>7,871.59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2,363,453.00</v>
      </c>
      <c r="AF88" s="3" t="str">
        <f>FIXED(VLOOKUP($A88,'Full Sample-Single Family'!$A:$R,AF$1,0),2)</f>
        <v>7,712.52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2,363,480.00</v>
      </c>
      <c r="AJ88" s="3" t="str">
        <f>FIXED(VLOOKUP($A88,'Full Sample-Single Family'!$A:$R,AJ$1,0),2)</f>
        <v>8,084.35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612,731.90</v>
      </c>
      <c r="D89" s="3" t="str">
        <f>FIXED(VLOOKUP($A89,'Full Sample-No Sub'!$A:$R,D$1,0),2)</f>
        <v>13,288.30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612,541.90</v>
      </c>
      <c r="H89" s="3" t="str">
        <f>FIXED(VLOOKUP($A89,'Full Sample-No Sub'!$A:$R,H$1,0),2)</f>
        <v>13,175.42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612,992.80</v>
      </c>
      <c r="L89" s="3" t="str">
        <f>FIXED(VLOOKUP($A89,'Full Sample-No Sub'!$A:$R,L$1,0),2)</f>
        <v>13,437.71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614,179.70</v>
      </c>
      <c r="P89" s="3" t="str">
        <f>FIXED(VLOOKUP($A89,'Full Sample-Townhouse'!$A:$R,P$1,0),2)</f>
        <v>11,613.40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614,158.00</v>
      </c>
      <c r="T89" s="3" t="str">
        <f>FIXED(VLOOKUP($A89,'Full Sample-Townhouse'!$A:$R,T$1,0),2)</f>
        <v>11,475.19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614,209.70</v>
      </c>
      <c r="X89" s="3" t="str">
        <f>FIXED(VLOOKUP($A89,'Full Sample-Townhouse'!$A:$R,X$1,0),2)</f>
        <v>11,801.75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610,987.80</v>
      </c>
      <c r="AB89" s="3" t="str">
        <f>FIXED(VLOOKUP($A89,'Full Sample-Single Family'!$A:$R,AB$1,0),2)</f>
        <v>14,874.76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610,588.00</v>
      </c>
      <c r="AF89" s="3" t="str">
        <f>FIXED(VLOOKUP($A89,'Full Sample-Single Family'!$A:$R,AF$1,0),2)</f>
        <v>14,741.05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611,534.40</v>
      </c>
      <c r="AJ89" s="3" t="str">
        <f>FIXED(VLOOKUP($A89,'Full Sample-Single Family'!$A:$R,AJ$1,0),2)</f>
        <v>15,039.19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340</v>
      </c>
      <c r="C90" s="9" t="str">
        <f>FIXED(VLOOKUP($A90,'Full Sample-No Sub'!$A:$R,C$1,0),2)</f>
        <v>2,019.04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2,017.56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2,019.04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2,017.56</v>
      </c>
      <c r="T90" s="3" t="str">
        <f>FIXED(VLOOKUP($A90,'Full Sample-Townhouse'!$A:$R,T$1,0),2)</f>
        <v>1.16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8,946.21</v>
      </c>
      <c r="D91" s="3" t="str">
        <f>FIXED(VLOOKUP($A91,'Full Sample-No Sub'!$A:$R,D$1,0),2)</f>
        <v>88,866.63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14,495.07</v>
      </c>
      <c r="H91" s="3" t="str">
        <f>FIXED(VLOOKUP($A91,'Full Sample-No Sub'!$A:$R,H$1,0),2)</f>
        <v>68,263.40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1,325.31</v>
      </c>
      <c r="L91" s="3" t="str">
        <f>FIXED(VLOOKUP($A91,'Full Sample-No Sub'!$A:$R,L$1,0),2)</f>
        <v>110,650.90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7,340.46</v>
      </c>
      <c r="P91" s="3" t="str">
        <f>FIXED(VLOOKUP($A91,'Full Sample-Townhouse'!$A:$R,P$1,0),2)</f>
        <v>47,412.29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9,583.35</v>
      </c>
      <c r="T91" s="3" t="str">
        <f>FIXED(VLOOKUP($A91,'Full Sample-Townhouse'!$A:$R,T$1,0),2)</f>
        <v>32,177.86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4,247.90</v>
      </c>
      <c r="X91" s="3" t="str">
        <f>FIXED(VLOOKUP($A91,'Full Sample-Townhouse'!$A:$R,X$1,0),2)</f>
        <v>62,477.98</v>
      </c>
      <c r="Y91" s="3"/>
      <c r="Z91" s="3"/>
      <c r="AA91" s="9" t="str">
        <f>FIXED(VLOOKUP($A91,'Full Sample-Single Family'!$A:$R,AA$1,0),2)</f>
        <v>10,880.39</v>
      </c>
      <c r="AB91" s="3" t="str">
        <f>FIXED(VLOOKUP($A91,'Full Sample-Single Family'!$A:$R,AB$1,0),2)</f>
        <v>121,225.80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20,433.05</v>
      </c>
      <c r="AF91" s="3" t="str">
        <f>FIXED(VLOOKUP($A91,'Full Sample-Single Family'!$A:$R,AF$1,0),2)</f>
        <v>94,750.50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-2,177.47</v>
      </c>
      <c r="AJ91" s="3" t="str">
        <f>FIXED(VLOOKUP($A91,'Full Sample-Single Family'!$A:$R,AJ$1,0),2)</f>
        <v>149,058.10</v>
      </c>
      <c r="AK91" s="3"/>
      <c r="AL91" s="3"/>
    </row>
    <row r="92" spans="1:40" x14ac:dyDescent="0.25">
      <c r="A92" t="s">
        <v>19</v>
      </c>
      <c r="B92" t="s">
        <v>342</v>
      </c>
      <c r="C92" s="9" t="str">
        <f>FIXED(VLOOKUP($A92,'Full Sample-No Sub'!$A:$R,C$1,0)/100000,2)</f>
        <v>9.43</v>
      </c>
      <c r="D92" s="3" t="str">
        <f>FIXED(VLOOKUP($A92,'Full Sample-No Sub'!$A:$R,D$1,0),2)</f>
        <v>878,631.40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911,437.50</v>
      </c>
      <c r="H92" s="3" t="str">
        <f>FIXED(VLOOKUP($A92,'Full Sample-No Sub'!$A:$R,H$1,0),2)</f>
        <v>844,248.00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986,269.80</v>
      </c>
      <c r="L92" s="3" t="str">
        <f>FIXED(VLOOKUP($A92,'Full Sample-No Sub'!$A:$R,L$1,0),2)</f>
        <v>922,035.20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674,762.70</v>
      </c>
      <c r="P92" s="3" t="str">
        <f>FIXED(VLOOKUP($A92,'Full Sample-Townhouse'!$A:$R,P$1,0),2)</f>
        <v>609,919.30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681,870.20</v>
      </c>
      <c r="T92" s="3" t="str">
        <f>FIXED(VLOOKUP($A92,'Full Sample-Townhouse'!$A:$R,T$1,0),2)</f>
        <v>630,435.60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664,962.60</v>
      </c>
      <c r="X92" s="3" t="str">
        <f>FIXED(VLOOKUP($A92,'Full Sample-Townhouse'!$A:$R,X$1,0),2)</f>
        <v>580,327.00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1,266,029.00</v>
      </c>
      <c r="AB92" s="3" t="str">
        <f>FIXED(VLOOKUP($A92,'Full Sample-Single Family'!$A:$R,AB$1,0),2)</f>
        <v>1,030,927.00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1,188,971.00</v>
      </c>
      <c r="AF92" s="3" t="str">
        <f>FIXED(VLOOKUP($A92,'Full Sample-Single Family'!$A:$R,AF$1,0),2)</f>
        <v>976,346.10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1,371,362.00</v>
      </c>
      <c r="AJ92" s="3" t="str">
        <f>FIXED(VLOOKUP($A92,'Full Sample-Single Family'!$A:$R,AJ$1,0),2)</f>
        <v>1,092,461.00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326</v>
      </c>
    </row>
  </sheetData>
  <mergeCells count="23">
    <mergeCell ref="A2:AJ2"/>
    <mergeCell ref="A3:AJ3"/>
    <mergeCell ref="C4:L4"/>
    <mergeCell ref="O4:X4"/>
    <mergeCell ref="O5:R5"/>
    <mergeCell ref="S5:V5"/>
    <mergeCell ref="W5:Z5"/>
    <mergeCell ref="AA4:AJ4"/>
    <mergeCell ref="AA5:AD5"/>
    <mergeCell ref="AE5:AH5"/>
    <mergeCell ref="AI5:AL5"/>
    <mergeCell ref="C5:F5"/>
    <mergeCell ref="G5:J5"/>
    <mergeCell ref="K5:N5"/>
    <mergeCell ref="C76:F76"/>
    <mergeCell ref="G76:J76"/>
    <mergeCell ref="K76:N76"/>
    <mergeCell ref="AA76:AD76"/>
    <mergeCell ref="AE76:AH76"/>
    <mergeCell ref="AI76:AL76"/>
    <mergeCell ref="O76:R76"/>
    <mergeCell ref="S76:V76"/>
    <mergeCell ref="W76:Z76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3FA7-75C5-45A3-9457-834403A4289D}">
  <sheetPr codeName="Sheet27">
    <pageSetUpPr fitToPage="1"/>
  </sheetPr>
  <dimension ref="A1:AN92"/>
  <sheetViews>
    <sheetView workbookViewId="0">
      <selection activeCell="AN7" sqref="AN7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8.85546875" style="3" hidden="1" customWidth="1"/>
    <col min="4" max="4" width="10.140625" style="3" hidden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hidden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6" t="s">
        <v>294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</row>
    <row r="3" spans="1:40" ht="23.25" x14ac:dyDescent="0.35">
      <c r="A3" s="37" t="s">
        <v>351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</row>
    <row r="4" spans="1:40" x14ac:dyDescent="0.25">
      <c r="C4" s="38" t="s">
        <v>92</v>
      </c>
      <c r="D4" s="39"/>
      <c r="E4" s="39"/>
      <c r="F4" s="39"/>
      <c r="G4" s="39"/>
      <c r="H4" s="39"/>
      <c r="I4" s="39"/>
      <c r="J4" s="39"/>
      <c r="K4" s="39"/>
      <c r="L4" s="39"/>
      <c r="M4" s="10"/>
      <c r="N4" s="11"/>
      <c r="O4" s="38" t="s">
        <v>349</v>
      </c>
      <c r="P4" s="39"/>
      <c r="Q4" s="39"/>
      <c r="R4" s="39"/>
      <c r="S4" s="39"/>
      <c r="T4" s="39"/>
      <c r="U4" s="39"/>
      <c r="V4" s="39"/>
      <c r="W4" s="39"/>
      <c r="X4" s="39"/>
      <c r="AA4" s="38" t="s">
        <v>350</v>
      </c>
      <c r="AB4" s="39"/>
      <c r="AC4" s="39"/>
      <c r="AD4" s="39"/>
      <c r="AE4" s="39"/>
      <c r="AF4" s="39"/>
      <c r="AG4" s="39"/>
      <c r="AH4" s="39"/>
      <c r="AI4" s="39"/>
      <c r="AJ4" s="39"/>
    </row>
    <row r="5" spans="1:40" x14ac:dyDescent="0.25">
      <c r="A5" s="5"/>
      <c r="B5" s="5"/>
      <c r="C5" s="30" t="s">
        <v>92</v>
      </c>
      <c r="D5" s="31"/>
      <c r="E5" s="31"/>
      <c r="F5" s="31"/>
      <c r="G5" s="32" t="s">
        <v>345</v>
      </c>
      <c r="H5" s="33"/>
      <c r="I5" s="33"/>
      <c r="J5" s="34"/>
      <c r="K5" s="30" t="s">
        <v>346</v>
      </c>
      <c r="L5" s="31"/>
      <c r="M5" s="31"/>
      <c r="N5" s="35"/>
      <c r="O5" s="30" t="s">
        <v>92</v>
      </c>
      <c r="P5" s="31"/>
      <c r="Q5" s="31"/>
      <c r="R5" s="31"/>
      <c r="S5" s="32" t="s">
        <v>345</v>
      </c>
      <c r="T5" s="33"/>
      <c r="U5" s="33"/>
      <c r="V5" s="34"/>
      <c r="W5" s="30" t="s">
        <v>346</v>
      </c>
      <c r="X5" s="31"/>
      <c r="Y5" s="31"/>
      <c r="Z5" s="35"/>
      <c r="AA5" s="30" t="s">
        <v>92</v>
      </c>
      <c r="AB5" s="31"/>
      <c r="AC5" s="31"/>
      <c r="AD5" s="31"/>
      <c r="AE5" s="32" t="s">
        <v>345</v>
      </c>
      <c r="AF5" s="33"/>
      <c r="AG5" s="33"/>
      <c r="AH5" s="34"/>
      <c r="AI5" s="30" t="s">
        <v>346</v>
      </c>
      <c r="AJ5" s="31"/>
      <c r="AK5" s="31"/>
      <c r="AL5" s="35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343</v>
      </c>
      <c r="C7" s="9" t="str">
        <f>FIXED(VLOOKUP($A7,'Full Sample-No Sub'!$A:$R,C$1,0)/100000,2)</f>
        <v>9.32</v>
      </c>
      <c r="D7" s="3" t="str">
        <f>FIXED(VLOOKUP($A7,'Full Sample-No Sub'!$A:$R,D$1,0)/100000,2)</f>
        <v>8.29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8.94</v>
      </c>
      <c r="H7" s="3" t="str">
        <f>FIXED(VLOOKUP($A7,'Full Sample-No Sub'!$A:$R,H$1,0)/100000,2)</f>
        <v>7.93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9.85</v>
      </c>
      <c r="L7" s="3" t="str">
        <f>FIXED(VLOOKUP($A7,'Full Sample-No Sub'!$A:$R,L$1,0)/100000,2)</f>
        <v>8.74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6.66</v>
      </c>
      <c r="P7" s="3" t="str">
        <f>FIXED(VLOOKUP($A7,'Full Sample-Townhouse'!$A:$R,P$1,0)/100000,2)</f>
        <v>5.84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6.70</v>
      </c>
      <c r="T7" s="3" t="str">
        <f>FIXED(VLOOKUP($A7,'Full Sample-Townhouse'!$A:$R,T$1,0)/100000,2)</f>
        <v>6.10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6.60</v>
      </c>
      <c r="X7" s="3" t="str">
        <f>FIXED(VLOOKUP($A7,'Full Sample-Townhouse'!$A:$R,X$1,0)/100000,2)</f>
        <v>5.46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12.53</v>
      </c>
      <c r="AB7" s="3" t="str">
        <f>FIXED(VLOOKUP($A7,'Full Sample-Single Family'!$A:$R,AB$1,0)/100000,2)</f>
        <v>9.58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8.99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10.22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AN92*0.013</f>
        <v>12434.941999999999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0.57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1.30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1.29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0.42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0.37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44.20</v>
      </c>
      <c r="D11" s="3" t="str">
        <f>FIXED(VLOOKUP($A11,'Full Sample-No Sub'!$A:$R,D$1,0),2)</f>
        <v>58.81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50.78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57.27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45.78</v>
      </c>
      <c r="P11" s="3" t="str">
        <f>FIXED(VLOOKUP($A11,'Full Sample-Townhouse'!$A:$R,P$1,0),2)</f>
        <v>60.60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50.12</v>
      </c>
      <c r="T11" s="3" t="str">
        <f>FIXED(VLOOKUP($A11,'Full Sample-Townhouse'!$A:$R,T$1,0),2)</f>
        <v>58.35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39.79</v>
      </c>
      <c r="X11" s="3" t="str">
        <f>FIXED(VLOOKUP($A11,'Full Sample-Townhouse'!$A:$R,X$1,0),2)</f>
        <v>63.08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42.31</v>
      </c>
      <c r="AB11" s="3" t="str">
        <f>FIXED(VLOOKUP($A11,'Full Sample-Single Family'!$A:$R,AB$1,0),2)</f>
        <v>56.51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51.58</v>
      </c>
      <c r="AF11" s="3" t="str">
        <f>FIXED(VLOOKUP($A11,'Full Sample-Single Family'!$A:$R,AF$1,0),2)</f>
        <v>59.84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29.63</v>
      </c>
      <c r="AJ11" s="3" t="str">
        <f>FIXED(VLOOKUP($A11,'Full Sample-Single Family'!$A:$R,AJ$1,0),2)</f>
        <v>48.86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1.51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0.56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0.98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2.71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2.69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1.31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0.27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0.21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0.53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0.52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0.21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344</v>
      </c>
      <c r="C18" s="9" t="str">
        <f>FIXED(VLOOKUP($A18,'Full Sample-No Sub'!$A:$R,C$1,0),2)</f>
        <v>1,472.42</v>
      </c>
      <c r="D18" s="3" t="str">
        <f>FIXED(VLOOKUP($A18,'Full Sample-No Sub'!$A:$R,D$1,0),2)</f>
        <v>980.20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1,457.67</v>
      </c>
      <c r="H18" s="3" t="str">
        <f>FIXED(VLOOKUP($A18,'Full Sample-No Sub'!$A:$R,H$1,0),2)</f>
        <v>947.47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1,492.68</v>
      </c>
      <c r="L18" s="3" t="str">
        <f>FIXED(VLOOKUP($A18,'Full Sample-No Sub'!$A:$R,L$1,0),2)</f>
        <v>1,023.13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966.29</v>
      </c>
      <c r="P18" s="3" t="str">
        <f>FIXED(VLOOKUP($A18,'Full Sample-Townhouse'!$A:$R,P$1,0),2)</f>
        <v>439.74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970.93</v>
      </c>
      <c r="T18" s="3" t="str">
        <f>FIXED(VLOOKUP($A18,'Full Sample-Townhouse'!$A:$R,T$1,0),2)</f>
        <v>438.71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959.90</v>
      </c>
      <c r="X18" s="3" t="str">
        <f>FIXED(VLOOKUP($A18,'Full Sample-Townhouse'!$A:$R,X$1,0),2)</f>
        <v>441.09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2,082.08</v>
      </c>
      <c r="AB18" s="3" t="str">
        <f>FIXED(VLOOKUP($A18,'Full Sample-Single Family'!$A:$R,AB$1,0),2)</f>
        <v>1,097.71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2,046.12</v>
      </c>
      <c r="AF18" s="3" t="str">
        <f>FIXED(VLOOKUP($A18,'Full Sample-Single Family'!$A:$R,AF$1,0),2)</f>
        <v>1,057.17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2,131.24</v>
      </c>
      <c r="AJ18" s="3" t="str">
        <f>FIXED(VLOOKUP($A18,'Full Sample-Single Family'!$A:$R,AJ$1,0),2)</f>
        <v>1,149.04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36.71</v>
      </c>
      <c r="D19" s="3" t="str">
        <f>FIXED(VLOOKUP($A19,'Full Sample-No Sub'!$A:$R,D$1,0),2)</f>
        <v>19.79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34.92</v>
      </c>
      <c r="H19" s="3" t="str">
        <f>FIXED(VLOOKUP($A19,'Full Sample-No Sub'!$A:$R,H$1,0),2)</f>
        <v>19.53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39.16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35.02</v>
      </c>
      <c r="P19" s="3" t="str">
        <f>FIXED(VLOOKUP($A19,'Full Sample-Townhouse'!$A:$R,P$1,0),2)</f>
        <v>16.28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33.54</v>
      </c>
      <c r="T19" s="3" t="str">
        <f>FIXED(VLOOKUP($A19,'Full Sample-Townhouse'!$A:$R,T$1,0),2)</f>
        <v>16.10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37.07</v>
      </c>
      <c r="X19" s="3" t="str">
        <f>FIXED(VLOOKUP($A19,'Full Sample-Townhouse'!$A:$R,X$1,0),2)</f>
        <v>16.31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38.74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36.60</v>
      </c>
      <c r="AF19" s="3" t="str">
        <f>FIXED(VLOOKUP($A19,'Full Sample-Single Family'!$A:$R,AF$1,0),2)</f>
        <v>22.89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41.66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1.74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1.60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1.49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1.38</v>
      </c>
      <c r="T20" s="3" t="str">
        <f>FIXED(VLOOKUP($A20,'Full Sample-Townhouse'!$A:$R,T$1,0),2)</f>
        <v>0.97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1.06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70</v>
      </c>
      <c r="B22" s="4" t="s">
        <v>146</v>
      </c>
      <c r="C22" s="9" t="str">
        <f>FIXED(VLOOKUP($A22,'Full Sample-No Sub'!$A:$R,C$1,0),2)</f>
        <v>0.19</v>
      </c>
      <c r="D22" s="3" t="str">
        <f>FIXED(VLOOKUP($A22,'Full Sample-No Sub'!$A:$R,D$1,0),2)</f>
        <v>0.39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0.19</v>
      </c>
      <c r="H22" s="3" t="str">
        <f>FIXED(VLOOKUP($A22,'Full Sample-No Sub'!$A:$R,H$1,0),2)</f>
        <v>0.39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0.20</v>
      </c>
      <c r="L22" s="3" t="str">
        <f>FIXED(VLOOKUP($A22,'Full Sample-No Sub'!$A:$R,L$1,0),2)</f>
        <v>0.40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0.17</v>
      </c>
      <c r="P22" s="3" t="str">
        <f>FIXED(VLOOKUP($A22,'Full Sample-Townhouse'!$A:$R,P$1,0),2)</f>
        <v>0.38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0.17</v>
      </c>
      <c r="T22" s="3" t="str">
        <f>FIXED(VLOOKUP($A22,'Full Sample-Townhouse'!$A:$R,T$1,0),2)</f>
        <v>0.38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0.18</v>
      </c>
      <c r="X22" s="3" t="str">
        <f>FIXED(VLOOKUP($A22,'Full Sample-Townhouse'!$A:$R,X$1,0),2)</f>
        <v>0.38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0.22</v>
      </c>
      <c r="AB22" s="3" t="str">
        <f>FIXED(VLOOKUP($A22,'Full Sample-Single Family'!$A:$R,AB$1,0),2)</f>
        <v>0.41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0.21</v>
      </c>
      <c r="AF22" s="3" t="str">
        <f>FIXED(VLOOKUP($A22,'Full Sample-Single Family'!$A:$R,AF$1,0),2)</f>
        <v>0.41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0.22</v>
      </c>
      <c r="AJ22" s="3" t="str">
        <f>FIXED(VLOOKUP($A22,'Full Sample-Single Family'!$A:$R,AJ$1,0),2)</f>
        <v>0.42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71</v>
      </c>
      <c r="B23" s="4" t="s">
        <v>147</v>
      </c>
      <c r="C23" s="9" t="str">
        <f>FIXED(VLOOKUP($A23,'Full Sample-No Sub'!$A:$R,C$1,0),2)</f>
        <v>0.34</v>
      </c>
      <c r="D23" s="3" t="str">
        <f>FIXED(VLOOKUP($A23,'Full Sample-No Sub'!$A:$R,D$1,0),2)</f>
        <v>0.47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0.36</v>
      </c>
      <c r="H23" s="3" t="str">
        <f>FIXED(VLOOKUP($A23,'Full Sample-No Sub'!$A:$R,H$1,0),2)</f>
        <v>0.48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0.31</v>
      </c>
      <c r="L23" s="3" t="str">
        <f>FIXED(VLOOKUP($A23,'Full Sample-No Sub'!$A:$R,L$1,0),2)</f>
        <v>0.46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0.37</v>
      </c>
      <c r="P23" s="3" t="str">
        <f>FIXED(VLOOKUP($A23,'Full Sample-Townhouse'!$A:$R,P$1,0),2)</f>
        <v>0.48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0.39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0.34</v>
      </c>
      <c r="X23" s="3" t="str">
        <f>FIXED(VLOOKUP($A23,'Full Sample-Townhouse'!$A:$R,X$1,0),2)</f>
        <v>0.47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0.30</v>
      </c>
      <c r="AB23" s="3" t="str">
        <f>FIXED(VLOOKUP($A23,'Full Sample-Single Family'!$A:$R,AB$1,0),2)</f>
        <v>0.46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0.32</v>
      </c>
      <c r="AF23" s="3" t="str">
        <f>FIXED(VLOOKUP($A23,'Full Sample-Single Family'!$A:$R,AF$1,0),2)</f>
        <v>0.47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0.28</v>
      </c>
      <c r="AJ23" s="3" t="str">
        <f>FIXED(VLOOKUP($A23,'Full Sample-Single Family'!$A:$R,AJ$1,0),2)</f>
        <v>0.45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72</v>
      </c>
      <c r="B24" s="4" t="s">
        <v>148</v>
      </c>
      <c r="C24" s="9" t="str">
        <f>FIXED(VLOOKUP($A24,'Full Sample-No Sub'!$A:$R,C$1,0),2)</f>
        <v>0.42</v>
      </c>
      <c r="D24" s="3" t="str">
        <f>FIXED(VLOOKUP($A24,'Full Sample-No Sub'!$A:$R,D$1,0),2)</f>
        <v>0.49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0.41</v>
      </c>
      <c r="H24" s="3" t="str">
        <f>FIXED(VLOOKUP($A24,'Full Sample-No Sub'!$A:$R,H$1,0),2)</f>
        <v>0.49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0.45</v>
      </c>
      <c r="L24" s="3" t="str">
        <f>FIXED(VLOOKUP($A24,'Full Sample-No Sub'!$A:$R,L$1,0),2)</f>
        <v>0.50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0.44</v>
      </c>
      <c r="P24" s="3" t="str">
        <f>FIXED(VLOOKUP($A24,'Full Sample-Townhouse'!$A:$R,P$1,0),2)</f>
        <v>0.50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0.42</v>
      </c>
      <c r="T24" s="3" t="str">
        <f>FIXED(VLOOKUP($A24,'Full Sample-Townhouse'!$A:$R,T$1,0),2)</f>
        <v>0.49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0.46</v>
      </c>
      <c r="X24" s="3" t="str">
        <f>FIXED(VLOOKUP($A24,'Full Sample-Townhouse'!$A:$R,X$1,0),2)</f>
        <v>0.50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0.41</v>
      </c>
      <c r="AB24" s="3" t="str">
        <f>FIXED(VLOOKUP($A24,'Full Sample-Single Family'!$A:$R,AB$1,0),2)</f>
        <v>0.49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0.40</v>
      </c>
      <c r="AF24" s="3" t="str">
        <f>FIXED(VLOOKUP($A24,'Full Sample-Single Family'!$A:$R,AF$1,0),2)</f>
        <v>0.49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0.43</v>
      </c>
      <c r="AJ24" s="3" t="str">
        <f>FIXED(VLOOKUP($A24,'Full Sample-Single Family'!$A:$R,AJ$1,0),2)</f>
        <v>0.50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0.21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0.08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0.10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0.09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0.37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0.17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tr">
        <f>FIXED(VLOOKUP($A28,'Full Sample-Single Family'!$A:$R,AA$1,0),2)</f>
        <v>0.00</v>
      </c>
      <c r="AB28" s="3" t="str">
        <f>FIXED(VLOOKUP($A28,'Full Sample-Single Family'!$A:$R,AB$1,0),2)</f>
        <v>0.00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0.29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0.28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0.51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0.53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tr">
        <f>FIXED(VLOOKUP($A29,'Full Sample-Single Family'!$A:$R,AA$1,0),2)</f>
        <v>0.00</v>
      </c>
      <c r="AB29" s="3" t="str">
        <f>FIXED(VLOOKUP($A29,'Full Sample-Single Family'!$A:$R,AB$1,0),2)</f>
        <v>0.00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0.46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0.31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tr">
        <f>FIXED(VLOOKUP($A30,'Full Sample-Single Family'!$A:$R,AA$1,0),2)</f>
        <v>0.00</v>
      </c>
      <c r="AB30" s="3" t="str">
        <f>FIXED(VLOOKUP($A30,'Full Sample-Single Family'!$A:$R,AB$1,0),2)</f>
        <v>0.02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1.00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0.02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1.00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0.01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0.06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tr">
        <f>FIXED(VLOOKUP($A31,'Full Sample-Single Family'!$A:$R,AA$1,0),2)</f>
        <v>0.00</v>
      </c>
      <c r="AB31" s="3" t="str">
        <f>FIXED(VLOOKUP($A31,'Full Sample-Single Family'!$A:$R,AB$1,0),2)</f>
        <v>0.00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0.06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0.06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0.27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FIXED(VLOOKUP($A33,'Full Sample-Townhouse'!$A:$R,O$1,0),2)</f>
        <v>0.00</v>
      </c>
      <c r="P33" s="3" t="str">
        <f>FIXED(VLOOKUP($A33,'Full Sample-Townhouse'!$A:$R,P$1,0),2)</f>
        <v>0.01</v>
      </c>
      <c r="Q33" s="3" t="str">
        <f>FIXED(VLOOKUP($A33,'Full Sample-Townhouse'!$A:$R,Q$1,0),2)</f>
        <v>0.00</v>
      </c>
      <c r="R33" s="3" t="str">
        <f>FIXED(VLOOKUP($A33,'Full Sample-Townhouse'!$A:$R,R$1,0),2)</f>
        <v>1.00</v>
      </c>
      <c r="S33" s="9" t="str">
        <f>FIXED(VLOOKUP($A33,'Full Sample-Townhouse'!$A:$R,S$1,0),2)</f>
        <v>0.00</v>
      </c>
      <c r="T33" s="3" t="str">
        <f>FIXED(VLOOKUP($A33,'Full Sample-Townhouse'!$A:$R,T$1,0),2)</f>
        <v>0.01</v>
      </c>
      <c r="U33" s="3" t="str">
        <f>FIXED(VLOOKUP($A33,'Full Sample-Townhouse'!$A:$R,U$1,0),2)</f>
        <v>0.00</v>
      </c>
      <c r="V33" s="13" t="str">
        <f>FIXED(VLOOKUP($A33,'Full Sample-Townhouse'!$A:$R,V$1,0),2)</f>
        <v>1.00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FIXED(VLOOKUP($A34,'Full Sample-Townhouse'!$A:$R,O$1,0),2)</f>
        <v>0.00</v>
      </c>
      <c r="P34" s="3" t="str">
        <f>FIXED(VLOOKUP($A34,'Full Sample-Townhouse'!$A:$R,P$1,0),2)</f>
        <v>0.00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0.27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0.08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0.22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0.23</v>
      </c>
      <c r="T39" s="3" t="str">
        <f>FIXED(VLOOKUP($A39,'Full Sample-Townhouse'!$A:$R,T$1,0),2)</f>
        <v>0.42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0.27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0.36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0.28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0.27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0.07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0.12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0.12</v>
      </c>
      <c r="H42" s="3" t="str">
        <f>FIXED(VLOOKUP($A42,'Full Sample-No Sub'!$A:$R,H$1,0),2)</f>
        <v>0.32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0.20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0.21</v>
      </c>
      <c r="T42" s="3" t="str">
        <f>FIXED(VLOOKUP($A42,'Full Sample-Townhouse'!$A:$R,T$1,0),2)</f>
        <v>0.40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18.01</v>
      </c>
      <c r="D44" s="3" t="str">
        <f>FIXED(VLOOKUP($A44,'Full Sample-No Sub'!$A:$R,D$1,0),2)</f>
        <v>47.33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17.76</v>
      </c>
      <c r="H44" s="3" t="str">
        <f>FIXED(VLOOKUP($A44,'Full Sample-No Sub'!$A:$R,H$1,0),2)</f>
        <v>45.57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18.36</v>
      </c>
      <c r="L44" s="3" t="str">
        <f>FIXED(VLOOKUP($A44,'Full Sample-No Sub'!$A:$R,L$1,0),2)</f>
        <v>49.66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12.37</v>
      </c>
      <c r="P44" s="3" t="str">
        <f>FIXED(VLOOKUP($A44,'Full Sample-Townhouse'!$A:$R,P$1,0),2)</f>
        <v>41.82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11.81</v>
      </c>
      <c r="T44" s="3" t="str">
        <f>FIXED(VLOOKUP($A44,'Full Sample-Townhouse'!$A:$R,T$1,0),2)</f>
        <v>39.64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13.14</v>
      </c>
      <c r="X44" s="3" t="str">
        <f>FIXED(VLOOKUP($A44,'Full Sample-Townhouse'!$A:$R,X$1,0),2)</f>
        <v>44.63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52.43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50.92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24.61</v>
      </c>
      <c r="AJ44" s="3" t="str">
        <f>FIXED(VLOOKUP($A44,'Full Sample-Single Family'!$A:$R,AJ$1,0),2)</f>
        <v>54.44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0.26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0.44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0.25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0.32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0.31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0.17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0.70</v>
      </c>
      <c r="D52" s="3" t="str">
        <f>FIXED(VLOOKUP($A52,'Full Sample-No Sub'!$A:$R,D$1,0),2)</f>
        <v>1.53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0.71</v>
      </c>
      <c r="H52" s="3" t="str">
        <f>FIXED(VLOOKUP($A52,'Full Sample-No Sub'!$A:$R,H$1,0),2)</f>
        <v>1.57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1.27</v>
      </c>
      <c r="P52" s="3" t="str">
        <f>FIXED(VLOOKUP($A52,'Full Sample-Townhouse'!$A:$R,P$1,0),2)</f>
        <v>1.89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1.29</v>
      </c>
      <c r="T52" s="3" t="str">
        <f>FIXED(VLOOKUP($A52,'Full Sample-Townhouse'!$A:$R,T$1,0),2)</f>
        <v>1.93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2.09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2.13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1.76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1.78</v>
      </c>
      <c r="T53" s="3" t="str">
        <f>FIXED(VLOOKUP($A53,'Full Sample-Townhouse'!$A:$R,T$1,0),2)</f>
        <v>2.31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2.56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4.13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4.09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3.19</v>
      </c>
      <c r="P55" s="3" t="str">
        <f>FIXED(VLOOKUP($A55,'Full Sample-Townhouse'!$A:$R,P$1,0),2)</f>
        <v>3.46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3.13</v>
      </c>
      <c r="T55" s="3" t="str">
        <f>FIXED(VLOOKUP($A55,'Full Sample-Townhouse'!$A:$R,T$1,0),2)</f>
        <v>3.34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3.27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4.23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9.07</v>
      </c>
      <c r="D56" s="3" t="str">
        <f>FIXED(VLOOKUP($A56,'Full Sample-No Sub'!$A:$R,D$1,0),2)</f>
        <v>5.60</v>
      </c>
      <c r="E56" s="3" t="str">
        <f>FIXED(VLOOKUP($A56,'Full Sample-No Sub'!$A:$R,E$1,0),2)</f>
        <v>0.99</v>
      </c>
      <c r="F56" s="3" t="str">
        <f>FIXED(VLOOKUP($A56,'Full Sample-No Sub'!$A:$R,F$1,0),2)</f>
        <v>30.99</v>
      </c>
      <c r="G56" s="9" t="str">
        <f>FIXED(VLOOKUP($A56,'Full Sample-No Sub'!$A:$R,G$1,0),2)</f>
        <v>9.05</v>
      </c>
      <c r="H56" s="3" t="str">
        <f>FIXED(VLOOKUP($A56,'Full Sample-No Sub'!$A:$R,H$1,0),2)</f>
        <v>5.60</v>
      </c>
      <c r="I56" s="3" t="str">
        <f>FIXED(VLOOKUP($A56,'Full Sample-No Sub'!$A:$R,I$1,0),2)</f>
        <v>0.99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7.62</v>
      </c>
      <c r="P56" s="3" t="str">
        <f>FIXED(VLOOKUP($A56,'Full Sample-Townhouse'!$A:$R,P$1,0),2)</f>
        <v>5.17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7.63</v>
      </c>
      <c r="T56" s="3" t="str">
        <f>FIXED(VLOOKUP($A56,'Full Sample-Townhouse'!$A:$R,T$1,0),2)</f>
        <v>5.19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5.15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1.27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10.76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1.27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10.92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4.51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4.65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6.05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1.29</v>
      </c>
      <c r="T57" s="3" t="str">
        <f>FIXED(VLOOKUP($A57,'Full Sample-Townhouse'!$A:$R,T$1,0),2)</f>
        <v>6.24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1.24</v>
      </c>
      <c r="X57" s="3" t="str">
        <f>FIXED(VLOOKUP($A57,'Full Sample-Townhouse'!$A:$R,X$1,0),2)</f>
        <v>5.79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7.45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7.14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1.59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1.58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1.33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1.97</v>
      </c>
      <c r="T58" s="3" t="str">
        <f>FIXED(VLOOKUP($A58,'Full Sample-Townhouse'!$A:$R,T$1,0),2)</f>
        <v>1.33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2.17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2.17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1.84</v>
      </c>
      <c r="P59" s="3" t="str">
        <f>FIXED(VLOOKUP($A59,'Full Sample-Townhouse'!$A:$R,P$1,0),2)</f>
        <v>1.21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1.84</v>
      </c>
      <c r="T59" s="3" t="str">
        <f>FIXED(VLOOKUP($A59,'Full Sample-Townhouse'!$A:$R,T$1,0),2)</f>
        <v>1.21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1.82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0.13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0.13</v>
      </c>
      <c r="H60" s="3" t="str">
        <f>FIXED(VLOOKUP($A60,'Full Sample-No Sub'!$A:$R,H$1,0),2)</f>
        <v>0.34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0.21</v>
      </c>
      <c r="P60" s="3" t="str">
        <f>FIXED(VLOOKUP($A60,'Full Sample-Townhouse'!$A:$R,P$1,0),2)</f>
        <v>0.41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0.22</v>
      </c>
      <c r="T60" s="3" t="str">
        <f>FIXED(VLOOKUP($A60,'Full Sample-Townhouse'!$A:$R,T$1,0),2)</f>
        <v>0.41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0.09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0.07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0.42</v>
      </c>
      <c r="H64" s="3" t="str">
        <f>FIXED(VLOOKUP($A64,'Full Sample-No Sub'!$A:$R,H$1,0),2)</f>
        <v>0.49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0.39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0.18</v>
      </c>
      <c r="E67" s="3" t="str">
        <f>FIXED(VLOOKUP($A67,'Full Sample-No Sub'!$A:$R,E$1,0),2)</f>
        <v>0.00</v>
      </c>
      <c r="F67" s="3" t="str">
        <f>FIXED(VLOOKUP($A67,'Full Sample-No Sub'!$A:$R,F$1,0),2)</f>
        <v>0.85</v>
      </c>
      <c r="G67" s="9" t="str">
        <f>FIXED(VLOOKUP($A67,'Full Sample-No Sub'!$A:$R,G$1,0),2)</f>
        <v>0.25</v>
      </c>
      <c r="H67" s="3" t="str">
        <f>FIXED(VLOOKUP($A67,'Full Sample-No Sub'!$A:$R,H$1,0),2)</f>
        <v>0.18</v>
      </c>
      <c r="I67" s="3" t="str">
        <f>FIXED(VLOOKUP($A67,'Full Sample-No Sub'!$A:$R,I$1,0),2)</f>
        <v>0.00</v>
      </c>
      <c r="J67" s="13" t="str">
        <f>FIXED(VLOOKUP($A67,'Full Sample-No Sub'!$A:$R,J$1,0),2)</f>
        <v>0.85</v>
      </c>
      <c r="K67" s="9" t="str">
        <f>FIXED(VLOOKUP($A67,'Full Sample-No Sub'!$A:$R,K$1,0),2)</f>
        <v>0.24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0.85</v>
      </c>
      <c r="O67" s="9" t="str">
        <f>FIXED(VLOOKUP($A67,'Full Sample-Townhouse'!$A:$R,O$1,0),2)</f>
        <v>0.27</v>
      </c>
      <c r="P67" s="3" t="str">
        <f>FIXED(VLOOKUP($A67,'Full Sample-Townhouse'!$A:$R,P$1,0),2)</f>
        <v>0.19</v>
      </c>
      <c r="Q67" s="3" t="str">
        <f>FIXED(VLOOKUP($A67,'Full Sample-Townhouse'!$A:$R,Q$1,0),2)</f>
        <v>0.00</v>
      </c>
      <c r="R67" s="3" t="str">
        <f>FIXED(VLOOKUP($A67,'Full Sample-Townhouse'!$A:$R,R$1,0),2)</f>
        <v>0.83</v>
      </c>
      <c r="S67" s="9" t="str">
        <f>FIXED(VLOOKUP($A67,'Full Sample-Townhouse'!$A:$R,S$1,0),2)</f>
        <v>0.28</v>
      </c>
      <c r="T67" s="3" t="str">
        <f>FIXED(VLOOKUP($A67,'Full Sample-Townhouse'!$A:$R,T$1,0),2)</f>
        <v>0.19</v>
      </c>
      <c r="U67" s="3" t="str">
        <f>FIXED(VLOOKUP($A67,'Full Sample-Townhouse'!$A:$R,U$1,0),2)</f>
        <v>0.00</v>
      </c>
      <c r="V67" s="13" t="str">
        <f>FIXED(VLOOKUP($A67,'Full Sample-Townhouse'!$A:$R,V$1,0),2)</f>
        <v>0.83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0.21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0.85</v>
      </c>
      <c r="AE67" s="9" t="str">
        <f>FIXED(VLOOKUP($A67,'Full Sample-Single Family'!$A:$R,AE$1,0),2)</f>
        <v>0.21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0.85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0.03</v>
      </c>
      <c r="E68" s="3" t="str">
        <f>FIXED(VLOOKUP($A68,'Full Sample-No Sub'!$A:$R,E$1,0),2)</f>
        <v>0.00</v>
      </c>
      <c r="F68" s="3" t="str">
        <f>FIXED(VLOOKUP($A68,'Full Sample-No Sub'!$A:$R,F$1,0),2)</f>
        <v>0.26</v>
      </c>
      <c r="G68" s="9" t="str">
        <f>FIXED(VLOOKUP($A68,'Full Sample-No Sub'!$A:$R,G$1,0),2)</f>
        <v>0.02</v>
      </c>
      <c r="H68" s="3" t="str">
        <f>FIXED(VLOOKUP($A68,'Full Sample-No Sub'!$A:$R,H$1,0),2)</f>
        <v>0.04</v>
      </c>
      <c r="I68" s="3" t="str">
        <f>FIXED(VLOOKUP($A68,'Full Sample-No Sub'!$A:$R,I$1,0),2)</f>
        <v>0.00</v>
      </c>
      <c r="J68" s="13" t="str">
        <f>FIXED(VLOOKUP($A68,'Full Sample-No Sub'!$A:$R,J$1,0),2)</f>
        <v>0.26</v>
      </c>
      <c r="K68" s="9" t="str">
        <f>FIXED(VLOOKUP($A68,'Full Sample-No Sub'!$A:$R,K$1,0),2)</f>
        <v>0.02</v>
      </c>
      <c r="L68" s="3" t="str">
        <f>FIXED(VLOOKUP($A68,'Full Sample-No Sub'!$A:$R,L$1,0),2)</f>
        <v>0.03</v>
      </c>
      <c r="M68" s="3" t="str">
        <f>FIXED(VLOOKUP($A68,'Full Sample-No Sub'!$A:$R,M$1,0),2)</f>
        <v>0.00</v>
      </c>
      <c r="N68" s="13" t="str">
        <f>FIXED(VLOOKUP($A68,'Full Sample-No Sub'!$A:$R,N$1,0),2)</f>
        <v>0.26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0.24</v>
      </c>
      <c r="S68" s="9" t="str">
        <f>FIXED(VLOOKUP($A68,'Full Sample-Townhouse'!$A:$R,S$1,0),2)</f>
        <v>0.02</v>
      </c>
      <c r="T68" s="3" t="str">
        <f>FIXED(VLOOKUP($A68,'Full Sample-Townhouse'!$A:$R,T$1,0),2)</f>
        <v>0.04</v>
      </c>
      <c r="U68" s="3" t="str">
        <f>FIXED(VLOOKUP($A68,'Full Sample-Townhouse'!$A:$R,U$1,0),2)</f>
        <v>0.00</v>
      </c>
      <c r="V68" s="13" t="str">
        <f>FIXED(VLOOKUP($A68,'Full Sample-Townhouse'!$A:$R,V$1,0),2)</f>
        <v>0.24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0.24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0.26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0.26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0.03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0.20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0.43</v>
      </c>
      <c r="H69" s="3" t="str">
        <f>FIXED(VLOOKUP($A69,'Full Sample-No Sub'!$A:$R,H$1,0),2)</f>
        <v>0.20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0.44</v>
      </c>
      <c r="P69" s="3" t="str">
        <f>FIXED(VLOOKUP($A69,'Full Sample-Townhouse'!$A:$R,P$1,0),2)</f>
        <v>0.19</v>
      </c>
      <c r="Q69" s="3" t="str">
        <f>FIXED(VLOOKUP($A69,'Full Sample-Townhouse'!$A:$R,Q$1,0),2)</f>
        <v>0.01</v>
      </c>
      <c r="R69" s="3" t="str">
        <f>FIXED(VLOOKUP($A69,'Full Sample-Townhouse'!$A:$R,R$1,0),2)</f>
        <v>1.00</v>
      </c>
      <c r="S69" s="9" t="str">
        <f>FIXED(VLOOKUP($A69,'Full Sample-Townhouse'!$A:$R,S$1,0),2)</f>
        <v>0.44</v>
      </c>
      <c r="T69" s="3" t="str">
        <f>FIXED(VLOOKUP($A69,'Full Sample-Townhouse'!$A:$R,T$1,0),2)</f>
        <v>0.20</v>
      </c>
      <c r="U69" s="3" t="str">
        <f>FIXED(VLOOKUP($A69,'Full Sample-Townhouse'!$A:$R,U$1,0),2)</f>
        <v>0.01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0.42</v>
      </c>
      <c r="AB69" s="3" t="str">
        <f>FIXED(VLOOKUP($A69,'Full Sample-Single Family'!$A:$R,AB$1,0),2)</f>
        <v>0.20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0.96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0.20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0.96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0.10</v>
      </c>
      <c r="E70" s="3" t="str">
        <f>FIXED(VLOOKUP($A70,'Full Sample-No Sub'!$A:$R,E$1,0),2)</f>
        <v>0.00</v>
      </c>
      <c r="F70" s="3" t="str">
        <f>FIXED(VLOOKUP($A70,'Full Sample-No Sub'!$A:$R,F$1,0),2)</f>
        <v>0.70</v>
      </c>
      <c r="G70" s="9" t="str">
        <f>FIXED(VLOOKUP($A70,'Full Sample-No Sub'!$A:$R,G$1,0),2)</f>
        <v>0.07</v>
      </c>
      <c r="H70" s="3" t="str">
        <f>FIXED(VLOOKUP($A70,'Full Sample-No Sub'!$A:$R,H$1,0),2)</f>
        <v>0.10</v>
      </c>
      <c r="I70" s="3" t="str">
        <f>FIXED(VLOOKUP($A70,'Full Sample-No Sub'!$A:$R,I$1,0),2)</f>
        <v>0.00</v>
      </c>
      <c r="J70" s="13" t="str">
        <f>FIXED(VLOOKUP($A70,'Full Sample-No Sub'!$A:$R,J$1,0),2)</f>
        <v>0.70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0.70</v>
      </c>
      <c r="O70" s="9" t="str">
        <f>FIXED(VLOOKUP($A70,'Full Sample-Townhouse'!$A:$R,O$1,0),2)</f>
        <v>0.06</v>
      </c>
      <c r="P70" s="3" t="str">
        <f>FIXED(VLOOKUP($A70,'Full Sample-Townhouse'!$A:$R,P$1,0),2)</f>
        <v>0.09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0.09</v>
      </c>
      <c r="U70" s="3" t="str">
        <f>FIXED(VLOOKUP($A70,'Full Sample-Townhouse'!$A:$R,U$1,0),2)</f>
        <v>0.00</v>
      </c>
      <c r="V70" s="13" t="str">
        <f>FIXED(VLOOKUP($A70,'Full Sample-Townhouse'!$A:$R,V$1,0),2)</f>
        <v>0.64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0.12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0.70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0.12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0.70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46</v>
      </c>
      <c r="B71" t="s">
        <v>126</v>
      </c>
      <c r="C71" s="9" t="str">
        <f>FIXED(VLOOKUP($A71,'Full Sample-No Sub'!$A:$R,C$1,0),2)</f>
        <v>0.88</v>
      </c>
      <c r="D71" s="3" t="str">
        <f>FIXED(VLOOKUP($A71,'Full Sample-No Sub'!$A:$R,D$1,0),2)</f>
        <v>0.17</v>
      </c>
      <c r="E71" s="3" t="str">
        <f>FIXED(VLOOKUP($A71,'Full Sample-No Sub'!$A:$R,E$1,0),2)</f>
        <v>0.00</v>
      </c>
      <c r="F71" s="3" t="str">
        <f>FIXED(VLOOKUP($A71,'Full Sample-No Sub'!$A:$R,F$1,0),2)</f>
        <v>1.00</v>
      </c>
      <c r="G71" s="9" t="str">
        <f>FIXED(VLOOKUP($A71,'Full Sample-No Sub'!$A:$R,G$1,0),2)</f>
        <v>0.88</v>
      </c>
      <c r="H71" s="3" t="str">
        <f>FIXED(VLOOKUP($A71,'Full Sample-No Sub'!$A:$R,H$1,0),2)</f>
        <v>0.17</v>
      </c>
      <c r="I71" s="3" t="str">
        <f>FIXED(VLOOKUP($A71,'Full Sample-No Sub'!$A:$R,I$1,0),2)</f>
        <v>0.00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0.11</v>
      </c>
      <c r="N71" s="13" t="str">
        <f>FIXED(VLOOKUP($A71,'Full Sample-No Sub'!$A:$R,N$1,0),2)</f>
        <v>1.00</v>
      </c>
      <c r="O71" s="9" t="str">
        <f>FIXED(VLOOKUP($A71,'Full Sample-Townhouse'!$A:$R,O$1,0),2)</f>
        <v>0.83</v>
      </c>
      <c r="P71" s="3" t="str">
        <f>FIXED(VLOOKUP($A71,'Full Sample-Townhouse'!$A:$R,P$1,0),2)</f>
        <v>0.20</v>
      </c>
      <c r="Q71" s="3" t="str">
        <f>FIXED(VLOOKUP($A71,'Full Sample-Townhouse'!$A:$R,Q$1,0),2)</f>
        <v>0.11</v>
      </c>
      <c r="R71" s="3" t="str">
        <f>FIXED(VLOOKUP($A71,'Full Sample-Townhouse'!$A:$R,R$1,0),2)</f>
        <v>1.00</v>
      </c>
      <c r="S71" s="9" t="str">
        <f>FIXED(VLOOKUP($A71,'Full Sample-Townhouse'!$A:$R,S$1,0),2)</f>
        <v>0.84</v>
      </c>
      <c r="T71" s="3" t="str">
        <f>FIXED(VLOOKUP($A71,'Full Sample-Townhouse'!$A:$R,T$1,0),2)</f>
        <v>0.20</v>
      </c>
      <c r="U71" s="3" t="str">
        <f>FIXED(VLOOKUP($A71,'Full Sample-Townhouse'!$A:$R,U$1,0),2)</f>
        <v>0.11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0.11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0.09</v>
      </c>
      <c r="AC71" s="3" t="str">
        <f>FIXED(VLOOKUP($A71,'Full Sample-Single Family'!$A:$R,AC$1,0),2)</f>
        <v>0.00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0.09</v>
      </c>
      <c r="AG71" s="3" t="str">
        <f>FIXED(VLOOKUP($A71,'Full Sample-Single Family'!$A:$R,AG$1,0),2)</f>
        <v>0.00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47</v>
      </c>
      <c r="B72" t="s">
        <v>127</v>
      </c>
      <c r="C72" s="9" t="str">
        <f>FIXED(VLOOKUP($A72,'Full Sample-No Sub'!$A:$R,C$1,0),2)</f>
        <v>0.12</v>
      </c>
      <c r="D72" s="3" t="str">
        <f>FIXED(VLOOKUP($A72,'Full Sample-No Sub'!$A:$R,D$1,0),2)</f>
        <v>0.16</v>
      </c>
      <c r="E72" s="3" t="str">
        <f>FIXED(VLOOKUP($A72,'Full Sample-No Sub'!$A:$R,E$1,0),2)</f>
        <v>0.00</v>
      </c>
      <c r="F72" s="3" t="str">
        <f>FIXED(VLOOKUP($A72,'Full Sample-No Sub'!$A:$R,F$1,0),2)</f>
        <v>0.89</v>
      </c>
      <c r="G72" s="9" t="str">
        <f>FIXED(VLOOKUP($A72,'Full Sample-No Sub'!$A:$R,G$1,0),2)</f>
        <v>0.12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0.89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0.89</v>
      </c>
      <c r="O72" s="9" t="str">
        <f>FIXED(VLOOKUP($A72,'Full Sample-Townhouse'!$A:$R,O$1,0),2)</f>
        <v>0.17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0.89</v>
      </c>
      <c r="S72" s="9" t="str">
        <f>FIXED(VLOOKUP($A72,'Full Sample-Townhouse'!$A:$R,S$1,0),2)</f>
        <v>0.16</v>
      </c>
      <c r="T72" s="3" t="str">
        <f>FIXED(VLOOKUP($A72,'Full Sample-Townhouse'!$A:$R,T$1,0),2)</f>
        <v>0.20</v>
      </c>
      <c r="U72" s="3" t="str">
        <f>FIXED(VLOOKUP($A72,'Full Sample-Townhouse'!$A:$R,U$1,0),2)</f>
        <v>0.00</v>
      </c>
      <c r="V72" s="13" t="str">
        <f>FIXED(VLOOKUP($A72,'Full Sample-Townhouse'!$A:$R,V$1,0),2)</f>
        <v>0.89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0.89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0.08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0.09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48</v>
      </c>
      <c r="B73" t="s">
        <v>128</v>
      </c>
      <c r="C73" s="9" t="str">
        <f>FIXED(VLOOKUP($A73,'Full Sample-No Sub'!$A:$R,C$1,0),2)</f>
        <v>0.67</v>
      </c>
      <c r="D73" s="3" t="str">
        <f>FIXED(VLOOKUP($A73,'Full Sample-No Sub'!$A:$R,D$1,0),2)</f>
        <v>0.20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0.67</v>
      </c>
      <c r="H73" s="3" t="str">
        <f>FIXED(VLOOKUP($A73,'Full Sample-No Sub'!$A:$R,H$1,0),2)</f>
        <v>0.20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0.58</v>
      </c>
      <c r="P73" s="3" t="str">
        <f>FIXED(VLOOKUP($A73,'Full Sample-Townhouse'!$A:$R,P$1,0),2)</f>
        <v>0.19</v>
      </c>
      <c r="Q73" s="3" t="str">
        <f>FIXED(VLOOKUP($A73,'Full Sample-Townhouse'!$A:$R,Q$1,0),2)</f>
        <v>0.03</v>
      </c>
      <c r="R73" s="3" t="str">
        <f>FIXED(VLOOKUP($A73,'Full Sample-Townhouse'!$A:$R,R$1,0),2)</f>
        <v>0.99</v>
      </c>
      <c r="S73" s="9" t="str">
        <f>FIXED(VLOOKUP($A73,'Full Sample-Townhouse'!$A:$R,S$1,0),2)</f>
        <v>0.59</v>
      </c>
      <c r="T73" s="3" t="str">
        <f>FIXED(VLOOKUP($A73,'Full Sample-Townhouse'!$A:$R,T$1,0),2)</f>
        <v>0.19</v>
      </c>
      <c r="U73" s="3" t="str">
        <f>FIXED(VLOOKUP($A73,'Full Sample-Townhouse'!$A:$R,U$1,0),2)</f>
        <v>0.03</v>
      </c>
      <c r="V73" s="13" t="str">
        <f>FIXED(VLOOKUP($A73,'Full Sample-Townhouse'!$A:$R,V$1,0),2)</f>
        <v>0.99</v>
      </c>
      <c r="W73" s="9" t="str">
        <f>FIXED(VLOOKUP($A73,'Full Sample-Townhouse'!$A:$R,W$1,0),2)</f>
        <v>0.58</v>
      </c>
      <c r="X73" s="3" t="str">
        <f>FIXED(VLOOKUP($A73,'Full Sample-Townhouse'!$A:$R,X$1,0),2)</f>
        <v>0.20</v>
      </c>
      <c r="Y73" s="3" t="str">
        <f>FIXED(VLOOKUP($A73,'Full Sample-Townhouse'!$A:$R,Y$1,0),2)</f>
        <v>0.03</v>
      </c>
      <c r="Z73" s="3" t="str">
        <f>FIXED(VLOOKUP($A73,'Full Sample-Townhouse'!$A:$R,Z$1,0),2)</f>
        <v>0.98</v>
      </c>
      <c r="AA73" s="9" t="str">
        <f>FIXED(VLOOKUP($A73,'Full Sample-Single Family'!$A:$R,AA$1,0),2)</f>
        <v>0.77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0.77</v>
      </c>
      <c r="AF73" s="3" t="str">
        <f>FIXED(VLOOKUP($A73,'Full Sample-Single Family'!$A:$R,AF$1,0),2)</f>
        <v>0.17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49</v>
      </c>
      <c r="B74" t="s">
        <v>129</v>
      </c>
      <c r="C74" s="9" t="str">
        <f>FIXED(VLOOKUP($A74,'Full Sample-No Sub'!$A:$R,C$1,0),2)</f>
        <v>0.33</v>
      </c>
      <c r="D74" s="3" t="str">
        <f>FIXED(VLOOKUP($A74,'Full Sample-No Sub'!$A:$R,D$1,0),2)</f>
        <v>0.20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0.33</v>
      </c>
      <c r="H74" s="3" t="str">
        <f>FIXED(VLOOKUP($A74,'Full Sample-No Sub'!$A:$R,H$1,0),2)</f>
        <v>0.20</v>
      </c>
      <c r="I74" s="3" t="str">
        <f>FIXED(VLOOKUP($A74,'Full Sample-No Sub'!$A:$R,I$1,0),2)</f>
        <v>0.00</v>
      </c>
      <c r="J74" s="13" t="str">
        <f>FIXED(VLOOKUP($A74,'Full Sample-No Sub'!$A:$R,J$1,0),2)</f>
        <v>0.99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0.42</v>
      </c>
      <c r="P74" s="3" t="str">
        <f>FIXED(VLOOKUP($A74,'Full Sample-Townhouse'!$A:$R,P$1,0),2)</f>
        <v>0.19</v>
      </c>
      <c r="Q74" s="3" t="str">
        <f>FIXED(VLOOKUP($A74,'Full Sample-Townhouse'!$A:$R,Q$1,0),2)</f>
        <v>0.02</v>
      </c>
      <c r="R74" s="3" t="str">
        <f>FIXED(VLOOKUP($A74,'Full Sample-Townhouse'!$A:$R,R$1,0),2)</f>
        <v>0.97</v>
      </c>
      <c r="S74" s="9" t="str">
        <f>FIXED(VLOOKUP($A74,'Full Sample-Townhouse'!$A:$R,S$1,0),2)</f>
        <v>0.41</v>
      </c>
      <c r="T74" s="3" t="str">
        <f>FIXED(VLOOKUP($A74,'Full Sample-Townhouse'!$A:$R,T$1,0),2)</f>
        <v>0.19</v>
      </c>
      <c r="U74" s="3" t="str">
        <f>FIXED(VLOOKUP($A74,'Full Sample-Townhouse'!$A:$R,U$1,0),2)</f>
        <v>0.02</v>
      </c>
      <c r="V74" s="13" t="str">
        <f>FIXED(VLOOKUP($A74,'Full Sample-Townhouse'!$A:$R,V$1,0),2)</f>
        <v>0.97</v>
      </c>
      <c r="W74" s="9" t="str">
        <f>FIXED(VLOOKUP($A74,'Full Sample-Townhouse'!$A:$R,W$1,0),2)</f>
        <v>0.42</v>
      </c>
      <c r="X74" s="3" t="str">
        <f>FIXED(VLOOKUP($A74,'Full Sample-Townhouse'!$A:$R,X$1,0),2)</f>
        <v>0.20</v>
      </c>
      <c r="Y74" s="3" t="str">
        <f>FIXED(VLOOKUP($A74,'Full Sample-Townhouse'!$A:$R,Y$1,0),2)</f>
        <v>0.02</v>
      </c>
      <c r="Z74" s="3" t="str">
        <f>FIXED(VLOOKUP($A74,'Full Sample-Townhouse'!$A:$R,Z$1,0),2)</f>
        <v>0.97</v>
      </c>
      <c r="AA74" s="9" t="str">
        <f>FIXED(VLOOKUP($A74,'Full Sample-Single Family'!$A:$R,AA$1,0),2)</f>
        <v>0.23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0.23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0.99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38" x14ac:dyDescent="0.25">
      <c r="A76" t="s">
        <v>186</v>
      </c>
      <c r="B76" t="s">
        <v>187</v>
      </c>
      <c r="C76" s="27">
        <f>'Full Sample-No Sub'!B3</f>
        <v>50625</v>
      </c>
      <c r="D76" s="28"/>
      <c r="E76" s="28"/>
      <c r="F76" s="28"/>
      <c r="G76" s="27">
        <f>'Full Sample-No Sub'!H3</f>
        <v>29295</v>
      </c>
      <c r="H76" s="28"/>
      <c r="I76" s="28"/>
      <c r="J76" s="29"/>
      <c r="K76" s="27">
        <f>'Full Sample-No Sub'!N3</f>
        <v>21330</v>
      </c>
      <c r="L76" s="28"/>
      <c r="M76" s="28"/>
      <c r="N76" s="29"/>
      <c r="O76" s="27">
        <f>'Full Sample-Townhouse'!B3</f>
        <v>27661</v>
      </c>
      <c r="P76" s="28"/>
      <c r="Q76" s="28"/>
      <c r="R76" s="28"/>
      <c r="S76" s="27">
        <f>'Full Sample-Townhouse'!H3</f>
        <v>16033</v>
      </c>
      <c r="T76" s="28"/>
      <c r="U76" s="28"/>
      <c r="V76" s="29"/>
      <c r="W76" s="27">
        <f>'Full Sample-Townhouse'!N3</f>
        <v>11628</v>
      </c>
      <c r="X76" s="28"/>
      <c r="Y76" s="28"/>
      <c r="Z76" s="28"/>
      <c r="AA76" s="27">
        <f>'Full Sample-Single Family'!B3</f>
        <v>22964</v>
      </c>
      <c r="AB76" s="28"/>
      <c r="AC76" s="28"/>
      <c r="AD76" s="28"/>
      <c r="AE76" s="27">
        <f>'Full Sample-Single Family'!H3</f>
        <v>13262</v>
      </c>
      <c r="AF76" s="28"/>
      <c r="AG76" s="28"/>
      <c r="AH76" s="29"/>
      <c r="AI76" s="27">
        <f>'Full Sample-Single Family'!N3</f>
        <v>9702</v>
      </c>
      <c r="AJ76" s="28"/>
      <c r="AK76" s="28"/>
      <c r="AL76" s="28"/>
    </row>
    <row r="77" spans="1:38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t="s">
        <v>17</v>
      </c>
      <c r="B80" t="s">
        <v>101</v>
      </c>
      <c r="C80" s="3" t="str">
        <f>FIXED(VLOOKUP($A80,'Full Sample-No Sub'!$A:$R,C$1,0),2)</f>
        <v>163.94</v>
      </c>
      <c r="D80" s="3" t="str">
        <f>FIXED(VLOOKUP($A80,'Full Sample-No Sub'!$A:$R,D$1,0),2)</f>
        <v>229.12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161.07</v>
      </c>
      <c r="H80" s="3" t="str">
        <f>FIXED(VLOOKUP($A80,'Full Sample-No Sub'!$A:$R,H$1,0),2)</f>
        <v>228.43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167.88</v>
      </c>
      <c r="L80" s="3" t="str">
        <f>FIXED(VLOOKUP($A80,'Full Sample-No Sub'!$A:$R,L$1,0),2)</f>
        <v>230.01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26.30</v>
      </c>
      <c r="P80" s="3" t="str">
        <f>FIXED(VLOOKUP($A80,'Full Sample-Townhouse'!$A:$R,P$1,0),2)</f>
        <v>96.49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22.16</v>
      </c>
      <c r="T80" s="3" t="str">
        <f>FIXED(VLOOKUP($A80,'Full Sample-Townhouse'!$A:$R,T$1,0),2)</f>
        <v>88.55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31.99</v>
      </c>
      <c r="X80" s="3" t="str">
        <f>FIXED(VLOOKUP($A80,'Full Sample-Townhouse'!$A:$R,X$1,0),2)</f>
        <v>106.21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329.73</v>
      </c>
      <c r="AB80" s="3" t="str">
        <f>FIXED(VLOOKUP($A80,'Full Sample-Single Family'!$A:$R,AB$1,0),2)</f>
        <v>232.82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329.00</v>
      </c>
      <c r="AF80" s="3" t="str">
        <f>FIXED(VLOOKUP($A80,'Full Sample-Single Family'!$A:$R,AF$1,0),2)</f>
        <v>232.93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330.73</v>
      </c>
      <c r="AJ80" s="3" t="str">
        <f>FIXED(VLOOKUP($A80,'Full Sample-Single Family'!$A:$R,AJ$1,0),2)</f>
        <v>232.69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0.45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0.45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0.04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0.04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0.04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0.02</v>
      </c>
      <c r="AC81" s="3" t="str">
        <f>FIXED(VLOOKUP($A81,'Full Sample-Single Family'!$A:$R,AC$1,0),2)</f>
        <v>0.00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0.02</v>
      </c>
      <c r="AG81" s="3" t="str">
        <f>FIXED(VLOOKUP($A81,'Full Sample-Single Family'!$A:$R,AG$1,0),2)</f>
        <v>0.00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0.01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3.02</v>
      </c>
      <c r="D82" s="3" t="str">
        <f>FIXED(VLOOKUP($A82,'Full Sample-No Sub'!$A:$R,D$1,0),2)</f>
        <v>9.17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2.79</v>
      </c>
      <c r="H82" s="3" t="str">
        <f>FIXED(VLOOKUP($A82,'Full Sample-No Sub'!$A:$R,H$1,0),2)</f>
        <v>8.74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9.71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1.43</v>
      </c>
      <c r="P82" s="3" t="str">
        <f>FIXED(VLOOKUP($A82,'Full Sample-Townhouse'!$A:$R,P$1,0),2)</f>
        <v>4.02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1.35</v>
      </c>
      <c r="T82" s="3" t="str">
        <f>FIXED(VLOOKUP($A82,'Full Sample-Townhouse'!$A:$R,T$1,0),2)</f>
        <v>3.84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4.25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12.61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5.50</v>
      </c>
      <c r="AJ82" s="3" t="str">
        <f>FIXED(VLOOKUP($A82,'Full Sample-Single Family'!$A:$R,AJ$1,0),2)</f>
        <v>13.30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3.13</v>
      </c>
      <c r="D83" s="3" t="str">
        <f>FIXED(VLOOKUP($A83,'Full Sample-No Sub'!$A:$R,D$1,0),2)</f>
        <v>5.97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3.13</v>
      </c>
      <c r="H83" s="3" t="str">
        <f>FIXED(VLOOKUP($A83,'Full Sample-No Sub'!$A:$R,H$1,0),2)</f>
        <v>5.90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6.07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4.94</v>
      </c>
      <c r="P83" s="3" t="str">
        <f>FIXED(VLOOKUP($A83,'Full Sample-Townhouse'!$A:$R,P$1,0),2)</f>
        <v>6.89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4.90</v>
      </c>
      <c r="T83" s="3" t="str">
        <f>FIXED(VLOOKUP($A83,'Full Sample-Townhouse'!$A:$R,T$1,0),2)</f>
        <v>6.81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6.99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0.95</v>
      </c>
      <c r="AB83" s="3" t="str">
        <f>FIXED(VLOOKUP($A83,'Full Sample-Single Family'!$A:$R,AB$1,0),2)</f>
        <v>3.57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0.97</v>
      </c>
      <c r="AF83" s="3" t="str">
        <f>FIXED(VLOOKUP($A83,'Full Sample-Single Family'!$A:$R,AF$1,0),2)</f>
        <v>3.51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0.92</v>
      </c>
      <c r="AJ83" s="3" t="str">
        <f>FIXED(VLOOKUP($A83,'Full Sample-Single Family'!$A:$R,AJ$1,0),2)</f>
        <v>3.66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301.73</v>
      </c>
      <c r="D84" s="3" t="str">
        <f>FIXED(VLOOKUP($A84,'Full Sample-No Sub'!$A:$R,D$1,0),2)</f>
        <v>558.96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301.73</v>
      </c>
      <c r="L84" s="3" t="str">
        <f>FIXED(VLOOKUP($A84,'Full Sample-No Sub'!$A:$R,L$1,0),2)</f>
        <v>558.96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311.77</v>
      </c>
      <c r="P84" s="3" t="str">
        <f>FIXED(VLOOKUP($A84,'Full Sample-Townhouse'!$A:$R,P$1,0),2)</f>
        <v>571.95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311.77</v>
      </c>
      <c r="X84" s="3" t="str">
        <f>FIXED(VLOOKUP($A84,'Full Sample-Townhouse'!$A:$R,X$1,0),2)</f>
        <v>571.95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289.69</v>
      </c>
      <c r="AB84" s="3" t="str">
        <f>FIXED(VLOOKUP($A84,'Full Sample-Single Family'!$A:$R,AB$1,0),2)</f>
        <v>542.78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289.69</v>
      </c>
      <c r="AJ84" s="3" t="str">
        <f>FIXED(VLOOKUP($A84,'Full Sample-Single Family'!$A:$R,AJ$1,0),2)</f>
        <v>542.78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0.55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0.55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0.55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0.45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0.45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0.46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2,361,427.00</v>
      </c>
      <c r="D88" s="3" t="str">
        <f>FIXED(VLOOKUP($A88,'Full Sample-No Sub'!$A:$R,D$1,0),2)</f>
        <v>7,592.60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2,361,443.00</v>
      </c>
      <c r="H88" s="3" t="str">
        <f>FIXED(VLOOKUP($A88,'Full Sample-No Sub'!$A:$R,H$1,0),2)</f>
        <v>7,533.68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2,361,405.00</v>
      </c>
      <c r="L88" s="3" t="str">
        <f>FIXED(VLOOKUP($A88,'Full Sample-No Sub'!$A:$R,L$1,0),2)</f>
        <v>7,672.91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2,359,735.00</v>
      </c>
      <c r="P88" s="3" t="str">
        <f>FIXED(VLOOKUP($A88,'Full Sample-Townhouse'!$A:$R,P$1,0),2)</f>
        <v>6,910.85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2,359,780.00</v>
      </c>
      <c r="T88" s="3" t="str">
        <f>FIXED(VLOOKUP($A88,'Full Sample-Townhouse'!$A:$R,T$1,0),2)</f>
        <v>6,956.67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2,359,674.00</v>
      </c>
      <c r="X88" s="3" t="str">
        <f>FIXED(VLOOKUP($A88,'Full Sample-Townhouse'!$A:$R,X$1,0),2)</f>
        <v>6,847.01</v>
      </c>
      <c r="Y88" s="3" t="str">
        <f>FIXED(VLOOKUP($A88,'Full Sample-Townhouse'!$A:$R,Y$1,0),2)</f>
        <v>2,351,041.00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2,363,464.00</v>
      </c>
      <c r="AB88" s="3" t="str">
        <f>FIXED(VLOOKUP($A88,'Full Sample-Single Family'!$A:$R,AB$1,0),2)</f>
        <v>7,871.59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2,363,453.00</v>
      </c>
      <c r="AF88" s="3" t="str">
        <f>FIXED(VLOOKUP($A88,'Full Sample-Single Family'!$A:$R,AF$1,0),2)</f>
        <v>7,712.52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2,363,480.00</v>
      </c>
      <c r="AJ88" s="3" t="str">
        <f>FIXED(VLOOKUP($A88,'Full Sample-Single Family'!$A:$R,AJ$1,0),2)</f>
        <v>8,084.35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612,731.90</v>
      </c>
      <c r="D89" s="3" t="str">
        <f>FIXED(VLOOKUP($A89,'Full Sample-No Sub'!$A:$R,D$1,0),2)</f>
        <v>13,288.30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612,541.90</v>
      </c>
      <c r="H89" s="3" t="str">
        <f>FIXED(VLOOKUP($A89,'Full Sample-No Sub'!$A:$R,H$1,0),2)</f>
        <v>13,175.42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612,992.80</v>
      </c>
      <c r="L89" s="3" t="str">
        <f>FIXED(VLOOKUP($A89,'Full Sample-No Sub'!$A:$R,L$1,0),2)</f>
        <v>13,437.71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614,179.70</v>
      </c>
      <c r="P89" s="3" t="str">
        <f>FIXED(VLOOKUP($A89,'Full Sample-Townhouse'!$A:$R,P$1,0),2)</f>
        <v>11,613.40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614,158.00</v>
      </c>
      <c r="T89" s="3" t="str">
        <f>FIXED(VLOOKUP($A89,'Full Sample-Townhouse'!$A:$R,T$1,0),2)</f>
        <v>11,475.19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614,209.70</v>
      </c>
      <c r="X89" s="3" t="str">
        <f>FIXED(VLOOKUP($A89,'Full Sample-Townhouse'!$A:$R,X$1,0),2)</f>
        <v>11,801.75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610,987.80</v>
      </c>
      <c r="AB89" s="3" t="str">
        <f>FIXED(VLOOKUP($A89,'Full Sample-Single Family'!$A:$R,AB$1,0),2)</f>
        <v>14,874.76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610,588.00</v>
      </c>
      <c r="AF89" s="3" t="str">
        <f>FIXED(VLOOKUP($A89,'Full Sample-Single Family'!$A:$R,AF$1,0),2)</f>
        <v>14,741.05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611,534.40</v>
      </c>
      <c r="AJ89" s="3" t="str">
        <f>FIXED(VLOOKUP($A89,'Full Sample-Single Family'!$A:$R,AJ$1,0),2)</f>
        <v>15,039.19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340</v>
      </c>
      <c r="C90" s="9" t="str">
        <f>FIXED(VLOOKUP($A90,'Full Sample-No Sub'!$A:$R,C$1,0),2)</f>
        <v>2,019.04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2,017.56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2,019.04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2,017.56</v>
      </c>
      <c r="T90" s="3" t="str">
        <f>FIXED(VLOOKUP($A90,'Full Sample-Townhouse'!$A:$R,T$1,0),2)</f>
        <v>1.16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8,946.21</v>
      </c>
      <c r="D91" s="3" t="str">
        <f>FIXED(VLOOKUP($A91,'Full Sample-No Sub'!$A:$R,D$1,0),2)</f>
        <v>88,866.63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14,495.07</v>
      </c>
      <c r="H91" s="3" t="str">
        <f>FIXED(VLOOKUP($A91,'Full Sample-No Sub'!$A:$R,H$1,0),2)</f>
        <v>68,263.40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1,325.31</v>
      </c>
      <c r="L91" s="3" t="str">
        <f>FIXED(VLOOKUP($A91,'Full Sample-No Sub'!$A:$R,L$1,0),2)</f>
        <v>110,650.90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7,340.46</v>
      </c>
      <c r="P91" s="3" t="str">
        <f>FIXED(VLOOKUP($A91,'Full Sample-Townhouse'!$A:$R,P$1,0),2)</f>
        <v>47,412.29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9,583.35</v>
      </c>
      <c r="T91" s="3" t="str">
        <f>FIXED(VLOOKUP($A91,'Full Sample-Townhouse'!$A:$R,T$1,0),2)</f>
        <v>32,177.86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4,247.90</v>
      </c>
      <c r="X91" s="3" t="str">
        <f>FIXED(VLOOKUP($A91,'Full Sample-Townhouse'!$A:$R,X$1,0),2)</f>
        <v>62,477.98</v>
      </c>
      <c r="Y91" s="3"/>
      <c r="Z91" s="3"/>
      <c r="AA91" s="9" t="str">
        <f>FIXED(VLOOKUP($A91,'Full Sample-Single Family'!$A:$R,AA$1,0),2)</f>
        <v>10,880.39</v>
      </c>
      <c r="AB91" s="3" t="str">
        <f>FIXED(VLOOKUP($A91,'Full Sample-Single Family'!$A:$R,AB$1,0),2)</f>
        <v>121,225.80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20,433.05</v>
      </c>
      <c r="AF91" s="3" t="str">
        <f>FIXED(VLOOKUP($A91,'Full Sample-Single Family'!$A:$R,AF$1,0),2)</f>
        <v>94,750.50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-2,177.47</v>
      </c>
      <c r="AJ91" s="3" t="str">
        <f>FIXED(VLOOKUP($A91,'Full Sample-Single Family'!$A:$R,AJ$1,0),2)</f>
        <v>149,058.10</v>
      </c>
      <c r="AK91" s="3"/>
      <c r="AL91" s="3"/>
    </row>
    <row r="92" spans="1:40" x14ac:dyDescent="0.25">
      <c r="A92" t="s">
        <v>19</v>
      </c>
      <c r="B92" t="s">
        <v>342</v>
      </c>
      <c r="C92" s="9" t="str">
        <f>FIXED(VLOOKUP($A92,'Full Sample-No Sub'!$A:$R,C$1,0)/100000,2)</f>
        <v>9.43</v>
      </c>
      <c r="D92" s="3" t="str">
        <f>FIXED(VLOOKUP($A92,'Full Sample-No Sub'!$A:$R,D$1,0),2)</f>
        <v>878,631.40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911,437.50</v>
      </c>
      <c r="H92" s="3" t="str">
        <f>FIXED(VLOOKUP($A92,'Full Sample-No Sub'!$A:$R,H$1,0),2)</f>
        <v>844,248.00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986,269.80</v>
      </c>
      <c r="L92" s="3" t="str">
        <f>FIXED(VLOOKUP($A92,'Full Sample-No Sub'!$A:$R,L$1,0),2)</f>
        <v>922,035.20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674,762.70</v>
      </c>
      <c r="P92" s="3" t="str">
        <f>FIXED(VLOOKUP($A92,'Full Sample-Townhouse'!$A:$R,P$1,0),2)</f>
        <v>609,919.30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681,870.20</v>
      </c>
      <c r="T92" s="3" t="str">
        <f>FIXED(VLOOKUP($A92,'Full Sample-Townhouse'!$A:$R,T$1,0),2)</f>
        <v>630,435.60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664,962.60</v>
      </c>
      <c r="X92" s="3" t="str">
        <f>FIXED(VLOOKUP($A92,'Full Sample-Townhouse'!$A:$R,X$1,0),2)</f>
        <v>580,327.00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1,266,029.00</v>
      </c>
      <c r="AB92" s="3" t="str">
        <f>FIXED(VLOOKUP($A92,'Full Sample-Single Family'!$A:$R,AB$1,0),2)</f>
        <v>1,030,927.00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1,188,971.00</v>
      </c>
      <c r="AF92" s="3" t="str">
        <f>FIXED(VLOOKUP($A92,'Full Sample-Single Family'!$A:$R,AF$1,0),2)</f>
        <v>976,346.10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1,371,362.00</v>
      </c>
      <c r="AJ92" s="3" t="str">
        <f>FIXED(VLOOKUP($A92,'Full Sample-Single Family'!$A:$R,AJ$1,0),2)</f>
        <v>1,092,461.00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326</v>
      </c>
    </row>
  </sheetData>
  <mergeCells count="23">
    <mergeCell ref="AA76:AD76"/>
    <mergeCell ref="AE76:AH76"/>
    <mergeCell ref="AI76:AL76"/>
    <mergeCell ref="W5:Z5"/>
    <mergeCell ref="AA5:AD5"/>
    <mergeCell ref="AE5:AH5"/>
    <mergeCell ref="AI5:AL5"/>
    <mergeCell ref="W76:Z76"/>
    <mergeCell ref="C76:F76"/>
    <mergeCell ref="G76:J76"/>
    <mergeCell ref="K76:N76"/>
    <mergeCell ref="O76:R76"/>
    <mergeCell ref="S76:V76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F5C-7827-4427-BB17-8153613F5832}">
  <sheetPr codeName="Sheet25">
    <pageSetUpPr fitToPage="1"/>
  </sheetPr>
  <dimension ref="A1:AN92"/>
  <sheetViews>
    <sheetView topLeftCell="B49" workbookViewId="0">
      <selection activeCell="AA1" sqref="AA1:AJ104857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11.7109375" style="3" bestFit="1" customWidth="1"/>
    <col min="4" max="4" width="10.140625" style="3" bestFit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6" width="11.7109375" bestFit="1" customWidth="1"/>
    <col min="17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6" t="s">
        <v>188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</row>
    <row r="3" spans="1:40" ht="23.25" x14ac:dyDescent="0.35">
      <c r="A3" s="36" t="s">
        <v>189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</row>
    <row r="4" spans="1:40" x14ac:dyDescent="0.25">
      <c r="C4" s="38" t="s">
        <v>92</v>
      </c>
      <c r="D4" s="39"/>
      <c r="E4" s="39"/>
      <c r="F4" s="39"/>
      <c r="G4" s="39"/>
      <c r="H4" s="39"/>
      <c r="I4" s="39"/>
      <c r="J4" s="39"/>
      <c r="K4" s="39"/>
      <c r="L4" s="39"/>
      <c r="M4" s="10"/>
      <c r="N4" s="11"/>
      <c r="O4" s="38" t="s">
        <v>325</v>
      </c>
      <c r="P4" s="39"/>
      <c r="Q4" s="39"/>
      <c r="R4" s="39"/>
      <c r="S4" s="39"/>
      <c r="T4" s="39"/>
      <c r="U4" s="39"/>
      <c r="V4" s="39"/>
      <c r="W4" s="39"/>
      <c r="X4" s="39"/>
      <c r="AA4" s="38" t="s">
        <v>324</v>
      </c>
      <c r="AB4" s="39"/>
      <c r="AC4" s="39"/>
      <c r="AD4" s="39"/>
      <c r="AE4" s="39"/>
      <c r="AF4" s="39"/>
      <c r="AG4" s="39"/>
      <c r="AH4" s="39"/>
      <c r="AI4" s="39"/>
      <c r="AJ4" s="39"/>
    </row>
    <row r="5" spans="1:40" ht="30.75" customHeight="1" x14ac:dyDescent="0.25">
      <c r="A5" s="5"/>
      <c r="B5" s="5"/>
      <c r="C5" s="40" t="s">
        <v>92</v>
      </c>
      <c r="D5" s="41"/>
      <c r="E5" s="41"/>
      <c r="F5" s="41"/>
      <c r="G5" s="42" t="s">
        <v>94</v>
      </c>
      <c r="H5" s="43"/>
      <c r="I5" s="43"/>
      <c r="J5" s="44"/>
      <c r="K5" s="40" t="s">
        <v>93</v>
      </c>
      <c r="L5" s="41"/>
      <c r="M5" s="41"/>
      <c r="N5" s="45"/>
      <c r="O5" s="40" t="s">
        <v>92</v>
      </c>
      <c r="P5" s="41"/>
      <c r="Q5" s="41"/>
      <c r="R5" s="41"/>
      <c r="S5" s="42" t="s">
        <v>94</v>
      </c>
      <c r="T5" s="43"/>
      <c r="U5" s="43"/>
      <c r="V5" s="44"/>
      <c r="W5" s="40" t="s">
        <v>93</v>
      </c>
      <c r="X5" s="41"/>
      <c r="Y5" s="41"/>
      <c r="Z5" s="41"/>
      <c r="AA5" s="40" t="s">
        <v>92</v>
      </c>
      <c r="AB5" s="41"/>
      <c r="AC5" s="41"/>
      <c r="AD5" s="41"/>
      <c r="AE5" s="42" t="s">
        <v>94</v>
      </c>
      <c r="AF5" s="43"/>
      <c r="AG5" s="43"/>
      <c r="AH5" s="44"/>
      <c r="AI5" s="40" t="s">
        <v>93</v>
      </c>
      <c r="AJ5" s="41"/>
      <c r="AK5" s="41"/>
      <c r="AL5" s="41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Sample-Townhouse'!$A:$R,C$1,0),2)</f>
        <v>674,762.70</v>
      </c>
      <c r="D7" s="3" t="str">
        <f>FIXED(VLOOKUP($A7,'Full Sample-Townhouse'!$A:$R,D$1,0),2)</f>
        <v>609,919.30</v>
      </c>
      <c r="E7" s="3" t="str">
        <f>FIXED(VLOOKUP($A7,'Full Sample-Townhouse'!$A:$R,E$1,0),2)</f>
        <v>85,418.51</v>
      </c>
      <c r="F7" s="3" t="str">
        <f>FIXED(VLOOKUP($A7,'Full Sample-Townhouse'!$A:$R,F$1,0),2)</f>
        <v>28,197,546.00</v>
      </c>
      <c r="G7" s="9" t="str">
        <f>FIXED(VLOOKUP($A7,'Full Sample-Townhouse'!$A:$R,G$1,0),2)</f>
        <v>681,870.20</v>
      </c>
      <c r="H7" s="3" t="str">
        <f>FIXED(VLOOKUP($A7,'Full Sample-Townhouse'!$A:$R,H$1,0),2)</f>
        <v>630,435.60</v>
      </c>
      <c r="I7" s="3" t="str">
        <f>FIXED(VLOOKUP($A7,'Full Sample-Townhouse'!$A:$R,I$1,0),2)</f>
        <v>99,684.44</v>
      </c>
      <c r="J7" s="13" t="str">
        <f>FIXED(VLOOKUP($A7,'Full Sample-Townhouse'!$A:$R,J$1,0),2)</f>
        <v>28,197,546.00</v>
      </c>
      <c r="K7" s="9" t="str">
        <f>FIXED(VLOOKUP($A7,'Full Sample-Townhouse'!$A:$R,K$1,0),2)</f>
        <v>664,962.60</v>
      </c>
      <c r="L7" s="3" t="str">
        <f>FIXED(VLOOKUP($A7,'Full Sample-Townhouse'!$A:$R,L$1,0),2)</f>
        <v>580,327.00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1-Townhouse'!$A:$R,O$1,0),2)</f>
        <v>682,222.90</v>
      </c>
      <c r="P7" s="3" t="str">
        <f>FIXED(VLOOKUP($A7,'Small Sample 1-Townhouse'!$A:$R,P$1,0),2)</f>
        <v>632,502.30</v>
      </c>
      <c r="Q7" s="3" t="str">
        <f>FIXED(VLOOKUP($A7,'Small Sample 1-Townhouse'!$A:$R,Q$1,0),2)</f>
        <v>85,418.51</v>
      </c>
      <c r="R7" s="3" t="str">
        <f>FIXED(VLOOKUP($A7,'Small Sample 1-Townhouse'!$A:$R,R$1,0),2)</f>
        <v>28,197,546.00</v>
      </c>
      <c r="S7" s="9" t="str">
        <f>FIXED(VLOOKUP($A7,'Small Sample 1-Townhouse'!$A:$R,S$1,0),2)</f>
        <v>696,051.40</v>
      </c>
      <c r="T7" s="3" t="str">
        <f>FIXED(VLOOKUP($A7,'Small Sample 1-Townhouse'!$A:$R,T$1,0),2)</f>
        <v>672,699.00</v>
      </c>
      <c r="U7" s="3" t="str">
        <f>FIXED(VLOOKUP($A7,'Small Sample 1-Townhouse'!$A:$R,U$1,0),2)</f>
        <v>99,684.44</v>
      </c>
      <c r="V7" s="13" t="str">
        <f>FIXED(VLOOKUP($A7,'Small Sample 1-Townhouse'!$A:$R,V$1,0),2)</f>
        <v>28,197,546.00</v>
      </c>
      <c r="W7" s="9" t="str">
        <f>FIXED(VLOOKUP($A7,'Small Sample 1-Townhouse'!$A:$R,W$1,0),2)</f>
        <v>667,139.80</v>
      </c>
      <c r="X7" s="3" t="str">
        <f>FIXED(VLOOKUP($A7,'Small Sample 1-Townhouse'!$A:$R,X$1,0),2)</f>
        <v>585,178.00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2-Townhouse'!$A:$R,AA$1,0),2)</f>
        <v>676,394.00</v>
      </c>
      <c r="AB7" s="3" t="str">
        <f>FIXED(VLOOKUP($A7,'Small Sample 2-Townhouse'!$A:$R,AB$1,0),2)</f>
        <v>632,199.30</v>
      </c>
      <c r="AC7" s="3" t="str">
        <f>FIXED(VLOOKUP($A7,'Small Sample 2-Townhouse'!$A:$R,AC$1,0),2)</f>
        <v>85,418.51</v>
      </c>
      <c r="AD7" s="3" t="str">
        <f>FIXED(VLOOKUP($A7,'Small Sample 2-Townhouse'!$A:$R,AD$1,0),2)</f>
        <v>28,197,546.00</v>
      </c>
      <c r="AE7" s="9" t="str">
        <f>FIXED(VLOOKUP($A7,'Small Sample 2-Townhouse'!$A:$R,AE$1,0),2)</f>
        <v>683,730.80</v>
      </c>
      <c r="AF7" s="3" t="str">
        <f>FIXED(VLOOKUP($A7,'Small Sample 2-Townhouse'!$A:$R,AF$1,0),2)</f>
        <v>644,167.50</v>
      </c>
      <c r="AG7" s="3" t="str">
        <f>FIXED(VLOOKUP($A7,'Small Sample 2-Townhouse'!$A:$R,AG$1,0),2)</f>
        <v>99,684.44</v>
      </c>
      <c r="AH7" s="13" t="str">
        <f>FIXED(VLOOKUP($A7,'Small Sample 2-Townhouse'!$A:$R,AH$1,0),2)</f>
        <v>28,197,546.00</v>
      </c>
      <c r="AI7" s="9" t="str">
        <f>FIXED(VLOOKUP($A7,'Small Sample 2-Townhouse'!$A:$R,AI$1,0),2)</f>
        <v>663,704.00</v>
      </c>
      <c r="AJ7" s="3" t="str">
        <f>FIXED(VLOOKUP($A7,'Small Sample 2-Townhouse'!$A:$R,AJ$1,0),2)</f>
        <v>610,774.50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326</v>
      </c>
    </row>
    <row r="8" spans="1:40" x14ac:dyDescent="0.25">
      <c r="A8" t="s">
        <v>20</v>
      </c>
      <c r="B8" t="s">
        <v>104</v>
      </c>
      <c r="C8" s="9" t="str">
        <f>FIXED(VLOOKUP($A8,'Full Sample-Townhouse'!$A:$R,C$1,0),2)</f>
        <v>665,937.40</v>
      </c>
      <c r="D8" s="3" t="str">
        <f>FIXED(VLOOKUP($A8,'Full Sample-Townhouse'!$A:$R,D$1,0),2)</f>
        <v>583,582.00</v>
      </c>
      <c r="E8" s="3" t="str">
        <f>FIXED(VLOOKUP($A8,'Full Sample-Townhouse'!$A:$R,E$1,0),2)</f>
        <v>85,418.51</v>
      </c>
      <c r="F8" s="3" t="str">
        <f>FIXED(VLOOKUP($A8,'Full Sample-Townhouse'!$A:$R,F$1,0),2)</f>
        <v>28,197,546.00</v>
      </c>
      <c r="G8" s="9" t="str">
        <f>FIXED(VLOOKUP($A8,'Full Sample-Townhouse'!$A:$R,G$1,0),2)</f>
        <v>670,206.60</v>
      </c>
      <c r="H8" s="3" t="str">
        <f>FIXED(VLOOKUP($A8,'Full Sample-Townhouse'!$A:$R,H$1,0),2)</f>
        <v>609,501.30</v>
      </c>
      <c r="I8" s="3" t="str">
        <f>FIXED(VLOOKUP($A8,'Full Sample-Townhouse'!$A:$R,I$1,0),2)</f>
        <v>118,448.60</v>
      </c>
      <c r="J8" s="13" t="str">
        <f>FIXED(VLOOKUP($A8,'Full Sample-Townhouse'!$A:$R,J$1,0),2)</f>
        <v>28,197,546.00</v>
      </c>
      <c r="K8" s="9" t="str">
        <f>FIXED(VLOOKUP($A8,'Full Sample-Townhouse'!$A:$R,K$1,0),2)</f>
        <v>660,050.90</v>
      </c>
      <c r="L8" s="3" t="str">
        <f>FIXED(VLOOKUP($A8,'Full Sample-Townhouse'!$A:$R,L$1,0),2)</f>
        <v>545,800.00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1-Townhouse'!$A:$R,O$1,0),2)</f>
        <v>673,338.10</v>
      </c>
      <c r="P8" s="3" t="str">
        <f>FIXED(VLOOKUP($A8,'Small Sample 1-Townhouse'!$A:$R,P$1,0),2)</f>
        <v>604,964.10</v>
      </c>
      <c r="Q8" s="3" t="str">
        <f>FIXED(VLOOKUP($A8,'Small Sample 1-Townhouse'!$A:$R,Q$1,0),2)</f>
        <v>85,418.51</v>
      </c>
      <c r="R8" s="3" t="str">
        <f>FIXED(VLOOKUP($A8,'Small Sample 1-Townhouse'!$A:$R,R$1,0),2)</f>
        <v>28,197,546.00</v>
      </c>
      <c r="S8" s="9" t="str">
        <f>FIXED(VLOOKUP($A8,'Small Sample 1-Townhouse'!$A:$R,S$1,0),2)</f>
        <v>683,463.20</v>
      </c>
      <c r="T8" s="3" t="str">
        <f>FIXED(VLOOKUP($A8,'Small Sample 1-Townhouse'!$A:$R,T$1,0),2)</f>
        <v>651,051.80</v>
      </c>
      <c r="U8" s="3" t="str">
        <f>FIXED(VLOOKUP($A8,'Small Sample 1-Townhouse'!$A:$R,U$1,0),2)</f>
        <v>118,448.60</v>
      </c>
      <c r="V8" s="13" t="str">
        <f>FIXED(VLOOKUP($A8,'Small Sample 1-Townhouse'!$A:$R,V$1,0),2)</f>
        <v>28,197,546.00</v>
      </c>
      <c r="W8" s="9" t="str">
        <f>FIXED(VLOOKUP($A8,'Small Sample 1-Townhouse'!$A:$R,W$1,0),2)</f>
        <v>662,294.20</v>
      </c>
      <c r="X8" s="3" t="str">
        <f>FIXED(VLOOKUP($A8,'Small Sample 1-Townhouse'!$A:$R,X$1,0),2)</f>
        <v>550,128.10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2-Townhouse'!$A:$R,AA$1,0),2)</f>
        <v>666,354.40</v>
      </c>
      <c r="AB8" s="3" t="str">
        <f>FIXED(VLOOKUP($A8,'Small Sample 2-Townhouse'!$A:$R,AB$1,0),2)</f>
        <v>605,137.70</v>
      </c>
      <c r="AC8" s="3" t="str">
        <f>FIXED(VLOOKUP($A8,'Small Sample 2-Townhouse'!$A:$R,AC$1,0),2)</f>
        <v>85,418.51</v>
      </c>
      <c r="AD8" s="3" t="str">
        <f>FIXED(VLOOKUP($A8,'Small Sample 2-Townhouse'!$A:$R,AD$1,0),2)</f>
        <v>28,197,546.00</v>
      </c>
      <c r="AE8" s="9" t="str">
        <f>FIXED(VLOOKUP($A8,'Small Sample 2-Townhouse'!$A:$R,AE$1,0),2)</f>
        <v>671,895.90</v>
      </c>
      <c r="AF8" s="3" t="str">
        <f>FIXED(VLOOKUP($A8,'Small Sample 2-Townhouse'!$A:$R,AF$1,0),2)</f>
        <v>622,943.60</v>
      </c>
      <c r="AG8" s="3" t="str">
        <f>FIXED(VLOOKUP($A8,'Small Sample 2-Townhouse'!$A:$R,AG$1,0),2)</f>
        <v>118,448.60</v>
      </c>
      <c r="AH8" s="13" t="str">
        <f>FIXED(VLOOKUP($A8,'Small Sample 2-Townhouse'!$A:$R,AH$1,0),2)</f>
        <v>28,197,546.00</v>
      </c>
      <c r="AI8" s="9" t="str">
        <f>FIXED(VLOOKUP($A8,'Small Sample 2-Townhouse'!$A:$R,AI$1,0),2)</f>
        <v>656,769.60</v>
      </c>
      <c r="AJ8" s="3" t="str">
        <f>FIXED(VLOOKUP($A8,'Small Sample 2-Townhouse'!$A:$R,AJ$1,0),2)</f>
        <v>572,944.60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Sample-Townhouse'!$A:$R,C$1,0),2)</f>
        <v>7,340.46</v>
      </c>
      <c r="D9" s="3" t="str">
        <f>FIXED(VLOOKUP($A9,'Full Sample-Townhouse'!$A:$R,D$1,0),2)</f>
        <v>47,412.29</v>
      </c>
      <c r="E9" s="3" t="str">
        <f>FIXED(VLOOKUP($A9,'Full Sample-Townhouse'!$A:$R,E$1,0),2)</f>
        <v>-300,000.00</v>
      </c>
      <c r="F9" s="3" t="str">
        <f>FIXED(VLOOKUP($A9,'Full Sample-Townhouse'!$A:$R,F$1,0),2)</f>
        <v>4,750,000.00</v>
      </c>
      <c r="G9" s="9" t="str">
        <f>FIXED(VLOOKUP($A9,'Full Sample-Townhouse'!$A:$R,G$1,0),2)</f>
        <v>9,583.35</v>
      </c>
      <c r="H9" s="3" t="str">
        <f>FIXED(VLOOKUP($A9,'Full Sample-Townhouse'!$A:$R,H$1,0),2)</f>
        <v>32,177.86</v>
      </c>
      <c r="I9" s="3" t="str">
        <f>FIXED(VLOOKUP($A9,'Full Sample-Townhouse'!$A:$R,I$1,0),2)</f>
        <v>-152,000.00</v>
      </c>
      <c r="J9" s="13" t="str">
        <f>FIXED(VLOOKUP($A9,'Full Sample-Townhouse'!$A:$R,J$1,0),2)</f>
        <v>750,000.00</v>
      </c>
      <c r="K9" s="9" t="str">
        <f>FIXED(VLOOKUP($A9,'Full Sample-Townhouse'!$A:$R,K$1,0),2)</f>
        <v>4,247.90</v>
      </c>
      <c r="L9" s="3" t="str">
        <f>FIXED(VLOOKUP($A9,'Full Sample-Townhouse'!$A:$R,L$1,0),2)</f>
        <v>62,477.98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1-Townhouse'!$A:$R,O$1,0),2)</f>
        <v>7,409.01</v>
      </c>
      <c r="P9" s="3" t="str">
        <f>FIXED(VLOOKUP($A9,'Small Sample 1-Townhouse'!$A:$R,P$1,0),2)</f>
        <v>50,141.16</v>
      </c>
      <c r="Q9" s="3" t="str">
        <f>FIXED(VLOOKUP($A9,'Small Sample 1-Townhouse'!$A:$R,Q$1,0),2)</f>
        <v>-300,000.00</v>
      </c>
      <c r="R9" s="3" t="str">
        <f>FIXED(VLOOKUP($A9,'Small Sample 1-Townhouse'!$A:$R,R$1,0),2)</f>
        <v>4,750,000.00</v>
      </c>
      <c r="S9" s="9" t="str">
        <f>FIXED(VLOOKUP($A9,'Small Sample 1-Townhouse'!$A:$R,S$1,0),2)</f>
        <v>10,357.34</v>
      </c>
      <c r="T9" s="3" t="str">
        <f>FIXED(VLOOKUP($A9,'Small Sample 1-Townhouse'!$A:$R,T$1,0),2)</f>
        <v>33,715.10</v>
      </c>
      <c r="U9" s="3" t="str">
        <f>FIXED(VLOOKUP($A9,'Small Sample 1-Townhouse'!$A:$R,U$1,0),2)</f>
        <v>-152,000.00</v>
      </c>
      <c r="V9" s="13" t="str">
        <f>FIXED(VLOOKUP($A9,'Small Sample 1-Townhouse'!$A:$R,V$1,0),2)</f>
        <v>750,000.00</v>
      </c>
      <c r="W9" s="9" t="str">
        <f>FIXED(VLOOKUP($A9,'Small Sample 1-Townhouse'!$A:$R,W$1,0),2)</f>
        <v>4,193.17</v>
      </c>
      <c r="X9" s="3" t="str">
        <f>FIXED(VLOOKUP($A9,'Small Sample 1-Townhouse'!$A:$R,X$1,0),2)</f>
        <v>63,221.44</v>
      </c>
      <c r="Y9" s="3"/>
      <c r="Z9" s="3"/>
      <c r="AA9" s="9" t="str">
        <f>FIXED(VLOOKUP($A9,'Small Sample 2-Townhouse'!$A:$R,AA$1,0),2)</f>
        <v>8,374.71</v>
      </c>
      <c r="AB9" s="3" t="str">
        <f>FIXED(VLOOKUP($A9,'Small Sample 2-Townhouse'!$A:$R,AB$1,0),2)</f>
        <v>47,901.36</v>
      </c>
      <c r="AC9" s="3" t="str">
        <f>FIXED(VLOOKUP($A9,'Small Sample 2-Townhouse'!$A:$R,AC$1,0),2)</f>
        <v>-300,000.00</v>
      </c>
      <c r="AD9" s="3" t="str">
        <f>FIXED(VLOOKUP($A9,'Small Sample 2-Townhouse'!$A:$R,AD$1,0),2)</f>
        <v>4,750,000.00</v>
      </c>
      <c r="AE9" s="9" t="str">
        <f>FIXED(VLOOKUP($A9,'Small Sample 2-Townhouse'!$A:$R,AE$1,0),2)</f>
        <v>9,712.80</v>
      </c>
      <c r="AF9" s="3" t="str">
        <f>FIXED(VLOOKUP($A9,'Small Sample 2-Townhouse'!$A:$R,AF$1,0),2)</f>
        <v>32,753.94</v>
      </c>
      <c r="AG9" s="3" t="str">
        <f>FIXED(VLOOKUP($A9,'Small Sample 2-Townhouse'!$A:$R,AG$1,0),2)</f>
        <v>-152,000.00</v>
      </c>
      <c r="AH9" s="13" t="str">
        <f>FIXED(VLOOKUP($A9,'Small Sample 2-Townhouse'!$A:$R,AH$1,0),2)</f>
        <v>750,000.00</v>
      </c>
      <c r="AI9" s="9" t="str">
        <f>FIXED(VLOOKUP($A9,'Small Sample 2-Townhouse'!$A:$R,AI$1,0),2)</f>
        <v>6,060.33</v>
      </c>
      <c r="AJ9" s="3" t="str">
        <f>FIXED(VLOOKUP($A9,'Small Sample 2-Townhouse'!$A:$R,AJ$1,0),2)</f>
        <v>66,329.29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Sample-Townhouse'!$A:$R,C$1,0),2)</f>
        <v>1.33</v>
      </c>
      <c r="D10" s="3" t="str">
        <f>FIXED(VLOOKUP($A10,'Full Sample-Townhouse'!$A:$R,D$1,0),2)</f>
        <v>0.56</v>
      </c>
      <c r="E10" s="3" t="str">
        <f>FIXED(VLOOKUP($A10,'Full Sample-Townhouse'!$A:$R,E$1,0),2)</f>
        <v>1.00</v>
      </c>
      <c r="F10" s="3" t="str">
        <f>FIXED(VLOOKUP($A10,'Full Sample-Townhouse'!$A:$R,F$1,0),2)</f>
        <v>5.00</v>
      </c>
      <c r="G10" s="9" t="str">
        <f>FIXED(VLOOKUP($A10,'Full Sample-Townhouse'!$A:$R,G$1,0),2)</f>
        <v>1.33</v>
      </c>
      <c r="H10" s="3" t="str">
        <f>FIXED(VLOOKUP($A10,'Full Sample-Townhouse'!$A:$R,H$1,0),2)</f>
        <v>0.57</v>
      </c>
      <c r="I10" s="3" t="str">
        <f>FIXED(VLOOKUP($A10,'Full Sample-Townhouse'!$A:$R,I$1,0),2)</f>
        <v>1.00</v>
      </c>
      <c r="J10" s="13" t="str">
        <f>FIXED(VLOOKUP($A10,'Full Sample-Townhouse'!$A:$R,J$1,0),2)</f>
        <v>5.00</v>
      </c>
      <c r="K10" s="9" t="str">
        <f>FIXED(VLOOKUP($A10,'Full Sample-Townhouse'!$A:$R,K$1,0),2)</f>
        <v>1.33</v>
      </c>
      <c r="L10" s="3" t="str">
        <f>FIXED(VLOOKUP($A10,'Full Sample-Townhouse'!$A:$R,L$1,0),2)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1-Townhouse'!$A:$R,O$1,0),2)</f>
        <v>1.18</v>
      </c>
      <c r="P10" s="3" t="str">
        <f>FIXED(VLOOKUP($A10,'Small Sample 1-Townhouse'!$A:$R,P$1,0),2)</f>
        <v>0.43</v>
      </c>
      <c r="Q10" s="3" t="str">
        <f>FIXED(VLOOKUP($A10,'Small Sample 1-Townhouse'!$A:$R,Q$1,0),2)</f>
        <v>1.00</v>
      </c>
      <c r="R10" s="3" t="str">
        <f>FIXED(VLOOKUP($A10,'Small Sample 1-Townhouse'!$A:$R,R$1,0),2)</f>
        <v>5.00</v>
      </c>
      <c r="S10" s="9" t="str">
        <f>FIXED(VLOOKUP($A10,'Small Sample 1-Townhouse'!$A:$R,S$1,0),2)</f>
        <v>1.07</v>
      </c>
      <c r="T10" s="3" t="str">
        <f>FIXED(VLOOKUP($A10,'Small Sample 1-Townhouse'!$A:$R,T$1,0),2)</f>
        <v>0.27</v>
      </c>
      <c r="U10" s="3" t="str">
        <f>FIXED(VLOOKUP($A10,'Small Sample 1-Townhouse'!$A:$R,U$1,0),2)</f>
        <v>1.00</v>
      </c>
      <c r="V10" s="13" t="str">
        <f>FIXED(VLOOKUP($A10,'Small Sample 1-Townhouse'!$A:$R,V$1,0),2)</f>
        <v>4.00</v>
      </c>
      <c r="W10" s="9" t="str">
        <f>FIXED(VLOOKUP($A10,'Small Sample 1-Townhouse'!$A:$R,W$1,0),2)</f>
        <v>1.29</v>
      </c>
      <c r="X10" s="3" t="str">
        <f>FIXED(VLOOKUP($A10,'Small Sample 1-Townhouse'!$A:$R,X$1,0),2)</f>
        <v>0.53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2-Townhouse'!$A:$R,AA$1,0),2)</f>
        <v>1.18</v>
      </c>
      <c r="AB10" s="3" t="str">
        <f>FIXED(VLOOKUP($A10,'Small Sample 2-Townhouse'!$A:$R,AB$1,0),2)</f>
        <v>0.43</v>
      </c>
      <c r="AC10" s="3" t="str">
        <f>FIXED(VLOOKUP($A10,'Small Sample 2-Townhouse'!$A:$R,AC$1,0),2)</f>
        <v>1.00</v>
      </c>
      <c r="AD10" s="3" t="str">
        <f>FIXED(VLOOKUP($A10,'Small Sample 2-Townhouse'!$A:$R,AD$1,0),2)</f>
        <v>5.00</v>
      </c>
      <c r="AE10" s="9" t="str">
        <f>FIXED(VLOOKUP($A10,'Small Sample 2-Townhouse'!$A:$R,AE$1,0),2)</f>
        <v>1.26</v>
      </c>
      <c r="AF10" s="3" t="str">
        <f>FIXED(VLOOKUP($A10,'Small Sample 2-Townhouse'!$A:$R,AF$1,0),2)</f>
        <v>0.50</v>
      </c>
      <c r="AG10" s="3" t="str">
        <f>FIXED(VLOOKUP($A10,'Small Sample 2-Townhouse'!$A:$R,AG$1,0),2)</f>
        <v>1.00</v>
      </c>
      <c r="AH10" s="13" t="str">
        <f>FIXED(VLOOKUP($A10,'Small Sample 2-Townhouse'!$A:$R,AH$1,0),2)</f>
        <v>5.00</v>
      </c>
      <c r="AI10" s="9" t="str">
        <f>FIXED(VLOOKUP($A10,'Small Sample 2-Townhouse'!$A:$R,AI$1,0),2)</f>
        <v>1.04</v>
      </c>
      <c r="AJ10" s="3" t="str">
        <f>FIXED(VLOOKUP($A10,'Small Sample 2-Townhouse'!$A:$R,AJ$1,0),2)</f>
        <v>0.19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Sample-Townhouse'!$A:$R,C$1,0),2)</f>
        <v>0.42</v>
      </c>
      <c r="D11" s="3" t="str">
        <f>FIXED(VLOOKUP($A11,'Full Sample-Townhouse'!$A:$R,D$1,0),2)</f>
        <v>0.49</v>
      </c>
      <c r="E11" s="3" t="str">
        <f>FIXED(VLOOKUP($A11,'Full Sample-Townhouse'!$A:$R,E$1,0),2)</f>
        <v>0.00</v>
      </c>
      <c r="F11" s="3" t="str">
        <f>FIXED(VLOOKUP($A11,'Full Sample-Townhouse'!$A:$R,F$1,0),2)</f>
        <v>1.00</v>
      </c>
      <c r="G11" s="9" t="str">
        <f>FIXED(VLOOKUP($A11,'Full Sample-Townhouse'!$A:$R,G$1,0),2)</f>
        <v>0.00</v>
      </c>
      <c r="H11" s="3" t="str">
        <f>FIXED(VLOOKUP($A11,'Full Sample-Townhouse'!$A:$R,H$1,0),2)</f>
        <v>0.00</v>
      </c>
      <c r="I11" s="3" t="str">
        <f>FIXED(VLOOKUP($A11,'Full Sample-Townhouse'!$A:$R,I$1,0),2)</f>
        <v>0.00</v>
      </c>
      <c r="J11" s="13" t="str">
        <f>FIXED(VLOOKUP($A11,'Full Sample-Townhouse'!$A:$R,J$1,0),2)</f>
        <v>0.00</v>
      </c>
      <c r="K11" s="9" t="str">
        <f>FIXED(VLOOKUP($A11,'Full Sample-Townhouse'!$A:$R,K$1,0),2)</f>
        <v>1.00</v>
      </c>
      <c r="L11" s="3" t="str">
        <f>FIXED(VLOOKUP($A11,'Full Sample-Townhouse'!$A:$R,L$1,0),2)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1-Townhouse'!$A:$R,O$1,0),2)</f>
        <v>0.48</v>
      </c>
      <c r="P11" s="3" t="str">
        <f>FIXED(VLOOKUP($A11,'Small Sample 1-Townhouse'!$A:$R,P$1,0),2)</f>
        <v>0.50</v>
      </c>
      <c r="Q11" s="3" t="str">
        <f>FIXED(VLOOKUP($A11,'Small Sample 1-Townhouse'!$A:$R,Q$1,0),2)</f>
        <v>0.00</v>
      </c>
      <c r="R11" s="3" t="str">
        <f>FIXED(VLOOKUP($A11,'Small Sample 1-Townhouse'!$A:$R,R$1,0),2)</f>
        <v>1.00</v>
      </c>
      <c r="S11" s="9" t="str">
        <f>FIXED(VLOOKUP($A11,'Small Sample 1-Townhouse'!$A:$R,S$1,0),2)</f>
        <v>0.00</v>
      </c>
      <c r="T11" s="3" t="str">
        <f>FIXED(VLOOKUP($A11,'Small Sample 1-Townhouse'!$A:$R,T$1,0),2)</f>
        <v>0.00</v>
      </c>
      <c r="U11" s="3" t="str">
        <f>FIXED(VLOOKUP($A11,'Small Sample 1-Townhouse'!$A:$R,U$1,0),2)</f>
        <v>0.00</v>
      </c>
      <c r="V11" s="13" t="str">
        <f>FIXED(VLOOKUP($A11,'Small Sample 1-Townhouse'!$A:$R,V$1,0),2)</f>
        <v>0.00</v>
      </c>
      <c r="W11" s="9" t="str">
        <f>FIXED(VLOOKUP($A11,'Small Sample 1-Townhouse'!$A:$R,W$1,0),2)</f>
        <v>1.00</v>
      </c>
      <c r="X11" s="3" t="str">
        <f>FIXED(VLOOKUP($A11,'Small Sample 1-Townhouse'!$A:$R,X$1,0),2)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2-Townhouse'!$A:$R,AA$1,0),2)</f>
        <v>0.37</v>
      </c>
      <c r="AB11" s="3" t="str">
        <f>FIXED(VLOOKUP($A11,'Small Sample 2-Townhouse'!$A:$R,AB$1,0),2)</f>
        <v>0.48</v>
      </c>
      <c r="AC11" s="3" t="str">
        <f>FIXED(VLOOKUP($A11,'Small Sample 2-Townhouse'!$A:$R,AC$1,0),2)</f>
        <v>0.00</v>
      </c>
      <c r="AD11" s="3" t="str">
        <f>FIXED(VLOOKUP($A11,'Small Sample 2-Townhouse'!$A:$R,AD$1,0),2)</f>
        <v>1.00</v>
      </c>
      <c r="AE11" s="9" t="str">
        <f>FIXED(VLOOKUP($A11,'Small Sample 2-Townhouse'!$A:$R,AE$1,0),2)</f>
        <v>0.00</v>
      </c>
      <c r="AF11" s="3" t="str">
        <f>FIXED(VLOOKUP($A11,'Small Sample 2-Townhouse'!$A:$R,AF$1,0),2)</f>
        <v>0.00</v>
      </c>
      <c r="AG11" s="3" t="str">
        <f>FIXED(VLOOKUP($A11,'Small Sample 2-Townhouse'!$A:$R,AG$1,0),2)</f>
        <v>0.00</v>
      </c>
      <c r="AH11" s="13" t="str">
        <f>FIXED(VLOOKUP($A11,'Small Sample 2-Townhouse'!$A:$R,AH$1,0),2)</f>
        <v>0.00</v>
      </c>
      <c r="AI11" s="9" t="str">
        <f>FIXED(VLOOKUP($A11,'Small Sample 2-Townhouse'!$A:$R,AI$1,0),2)</f>
        <v>1.00</v>
      </c>
      <c r="AJ11" s="3" t="str">
        <f>FIXED(VLOOKUP($A11,'Small Sample 2-Townhouse'!$A:$R,AJ$1,0),2)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Sample-Townhouse'!$A:$R,C$1,0),2)</f>
        <v>0.38</v>
      </c>
      <c r="D12" s="3" t="str">
        <f>FIXED(VLOOKUP($A12,'Full Sample-Townhouse'!$A:$R,D$1,0),2)</f>
        <v>0.49</v>
      </c>
      <c r="E12" s="3" t="str">
        <f>FIXED(VLOOKUP($A12,'Full Sample-Townhouse'!$A:$R,E$1,0),2)</f>
        <v>0.00</v>
      </c>
      <c r="F12" s="3" t="str">
        <f>FIXED(VLOOKUP($A12,'Full Sample-Townhouse'!$A:$R,F$1,0),2)</f>
        <v>1.00</v>
      </c>
      <c r="G12" s="9" t="str">
        <f>FIXED(VLOOKUP($A12,'Full Sample-Townhouse'!$A:$R,G$1,0),2)</f>
        <v>0.00</v>
      </c>
      <c r="H12" s="3" t="str">
        <f>FIXED(VLOOKUP($A12,'Full Sample-Townhouse'!$A:$R,H$1,0),2)</f>
        <v>0.04</v>
      </c>
      <c r="I12" s="3" t="str">
        <f>FIXED(VLOOKUP($A12,'Full Sample-Townhouse'!$A:$R,I$1,0),2)</f>
        <v>0.00</v>
      </c>
      <c r="J12" s="13" t="str">
        <f>FIXED(VLOOKUP($A12,'Full Sample-Townhouse'!$A:$R,J$1,0),2)</f>
        <v>1.00</v>
      </c>
      <c r="K12" s="9" t="str">
        <f>FIXED(VLOOKUP($A12,'Full Sample-Townhouse'!$A:$R,K$1,0),2)</f>
        <v>0.90</v>
      </c>
      <c r="L12" s="3" t="str">
        <f>FIXED(VLOOKUP($A12,'Full Sample-Townhouse'!$A:$R,L$1,0),2)</f>
        <v>0.30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1-Townhouse'!$A:$R,O$1,0),2)</f>
        <v>0.43</v>
      </c>
      <c r="P12" s="3" t="str">
        <f>FIXED(VLOOKUP($A12,'Small Sample 1-Townhouse'!$A:$R,P$1,0),2)</f>
        <v>0.50</v>
      </c>
      <c r="Q12" s="3" t="str">
        <f>FIXED(VLOOKUP($A12,'Small Sample 1-Townhouse'!$A:$R,Q$1,0),2)</f>
        <v>0.00</v>
      </c>
      <c r="R12" s="3" t="str">
        <f>FIXED(VLOOKUP($A12,'Small Sample 1-Townhouse'!$A:$R,R$1,0),2)</f>
        <v>1.00</v>
      </c>
      <c r="S12" s="9" t="str">
        <f>FIXED(VLOOKUP($A12,'Small Sample 1-Townhouse'!$A:$R,S$1,0),2)</f>
        <v>0.00</v>
      </c>
      <c r="T12" s="3" t="str">
        <f>FIXED(VLOOKUP($A12,'Small Sample 1-Townhouse'!$A:$R,T$1,0),2)</f>
        <v>0.04</v>
      </c>
      <c r="U12" s="3" t="str">
        <f>FIXED(VLOOKUP($A12,'Small Sample 1-Townhouse'!$A:$R,U$1,0),2)</f>
        <v>0.00</v>
      </c>
      <c r="V12" s="13" t="str">
        <f>FIXED(VLOOKUP($A12,'Small Sample 1-Townhouse'!$A:$R,V$1,0),2)</f>
        <v>1.00</v>
      </c>
      <c r="W12" s="9" t="str">
        <f>FIXED(VLOOKUP($A12,'Small Sample 1-Townhouse'!$A:$R,W$1,0),2)</f>
        <v>0.90</v>
      </c>
      <c r="X12" s="3" t="str">
        <f>FIXED(VLOOKUP($A12,'Small Sample 1-Townhouse'!$A:$R,X$1,0),2)</f>
        <v>0.31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2-Townhouse'!$A:$R,AA$1,0),2)</f>
        <v>0.33</v>
      </c>
      <c r="AB12" s="3" t="str">
        <f>FIXED(VLOOKUP($A12,'Small Sample 2-Townhouse'!$A:$R,AB$1,0),2)</f>
        <v>0.47</v>
      </c>
      <c r="AC12" s="3" t="str">
        <f>FIXED(VLOOKUP($A12,'Small Sample 2-Townhouse'!$A:$R,AC$1,0),2)</f>
        <v>0.00</v>
      </c>
      <c r="AD12" s="3" t="str">
        <f>FIXED(VLOOKUP($A12,'Small Sample 2-Townhouse'!$A:$R,AD$1,0),2)</f>
        <v>1.00</v>
      </c>
      <c r="AE12" s="9" t="str">
        <f>FIXED(VLOOKUP($A12,'Small Sample 2-Townhouse'!$A:$R,AE$1,0),2)</f>
        <v>0.00</v>
      </c>
      <c r="AF12" s="3" t="str">
        <f>FIXED(VLOOKUP($A12,'Small Sample 2-Townhouse'!$A:$R,AF$1,0),2)</f>
        <v>0.04</v>
      </c>
      <c r="AG12" s="3" t="str">
        <f>FIXED(VLOOKUP($A12,'Small Sample 2-Townhouse'!$A:$R,AG$1,0),2)</f>
        <v>0.00</v>
      </c>
      <c r="AH12" s="13" t="str">
        <f>FIXED(VLOOKUP($A12,'Small Sample 2-Townhouse'!$A:$R,AH$1,0),2)</f>
        <v>1.00</v>
      </c>
      <c r="AI12" s="9" t="str">
        <f>FIXED(VLOOKUP($A12,'Small Sample 2-Townhouse'!$A:$R,AI$1,0),2)</f>
        <v>0.90</v>
      </c>
      <c r="AJ12" s="3" t="str">
        <f>FIXED(VLOOKUP($A12,'Small Sample 2-Townhouse'!$A:$R,AJ$1,0),2)</f>
        <v>0.29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Sample-Townhouse'!$A:$R,C$1,0),2)</f>
        <v>45.78</v>
      </c>
      <c r="D13" s="3" t="str">
        <f>FIXED(VLOOKUP($A13,'Full Sample-Townhouse'!$A:$R,D$1,0),2)</f>
        <v>60.60</v>
      </c>
      <c r="E13" s="3" t="str">
        <f>FIXED(VLOOKUP($A13,'Full Sample-Townhouse'!$A:$R,E$1,0),2)</f>
        <v>0.00</v>
      </c>
      <c r="F13" s="3" t="str">
        <f>FIXED(VLOOKUP($A13,'Full Sample-Townhouse'!$A:$R,F$1,0),2)</f>
        <v>946.00</v>
      </c>
      <c r="G13" s="9" t="str">
        <f>FIXED(VLOOKUP($A13,'Full Sample-Townhouse'!$A:$R,G$1,0),2)</f>
        <v>50.12</v>
      </c>
      <c r="H13" s="3" t="str">
        <f>FIXED(VLOOKUP($A13,'Full Sample-Townhouse'!$A:$R,H$1,0),2)</f>
        <v>58.35</v>
      </c>
      <c r="I13" s="3" t="str">
        <f>FIXED(VLOOKUP($A13,'Full Sample-Townhouse'!$A:$R,I$1,0),2)</f>
        <v>0.00</v>
      </c>
      <c r="J13" s="13" t="str">
        <f>FIXED(VLOOKUP($A13,'Full Sample-Townhouse'!$A:$R,J$1,0),2)</f>
        <v>785.00</v>
      </c>
      <c r="K13" s="9" t="str">
        <f>FIXED(VLOOKUP($A13,'Full Sample-Townhouse'!$A:$R,K$1,0),2)</f>
        <v>39.79</v>
      </c>
      <c r="L13" s="3" t="str">
        <f>FIXED(VLOOKUP($A13,'Full Sample-Townhouse'!$A:$R,L$1,0),2)</f>
        <v>63.08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1-Townhouse'!$A:$R,O$1,0),2)</f>
        <v>45.15</v>
      </c>
      <c r="P13" s="3" t="str">
        <f>FIXED(VLOOKUP($A13,'Small Sample 1-Townhouse'!$A:$R,P$1,0),2)</f>
        <v>61.31</v>
      </c>
      <c r="Q13" s="3" t="str">
        <f>FIXED(VLOOKUP($A13,'Small Sample 1-Townhouse'!$A:$R,Q$1,0),2)</f>
        <v>0.00</v>
      </c>
      <c r="R13" s="3" t="str">
        <f>FIXED(VLOOKUP($A13,'Small Sample 1-Townhouse'!$A:$R,R$1,0),2)</f>
        <v>946.00</v>
      </c>
      <c r="S13" s="9" t="str">
        <f>FIXED(VLOOKUP($A13,'Small Sample 1-Townhouse'!$A:$R,S$1,0),2)</f>
        <v>50.20</v>
      </c>
      <c r="T13" s="3" t="str">
        <f>FIXED(VLOOKUP($A13,'Small Sample 1-Townhouse'!$A:$R,T$1,0),2)</f>
        <v>59.25</v>
      </c>
      <c r="U13" s="3" t="str">
        <f>FIXED(VLOOKUP($A13,'Small Sample 1-Townhouse'!$A:$R,U$1,0),2)</f>
        <v>0.00</v>
      </c>
      <c r="V13" s="13" t="str">
        <f>FIXED(VLOOKUP($A13,'Small Sample 1-Townhouse'!$A:$R,V$1,0),2)</f>
        <v>785.00</v>
      </c>
      <c r="W13" s="9" t="str">
        <f>FIXED(VLOOKUP($A13,'Small Sample 1-Townhouse'!$A:$R,W$1,0),2)</f>
        <v>39.64</v>
      </c>
      <c r="X13" s="3" t="str">
        <f>FIXED(VLOOKUP($A13,'Small Sample 1-Townhouse'!$A:$R,X$1,0),2)</f>
        <v>63.03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2-Townhouse'!$A:$R,AA$1,0),2)</f>
        <v>47.97</v>
      </c>
      <c r="AB13" s="3" t="str">
        <f>FIXED(VLOOKUP($A13,'Small Sample 2-Townhouse'!$A:$R,AB$1,0),2)</f>
        <v>62.31</v>
      </c>
      <c r="AC13" s="3" t="str">
        <f>FIXED(VLOOKUP($A13,'Small Sample 2-Townhouse'!$A:$R,AC$1,0),2)</f>
        <v>0.00</v>
      </c>
      <c r="AD13" s="3" t="str">
        <f>FIXED(VLOOKUP($A13,'Small Sample 2-Townhouse'!$A:$R,AD$1,0),2)</f>
        <v>946.00</v>
      </c>
      <c r="AE13" s="9" t="str">
        <f>FIXED(VLOOKUP($A13,'Small Sample 2-Townhouse'!$A:$R,AE$1,0),2)</f>
        <v>51.07</v>
      </c>
      <c r="AF13" s="3" t="str">
        <f>FIXED(VLOOKUP($A13,'Small Sample 2-Townhouse'!$A:$R,AF$1,0),2)</f>
        <v>59.24</v>
      </c>
      <c r="AG13" s="3" t="str">
        <f>FIXED(VLOOKUP($A13,'Small Sample 2-Townhouse'!$A:$R,AG$1,0),2)</f>
        <v>0.00</v>
      </c>
      <c r="AH13" s="13" t="str">
        <f>FIXED(VLOOKUP($A13,'Small Sample 2-Townhouse'!$A:$R,AH$1,0),2)</f>
        <v>785.00</v>
      </c>
      <c r="AI13" s="9" t="str">
        <f>FIXED(VLOOKUP($A13,'Small Sample 2-Townhouse'!$A:$R,AI$1,0),2)</f>
        <v>42.59</v>
      </c>
      <c r="AJ13" s="3" t="str">
        <f>FIXED(VLOOKUP($A13,'Small Sample 2-Townhouse'!$A:$R,AJ$1,0),2)</f>
        <v>66.95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340</v>
      </c>
      <c r="C14" s="9" t="str">
        <f>FIXED(VLOOKUP($A14,'Full Sample-Townhouse'!$A:$R,C$1,0),2)</f>
        <v>2,019.04</v>
      </c>
      <c r="D14" s="3" t="str">
        <f>FIXED(VLOOKUP($A14,'Full Sample-Townhouse'!$A:$R,D$1,0),2)</f>
        <v>2.01</v>
      </c>
      <c r="E14" s="3" t="str">
        <f>FIXED(VLOOKUP($A14,'Full Sample-Townhouse'!$A:$R,E$1,0),2)</f>
        <v>2,016.00</v>
      </c>
      <c r="F14" s="3" t="str">
        <f>FIXED(VLOOKUP($A14,'Full Sample-Townhouse'!$A:$R,F$1,0),2)</f>
        <v>2,023.00</v>
      </c>
      <c r="G14" s="9" t="str">
        <f>FIXED(VLOOKUP($A14,'Full Sample-Townhouse'!$A:$R,G$1,0),2)</f>
        <v>2,017.56</v>
      </c>
      <c r="H14" s="3" t="str">
        <f>FIXED(VLOOKUP($A14,'Full Sample-Townhouse'!$A:$R,H$1,0),2)</f>
        <v>1.16</v>
      </c>
      <c r="I14" s="3" t="str">
        <f>FIXED(VLOOKUP($A14,'Full Sample-Townhouse'!$A:$R,I$1,0),2)</f>
        <v>2,016.00</v>
      </c>
      <c r="J14" s="13" t="str">
        <f>FIXED(VLOOKUP($A14,'Full Sample-Townhouse'!$A:$R,J$1,0),2)</f>
        <v>2,020.00</v>
      </c>
      <c r="K14" s="9" t="str">
        <f>FIXED(VLOOKUP($A14,'Full Sample-Townhouse'!$A:$R,K$1,0),2)</f>
        <v>2,021.08</v>
      </c>
      <c r="L14" s="3" t="str">
        <f>FIXED(VLOOKUP($A14,'Full Sample-Townhouse'!$A:$R,L$1,0),2)</f>
        <v>0.76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1-Townhouse'!$A:$R,O$1,0),2)</f>
        <v>2,019.30</v>
      </c>
      <c r="P14" s="3" t="str">
        <f>FIXED(VLOOKUP($A14,'Small Sample 1-Townhouse'!$A:$R,P$1,0),2)</f>
        <v>1.98</v>
      </c>
      <c r="Q14" s="3" t="str">
        <f>FIXED(VLOOKUP($A14,'Small Sample 1-Townhouse'!$A:$R,Q$1,0),2)</f>
        <v>2,016.00</v>
      </c>
      <c r="R14" s="3" t="str">
        <f>FIXED(VLOOKUP($A14,'Small Sample 1-Townhouse'!$A:$R,R$1,0),2)</f>
        <v>2,023.00</v>
      </c>
      <c r="S14" s="9" t="str">
        <f>FIXED(VLOOKUP($A14,'Small Sample 1-Townhouse'!$A:$R,S$1,0),2)</f>
        <v>2,017.65</v>
      </c>
      <c r="T14" s="3" t="str">
        <f>FIXED(VLOOKUP($A14,'Small Sample 1-Townhouse'!$A:$R,T$1,0),2)</f>
        <v>1.16</v>
      </c>
      <c r="U14" s="3" t="str">
        <f>FIXED(VLOOKUP($A14,'Small Sample 1-Townhouse'!$A:$R,U$1,0),2)</f>
        <v>2,016.00</v>
      </c>
      <c r="V14" s="13" t="str">
        <f>FIXED(VLOOKUP($A14,'Small Sample 1-Townhouse'!$A:$R,V$1,0),2)</f>
        <v>2,020.00</v>
      </c>
      <c r="W14" s="9" t="str">
        <f>FIXED(VLOOKUP($A14,'Small Sample 1-Townhouse'!$A:$R,W$1,0),2)</f>
        <v>2,021.10</v>
      </c>
      <c r="X14" s="3" t="str">
        <f>FIXED(VLOOKUP($A14,'Small Sample 1-Townhouse'!$A:$R,X$1,0),2)</f>
        <v>0.75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2-Townhouse'!$A:$R,AA$1,0),2)</f>
        <v>2,018.79</v>
      </c>
      <c r="AB14" s="3" t="str">
        <f>FIXED(VLOOKUP($A14,'Small Sample 2-Townhouse'!$A:$R,AB$1,0),2)</f>
        <v>2.00</v>
      </c>
      <c r="AC14" s="3" t="str">
        <f>FIXED(VLOOKUP($A14,'Small Sample 2-Townhouse'!$A:$R,AC$1,0),2)</f>
        <v>2,016.00</v>
      </c>
      <c r="AD14" s="3" t="str">
        <f>FIXED(VLOOKUP($A14,'Small Sample 2-Townhouse'!$A:$R,AD$1,0),2)</f>
        <v>2,023.00</v>
      </c>
      <c r="AE14" s="9" t="str">
        <f>FIXED(VLOOKUP($A14,'Small Sample 2-Townhouse'!$A:$R,AE$1,0),2)</f>
        <v>2,017.49</v>
      </c>
      <c r="AF14" s="3" t="str">
        <f>FIXED(VLOOKUP($A14,'Small Sample 2-Townhouse'!$A:$R,AF$1,0),2)</f>
        <v>1.15</v>
      </c>
      <c r="AG14" s="3" t="str">
        <f>FIXED(VLOOKUP($A14,'Small Sample 2-Townhouse'!$A:$R,AG$1,0),2)</f>
        <v>2,016.00</v>
      </c>
      <c r="AH14" s="13" t="str">
        <f>FIXED(VLOOKUP($A14,'Small Sample 2-Townhouse'!$A:$R,AH$1,0),2)</f>
        <v>2,020.00</v>
      </c>
      <c r="AI14" s="9" t="str">
        <f>FIXED(VLOOKUP($A14,'Small Sample 2-Townhouse'!$A:$R,AI$1,0),2)</f>
        <v>2,021.05</v>
      </c>
      <c r="AJ14" s="3" t="str">
        <f>FIXED(VLOOKUP($A14,'Small Sample 2-Townhouse'!$A:$R,AJ$1,0),2)</f>
        <v>0.76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Sample-Townhouse'!$A:$R,C$1,0),2)</f>
        <v>1.51</v>
      </c>
      <c r="D15" s="3" t="str">
        <f>FIXED(VLOOKUP($A15,'Full Sample-Townhouse'!$A:$R,D$1,0),2)</f>
        <v>0.56</v>
      </c>
      <c r="E15" s="3" t="str">
        <f>FIXED(VLOOKUP($A15,'Full Sample-Townhouse'!$A:$R,E$1,0),2)</f>
        <v>0.00</v>
      </c>
      <c r="F15" s="3" t="str">
        <f>FIXED(VLOOKUP($A15,'Full Sample-Townhouse'!$A:$R,F$1,0),2)</f>
        <v>6.00</v>
      </c>
      <c r="G15" s="9" t="str">
        <f>FIXED(VLOOKUP($A15,'Full Sample-Townhouse'!$A:$R,G$1,0),2)</f>
        <v>1.51</v>
      </c>
      <c r="H15" s="3" t="str">
        <f>FIXED(VLOOKUP($A15,'Full Sample-Townhouse'!$A:$R,H$1,0),2)</f>
        <v>0.56</v>
      </c>
      <c r="I15" s="3" t="str">
        <f>FIXED(VLOOKUP($A15,'Full Sample-Townhouse'!$A:$R,I$1,0),2)</f>
        <v>0.00</v>
      </c>
      <c r="J15" s="13" t="str">
        <f>FIXED(VLOOKUP($A15,'Full Sample-Townhouse'!$A:$R,J$1,0),2)</f>
        <v>5.00</v>
      </c>
      <c r="K15" s="9" t="str">
        <f>FIXED(VLOOKUP($A15,'Full Sample-Townhouse'!$A:$R,K$1,0),2)</f>
        <v>1.50</v>
      </c>
      <c r="L15" s="3" t="str">
        <f>FIXED(VLOOKUP($A15,'Full Sample-Townhouse'!$A:$R,L$1,0),2)</f>
        <v>0.56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1-Townhouse'!$A:$R,O$1,0),2)</f>
        <v>1.49</v>
      </c>
      <c r="P15" s="3" t="str">
        <f>FIXED(VLOOKUP($A15,'Small Sample 1-Townhouse'!$A:$R,P$1,0),2)</f>
        <v>0.56</v>
      </c>
      <c r="Q15" s="3" t="str">
        <f>FIXED(VLOOKUP($A15,'Small Sample 1-Townhouse'!$A:$R,Q$1,0),2)</f>
        <v>0.00</v>
      </c>
      <c r="R15" s="3" t="str">
        <f>FIXED(VLOOKUP($A15,'Small Sample 1-Townhouse'!$A:$R,R$1,0),2)</f>
        <v>6.00</v>
      </c>
      <c r="S15" s="9" t="str">
        <f>FIXED(VLOOKUP($A15,'Small Sample 1-Townhouse'!$A:$R,S$1,0),2)</f>
        <v>1.49</v>
      </c>
      <c r="T15" s="3" t="str">
        <f>FIXED(VLOOKUP($A15,'Small Sample 1-Townhouse'!$A:$R,T$1,0),2)</f>
        <v>0.56</v>
      </c>
      <c r="U15" s="3" t="str">
        <f>FIXED(VLOOKUP($A15,'Small Sample 1-Townhouse'!$A:$R,U$1,0),2)</f>
        <v>0.00</v>
      </c>
      <c r="V15" s="13" t="str">
        <f>FIXED(VLOOKUP($A15,'Small Sample 1-Townhouse'!$A:$R,V$1,0),2)</f>
        <v>4.00</v>
      </c>
      <c r="W15" s="9" t="str">
        <f>FIXED(VLOOKUP($A15,'Small Sample 1-Townhouse'!$A:$R,W$1,0),2)</f>
        <v>1.50</v>
      </c>
      <c r="X15" s="3" t="str">
        <f>FIXED(VLOOKUP($A15,'Small Sample 1-Townhouse'!$A:$R,X$1,0),2)</f>
        <v>0.56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2-Townhouse'!$A:$R,AA$1,0),2)</f>
        <v>1.49</v>
      </c>
      <c r="AB15" s="3" t="str">
        <f>FIXED(VLOOKUP($A15,'Small Sample 2-Townhouse'!$A:$R,AB$1,0),2)</f>
        <v>0.56</v>
      </c>
      <c r="AC15" s="3" t="str">
        <f>FIXED(VLOOKUP($A15,'Small Sample 2-Townhouse'!$A:$R,AC$1,0),2)</f>
        <v>0.00</v>
      </c>
      <c r="AD15" s="3" t="str">
        <f>FIXED(VLOOKUP($A15,'Small Sample 2-Townhouse'!$A:$R,AD$1,0),2)</f>
        <v>6.00</v>
      </c>
      <c r="AE15" s="9" t="str">
        <f>FIXED(VLOOKUP($A15,'Small Sample 2-Townhouse'!$A:$R,AE$1,0),2)</f>
        <v>1.50</v>
      </c>
      <c r="AF15" s="3" t="str">
        <f>FIXED(VLOOKUP($A15,'Small Sample 2-Townhouse'!$A:$R,AF$1,0),2)</f>
        <v>0.56</v>
      </c>
      <c r="AG15" s="3" t="str">
        <f>FIXED(VLOOKUP($A15,'Small Sample 2-Townhouse'!$A:$R,AG$1,0),2)</f>
        <v>0.00</v>
      </c>
      <c r="AH15" s="13" t="str">
        <f>FIXED(VLOOKUP($A15,'Small Sample 2-Townhouse'!$A:$R,AH$1,0),2)</f>
        <v>5.00</v>
      </c>
      <c r="AI15" s="9" t="str">
        <f>FIXED(VLOOKUP($A15,'Small Sample 2-Townhouse'!$A:$R,AI$1,0),2)</f>
        <v>1.47</v>
      </c>
      <c r="AJ15" s="3" t="str">
        <f>FIXED(VLOOKUP($A15,'Small Sample 2-Townhouse'!$A:$R,AJ$1,0),2)</f>
        <v>0.55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Sample-Townhouse'!$A:$R,C$1,0),2)</f>
        <v>0.18</v>
      </c>
      <c r="D16" s="3" t="str">
        <f>FIXED(VLOOKUP($A16,'Full Sample-Townhouse'!$A:$R,D$1,0),2)</f>
        <v>0.39</v>
      </c>
      <c r="E16" s="3" t="str">
        <f>FIXED(VLOOKUP($A16,'Full Sample-Townhouse'!$A:$R,E$1,0),2)</f>
        <v>0.00</v>
      </c>
      <c r="F16" s="3" t="str">
        <f>FIXED(VLOOKUP($A16,'Full Sample-Townhouse'!$A:$R,F$1,0),2)</f>
        <v>5.00</v>
      </c>
      <c r="G16" s="9" t="str">
        <f>FIXED(VLOOKUP($A16,'Full Sample-Townhouse'!$A:$R,G$1,0),2)</f>
        <v>0.18</v>
      </c>
      <c r="H16" s="3" t="str">
        <f>FIXED(VLOOKUP($A16,'Full Sample-Townhouse'!$A:$R,H$1,0),2)</f>
        <v>0.39</v>
      </c>
      <c r="I16" s="3" t="str">
        <f>FIXED(VLOOKUP($A16,'Full Sample-Townhouse'!$A:$R,I$1,0),2)</f>
        <v>0.00</v>
      </c>
      <c r="J16" s="13" t="str">
        <f>FIXED(VLOOKUP($A16,'Full Sample-Townhouse'!$A:$R,J$1,0),2)</f>
        <v>5.00</v>
      </c>
      <c r="K16" s="9" t="str">
        <f>FIXED(VLOOKUP($A16,'Full Sample-Townhouse'!$A:$R,K$1,0),2)</f>
        <v>0.18</v>
      </c>
      <c r="L16" s="3" t="str">
        <f>FIXED(VLOOKUP($A16,'Full Sample-Townhouse'!$A:$R,L$1,0),2)</f>
        <v>0.39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1-Townhouse'!$A:$R,O$1,0),2)</f>
        <v>0.17</v>
      </c>
      <c r="P16" s="3" t="str">
        <f>FIXED(VLOOKUP($A16,'Small Sample 1-Townhouse'!$A:$R,P$1,0),2)</f>
        <v>0.38</v>
      </c>
      <c r="Q16" s="3" t="str">
        <f>FIXED(VLOOKUP($A16,'Small Sample 1-Townhouse'!$A:$R,Q$1,0),2)</f>
        <v>0.00</v>
      </c>
      <c r="R16" s="3" t="str">
        <f>FIXED(VLOOKUP($A16,'Small Sample 1-Townhouse'!$A:$R,R$1,0),2)</f>
        <v>4.00</v>
      </c>
      <c r="S16" s="9" t="str">
        <f>FIXED(VLOOKUP($A16,'Small Sample 1-Townhouse'!$A:$R,S$1,0),2)</f>
        <v>0.16</v>
      </c>
      <c r="T16" s="3" t="str">
        <f>FIXED(VLOOKUP($A16,'Small Sample 1-Townhouse'!$A:$R,T$1,0),2)</f>
        <v>0.37</v>
      </c>
      <c r="U16" s="3" t="str">
        <f>FIXED(VLOOKUP($A16,'Small Sample 1-Townhouse'!$A:$R,U$1,0),2)</f>
        <v>0.00</v>
      </c>
      <c r="V16" s="13" t="str">
        <f>FIXED(VLOOKUP($A16,'Small Sample 1-Townhouse'!$A:$R,V$1,0),2)</f>
        <v>2.00</v>
      </c>
      <c r="W16" s="9" t="str">
        <f>FIXED(VLOOKUP($A16,'Small Sample 1-Townhouse'!$A:$R,W$1,0),2)</f>
        <v>0.17</v>
      </c>
      <c r="X16" s="3" t="str">
        <f>FIXED(VLOOKUP($A16,'Small Sample 1-Townhouse'!$A:$R,X$1,0),2)</f>
        <v>0.38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2-Townhouse'!$A:$R,AA$1,0),2)</f>
        <v>0.17</v>
      </c>
      <c r="AB16" s="3" t="str">
        <f>FIXED(VLOOKUP($A16,'Small Sample 2-Townhouse'!$A:$R,AB$1,0),2)</f>
        <v>0.38</v>
      </c>
      <c r="AC16" s="3" t="str">
        <f>FIXED(VLOOKUP($A16,'Small Sample 2-Townhouse'!$A:$R,AC$1,0),2)</f>
        <v>0.00</v>
      </c>
      <c r="AD16" s="3" t="str">
        <f>FIXED(VLOOKUP($A16,'Small Sample 2-Townhouse'!$A:$R,AD$1,0),2)</f>
        <v>5.00</v>
      </c>
      <c r="AE16" s="9" t="str">
        <f>FIXED(VLOOKUP($A16,'Small Sample 2-Townhouse'!$A:$R,AE$1,0),2)</f>
        <v>0.17</v>
      </c>
      <c r="AF16" s="3" t="str">
        <f>FIXED(VLOOKUP($A16,'Small Sample 2-Townhouse'!$A:$R,AF$1,0),2)</f>
        <v>0.39</v>
      </c>
      <c r="AG16" s="3" t="str">
        <f>FIXED(VLOOKUP($A16,'Small Sample 2-Townhouse'!$A:$R,AG$1,0),2)</f>
        <v>0.00</v>
      </c>
      <c r="AH16" s="13" t="str">
        <f>FIXED(VLOOKUP($A16,'Small Sample 2-Townhouse'!$A:$R,AH$1,0),2)</f>
        <v>5.00</v>
      </c>
      <c r="AI16" s="9" t="str">
        <f>FIXED(VLOOKUP($A16,'Small Sample 2-Townhouse'!$A:$R,AI$1,0),2)</f>
        <v>0.16</v>
      </c>
      <c r="AJ16" s="3" t="str">
        <f>FIXED(VLOOKUP($A16,'Small Sample 2-Townhouse'!$A:$R,AJ$1,0),2)</f>
        <v>0.37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Sample-Townhouse'!$A:$R,C$1,0),2)</f>
        <v>1.82</v>
      </c>
      <c r="D17" s="3" t="str">
        <f>FIXED(VLOOKUP($A17,'Full Sample-Townhouse'!$A:$R,D$1,0),2)</f>
        <v>0.92</v>
      </c>
      <c r="E17" s="3" t="str">
        <f>FIXED(VLOOKUP($A17,'Full Sample-Townhouse'!$A:$R,E$1,0),2)</f>
        <v>0.00</v>
      </c>
      <c r="F17" s="3" t="str">
        <f>FIXED(VLOOKUP($A17,'Full Sample-Townhouse'!$A:$R,F$1,0),2)</f>
        <v>8.00</v>
      </c>
      <c r="G17" s="9" t="str">
        <f>FIXED(VLOOKUP($A17,'Full Sample-Townhouse'!$A:$R,G$1,0),2)</f>
        <v>1.83</v>
      </c>
      <c r="H17" s="3" t="str">
        <f>FIXED(VLOOKUP($A17,'Full Sample-Townhouse'!$A:$R,H$1,0),2)</f>
        <v>0.92</v>
      </c>
      <c r="I17" s="3" t="str">
        <f>FIXED(VLOOKUP($A17,'Full Sample-Townhouse'!$A:$R,I$1,0),2)</f>
        <v>0.00</v>
      </c>
      <c r="J17" s="13" t="str">
        <f>FIXED(VLOOKUP($A17,'Full Sample-Townhouse'!$A:$R,J$1,0),2)</f>
        <v>5.00</v>
      </c>
      <c r="K17" s="9" t="str">
        <f>FIXED(VLOOKUP($A17,'Full Sample-Townhouse'!$A:$R,K$1,0),2)</f>
        <v>1.81</v>
      </c>
      <c r="L17" s="3" t="str">
        <f>FIXED(VLOOKUP($A17,'Full Sample-Townhouse'!$A:$R,L$1,0),2)</f>
        <v>0.92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1-Townhouse'!$A:$R,O$1,0),2)</f>
        <v>1.79</v>
      </c>
      <c r="P17" s="3" t="str">
        <f>FIXED(VLOOKUP($A17,'Small Sample 1-Townhouse'!$A:$R,P$1,0),2)</f>
        <v>0.92</v>
      </c>
      <c r="Q17" s="3" t="str">
        <f>FIXED(VLOOKUP($A17,'Small Sample 1-Townhouse'!$A:$R,Q$1,0),2)</f>
        <v>0.00</v>
      </c>
      <c r="R17" s="3" t="str">
        <f>FIXED(VLOOKUP($A17,'Small Sample 1-Townhouse'!$A:$R,R$1,0),2)</f>
        <v>8.00</v>
      </c>
      <c r="S17" s="9" t="str">
        <f>FIXED(VLOOKUP($A17,'Small Sample 1-Townhouse'!$A:$R,S$1,0),2)</f>
        <v>1.78</v>
      </c>
      <c r="T17" s="3" t="str">
        <f>FIXED(VLOOKUP($A17,'Small Sample 1-Townhouse'!$A:$R,T$1,0),2)</f>
        <v>0.91</v>
      </c>
      <c r="U17" s="3" t="str">
        <f>FIXED(VLOOKUP($A17,'Small Sample 1-Townhouse'!$A:$R,U$1,0),2)</f>
        <v>0.00</v>
      </c>
      <c r="V17" s="13" t="str">
        <f>FIXED(VLOOKUP($A17,'Small Sample 1-Townhouse'!$A:$R,V$1,0),2)</f>
        <v>5.00</v>
      </c>
      <c r="W17" s="9" t="str">
        <f>FIXED(VLOOKUP($A17,'Small Sample 1-Townhouse'!$A:$R,W$1,0),2)</f>
        <v>1.81</v>
      </c>
      <c r="X17" s="3" t="str">
        <f>FIXED(VLOOKUP($A17,'Small Sample 1-Townhouse'!$A:$R,X$1,0),2)</f>
        <v>0.92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2-Townhouse'!$A:$R,AA$1,0),2)</f>
        <v>1.79</v>
      </c>
      <c r="AB17" s="3" t="str">
        <f>FIXED(VLOOKUP($A17,'Small Sample 2-Townhouse'!$A:$R,AB$1,0),2)</f>
        <v>0.92</v>
      </c>
      <c r="AC17" s="3" t="str">
        <f>FIXED(VLOOKUP($A17,'Small Sample 2-Townhouse'!$A:$R,AC$1,0),2)</f>
        <v>0.00</v>
      </c>
      <c r="AD17" s="3" t="str">
        <f>FIXED(VLOOKUP($A17,'Small Sample 2-Townhouse'!$A:$R,AD$1,0),2)</f>
        <v>8.00</v>
      </c>
      <c r="AE17" s="9" t="str">
        <f>FIXED(VLOOKUP($A17,'Small Sample 2-Townhouse'!$A:$R,AE$1,0),2)</f>
        <v>1.82</v>
      </c>
      <c r="AF17" s="3" t="str">
        <f>FIXED(VLOOKUP($A17,'Small Sample 2-Townhouse'!$A:$R,AF$1,0),2)</f>
        <v>0.92</v>
      </c>
      <c r="AG17" s="3" t="str">
        <f>FIXED(VLOOKUP($A17,'Small Sample 2-Townhouse'!$A:$R,AG$1,0),2)</f>
        <v>0.00</v>
      </c>
      <c r="AH17" s="13" t="str">
        <f>FIXED(VLOOKUP($A17,'Small Sample 2-Townhouse'!$A:$R,AH$1,0),2)</f>
        <v>5.00</v>
      </c>
      <c r="AI17" s="9" t="str">
        <f>FIXED(VLOOKUP($A17,'Small Sample 2-Townhouse'!$A:$R,AI$1,0),2)</f>
        <v>1.75</v>
      </c>
      <c r="AJ17" s="3" t="str">
        <f>FIXED(VLOOKUP($A17,'Small Sample 2-Townhouse'!$A:$R,AJ$1,0),2)</f>
        <v>0.92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Sample-Townhouse'!$A:$R,C$1,0),2)</f>
        <v>0.26</v>
      </c>
      <c r="D18" s="3" t="str">
        <f>FIXED(VLOOKUP($A18,'Full Sample-Townhouse'!$A:$R,D$1,0),2)</f>
        <v>0.44</v>
      </c>
      <c r="E18" s="3" t="str">
        <f>FIXED(VLOOKUP($A18,'Full Sample-Townhouse'!$A:$R,E$1,0),2)</f>
        <v>0.00</v>
      </c>
      <c r="F18" s="3" t="str">
        <f>FIXED(VLOOKUP($A18,'Full Sample-Townhouse'!$A:$R,F$1,0),2)</f>
        <v>1.00</v>
      </c>
      <c r="G18" s="9" t="str">
        <f>FIXED(VLOOKUP($A18,'Full Sample-Townhouse'!$A:$R,G$1,0),2)</f>
        <v>0.27</v>
      </c>
      <c r="H18" s="3" t="str">
        <f>FIXED(VLOOKUP($A18,'Full Sample-Townhouse'!$A:$R,H$1,0),2)</f>
        <v>0.45</v>
      </c>
      <c r="I18" s="3" t="str">
        <f>FIXED(VLOOKUP($A18,'Full Sample-Townhouse'!$A:$R,I$1,0),2)</f>
        <v>0.00</v>
      </c>
      <c r="J18" s="13" t="str">
        <f>FIXED(VLOOKUP($A18,'Full Sample-Townhouse'!$A:$R,J$1,0),2)</f>
        <v>1.00</v>
      </c>
      <c r="K18" s="9" t="str">
        <f>FIXED(VLOOKUP($A18,'Full Sample-Townhouse'!$A:$R,K$1,0),2)</f>
        <v>0.24</v>
      </c>
      <c r="L18" s="3" t="str">
        <f>FIXED(VLOOKUP($A18,'Full Sample-Townhouse'!$A:$R,L$1,0),2)</f>
        <v>0.43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1-Townhouse'!$A:$R,O$1,0),2)</f>
        <v>0.26</v>
      </c>
      <c r="P18" s="3" t="str">
        <f>FIXED(VLOOKUP($A18,'Small Sample 1-Townhouse'!$A:$R,P$1,0),2)</f>
        <v>0.44</v>
      </c>
      <c r="Q18" s="3" t="str">
        <f>FIXED(VLOOKUP($A18,'Small Sample 1-Townhouse'!$A:$R,Q$1,0),2)</f>
        <v>0.00</v>
      </c>
      <c r="R18" s="3" t="str">
        <f>FIXED(VLOOKUP($A18,'Small Sample 1-Townhouse'!$A:$R,R$1,0),2)</f>
        <v>1.00</v>
      </c>
      <c r="S18" s="9" t="str">
        <f>FIXED(VLOOKUP($A18,'Small Sample 1-Townhouse'!$A:$R,S$1,0),2)</f>
        <v>0.27</v>
      </c>
      <c r="T18" s="3" t="str">
        <f>FIXED(VLOOKUP($A18,'Small Sample 1-Townhouse'!$A:$R,T$1,0),2)</f>
        <v>0.45</v>
      </c>
      <c r="U18" s="3" t="str">
        <f>FIXED(VLOOKUP($A18,'Small Sample 1-Townhouse'!$A:$R,U$1,0),2)</f>
        <v>0.00</v>
      </c>
      <c r="V18" s="13" t="str">
        <f>FIXED(VLOOKUP($A18,'Small Sample 1-Townhouse'!$A:$R,V$1,0),2)</f>
        <v>1.00</v>
      </c>
      <c r="W18" s="9" t="str">
        <f>FIXED(VLOOKUP($A18,'Small Sample 1-Townhouse'!$A:$R,W$1,0),2)</f>
        <v>0.25</v>
      </c>
      <c r="X18" s="3" t="str">
        <f>FIXED(VLOOKUP($A18,'Small Sample 1-Townhouse'!$A:$R,X$1,0),2)</f>
        <v>0.43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2-Townhouse'!$A:$R,AA$1,0),2)</f>
        <v>0.26</v>
      </c>
      <c r="AB18" s="3" t="str">
        <f>FIXED(VLOOKUP($A18,'Small Sample 2-Townhouse'!$A:$R,AB$1,0),2)</f>
        <v>0.44</v>
      </c>
      <c r="AC18" s="3" t="str">
        <f>FIXED(VLOOKUP($A18,'Small Sample 2-Townhouse'!$A:$R,AC$1,0),2)</f>
        <v>0.00</v>
      </c>
      <c r="AD18" s="3" t="str">
        <f>FIXED(VLOOKUP($A18,'Small Sample 2-Townhouse'!$A:$R,AD$1,0),2)</f>
        <v>1.00</v>
      </c>
      <c r="AE18" s="9" t="str">
        <f>FIXED(VLOOKUP($A18,'Small Sample 2-Townhouse'!$A:$R,AE$1,0),2)</f>
        <v>0.27</v>
      </c>
      <c r="AF18" s="3" t="str">
        <f>FIXED(VLOOKUP($A18,'Small Sample 2-Townhouse'!$A:$R,AF$1,0),2)</f>
        <v>0.45</v>
      </c>
      <c r="AG18" s="3" t="str">
        <f>FIXED(VLOOKUP($A18,'Small Sample 2-Townhouse'!$A:$R,AG$1,0),2)</f>
        <v>0.00</v>
      </c>
      <c r="AH18" s="13" t="str">
        <f>FIXED(VLOOKUP($A18,'Small Sample 2-Townhouse'!$A:$R,AH$1,0),2)</f>
        <v>1.00</v>
      </c>
      <c r="AI18" s="9" t="str">
        <f>FIXED(VLOOKUP($A18,'Small Sample 2-Townhouse'!$A:$R,AI$1,0),2)</f>
        <v>0.24</v>
      </c>
      <c r="AJ18" s="3" t="str">
        <f>FIXED(VLOOKUP($A18,'Small Sample 2-Townhouse'!$A:$R,AJ$1,0),2)</f>
        <v>0.43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Sample-Townhouse'!$A:$R,C$1,0),2)</f>
        <v>0.21</v>
      </c>
      <c r="D19" s="3" t="str">
        <f>FIXED(VLOOKUP($A19,'Full Sample-Townhouse'!$A:$R,D$1,0),2)</f>
        <v>0.41</v>
      </c>
      <c r="E19" s="3" t="str">
        <f>FIXED(VLOOKUP($A19,'Full Sample-Townhouse'!$A:$R,E$1,0),2)</f>
        <v>0.00</v>
      </c>
      <c r="F19" s="3" t="str">
        <f>FIXED(VLOOKUP($A19,'Full Sample-Townhouse'!$A:$R,F$1,0),2)</f>
        <v>1.00</v>
      </c>
      <c r="G19" s="9" t="str">
        <f>FIXED(VLOOKUP($A19,'Full Sample-Townhouse'!$A:$R,G$1,0),2)</f>
        <v>0.21</v>
      </c>
      <c r="H19" s="3" t="str">
        <f>FIXED(VLOOKUP($A19,'Full Sample-Townhouse'!$A:$R,H$1,0),2)</f>
        <v>0.41</v>
      </c>
      <c r="I19" s="3" t="str">
        <f>FIXED(VLOOKUP($A19,'Full Sample-Townhouse'!$A:$R,I$1,0),2)</f>
        <v>0.00</v>
      </c>
      <c r="J19" s="13" t="str">
        <f>FIXED(VLOOKUP($A19,'Full Sample-Townhouse'!$A:$R,J$1,0),2)</f>
        <v>1.00</v>
      </c>
      <c r="K19" s="9" t="str">
        <f>FIXED(VLOOKUP($A19,'Full Sample-Townhouse'!$A:$R,K$1,0),2)</f>
        <v>0.21</v>
      </c>
      <c r="L19" s="3" t="str">
        <f>FIXED(VLOOKUP($A19,'Full Sample-Townhouse'!$A:$R,L$1,0),2)</f>
        <v>0.41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1-Townhouse'!$A:$R,O$1,0),2)</f>
        <v>0.20</v>
      </c>
      <c r="P19" s="3" t="str">
        <f>FIXED(VLOOKUP($A19,'Small Sample 1-Townhouse'!$A:$R,P$1,0),2)</f>
        <v>0.40</v>
      </c>
      <c r="Q19" s="3" t="str">
        <f>FIXED(VLOOKUP($A19,'Small Sample 1-Townhouse'!$A:$R,Q$1,0),2)</f>
        <v>0.00</v>
      </c>
      <c r="R19" s="3" t="str">
        <f>FIXED(VLOOKUP($A19,'Small Sample 1-Townhouse'!$A:$R,R$1,0),2)</f>
        <v>1.00</v>
      </c>
      <c r="S19" s="9" t="str">
        <f>FIXED(VLOOKUP($A19,'Small Sample 1-Townhouse'!$A:$R,S$1,0),2)</f>
        <v>0.19</v>
      </c>
      <c r="T19" s="3" t="str">
        <f>FIXED(VLOOKUP($A19,'Small Sample 1-Townhouse'!$A:$R,T$1,0),2)</f>
        <v>0.39</v>
      </c>
      <c r="U19" s="3" t="str">
        <f>FIXED(VLOOKUP($A19,'Small Sample 1-Townhouse'!$A:$R,U$1,0),2)</f>
        <v>0.00</v>
      </c>
      <c r="V19" s="13" t="str">
        <f>FIXED(VLOOKUP($A19,'Small Sample 1-Townhouse'!$A:$R,V$1,0),2)</f>
        <v>1.00</v>
      </c>
      <c r="W19" s="9" t="str">
        <f>FIXED(VLOOKUP($A19,'Small Sample 1-Townhouse'!$A:$R,W$1,0),2)</f>
        <v>0.21</v>
      </c>
      <c r="X19" s="3" t="str">
        <f>FIXED(VLOOKUP($A19,'Small Sample 1-Townhouse'!$A:$R,X$1,0),2)</f>
        <v>0.41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2-Townhouse'!$A:$R,AA$1,0),2)</f>
        <v>0.20</v>
      </c>
      <c r="AB19" s="3" t="str">
        <f>FIXED(VLOOKUP($A19,'Small Sample 2-Townhouse'!$A:$R,AB$1,0),2)</f>
        <v>0.40</v>
      </c>
      <c r="AC19" s="3" t="str">
        <f>FIXED(VLOOKUP($A19,'Small Sample 2-Townhouse'!$A:$R,AC$1,0),2)</f>
        <v>0.00</v>
      </c>
      <c r="AD19" s="3" t="str">
        <f>FIXED(VLOOKUP($A19,'Small Sample 2-Townhouse'!$A:$R,AD$1,0),2)</f>
        <v>1.00</v>
      </c>
      <c r="AE19" s="9" t="str">
        <f>FIXED(VLOOKUP($A19,'Small Sample 2-Townhouse'!$A:$R,AE$1,0),2)</f>
        <v>0.21</v>
      </c>
      <c r="AF19" s="3" t="str">
        <f>FIXED(VLOOKUP($A19,'Small Sample 2-Townhouse'!$A:$R,AF$1,0),2)</f>
        <v>0.40</v>
      </c>
      <c r="AG19" s="3" t="str">
        <f>FIXED(VLOOKUP($A19,'Small Sample 2-Townhouse'!$A:$R,AG$1,0),2)</f>
        <v>0.00</v>
      </c>
      <c r="AH19" s="13" t="str">
        <f>FIXED(VLOOKUP($A19,'Small Sample 2-Townhouse'!$A:$R,AH$1,0),2)</f>
        <v>1.00</v>
      </c>
      <c r="AI19" s="9" t="str">
        <f>FIXED(VLOOKUP($A19,'Small Sample 2-Townhouse'!$A:$R,AI$1,0),2)</f>
        <v>0.18</v>
      </c>
      <c r="AJ19" s="3" t="str">
        <f>FIXED(VLOOKUP($A19,'Small Sample 2-Townhouse'!$A:$R,AJ$1,0),2)</f>
        <v>0.38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Sample-Townhouse'!$A:$R,C$1,0),2)</f>
        <v>0.53</v>
      </c>
      <c r="D20" s="3" t="str">
        <f>FIXED(VLOOKUP($A20,'Full Sample-Townhouse'!$A:$R,D$1,0),2)</f>
        <v>0.50</v>
      </c>
      <c r="E20" s="3" t="str">
        <f>FIXED(VLOOKUP($A20,'Full Sample-Townhouse'!$A:$R,E$1,0),2)</f>
        <v>0.00</v>
      </c>
      <c r="F20" s="3" t="str">
        <f>FIXED(VLOOKUP($A20,'Full Sample-Townhouse'!$A:$R,F$1,0),2)</f>
        <v>1.00</v>
      </c>
      <c r="G20" s="9" t="str">
        <f>FIXED(VLOOKUP($A20,'Full Sample-Townhouse'!$A:$R,G$1,0),2)</f>
        <v>0.52</v>
      </c>
      <c r="H20" s="3" t="str">
        <f>FIXED(VLOOKUP($A20,'Full Sample-Townhouse'!$A:$R,H$1,0),2)</f>
        <v>0.50</v>
      </c>
      <c r="I20" s="3" t="str">
        <f>FIXED(VLOOKUP($A20,'Full Sample-Townhouse'!$A:$R,I$1,0),2)</f>
        <v>0.00</v>
      </c>
      <c r="J20" s="13" t="str">
        <f>FIXED(VLOOKUP($A20,'Full Sample-Townhouse'!$A:$R,J$1,0),2)</f>
        <v>1.00</v>
      </c>
      <c r="K20" s="9" t="str">
        <f>FIXED(VLOOKUP($A20,'Full Sample-Townhouse'!$A:$R,K$1,0),2)</f>
        <v>0.55</v>
      </c>
      <c r="L20" s="3" t="str">
        <f>FIXED(VLOOKUP($A20,'Full Sample-Townhouse'!$A:$R,L$1,0),2)</f>
        <v>0.50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1-Townhouse'!$A:$R,O$1,0),2)</f>
        <v>0.55</v>
      </c>
      <c r="P20" s="3" t="str">
        <f>FIXED(VLOOKUP($A20,'Small Sample 1-Townhouse'!$A:$R,P$1,0),2)</f>
        <v>0.50</v>
      </c>
      <c r="Q20" s="3" t="str">
        <f>FIXED(VLOOKUP($A20,'Small Sample 1-Townhouse'!$A:$R,Q$1,0),2)</f>
        <v>0.00</v>
      </c>
      <c r="R20" s="3" t="str">
        <f>FIXED(VLOOKUP($A20,'Small Sample 1-Townhouse'!$A:$R,R$1,0),2)</f>
        <v>1.00</v>
      </c>
      <c r="S20" s="9" t="str">
        <f>FIXED(VLOOKUP($A20,'Small Sample 1-Townhouse'!$A:$R,S$1,0),2)</f>
        <v>0.54</v>
      </c>
      <c r="T20" s="3" t="str">
        <f>FIXED(VLOOKUP($A20,'Small Sample 1-Townhouse'!$A:$R,T$1,0),2)</f>
        <v>0.50</v>
      </c>
      <c r="U20" s="3" t="str">
        <f>FIXED(VLOOKUP($A20,'Small Sample 1-Townhouse'!$A:$R,U$1,0),2)</f>
        <v>0.00</v>
      </c>
      <c r="V20" s="13" t="str">
        <f>FIXED(VLOOKUP($A20,'Small Sample 1-Townhouse'!$A:$R,V$1,0),2)</f>
        <v>1.00</v>
      </c>
      <c r="W20" s="9" t="str">
        <f>FIXED(VLOOKUP($A20,'Small Sample 1-Townhouse'!$A:$R,W$1,0),2)</f>
        <v>0.55</v>
      </c>
      <c r="X20" s="3" t="str">
        <f>FIXED(VLOOKUP($A20,'Small Sample 1-Townhouse'!$A:$R,X$1,0),2)</f>
        <v>0.50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2-Townhouse'!$A:$R,AA$1,0),2)</f>
        <v>0.54</v>
      </c>
      <c r="AB20" s="3" t="str">
        <f>FIXED(VLOOKUP($A20,'Small Sample 2-Townhouse'!$A:$R,AB$1,0),2)</f>
        <v>0.50</v>
      </c>
      <c r="AC20" s="3" t="str">
        <f>FIXED(VLOOKUP($A20,'Small Sample 2-Townhouse'!$A:$R,AC$1,0),2)</f>
        <v>0.00</v>
      </c>
      <c r="AD20" s="3" t="str">
        <f>FIXED(VLOOKUP($A20,'Small Sample 2-Townhouse'!$A:$R,AD$1,0),2)</f>
        <v>1.00</v>
      </c>
      <c r="AE20" s="9" t="str">
        <f>FIXED(VLOOKUP($A20,'Small Sample 2-Townhouse'!$A:$R,AE$1,0),2)</f>
        <v>0.52</v>
      </c>
      <c r="AF20" s="3" t="str">
        <f>FIXED(VLOOKUP($A20,'Small Sample 2-Townhouse'!$A:$R,AF$1,0),2)</f>
        <v>0.50</v>
      </c>
      <c r="AG20" s="3" t="str">
        <f>FIXED(VLOOKUP($A20,'Small Sample 2-Townhouse'!$A:$R,AG$1,0),2)</f>
        <v>0.00</v>
      </c>
      <c r="AH20" s="13" t="str">
        <f>FIXED(VLOOKUP($A20,'Small Sample 2-Townhouse'!$A:$R,AH$1,0),2)</f>
        <v>1.00</v>
      </c>
      <c r="AI20" s="9" t="str">
        <f>FIXED(VLOOKUP($A20,'Small Sample 2-Townhouse'!$A:$R,AI$1,0),2)</f>
        <v>0.58</v>
      </c>
      <c r="AJ20" s="3" t="str">
        <f>FIXED(VLOOKUP($A20,'Small Sample 2-Townhouse'!$A:$R,AJ$1,0),2)</f>
        <v>0.49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Sample-Townhouse'!$A:$R,C$1,0),2)</f>
        <v>966.29</v>
      </c>
      <c r="D21" s="3" t="str">
        <f>FIXED(VLOOKUP($A21,'Full Sample-Townhouse'!$A:$R,D$1,0),2)</f>
        <v>439.74</v>
      </c>
      <c r="E21" s="3" t="str">
        <f>FIXED(VLOOKUP($A21,'Full Sample-Townhouse'!$A:$R,E$1,0),2)</f>
        <v>175.00</v>
      </c>
      <c r="F21" s="3" t="str">
        <f>FIXED(VLOOKUP($A21,'Full Sample-Townhouse'!$A:$R,F$1,0),2)</f>
        <v>11,155.00</v>
      </c>
      <c r="G21" s="9" t="str">
        <f>FIXED(VLOOKUP($A21,'Full Sample-Townhouse'!$A:$R,G$1,0),2)</f>
        <v>970.93</v>
      </c>
      <c r="H21" s="3" t="str">
        <f>FIXED(VLOOKUP($A21,'Full Sample-Townhouse'!$A:$R,H$1,0),2)</f>
        <v>438.71</v>
      </c>
      <c r="I21" s="3" t="str">
        <f>FIXED(VLOOKUP($A21,'Full Sample-Townhouse'!$A:$R,I$1,0),2)</f>
        <v>195.00</v>
      </c>
      <c r="J21" s="13" t="str">
        <f>FIXED(VLOOKUP($A21,'Full Sample-Townhouse'!$A:$R,J$1,0),2)</f>
        <v>7,582.00</v>
      </c>
      <c r="K21" s="9" t="str">
        <f>FIXED(VLOOKUP($A21,'Full Sample-Townhouse'!$A:$R,K$1,0),2)</f>
        <v>959.90</v>
      </c>
      <c r="L21" s="3" t="str">
        <f>FIXED(VLOOKUP($A21,'Full Sample-Townhouse'!$A:$R,L$1,0),2)</f>
        <v>441.09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1-Townhouse'!$A:$R,O$1,0),2)</f>
        <v>957.17</v>
      </c>
      <c r="P21" s="3" t="str">
        <f>FIXED(VLOOKUP($A21,'Small Sample 1-Townhouse'!$A:$R,P$1,0),2)</f>
        <v>441.15</v>
      </c>
      <c r="Q21" s="3" t="str">
        <f>FIXED(VLOOKUP($A21,'Small Sample 1-Townhouse'!$A:$R,Q$1,0),2)</f>
        <v>175.00</v>
      </c>
      <c r="R21" s="3" t="str">
        <f>FIXED(VLOOKUP($A21,'Small Sample 1-Townhouse'!$A:$R,R$1,0),2)</f>
        <v>11,155.00</v>
      </c>
      <c r="S21" s="9" t="str">
        <f>FIXED(VLOOKUP($A21,'Small Sample 1-Townhouse'!$A:$R,S$1,0),2)</f>
        <v>956.66</v>
      </c>
      <c r="T21" s="3" t="str">
        <f>FIXED(VLOOKUP($A21,'Small Sample 1-Townhouse'!$A:$R,T$1,0),2)</f>
        <v>441.62</v>
      </c>
      <c r="U21" s="3" t="str">
        <f>FIXED(VLOOKUP($A21,'Small Sample 1-Townhouse'!$A:$R,U$1,0),2)</f>
        <v>195.00</v>
      </c>
      <c r="V21" s="13" t="str">
        <f>FIXED(VLOOKUP($A21,'Small Sample 1-Townhouse'!$A:$R,V$1,0),2)</f>
        <v>7,582.00</v>
      </c>
      <c r="W21" s="9" t="str">
        <f>FIXED(VLOOKUP($A21,'Small Sample 1-Townhouse'!$A:$R,W$1,0),2)</f>
        <v>957.72</v>
      </c>
      <c r="X21" s="3" t="str">
        <f>FIXED(VLOOKUP($A21,'Small Sample 1-Townhouse'!$A:$R,X$1,0),2)</f>
        <v>440.66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2-Townhouse'!$A:$R,AA$1,0),2)</f>
        <v>957.16</v>
      </c>
      <c r="AB21" s="3" t="str">
        <f>FIXED(VLOOKUP($A21,'Small Sample 2-Townhouse'!$A:$R,AB$1,0),2)</f>
        <v>441.87</v>
      </c>
      <c r="AC21" s="3" t="str">
        <f>FIXED(VLOOKUP($A21,'Small Sample 2-Townhouse'!$A:$R,AC$1,0),2)</f>
        <v>175.00</v>
      </c>
      <c r="AD21" s="3" t="str">
        <f>FIXED(VLOOKUP($A21,'Small Sample 2-Townhouse'!$A:$R,AD$1,0),2)</f>
        <v>11,155.00</v>
      </c>
      <c r="AE21" s="9" t="str">
        <f>FIXED(VLOOKUP($A21,'Small Sample 2-Townhouse'!$A:$R,AE$1,0),2)</f>
        <v>967.24</v>
      </c>
      <c r="AF21" s="3" t="str">
        <f>FIXED(VLOOKUP($A21,'Small Sample 2-Townhouse'!$A:$R,AF$1,0),2)</f>
        <v>439.84</v>
      </c>
      <c r="AG21" s="3" t="str">
        <f>FIXED(VLOOKUP($A21,'Small Sample 2-Townhouse'!$A:$R,AG$1,0),2)</f>
        <v>195.00</v>
      </c>
      <c r="AH21" s="13" t="str">
        <f>FIXED(VLOOKUP($A21,'Small Sample 2-Townhouse'!$A:$R,AH$1,0),2)</f>
        <v>7,582.00</v>
      </c>
      <c r="AI21" s="9" t="str">
        <f>FIXED(VLOOKUP($A21,'Small Sample 2-Townhouse'!$A:$R,AI$1,0),2)</f>
        <v>939.73</v>
      </c>
      <c r="AJ21" s="3" t="str">
        <f>FIXED(VLOOKUP($A21,'Small Sample 2-Townhouse'!$A:$R,AJ$1,0),2)</f>
        <v>444.84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Sample-Townhouse'!$A:$R,C$1,0),2)</f>
        <v>35.02</v>
      </c>
      <c r="D22" s="3" t="str">
        <f>FIXED(VLOOKUP($A22,'Full Sample-Townhouse'!$A:$R,D$1,0),2)</f>
        <v>16.28</v>
      </c>
      <c r="E22" s="3" t="str">
        <f>FIXED(VLOOKUP($A22,'Full Sample-Townhouse'!$A:$R,E$1,0),2)</f>
        <v>0.00</v>
      </c>
      <c r="F22" s="3" t="str">
        <f>FIXED(VLOOKUP($A22,'Full Sample-Townhouse'!$A:$R,F$1,0),2)</f>
        <v>90.00</v>
      </c>
      <c r="G22" s="9" t="str">
        <f>FIXED(VLOOKUP($A22,'Full Sample-Townhouse'!$A:$R,G$1,0),2)</f>
        <v>33.54</v>
      </c>
      <c r="H22" s="3" t="str">
        <f>FIXED(VLOOKUP($A22,'Full Sample-Townhouse'!$A:$R,H$1,0),2)</f>
        <v>16.10</v>
      </c>
      <c r="I22" s="3" t="str">
        <f>FIXED(VLOOKUP($A22,'Full Sample-Townhouse'!$A:$R,I$1,0),2)</f>
        <v>0.00</v>
      </c>
      <c r="J22" s="13" t="str">
        <f>FIXED(VLOOKUP($A22,'Full Sample-Townhouse'!$A:$R,J$1,0),2)</f>
        <v>90.00</v>
      </c>
      <c r="K22" s="9" t="str">
        <f>FIXED(VLOOKUP($A22,'Full Sample-Townhouse'!$A:$R,K$1,0),2)</f>
        <v>37.07</v>
      </c>
      <c r="L22" s="3" t="str">
        <f>FIXED(VLOOKUP($A22,'Full Sample-Townhouse'!$A:$R,L$1,0),2)</f>
        <v>16.31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1-Townhouse'!$A:$R,O$1,0),2)</f>
        <v>35.62</v>
      </c>
      <c r="P22" s="3" t="str">
        <f>FIXED(VLOOKUP($A22,'Small Sample 1-Townhouse'!$A:$R,P$1,0),2)</f>
        <v>16.29</v>
      </c>
      <c r="Q22" s="3" t="str">
        <f>FIXED(VLOOKUP($A22,'Small Sample 1-Townhouse'!$A:$R,Q$1,0),2)</f>
        <v>0.00</v>
      </c>
      <c r="R22" s="3" t="str">
        <f>FIXED(VLOOKUP($A22,'Small Sample 1-Townhouse'!$A:$R,R$1,0),2)</f>
        <v>90.00</v>
      </c>
      <c r="S22" s="9" t="str">
        <f>FIXED(VLOOKUP($A22,'Small Sample 1-Townhouse'!$A:$R,S$1,0),2)</f>
        <v>34.23</v>
      </c>
      <c r="T22" s="3" t="str">
        <f>FIXED(VLOOKUP($A22,'Small Sample 1-Townhouse'!$A:$R,T$1,0),2)</f>
        <v>16.13</v>
      </c>
      <c r="U22" s="3" t="str">
        <f>FIXED(VLOOKUP($A22,'Small Sample 1-Townhouse'!$A:$R,U$1,0),2)</f>
        <v>0.00</v>
      </c>
      <c r="V22" s="13" t="str">
        <f>FIXED(VLOOKUP($A22,'Small Sample 1-Townhouse'!$A:$R,V$1,0),2)</f>
        <v>90.00</v>
      </c>
      <c r="W22" s="9" t="str">
        <f>FIXED(VLOOKUP($A22,'Small Sample 1-Townhouse'!$A:$R,W$1,0),2)</f>
        <v>37.13</v>
      </c>
      <c r="X22" s="3" t="str">
        <f>FIXED(VLOOKUP($A22,'Small Sample 1-Townhouse'!$A:$R,X$1,0),2)</f>
        <v>16.33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2-Townhouse'!$A:$R,AA$1,0),2)</f>
        <v>35.11</v>
      </c>
      <c r="AB22" s="3" t="str">
        <f>FIXED(VLOOKUP($A22,'Small Sample 2-Townhouse'!$A:$R,AB$1,0),2)</f>
        <v>16.35</v>
      </c>
      <c r="AC22" s="3" t="str">
        <f>FIXED(VLOOKUP($A22,'Small Sample 2-Townhouse'!$A:$R,AC$1,0),2)</f>
        <v>0.00</v>
      </c>
      <c r="AD22" s="3" t="str">
        <f>FIXED(VLOOKUP($A22,'Small Sample 2-Townhouse'!$A:$R,AD$1,0),2)</f>
        <v>90.00</v>
      </c>
      <c r="AE22" s="9" t="str">
        <f>FIXED(VLOOKUP($A22,'Small Sample 2-Townhouse'!$A:$R,AE$1,0),2)</f>
        <v>33.66</v>
      </c>
      <c r="AF22" s="3" t="str">
        <f>FIXED(VLOOKUP($A22,'Small Sample 2-Townhouse'!$A:$R,AF$1,0),2)</f>
        <v>16.10</v>
      </c>
      <c r="AG22" s="3" t="str">
        <f>FIXED(VLOOKUP($A22,'Small Sample 2-Townhouse'!$A:$R,AG$1,0),2)</f>
        <v>0.00</v>
      </c>
      <c r="AH22" s="13" t="str">
        <f>FIXED(VLOOKUP($A22,'Small Sample 2-Townhouse'!$A:$R,AH$1,0),2)</f>
        <v>90.00</v>
      </c>
      <c r="AI22" s="9" t="str">
        <f>FIXED(VLOOKUP($A22,'Small Sample 2-Townhouse'!$A:$R,AI$1,0),2)</f>
        <v>37.61</v>
      </c>
      <c r="AJ22" s="3" t="str">
        <f>FIXED(VLOOKUP($A22,'Small Sample 2-Townhouse'!$A:$R,AJ$1,0),2)</f>
        <v>16.48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Sample-Townhouse'!$A:$R,C$1,0),2)</f>
        <v>1.49</v>
      </c>
      <c r="D23" s="3" t="str">
        <f>FIXED(VLOOKUP($A23,'Full Sample-Townhouse'!$A:$R,D$1,0),2)</f>
        <v>1.02</v>
      </c>
      <c r="E23" s="3" t="str">
        <f>FIXED(VLOOKUP($A23,'Full Sample-Townhouse'!$A:$R,E$1,0),2)</f>
        <v>0.00</v>
      </c>
      <c r="F23" s="3" t="str">
        <f>FIXED(VLOOKUP($A23,'Full Sample-Townhouse'!$A:$R,F$1,0),2)</f>
        <v>8.10</v>
      </c>
      <c r="G23" s="9" t="str">
        <f>FIXED(VLOOKUP($A23,'Full Sample-Townhouse'!$A:$R,G$1,0),2)</f>
        <v>1.38</v>
      </c>
      <c r="H23" s="3" t="str">
        <f>FIXED(VLOOKUP($A23,'Full Sample-Townhouse'!$A:$R,H$1,0),2)</f>
        <v>0.97</v>
      </c>
      <c r="I23" s="3" t="str">
        <f>FIXED(VLOOKUP($A23,'Full Sample-Townhouse'!$A:$R,I$1,0),2)</f>
        <v>0.00</v>
      </c>
      <c r="J23" s="13" t="str">
        <f>FIXED(VLOOKUP($A23,'Full Sample-Townhouse'!$A:$R,J$1,0),2)</f>
        <v>8.10</v>
      </c>
      <c r="K23" s="9" t="str">
        <f>FIXED(VLOOKUP($A23,'Full Sample-Townhouse'!$A:$R,K$1,0),2)</f>
        <v>1.64</v>
      </c>
      <c r="L23" s="3" t="str">
        <f>FIXED(VLOOKUP($A23,'Full Sample-Townhouse'!$A:$R,L$1,0),2)</f>
        <v>1.06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1-Townhouse'!$A:$R,O$1,0),2)</f>
        <v>1.53</v>
      </c>
      <c r="P23" s="3" t="str">
        <f>FIXED(VLOOKUP($A23,'Small Sample 1-Townhouse'!$A:$R,P$1,0),2)</f>
        <v>1.03</v>
      </c>
      <c r="Q23" s="3" t="str">
        <f>FIXED(VLOOKUP($A23,'Small Sample 1-Townhouse'!$A:$R,Q$1,0),2)</f>
        <v>0.00</v>
      </c>
      <c r="R23" s="3" t="str">
        <f>FIXED(VLOOKUP($A23,'Small Sample 1-Townhouse'!$A:$R,R$1,0),2)</f>
        <v>8.10</v>
      </c>
      <c r="S23" s="9" t="str">
        <f>FIXED(VLOOKUP($A23,'Small Sample 1-Townhouse'!$A:$R,S$1,0),2)</f>
        <v>1.43</v>
      </c>
      <c r="T23" s="3" t="str">
        <f>FIXED(VLOOKUP($A23,'Small Sample 1-Townhouse'!$A:$R,T$1,0),2)</f>
        <v>0.98</v>
      </c>
      <c r="U23" s="3" t="str">
        <f>FIXED(VLOOKUP($A23,'Small Sample 1-Townhouse'!$A:$R,U$1,0),2)</f>
        <v>0.00</v>
      </c>
      <c r="V23" s="13" t="str">
        <f>FIXED(VLOOKUP($A23,'Small Sample 1-Townhouse'!$A:$R,V$1,0),2)</f>
        <v>8.10</v>
      </c>
      <c r="W23" s="9" t="str">
        <f>FIXED(VLOOKUP($A23,'Small Sample 1-Townhouse'!$A:$R,W$1,0),2)</f>
        <v>1.65</v>
      </c>
      <c r="X23" s="3" t="str">
        <f>FIXED(VLOOKUP($A23,'Small Sample 1-Townhouse'!$A:$R,X$1,0),2)</f>
        <v>1.07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2-Townhouse'!$A:$R,AA$1,0),2)</f>
        <v>1.50</v>
      </c>
      <c r="AB23" s="3" t="str">
        <f>FIXED(VLOOKUP($A23,'Small Sample 2-Townhouse'!$A:$R,AB$1,0),2)</f>
        <v>1.02</v>
      </c>
      <c r="AC23" s="3" t="str">
        <f>FIXED(VLOOKUP($A23,'Small Sample 2-Townhouse'!$A:$R,AC$1,0),2)</f>
        <v>0.00</v>
      </c>
      <c r="AD23" s="3" t="str">
        <f>FIXED(VLOOKUP($A23,'Small Sample 2-Townhouse'!$A:$R,AD$1,0),2)</f>
        <v>8.10</v>
      </c>
      <c r="AE23" s="9" t="str">
        <f>FIXED(VLOOKUP($A23,'Small Sample 2-Townhouse'!$A:$R,AE$1,0),2)</f>
        <v>1.39</v>
      </c>
      <c r="AF23" s="3" t="str">
        <f>FIXED(VLOOKUP($A23,'Small Sample 2-Townhouse'!$A:$R,AF$1,0),2)</f>
        <v>0.97</v>
      </c>
      <c r="AG23" s="3" t="str">
        <f>FIXED(VLOOKUP($A23,'Small Sample 2-Townhouse'!$A:$R,AG$1,0),2)</f>
        <v>0.00</v>
      </c>
      <c r="AH23" s="13" t="str">
        <f>FIXED(VLOOKUP($A23,'Small Sample 2-Townhouse'!$A:$R,AH$1,0),2)</f>
        <v>8.10</v>
      </c>
      <c r="AI23" s="9" t="str">
        <f>FIXED(VLOOKUP($A23,'Small Sample 2-Townhouse'!$A:$R,AI$1,0),2)</f>
        <v>1.69</v>
      </c>
      <c r="AJ23" s="3" t="str">
        <f>FIXED(VLOOKUP($A23,'Small Sample 2-Townhouse'!$A:$R,AJ$1,0),2)</f>
        <v>1.07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Sample-Townhouse'!$A:$R,C$1,0),2)</f>
        <v>0.00</v>
      </c>
      <c r="D24" s="3" t="str">
        <f>FIXED(VLOOKUP($A24,'Full Sample-Townhouse'!$A:$R,D$1,0),2)</f>
        <v>0.04</v>
      </c>
      <c r="E24" s="3" t="str">
        <f>FIXED(VLOOKUP($A24,'Full Sample-Townhouse'!$A:$R,E$1,0),2)</f>
        <v>0.00</v>
      </c>
      <c r="F24" s="3" t="str">
        <f>FIXED(VLOOKUP($A24,'Full Sample-Townhouse'!$A:$R,F$1,0),2)</f>
        <v>1.00</v>
      </c>
      <c r="G24" s="9" t="str">
        <f>FIXED(VLOOKUP($A24,'Full Sample-Townhouse'!$A:$R,G$1,0),2)</f>
        <v>0.00</v>
      </c>
      <c r="H24" s="3" t="str">
        <f>FIXED(VLOOKUP($A24,'Full Sample-Townhouse'!$A:$R,H$1,0),2)</f>
        <v>0.03</v>
      </c>
      <c r="I24" s="3" t="str">
        <f>FIXED(VLOOKUP($A24,'Full Sample-Townhouse'!$A:$R,I$1,0),2)</f>
        <v>0.00</v>
      </c>
      <c r="J24" s="13" t="str">
        <f>FIXED(VLOOKUP($A24,'Full Sample-Townhouse'!$A:$R,J$1,0),2)</f>
        <v>1.00</v>
      </c>
      <c r="K24" s="9" t="str">
        <f>FIXED(VLOOKUP($A24,'Full Sample-Townhouse'!$A:$R,K$1,0),2)</f>
        <v>0.00</v>
      </c>
      <c r="L24" s="3" t="str">
        <f>FIXED(VLOOKUP($A24,'Full Sample-Townhouse'!$A:$R,L$1,0),2)</f>
        <v>0.04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1-Townhouse'!$A:$R,O$1,0),2)</f>
        <v>0.00</v>
      </c>
      <c r="P24" s="3" t="str">
        <f>FIXED(VLOOKUP($A24,'Small Sample 1-Townhouse'!$A:$R,P$1,0),2)</f>
        <v>0.04</v>
      </c>
      <c r="Q24" s="3" t="str">
        <f>FIXED(VLOOKUP($A24,'Small Sample 1-Townhouse'!$A:$R,Q$1,0),2)</f>
        <v>0.00</v>
      </c>
      <c r="R24" s="3" t="str">
        <f>FIXED(VLOOKUP($A24,'Small Sample 1-Townhouse'!$A:$R,R$1,0),2)</f>
        <v>1.00</v>
      </c>
      <c r="S24" s="9" t="str">
        <f>FIXED(VLOOKUP($A24,'Small Sample 1-Townhouse'!$A:$R,S$1,0),2)</f>
        <v>0.00</v>
      </c>
      <c r="T24" s="3" t="str">
        <f>FIXED(VLOOKUP($A24,'Small Sample 1-Townhouse'!$A:$R,T$1,0),2)</f>
        <v>0.03</v>
      </c>
      <c r="U24" s="3" t="str">
        <f>FIXED(VLOOKUP($A24,'Small Sample 1-Townhouse'!$A:$R,U$1,0),2)</f>
        <v>0.00</v>
      </c>
      <c r="V24" s="13" t="str">
        <f>FIXED(VLOOKUP($A24,'Small Sample 1-Townhouse'!$A:$R,V$1,0),2)</f>
        <v>1.00</v>
      </c>
      <c r="W24" s="9" t="str">
        <f>FIXED(VLOOKUP($A24,'Small Sample 1-Townhouse'!$A:$R,W$1,0),2)</f>
        <v>0.00</v>
      </c>
      <c r="X24" s="3" t="str">
        <f>FIXED(VLOOKUP($A24,'Small Sample 1-Townhouse'!$A:$R,X$1,0),2)</f>
        <v>0.04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2-Townhouse'!$A:$R,AA$1,0),2)</f>
        <v>0.00</v>
      </c>
      <c r="AB24" s="3" t="str">
        <f>FIXED(VLOOKUP($A24,'Small Sample 2-Townhouse'!$A:$R,AB$1,0),2)</f>
        <v>0.04</v>
      </c>
      <c r="AC24" s="3" t="str">
        <f>FIXED(VLOOKUP($A24,'Small Sample 2-Townhouse'!$A:$R,AC$1,0),2)</f>
        <v>0.00</v>
      </c>
      <c r="AD24" s="3" t="str">
        <f>FIXED(VLOOKUP($A24,'Small Sample 2-Townhouse'!$A:$R,AD$1,0),2)</f>
        <v>1.00</v>
      </c>
      <c r="AE24" s="9" t="str">
        <f>FIXED(VLOOKUP($A24,'Small Sample 2-Townhouse'!$A:$R,AE$1,0),2)</f>
        <v>0.00</v>
      </c>
      <c r="AF24" s="3" t="str">
        <f>FIXED(VLOOKUP($A24,'Small Sample 2-Townhouse'!$A:$R,AF$1,0),2)</f>
        <v>0.03</v>
      </c>
      <c r="AG24" s="3" t="str">
        <f>FIXED(VLOOKUP($A24,'Small Sample 2-Townhouse'!$A:$R,AG$1,0),2)</f>
        <v>0.00</v>
      </c>
      <c r="AH24" s="13" t="str">
        <f>FIXED(VLOOKUP($A24,'Small Sample 2-Townhouse'!$A:$R,AH$1,0),2)</f>
        <v>1.00</v>
      </c>
      <c r="AI24" s="9" t="str">
        <f>FIXED(VLOOKUP($A24,'Small Sample 2-Townhouse'!$A:$R,AI$1,0),2)</f>
        <v>0.00</v>
      </c>
      <c r="AJ24" s="3" t="str">
        <f>FIXED(VLOOKUP($A24,'Small Sample 2-Townhouse'!$A:$R,AJ$1,0),2)</f>
        <v>0.04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Sample-Townhouse'!$A:$R,C$1,0),2)</f>
        <v>0.17</v>
      </c>
      <c r="D25" s="3" t="str">
        <f>FIXED(VLOOKUP($A25,'Full Sample-Townhouse'!$A:$R,D$1,0),2)</f>
        <v>0.38</v>
      </c>
      <c r="E25" s="3" t="str">
        <f>FIXED(VLOOKUP($A25,'Full Sample-Townhouse'!$A:$R,E$1,0),2)</f>
        <v>0.00</v>
      </c>
      <c r="F25" s="3" t="str">
        <f>FIXED(VLOOKUP($A25,'Full Sample-Townhouse'!$A:$R,F$1,0),2)</f>
        <v>1.00</v>
      </c>
      <c r="G25" s="9" t="str">
        <f>FIXED(VLOOKUP($A25,'Full Sample-Townhouse'!$A:$R,G$1,0),2)</f>
        <v>0.17</v>
      </c>
      <c r="H25" s="3" t="str">
        <f>FIXED(VLOOKUP($A25,'Full Sample-Townhouse'!$A:$R,H$1,0),2)</f>
        <v>0.38</v>
      </c>
      <c r="I25" s="3" t="str">
        <f>FIXED(VLOOKUP($A25,'Full Sample-Townhouse'!$A:$R,I$1,0),2)</f>
        <v>0.00</v>
      </c>
      <c r="J25" s="13" t="str">
        <f>FIXED(VLOOKUP($A25,'Full Sample-Townhouse'!$A:$R,J$1,0),2)</f>
        <v>1.00</v>
      </c>
      <c r="K25" s="9" t="str">
        <f>FIXED(VLOOKUP($A25,'Full Sample-Townhouse'!$A:$R,K$1,0),2)</f>
        <v>0.18</v>
      </c>
      <c r="L25" s="3" t="str">
        <f>FIXED(VLOOKUP($A25,'Full Sample-Townhouse'!$A:$R,L$1,0),2)</f>
        <v>0.38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1-Townhouse'!$A:$R,O$1,0),2)</f>
        <v>0.17</v>
      </c>
      <c r="P25" s="3" t="str">
        <f>FIXED(VLOOKUP($A25,'Small Sample 1-Townhouse'!$A:$R,P$1,0),2)</f>
        <v>0.38</v>
      </c>
      <c r="Q25" s="3" t="str">
        <f>FIXED(VLOOKUP($A25,'Small Sample 1-Townhouse'!$A:$R,Q$1,0),2)</f>
        <v>0.00</v>
      </c>
      <c r="R25" s="3" t="str">
        <f>FIXED(VLOOKUP($A25,'Small Sample 1-Townhouse'!$A:$R,R$1,0),2)</f>
        <v>1.00</v>
      </c>
      <c r="S25" s="9" t="str">
        <f>FIXED(VLOOKUP($A25,'Small Sample 1-Townhouse'!$A:$R,S$1,0),2)</f>
        <v>0.17</v>
      </c>
      <c r="T25" s="3" t="str">
        <f>FIXED(VLOOKUP($A25,'Small Sample 1-Townhouse'!$A:$R,T$1,0),2)</f>
        <v>0.38</v>
      </c>
      <c r="U25" s="3" t="str">
        <f>FIXED(VLOOKUP($A25,'Small Sample 1-Townhouse'!$A:$R,U$1,0),2)</f>
        <v>0.00</v>
      </c>
      <c r="V25" s="13" t="str">
        <f>FIXED(VLOOKUP($A25,'Small Sample 1-Townhouse'!$A:$R,V$1,0),2)</f>
        <v>1.00</v>
      </c>
      <c r="W25" s="9" t="str">
        <f>FIXED(VLOOKUP($A25,'Small Sample 1-Townhouse'!$A:$R,W$1,0),2)</f>
        <v>0.17</v>
      </c>
      <c r="X25" s="3" t="str">
        <f>FIXED(VLOOKUP($A25,'Small Sample 1-Townhouse'!$A:$R,X$1,0),2)</f>
        <v>0.38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2-Townhouse'!$A:$R,AA$1,0),2)</f>
        <v>0.18</v>
      </c>
      <c r="AB25" s="3" t="str">
        <f>FIXED(VLOOKUP($A25,'Small Sample 2-Townhouse'!$A:$R,AB$1,0),2)</f>
        <v>0.39</v>
      </c>
      <c r="AC25" s="3" t="str">
        <f>FIXED(VLOOKUP($A25,'Small Sample 2-Townhouse'!$A:$R,AC$1,0),2)</f>
        <v>0.00</v>
      </c>
      <c r="AD25" s="3" t="str">
        <f>FIXED(VLOOKUP($A25,'Small Sample 2-Townhouse'!$A:$R,AD$1,0),2)</f>
        <v>1.00</v>
      </c>
      <c r="AE25" s="9" t="str">
        <f>FIXED(VLOOKUP($A25,'Small Sample 2-Townhouse'!$A:$R,AE$1,0),2)</f>
        <v>0.18</v>
      </c>
      <c r="AF25" s="3" t="str">
        <f>FIXED(VLOOKUP($A25,'Small Sample 2-Townhouse'!$A:$R,AF$1,0),2)</f>
        <v>0.38</v>
      </c>
      <c r="AG25" s="3" t="str">
        <f>FIXED(VLOOKUP($A25,'Small Sample 2-Townhouse'!$A:$R,AG$1,0),2)</f>
        <v>0.00</v>
      </c>
      <c r="AH25" s="13" t="str">
        <f>FIXED(VLOOKUP($A25,'Small Sample 2-Townhouse'!$A:$R,AH$1,0),2)</f>
        <v>1.00</v>
      </c>
      <c r="AI25" s="9" t="str">
        <f>FIXED(VLOOKUP($A25,'Small Sample 2-Townhouse'!$A:$R,AI$1,0),2)</f>
        <v>0.19</v>
      </c>
      <c r="AJ25" s="3" t="str">
        <f>FIXED(VLOOKUP($A25,'Small Sample 2-Townhouse'!$A:$R,AJ$1,0),2)</f>
        <v>0.40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Sample-Townhouse'!$A:$R,C$1,0),2)</f>
        <v>0.37</v>
      </c>
      <c r="D26" s="3" t="str">
        <f>FIXED(VLOOKUP($A26,'Full Sample-Townhouse'!$A:$R,D$1,0),2)</f>
        <v>0.48</v>
      </c>
      <c r="E26" s="3" t="str">
        <f>FIXED(VLOOKUP($A26,'Full Sample-Townhouse'!$A:$R,E$1,0),2)</f>
        <v>0.00</v>
      </c>
      <c r="F26" s="3" t="str">
        <f>FIXED(VLOOKUP($A26,'Full Sample-Townhouse'!$A:$R,F$1,0),2)</f>
        <v>1.00</v>
      </c>
      <c r="G26" s="9" t="str">
        <f>FIXED(VLOOKUP($A26,'Full Sample-Townhouse'!$A:$R,G$1,0),2)</f>
        <v>0.39</v>
      </c>
      <c r="H26" s="3" t="str">
        <f>FIXED(VLOOKUP($A26,'Full Sample-Townhouse'!$A:$R,H$1,0),2)</f>
        <v>0.49</v>
      </c>
      <c r="I26" s="3" t="str">
        <f>FIXED(VLOOKUP($A26,'Full Sample-Townhouse'!$A:$R,I$1,0),2)</f>
        <v>0.00</v>
      </c>
      <c r="J26" s="13" t="str">
        <f>FIXED(VLOOKUP($A26,'Full Sample-Townhouse'!$A:$R,J$1,0),2)</f>
        <v>1.00</v>
      </c>
      <c r="K26" s="9" t="str">
        <f>FIXED(VLOOKUP($A26,'Full Sample-Townhouse'!$A:$R,K$1,0),2)</f>
        <v>0.34</v>
      </c>
      <c r="L26" s="3" t="str">
        <f>FIXED(VLOOKUP($A26,'Full Sample-Townhouse'!$A:$R,L$1,0),2)</f>
        <v>0.47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1-Townhouse'!$A:$R,O$1,0),2)</f>
        <v>0.37</v>
      </c>
      <c r="P26" s="3" t="str">
        <f>FIXED(VLOOKUP($A26,'Small Sample 1-Townhouse'!$A:$R,P$1,0),2)</f>
        <v>0.48</v>
      </c>
      <c r="Q26" s="3" t="str">
        <f>FIXED(VLOOKUP($A26,'Small Sample 1-Townhouse'!$A:$R,Q$1,0),2)</f>
        <v>0.00</v>
      </c>
      <c r="R26" s="3" t="str">
        <f>FIXED(VLOOKUP($A26,'Small Sample 1-Townhouse'!$A:$R,R$1,0),2)</f>
        <v>1.00</v>
      </c>
      <c r="S26" s="9" t="str">
        <f>FIXED(VLOOKUP($A26,'Small Sample 1-Townhouse'!$A:$R,S$1,0),2)</f>
        <v>0.39</v>
      </c>
      <c r="T26" s="3" t="str">
        <f>FIXED(VLOOKUP($A26,'Small Sample 1-Townhouse'!$A:$R,T$1,0),2)</f>
        <v>0.49</v>
      </c>
      <c r="U26" s="3" t="str">
        <f>FIXED(VLOOKUP($A26,'Small Sample 1-Townhouse'!$A:$R,U$1,0),2)</f>
        <v>0.00</v>
      </c>
      <c r="V26" s="13" t="str">
        <f>FIXED(VLOOKUP($A26,'Small Sample 1-Townhouse'!$A:$R,V$1,0),2)</f>
        <v>1.00</v>
      </c>
      <c r="W26" s="9" t="str">
        <f>FIXED(VLOOKUP($A26,'Small Sample 1-Townhouse'!$A:$R,W$1,0),2)</f>
        <v>0.34</v>
      </c>
      <c r="X26" s="3" t="str">
        <f>FIXED(VLOOKUP($A26,'Small Sample 1-Townhouse'!$A:$R,X$1,0),2)</f>
        <v>0.47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2-Townhouse'!$A:$R,AA$1,0),2)</f>
        <v>0.36</v>
      </c>
      <c r="AB26" s="3" t="str">
        <f>FIXED(VLOOKUP($A26,'Small Sample 2-Townhouse'!$A:$R,AB$1,0),2)</f>
        <v>0.48</v>
      </c>
      <c r="AC26" s="3" t="str">
        <f>FIXED(VLOOKUP($A26,'Small Sample 2-Townhouse'!$A:$R,AC$1,0),2)</f>
        <v>0.00</v>
      </c>
      <c r="AD26" s="3" t="str">
        <f>FIXED(VLOOKUP($A26,'Small Sample 2-Townhouse'!$A:$R,AD$1,0),2)</f>
        <v>1.00</v>
      </c>
      <c r="AE26" s="9" t="str">
        <f>FIXED(VLOOKUP($A26,'Small Sample 2-Townhouse'!$A:$R,AE$1,0),2)</f>
        <v>0.38</v>
      </c>
      <c r="AF26" s="3" t="str">
        <f>FIXED(VLOOKUP($A26,'Small Sample 2-Townhouse'!$A:$R,AF$1,0),2)</f>
        <v>0.49</v>
      </c>
      <c r="AG26" s="3" t="str">
        <f>FIXED(VLOOKUP($A26,'Small Sample 2-Townhouse'!$A:$R,AG$1,0),2)</f>
        <v>0.00</v>
      </c>
      <c r="AH26" s="13" t="str">
        <f>FIXED(VLOOKUP($A26,'Small Sample 2-Townhouse'!$A:$R,AH$1,0),2)</f>
        <v>1.00</v>
      </c>
      <c r="AI26" s="9" t="str">
        <f>FIXED(VLOOKUP($A26,'Small Sample 2-Townhouse'!$A:$R,AI$1,0),2)</f>
        <v>0.33</v>
      </c>
      <c r="AJ26" s="3" t="str">
        <f>FIXED(VLOOKUP($A26,'Small Sample 2-Townhouse'!$A:$R,AJ$1,0),2)</f>
        <v>0.47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Sample-Townhouse'!$A:$R,C$1,0),2)</f>
        <v>0.44</v>
      </c>
      <c r="D27" s="3" t="str">
        <f>FIXED(VLOOKUP($A27,'Full Sample-Townhouse'!$A:$R,D$1,0),2)</f>
        <v>0.50</v>
      </c>
      <c r="E27" s="3" t="str">
        <f>FIXED(VLOOKUP($A27,'Full Sample-Townhouse'!$A:$R,E$1,0),2)</f>
        <v>0.00</v>
      </c>
      <c r="F27" s="3" t="str">
        <f>FIXED(VLOOKUP($A27,'Full Sample-Townhouse'!$A:$R,F$1,0),2)</f>
        <v>1.00</v>
      </c>
      <c r="G27" s="9" t="str">
        <f>FIXED(VLOOKUP($A27,'Full Sample-Townhouse'!$A:$R,G$1,0),2)</f>
        <v>0.42</v>
      </c>
      <c r="H27" s="3" t="str">
        <f>FIXED(VLOOKUP($A27,'Full Sample-Townhouse'!$A:$R,H$1,0),2)</f>
        <v>0.49</v>
      </c>
      <c r="I27" s="3" t="str">
        <f>FIXED(VLOOKUP($A27,'Full Sample-Townhouse'!$A:$R,I$1,0),2)</f>
        <v>0.00</v>
      </c>
      <c r="J27" s="13" t="str">
        <f>FIXED(VLOOKUP($A27,'Full Sample-Townhouse'!$A:$R,J$1,0),2)</f>
        <v>1.00</v>
      </c>
      <c r="K27" s="9" t="str">
        <f>FIXED(VLOOKUP($A27,'Full Sample-Townhouse'!$A:$R,K$1,0),2)</f>
        <v>0.46</v>
      </c>
      <c r="L27" s="3" t="str">
        <f>FIXED(VLOOKUP($A27,'Full Sample-Townhouse'!$A:$R,L$1,0),2)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1-Townhouse'!$A:$R,O$1,0),2)</f>
        <v>0.44</v>
      </c>
      <c r="P27" s="3" t="str">
        <f>FIXED(VLOOKUP($A27,'Small Sample 1-Townhouse'!$A:$R,P$1,0),2)</f>
        <v>0.50</v>
      </c>
      <c r="Q27" s="3" t="str">
        <f>FIXED(VLOOKUP($A27,'Small Sample 1-Townhouse'!$A:$R,Q$1,0),2)</f>
        <v>0.00</v>
      </c>
      <c r="R27" s="3" t="str">
        <f>FIXED(VLOOKUP($A27,'Small Sample 1-Townhouse'!$A:$R,R$1,0),2)</f>
        <v>1.00</v>
      </c>
      <c r="S27" s="9" t="str">
        <f>FIXED(VLOOKUP($A27,'Small Sample 1-Townhouse'!$A:$R,S$1,0),2)</f>
        <v>0.42</v>
      </c>
      <c r="T27" s="3" t="str">
        <f>FIXED(VLOOKUP($A27,'Small Sample 1-Townhouse'!$A:$R,T$1,0),2)</f>
        <v>0.49</v>
      </c>
      <c r="U27" s="3" t="str">
        <f>FIXED(VLOOKUP($A27,'Small Sample 1-Townhouse'!$A:$R,U$1,0),2)</f>
        <v>0.00</v>
      </c>
      <c r="V27" s="13" t="str">
        <f>FIXED(VLOOKUP($A27,'Small Sample 1-Townhouse'!$A:$R,V$1,0),2)</f>
        <v>1.00</v>
      </c>
      <c r="W27" s="9" t="str">
        <f>FIXED(VLOOKUP($A27,'Small Sample 1-Townhouse'!$A:$R,W$1,0),2)</f>
        <v>0.46</v>
      </c>
      <c r="X27" s="3" t="str">
        <f>FIXED(VLOOKUP($A27,'Small Sample 1-Townhouse'!$A:$R,X$1,0),2)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2-Townhouse'!$A:$R,AA$1,0),2)</f>
        <v>0.43</v>
      </c>
      <c r="AB27" s="3" t="str">
        <f>FIXED(VLOOKUP($A27,'Small Sample 2-Townhouse'!$A:$R,AB$1,0),2)</f>
        <v>0.49</v>
      </c>
      <c r="AC27" s="3" t="str">
        <f>FIXED(VLOOKUP($A27,'Small Sample 2-Townhouse'!$A:$R,AC$1,0),2)</f>
        <v>0.00</v>
      </c>
      <c r="AD27" s="3" t="str">
        <f>FIXED(VLOOKUP($A27,'Small Sample 2-Townhouse'!$A:$R,AD$1,0),2)</f>
        <v>1.00</v>
      </c>
      <c r="AE27" s="9" t="str">
        <f>FIXED(VLOOKUP($A27,'Small Sample 2-Townhouse'!$A:$R,AE$1,0),2)</f>
        <v>0.42</v>
      </c>
      <c r="AF27" s="3" t="str">
        <f>FIXED(VLOOKUP($A27,'Small Sample 2-Townhouse'!$A:$R,AF$1,0),2)</f>
        <v>0.49</v>
      </c>
      <c r="AG27" s="3" t="str">
        <f>FIXED(VLOOKUP($A27,'Small Sample 2-Townhouse'!$A:$R,AG$1,0),2)</f>
        <v>0.00</v>
      </c>
      <c r="AH27" s="13" t="str">
        <f>FIXED(VLOOKUP($A27,'Small Sample 2-Townhouse'!$A:$R,AH$1,0),2)</f>
        <v>1.00</v>
      </c>
      <c r="AI27" s="9" t="str">
        <f>FIXED(VLOOKUP($A27,'Small Sample 2-Townhouse'!$A:$R,AI$1,0),2)</f>
        <v>0.44</v>
      </c>
      <c r="AJ27" s="3" t="str">
        <f>FIXED(VLOOKUP($A27,'Small Sample 2-Townhouse'!$A:$R,AJ$1,0),2)</f>
        <v>0.50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Sample-Townhouse'!$A:$R,C$1,0),2)</f>
        <v>0.03</v>
      </c>
      <c r="D28" s="3" t="str">
        <f>FIXED(VLOOKUP($A28,'Full Sample-Townhouse'!$A:$R,D$1,0),2)</f>
        <v>0.16</v>
      </c>
      <c r="E28" s="3" t="str">
        <f>FIXED(VLOOKUP($A28,'Full Sample-Townhouse'!$A:$R,E$1,0),2)</f>
        <v>0.00</v>
      </c>
      <c r="F28" s="3" t="str">
        <f>FIXED(VLOOKUP($A28,'Full Sample-Townhouse'!$A:$R,F$1,0),2)</f>
        <v>1.00</v>
      </c>
      <c r="G28" s="9" t="str">
        <f>FIXED(VLOOKUP($A28,'Full Sample-Townhouse'!$A:$R,G$1,0),2)</f>
        <v>0.03</v>
      </c>
      <c r="H28" s="3" t="str">
        <f>FIXED(VLOOKUP($A28,'Full Sample-Townhouse'!$A:$R,H$1,0),2)</f>
        <v>0.16</v>
      </c>
      <c r="I28" s="3" t="str">
        <f>FIXED(VLOOKUP($A28,'Full Sample-Townhouse'!$A:$R,I$1,0),2)</f>
        <v>0.00</v>
      </c>
      <c r="J28" s="13" t="str">
        <f>FIXED(VLOOKUP($A28,'Full Sample-Townhouse'!$A:$R,J$1,0),2)</f>
        <v>1.00</v>
      </c>
      <c r="K28" s="9" t="str">
        <f>FIXED(VLOOKUP($A28,'Full Sample-Townhouse'!$A:$R,K$1,0),2)</f>
        <v>0.03</v>
      </c>
      <c r="L28" s="3" t="str">
        <f>FIXED(VLOOKUP($A28,'Full Sample-Townhouse'!$A:$R,L$1,0),2)</f>
        <v>0.16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1-Townhouse'!$A:$R,O$1,0),2)</f>
        <v>0.02</v>
      </c>
      <c r="P28" s="3" t="str">
        <f>FIXED(VLOOKUP($A28,'Small Sample 1-Townhouse'!$A:$R,P$1,0),2)</f>
        <v>0.15</v>
      </c>
      <c r="Q28" s="3" t="str">
        <f>FIXED(VLOOKUP($A28,'Small Sample 1-Townhouse'!$A:$R,Q$1,0),2)</f>
        <v>0.00</v>
      </c>
      <c r="R28" s="3" t="str">
        <f>FIXED(VLOOKUP($A28,'Small Sample 1-Townhouse'!$A:$R,R$1,0),2)</f>
        <v>1.00</v>
      </c>
      <c r="S28" s="9" t="str">
        <f>FIXED(VLOOKUP($A28,'Small Sample 1-Townhouse'!$A:$R,S$1,0),2)</f>
        <v>0.02</v>
      </c>
      <c r="T28" s="3" t="str">
        <f>FIXED(VLOOKUP($A28,'Small Sample 1-Townhouse'!$A:$R,T$1,0),2)</f>
        <v>0.15</v>
      </c>
      <c r="U28" s="3" t="str">
        <f>FIXED(VLOOKUP($A28,'Small Sample 1-Townhouse'!$A:$R,U$1,0),2)</f>
        <v>0.00</v>
      </c>
      <c r="V28" s="13" t="str">
        <f>FIXED(VLOOKUP($A28,'Small Sample 1-Townhouse'!$A:$R,V$1,0),2)</f>
        <v>1.00</v>
      </c>
      <c r="W28" s="9" t="str">
        <f>FIXED(VLOOKUP($A28,'Small Sample 1-Townhouse'!$A:$R,W$1,0),2)</f>
        <v>0.02</v>
      </c>
      <c r="X28" s="3" t="str">
        <f>FIXED(VLOOKUP($A28,'Small Sample 1-Townhouse'!$A:$R,X$1,0),2)</f>
        <v>0.15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2-Townhouse'!$A:$R,AA$1,0),2)</f>
        <v>0.03</v>
      </c>
      <c r="AB28" s="3" t="str">
        <f>FIXED(VLOOKUP($A28,'Small Sample 2-Townhouse'!$A:$R,AB$1,0),2)</f>
        <v>0.17</v>
      </c>
      <c r="AC28" s="3" t="str">
        <f>FIXED(VLOOKUP($A28,'Small Sample 2-Townhouse'!$A:$R,AC$1,0),2)</f>
        <v>0.00</v>
      </c>
      <c r="AD28" s="3" t="str">
        <f>FIXED(VLOOKUP($A28,'Small Sample 2-Townhouse'!$A:$R,AD$1,0),2)</f>
        <v>1.00</v>
      </c>
      <c r="AE28" s="9" t="str">
        <f>FIXED(VLOOKUP($A28,'Small Sample 2-Townhouse'!$A:$R,AE$1,0),2)</f>
        <v>0.03</v>
      </c>
      <c r="AF28" s="3" t="str">
        <f>FIXED(VLOOKUP($A28,'Small Sample 2-Townhouse'!$A:$R,AF$1,0),2)</f>
        <v>0.16</v>
      </c>
      <c r="AG28" s="3" t="str">
        <f>FIXED(VLOOKUP($A28,'Small Sample 2-Townhouse'!$A:$R,AG$1,0),2)</f>
        <v>0.00</v>
      </c>
      <c r="AH28" s="13" t="str">
        <f>FIXED(VLOOKUP($A28,'Small Sample 2-Townhouse'!$A:$R,AH$1,0),2)</f>
        <v>1.00</v>
      </c>
      <c r="AI28" s="9" t="str">
        <f>FIXED(VLOOKUP($A28,'Small Sample 2-Townhouse'!$A:$R,AI$1,0),2)</f>
        <v>0.03</v>
      </c>
      <c r="AJ28" s="3" t="str">
        <f>FIXED(VLOOKUP($A28,'Small Sample 2-Townhouse'!$A:$R,AJ$1,0),2)</f>
        <v>0.17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Sample-Townhouse'!$A:$R,C$1,0),2)</f>
        <v>0.03</v>
      </c>
      <c r="D29" s="3" t="str">
        <f>FIXED(VLOOKUP($A29,'Full Sample-Townhouse'!$A:$R,D$1,0),2)</f>
        <v>0.17</v>
      </c>
      <c r="E29" s="3" t="str">
        <f>FIXED(VLOOKUP($A29,'Full Sample-Townhouse'!$A:$R,E$1,0),2)</f>
        <v>0.00</v>
      </c>
      <c r="F29" s="3" t="str">
        <f>FIXED(VLOOKUP($A29,'Full Sample-Townhouse'!$A:$R,F$1,0),2)</f>
        <v>1.00</v>
      </c>
      <c r="G29" s="9" t="str">
        <f>FIXED(VLOOKUP($A29,'Full Sample-Townhouse'!$A:$R,G$1,0),2)</f>
        <v>0.03</v>
      </c>
      <c r="H29" s="3" t="str">
        <f>FIXED(VLOOKUP($A29,'Full Sample-Townhouse'!$A:$R,H$1,0),2)</f>
        <v>0.17</v>
      </c>
      <c r="I29" s="3" t="str">
        <f>FIXED(VLOOKUP($A29,'Full Sample-Townhouse'!$A:$R,I$1,0),2)</f>
        <v>0.00</v>
      </c>
      <c r="J29" s="13" t="str">
        <f>FIXED(VLOOKUP($A29,'Full Sample-Townhouse'!$A:$R,J$1,0),2)</f>
        <v>1.00</v>
      </c>
      <c r="K29" s="9" t="str">
        <f>FIXED(VLOOKUP($A29,'Full Sample-Townhouse'!$A:$R,K$1,0),2)</f>
        <v>0.03</v>
      </c>
      <c r="L29" s="3" t="str">
        <f>FIXED(VLOOKUP($A29,'Full Sample-Townhouse'!$A:$R,L$1,0),2)</f>
        <v>0.16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1-Townhouse'!$A:$R,O$1,0),2)</f>
        <v>0.03</v>
      </c>
      <c r="P29" s="3" t="str">
        <f>FIXED(VLOOKUP($A29,'Small Sample 1-Townhouse'!$A:$R,P$1,0),2)</f>
        <v>0.16</v>
      </c>
      <c r="Q29" s="3" t="str">
        <f>FIXED(VLOOKUP($A29,'Small Sample 1-Townhouse'!$A:$R,Q$1,0),2)</f>
        <v>0.00</v>
      </c>
      <c r="R29" s="3" t="str">
        <f>FIXED(VLOOKUP($A29,'Small Sample 1-Townhouse'!$A:$R,R$1,0),2)</f>
        <v>1.00</v>
      </c>
      <c r="S29" s="9" t="str">
        <f>FIXED(VLOOKUP($A29,'Small Sample 1-Townhouse'!$A:$R,S$1,0),2)</f>
        <v>0.03</v>
      </c>
      <c r="T29" s="3" t="str">
        <f>FIXED(VLOOKUP($A29,'Small Sample 1-Townhouse'!$A:$R,T$1,0),2)</f>
        <v>0.16</v>
      </c>
      <c r="U29" s="3" t="str">
        <f>FIXED(VLOOKUP($A29,'Small Sample 1-Townhouse'!$A:$R,U$1,0),2)</f>
        <v>0.00</v>
      </c>
      <c r="V29" s="13" t="str">
        <f>FIXED(VLOOKUP($A29,'Small Sample 1-Townhouse'!$A:$R,V$1,0),2)</f>
        <v>1.00</v>
      </c>
      <c r="W29" s="9" t="str">
        <f>FIXED(VLOOKUP($A29,'Small Sample 1-Townhouse'!$A:$R,W$1,0),2)</f>
        <v>0.03</v>
      </c>
      <c r="X29" s="3" t="str">
        <f>FIXED(VLOOKUP($A29,'Small Sample 1-Townhouse'!$A:$R,X$1,0),2)</f>
        <v>0.16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2-Townhouse'!$A:$R,AA$1,0),2)</f>
        <v>0.03</v>
      </c>
      <c r="AB29" s="3" t="str">
        <f>FIXED(VLOOKUP($A29,'Small Sample 2-Townhouse'!$A:$R,AB$1,0),2)</f>
        <v>0.16</v>
      </c>
      <c r="AC29" s="3" t="str">
        <f>FIXED(VLOOKUP($A29,'Small Sample 2-Townhouse'!$A:$R,AC$1,0),2)</f>
        <v>0.00</v>
      </c>
      <c r="AD29" s="3" t="str">
        <f>FIXED(VLOOKUP($A29,'Small Sample 2-Townhouse'!$A:$R,AD$1,0),2)</f>
        <v>1.00</v>
      </c>
      <c r="AE29" s="9" t="str">
        <f>FIXED(VLOOKUP($A29,'Small Sample 2-Townhouse'!$A:$R,AE$1,0),2)</f>
        <v>0.03</v>
      </c>
      <c r="AF29" s="3" t="str">
        <f>FIXED(VLOOKUP($A29,'Small Sample 2-Townhouse'!$A:$R,AF$1,0),2)</f>
        <v>0.17</v>
      </c>
      <c r="AG29" s="3" t="str">
        <f>FIXED(VLOOKUP($A29,'Small Sample 2-Townhouse'!$A:$R,AG$1,0),2)</f>
        <v>0.00</v>
      </c>
      <c r="AH29" s="13" t="str">
        <f>FIXED(VLOOKUP($A29,'Small Sample 2-Townhouse'!$A:$R,AH$1,0),2)</f>
        <v>1.00</v>
      </c>
      <c r="AI29" s="9" t="str">
        <f>FIXED(VLOOKUP($A29,'Small Sample 2-Townhouse'!$A:$R,AI$1,0),2)</f>
        <v>0.02</v>
      </c>
      <c r="AJ29" s="3" t="str">
        <f>FIXED(VLOOKUP($A29,'Small Sample 2-Townhouse'!$A:$R,AJ$1,0),2)</f>
        <v>0.15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Sample-Townhouse'!$A:$R,C$1,0),2)</f>
        <v>0.01</v>
      </c>
      <c r="D30" s="3" t="str">
        <f>FIXED(VLOOKUP($A30,'Full Sample-Townhouse'!$A:$R,D$1,0),2)</f>
        <v>0.08</v>
      </c>
      <c r="E30" s="3" t="str">
        <f>FIXED(VLOOKUP($A30,'Full Sample-Townhouse'!$A:$R,E$1,0),2)</f>
        <v>0.00</v>
      </c>
      <c r="F30" s="3" t="str">
        <f>FIXED(VLOOKUP($A30,'Full Sample-Townhouse'!$A:$R,F$1,0),2)</f>
        <v>1.00</v>
      </c>
      <c r="G30" s="9" t="str">
        <f>FIXED(VLOOKUP($A30,'Full Sample-Townhouse'!$A:$R,G$1,0),2)</f>
        <v>0.01</v>
      </c>
      <c r="H30" s="3" t="str">
        <f>FIXED(VLOOKUP($A30,'Full Sample-Townhouse'!$A:$R,H$1,0),2)</f>
        <v>0.08</v>
      </c>
      <c r="I30" s="3" t="str">
        <f>FIXED(VLOOKUP($A30,'Full Sample-Townhouse'!$A:$R,I$1,0),2)</f>
        <v>0.00</v>
      </c>
      <c r="J30" s="13" t="str">
        <f>FIXED(VLOOKUP($A30,'Full Sample-Townhouse'!$A:$R,J$1,0),2)</f>
        <v>1.00</v>
      </c>
      <c r="K30" s="9" t="str">
        <f>FIXED(VLOOKUP($A30,'Full Sample-Townhouse'!$A:$R,K$1,0),2)</f>
        <v>0.01</v>
      </c>
      <c r="L30" s="3" t="str">
        <f>FIXED(VLOOKUP($A30,'Full Sample-Townhouse'!$A:$R,L$1,0),2)</f>
        <v>0.07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1-Townhouse'!$A:$R,O$1,0),2)</f>
        <v>0.01</v>
      </c>
      <c r="P30" s="3" t="str">
        <f>FIXED(VLOOKUP($A30,'Small Sample 1-Townhouse'!$A:$R,P$1,0),2)</f>
        <v>0.08</v>
      </c>
      <c r="Q30" s="3" t="str">
        <f>FIXED(VLOOKUP($A30,'Small Sample 1-Townhouse'!$A:$R,Q$1,0),2)</f>
        <v>0.00</v>
      </c>
      <c r="R30" s="3" t="str">
        <f>FIXED(VLOOKUP($A30,'Small Sample 1-Townhouse'!$A:$R,R$1,0),2)</f>
        <v>1.00</v>
      </c>
      <c r="S30" s="9" t="str">
        <f>FIXED(VLOOKUP($A30,'Small Sample 1-Townhouse'!$A:$R,S$1,0),2)</f>
        <v>0.01</v>
      </c>
      <c r="T30" s="3" t="str">
        <f>FIXED(VLOOKUP($A30,'Small Sample 1-Townhouse'!$A:$R,T$1,0),2)</f>
        <v>0.08</v>
      </c>
      <c r="U30" s="3" t="str">
        <f>FIXED(VLOOKUP($A30,'Small Sample 1-Townhouse'!$A:$R,U$1,0),2)</f>
        <v>0.00</v>
      </c>
      <c r="V30" s="13" t="str">
        <f>FIXED(VLOOKUP($A30,'Small Sample 1-Townhouse'!$A:$R,V$1,0),2)</f>
        <v>1.00</v>
      </c>
      <c r="W30" s="9" t="str">
        <f>FIXED(VLOOKUP($A30,'Small Sample 1-Townhouse'!$A:$R,W$1,0),2)</f>
        <v>0.01</v>
      </c>
      <c r="X30" s="3" t="str">
        <f>FIXED(VLOOKUP($A30,'Small Sample 1-Townhouse'!$A:$R,X$1,0),2)</f>
        <v>0.07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2-Townhouse'!$A:$R,AA$1,0),2)</f>
        <v>0.01</v>
      </c>
      <c r="AB30" s="3" t="str">
        <f>FIXED(VLOOKUP($A30,'Small Sample 2-Townhouse'!$A:$R,AB$1,0),2)</f>
        <v>0.08</v>
      </c>
      <c r="AC30" s="3" t="str">
        <f>FIXED(VLOOKUP($A30,'Small Sample 2-Townhouse'!$A:$R,AC$1,0),2)</f>
        <v>0.00</v>
      </c>
      <c r="AD30" s="3" t="str">
        <f>FIXED(VLOOKUP($A30,'Small Sample 2-Townhouse'!$A:$R,AD$1,0),2)</f>
        <v>1.00</v>
      </c>
      <c r="AE30" s="9" t="str">
        <f>FIXED(VLOOKUP($A30,'Small Sample 2-Townhouse'!$A:$R,AE$1,0),2)</f>
        <v>0.01</v>
      </c>
      <c r="AF30" s="3" t="str">
        <f>FIXED(VLOOKUP($A30,'Small Sample 2-Townhouse'!$A:$R,AF$1,0),2)</f>
        <v>0.08</v>
      </c>
      <c r="AG30" s="3" t="str">
        <f>FIXED(VLOOKUP($A30,'Small Sample 2-Townhouse'!$A:$R,AG$1,0),2)</f>
        <v>0.00</v>
      </c>
      <c r="AH30" s="13" t="str">
        <f>FIXED(VLOOKUP($A30,'Small Sample 2-Townhouse'!$A:$R,AH$1,0),2)</f>
        <v>1.00</v>
      </c>
      <c r="AI30" s="9" t="str">
        <f>FIXED(VLOOKUP($A30,'Small Sample 2-Townhouse'!$A:$R,AI$1,0),2)</f>
        <v>0.00</v>
      </c>
      <c r="AJ30" s="3" t="str">
        <f>FIXED(VLOOKUP($A30,'Small Sample 2-Townhouse'!$A:$R,AJ$1,0),2)</f>
        <v>0.06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tr">
        <f>FIXED(VLOOKUP($A31,'Full Sample-Townhouse'!$A:$R,C$1,0),2)</f>
        <v>0.17</v>
      </c>
      <c r="D31" s="3" t="str">
        <f>FIXED(VLOOKUP($A31,'Full Sample-Townhouse'!$A:$R,D$1,0),2)</f>
        <v>0.37</v>
      </c>
      <c r="E31" s="3" t="str">
        <f>FIXED(VLOOKUP($A31,'Full Sample-Townhouse'!$A:$R,E$1,0),2)</f>
        <v>0.00</v>
      </c>
      <c r="F31" s="3" t="str">
        <f>FIXED(VLOOKUP($A31,'Full Sample-Townhouse'!$A:$R,F$1,0),2)</f>
        <v>1.00</v>
      </c>
      <c r="G31" s="9" t="str">
        <f>FIXED(VLOOKUP($A31,'Full Sample-Townhouse'!$A:$R,G$1,0),2)</f>
        <v>0.17</v>
      </c>
      <c r="H31" s="3" t="str">
        <f>FIXED(VLOOKUP($A31,'Full Sample-Townhouse'!$A:$R,H$1,0),2)</f>
        <v>0.38</v>
      </c>
      <c r="I31" s="3" t="str">
        <f>FIXED(VLOOKUP($A31,'Full Sample-Townhouse'!$A:$R,I$1,0),2)</f>
        <v>0.00</v>
      </c>
      <c r="J31" s="13" t="str">
        <f>FIXED(VLOOKUP($A31,'Full Sample-Townhouse'!$A:$R,J$1,0),2)</f>
        <v>1.00</v>
      </c>
      <c r="K31" s="9" t="str">
        <f>FIXED(VLOOKUP($A31,'Full Sample-Townhouse'!$A:$R,K$1,0),2)</f>
        <v>0.16</v>
      </c>
      <c r="L31" s="3" t="str">
        <f>FIXED(VLOOKUP($A31,'Full Sample-Townhouse'!$A:$R,L$1,0),2)</f>
        <v>0.37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FIXED(VLOOKUP($A31,'Small Sample 1-Townhouse'!$A:$R,O$1,0),2)</f>
        <v>0.17</v>
      </c>
      <c r="P31" s="3" t="str">
        <f>FIXED(VLOOKUP($A31,'Small Sample 1-Townhouse'!$A:$R,P$1,0),2)</f>
        <v>0.37</v>
      </c>
      <c r="Q31" s="3" t="str">
        <f>FIXED(VLOOKUP($A31,'Small Sample 1-Townhouse'!$A:$R,Q$1,0),2)</f>
        <v>0.00</v>
      </c>
      <c r="R31" s="3" t="str">
        <f>FIXED(VLOOKUP($A31,'Small Sample 1-Townhouse'!$A:$R,R$1,0),2)</f>
        <v>1.00</v>
      </c>
      <c r="S31" s="9" t="str">
        <f>FIXED(VLOOKUP($A31,'Small Sample 1-Townhouse'!$A:$R,S$1,0),2)</f>
        <v>0.17</v>
      </c>
      <c r="T31" s="3" t="str">
        <f>FIXED(VLOOKUP($A31,'Small Sample 1-Townhouse'!$A:$R,T$1,0),2)</f>
        <v>0.38</v>
      </c>
      <c r="U31" s="3" t="str">
        <f>FIXED(VLOOKUP($A31,'Small Sample 1-Townhouse'!$A:$R,U$1,0),2)</f>
        <v>0.00</v>
      </c>
      <c r="V31" s="13" t="str">
        <f>FIXED(VLOOKUP($A31,'Small Sample 1-Townhouse'!$A:$R,V$1,0),2)</f>
        <v>1.00</v>
      </c>
      <c r="W31" s="9" t="str">
        <f>FIXED(VLOOKUP($A31,'Small Sample 1-Townhouse'!$A:$R,W$1,0),2)</f>
        <v>0.16</v>
      </c>
      <c r="X31" s="3" t="str">
        <f>FIXED(VLOOKUP($A31,'Small Sample 1-Townhouse'!$A:$R,X$1,0),2)</f>
        <v>0.37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tr">
        <f>FIXED(VLOOKUP($A31,'Small Sample 2-Townhouse'!$A:$R,AA$1,0),2)</f>
        <v>0.17</v>
      </c>
      <c r="AB31" s="3" t="str">
        <f>FIXED(VLOOKUP($A31,'Small Sample 2-Townhouse'!$A:$R,AB$1,0),2)</f>
        <v>0.37</v>
      </c>
      <c r="AC31" s="3" t="str">
        <f>FIXED(VLOOKUP($A31,'Small Sample 2-Townhouse'!$A:$R,AC$1,0),2)</f>
        <v>0.00</v>
      </c>
      <c r="AD31" s="3" t="str">
        <f>FIXED(VLOOKUP($A31,'Small Sample 2-Townhouse'!$A:$R,AD$1,0),2)</f>
        <v>1.00</v>
      </c>
      <c r="AE31" s="9" t="str">
        <f>FIXED(VLOOKUP($A31,'Small Sample 2-Townhouse'!$A:$R,AE$1,0),2)</f>
        <v>0.17</v>
      </c>
      <c r="AF31" s="3" t="str">
        <f>FIXED(VLOOKUP($A31,'Small Sample 2-Townhouse'!$A:$R,AF$1,0),2)</f>
        <v>0.38</v>
      </c>
      <c r="AG31" s="3" t="str">
        <f>FIXED(VLOOKUP($A31,'Small Sample 2-Townhouse'!$A:$R,AG$1,0),2)</f>
        <v>0.00</v>
      </c>
      <c r="AH31" s="13" t="str">
        <f>FIXED(VLOOKUP($A31,'Small Sample 2-Townhouse'!$A:$R,AH$1,0),2)</f>
        <v>1.00</v>
      </c>
      <c r="AI31" s="9" t="str">
        <f>FIXED(VLOOKUP($A31,'Small Sample 2-Townhouse'!$A:$R,AI$1,0),2)</f>
        <v>0.16</v>
      </c>
      <c r="AJ31" s="3" t="str">
        <f>FIXED(VLOOKUP($A31,'Small Sample 2-Townhouse'!$A:$R,AJ$1,0),2)</f>
        <v>0.36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tr">
        <f>FIXED(VLOOKUP($A32,'Full Sample-Townhouse'!$A:$R,C$1,0),2)</f>
        <v>0.52</v>
      </c>
      <c r="D32" s="3" t="str">
        <f>FIXED(VLOOKUP($A32,'Full Sample-Townhouse'!$A:$R,D$1,0),2)</f>
        <v>0.50</v>
      </c>
      <c r="E32" s="3" t="str">
        <f>FIXED(VLOOKUP($A32,'Full Sample-Townhouse'!$A:$R,E$1,0),2)</f>
        <v>0.00</v>
      </c>
      <c r="F32" s="3" t="str">
        <f>FIXED(VLOOKUP($A32,'Full Sample-Townhouse'!$A:$R,F$1,0),2)</f>
        <v>1.00</v>
      </c>
      <c r="G32" s="9" t="str">
        <f>FIXED(VLOOKUP($A32,'Full Sample-Townhouse'!$A:$R,G$1,0),2)</f>
        <v>0.51</v>
      </c>
      <c r="H32" s="3" t="str">
        <f>FIXED(VLOOKUP($A32,'Full Sample-Townhouse'!$A:$R,H$1,0),2)</f>
        <v>0.50</v>
      </c>
      <c r="I32" s="3" t="str">
        <f>FIXED(VLOOKUP($A32,'Full Sample-Townhouse'!$A:$R,I$1,0),2)</f>
        <v>0.00</v>
      </c>
      <c r="J32" s="13" t="str">
        <f>FIXED(VLOOKUP($A32,'Full Sample-Townhouse'!$A:$R,J$1,0),2)</f>
        <v>1.00</v>
      </c>
      <c r="K32" s="9" t="str">
        <f>FIXED(VLOOKUP($A32,'Full Sample-Townhouse'!$A:$R,K$1,0),2)</f>
        <v>0.53</v>
      </c>
      <c r="L32" s="3" t="str">
        <f>FIXED(VLOOKUP($A32,'Full Sample-Townhouse'!$A:$R,L$1,0),2)</f>
        <v>0.50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FIXED(VLOOKUP($A32,'Small Sample 1-Townhouse'!$A:$R,O$1,0),2)</f>
        <v>0.54</v>
      </c>
      <c r="P32" s="3" t="str">
        <f>FIXED(VLOOKUP($A32,'Small Sample 1-Townhouse'!$A:$R,P$1,0),2)</f>
        <v>0.50</v>
      </c>
      <c r="Q32" s="3" t="str">
        <f>FIXED(VLOOKUP($A32,'Small Sample 1-Townhouse'!$A:$R,Q$1,0),2)</f>
        <v>0.00</v>
      </c>
      <c r="R32" s="3" t="str">
        <f>FIXED(VLOOKUP($A32,'Small Sample 1-Townhouse'!$A:$R,R$1,0),2)</f>
        <v>1.00</v>
      </c>
      <c r="S32" s="9" t="str">
        <f>FIXED(VLOOKUP($A32,'Small Sample 1-Townhouse'!$A:$R,S$1,0),2)</f>
        <v>0.55</v>
      </c>
      <c r="T32" s="3" t="str">
        <f>FIXED(VLOOKUP($A32,'Small Sample 1-Townhouse'!$A:$R,T$1,0),2)</f>
        <v>0.50</v>
      </c>
      <c r="U32" s="3" t="str">
        <f>FIXED(VLOOKUP($A32,'Small Sample 1-Townhouse'!$A:$R,U$1,0),2)</f>
        <v>0.00</v>
      </c>
      <c r="V32" s="13" t="str">
        <f>FIXED(VLOOKUP($A32,'Small Sample 1-Townhouse'!$A:$R,V$1,0),2)</f>
        <v>1.00</v>
      </c>
      <c r="W32" s="9" t="str">
        <f>FIXED(VLOOKUP($A32,'Small Sample 1-Townhouse'!$A:$R,W$1,0),2)</f>
        <v>0.54</v>
      </c>
      <c r="X32" s="3" t="str">
        <f>FIXED(VLOOKUP($A32,'Small Sample 1-Townhouse'!$A:$R,X$1,0),2)</f>
        <v>0.50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tr">
        <f>FIXED(VLOOKUP($A32,'Small Sample 2-Townhouse'!$A:$R,AA$1,0),2)</f>
        <v>0.54</v>
      </c>
      <c r="AB32" s="3" t="str">
        <f>FIXED(VLOOKUP($A32,'Small Sample 2-Townhouse'!$A:$R,AB$1,0),2)</f>
        <v>0.50</v>
      </c>
      <c r="AC32" s="3" t="str">
        <f>FIXED(VLOOKUP($A32,'Small Sample 2-Townhouse'!$A:$R,AC$1,0),2)</f>
        <v>0.00</v>
      </c>
      <c r="AD32" s="3" t="str">
        <f>FIXED(VLOOKUP($A32,'Small Sample 2-Townhouse'!$A:$R,AD$1,0),2)</f>
        <v>1.00</v>
      </c>
      <c r="AE32" s="9" t="str">
        <f>FIXED(VLOOKUP($A32,'Small Sample 2-Townhouse'!$A:$R,AE$1,0),2)</f>
        <v>0.52</v>
      </c>
      <c r="AF32" s="3" t="str">
        <f>FIXED(VLOOKUP($A32,'Small Sample 2-Townhouse'!$A:$R,AF$1,0),2)</f>
        <v>0.50</v>
      </c>
      <c r="AG32" s="3" t="str">
        <f>FIXED(VLOOKUP($A32,'Small Sample 2-Townhouse'!$A:$R,AG$1,0),2)</f>
        <v>0.00</v>
      </c>
      <c r="AH32" s="13" t="str">
        <f>FIXED(VLOOKUP($A32,'Small Sample 2-Townhouse'!$A:$R,AH$1,0),2)</f>
        <v>1.00</v>
      </c>
      <c r="AI32" s="9" t="str">
        <f>FIXED(VLOOKUP($A32,'Small Sample 2-Townhouse'!$A:$R,AI$1,0),2)</f>
        <v>0.58</v>
      </c>
      <c r="AJ32" s="3" t="str">
        <f>FIXED(VLOOKUP($A32,'Small Sample 2-Townhouse'!$A:$R,AJ$1,0),2)</f>
        <v>0.49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tr">
        <f>FIXED(VLOOKUP($A33,'Full Sample-Townhouse'!$A:$R,C$1,0),2)</f>
        <v>0.32</v>
      </c>
      <c r="D33" s="3" t="str">
        <f>FIXED(VLOOKUP($A33,'Full Sample-Townhouse'!$A:$R,D$1,0),2)</f>
        <v>0.46</v>
      </c>
      <c r="E33" s="3" t="str">
        <f>FIXED(VLOOKUP($A33,'Full Sample-Townhouse'!$A:$R,E$1,0),2)</f>
        <v>0.00</v>
      </c>
      <c r="F33" s="3" t="str">
        <f>FIXED(VLOOKUP($A33,'Full Sample-Townhouse'!$A:$R,F$1,0),2)</f>
        <v>1.00</v>
      </c>
      <c r="G33" s="9" t="str">
        <f>FIXED(VLOOKUP($A33,'Full Sample-Townhouse'!$A:$R,G$1,0),2)</f>
        <v>0.32</v>
      </c>
      <c r="H33" s="3" t="str">
        <f>FIXED(VLOOKUP($A33,'Full Sample-Townhouse'!$A:$R,H$1,0),2)</f>
        <v>0.47</v>
      </c>
      <c r="I33" s="3" t="str">
        <f>FIXED(VLOOKUP($A33,'Full Sample-Townhouse'!$A:$R,I$1,0),2)</f>
        <v>0.00</v>
      </c>
      <c r="J33" s="13" t="str">
        <f>FIXED(VLOOKUP($A33,'Full Sample-Townhouse'!$A:$R,J$1,0),2)</f>
        <v>1.00</v>
      </c>
      <c r="K33" s="9" t="str">
        <f>FIXED(VLOOKUP($A33,'Full Sample-Townhouse'!$A:$R,K$1,0),2)</f>
        <v>0.31</v>
      </c>
      <c r="L33" s="3" t="str">
        <f>FIXED(VLOOKUP($A33,'Full Sample-Townhouse'!$A:$R,L$1,0),2)</f>
        <v>0.46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FIXED(VLOOKUP($A33,'Small Sample 1-Townhouse'!$A:$R,O$1,0),2)</f>
        <v>0.29</v>
      </c>
      <c r="P33" s="3" t="str">
        <f>FIXED(VLOOKUP($A33,'Small Sample 1-Townhouse'!$A:$R,P$1,0),2)</f>
        <v>0.46</v>
      </c>
      <c r="Q33" s="3" t="str">
        <f>FIXED(VLOOKUP($A33,'Small Sample 1-Townhouse'!$A:$R,Q$1,0),2)</f>
        <v>0.00</v>
      </c>
      <c r="R33" s="3" t="str">
        <f>FIXED(VLOOKUP($A33,'Small Sample 1-Townhouse'!$A:$R,R$1,0),2)</f>
        <v>1.00</v>
      </c>
      <c r="S33" s="9" t="str">
        <f>FIXED(VLOOKUP($A33,'Small Sample 1-Townhouse'!$A:$R,S$1,0),2)</f>
        <v>0.29</v>
      </c>
      <c r="T33" s="3" t="str">
        <f>FIXED(VLOOKUP($A33,'Small Sample 1-Townhouse'!$A:$R,T$1,0),2)</f>
        <v>0.45</v>
      </c>
      <c r="U33" s="3" t="str">
        <f>FIXED(VLOOKUP($A33,'Small Sample 1-Townhouse'!$A:$R,U$1,0),2)</f>
        <v>0.00</v>
      </c>
      <c r="V33" s="13" t="str">
        <f>FIXED(VLOOKUP($A33,'Small Sample 1-Townhouse'!$A:$R,V$1,0),2)</f>
        <v>1.00</v>
      </c>
      <c r="W33" s="9" t="str">
        <f>FIXED(VLOOKUP($A33,'Small Sample 1-Townhouse'!$A:$R,W$1,0),2)</f>
        <v>0.30</v>
      </c>
      <c r="X33" s="3" t="str">
        <f>FIXED(VLOOKUP($A33,'Small Sample 1-Townhouse'!$A:$R,X$1,0),2)</f>
        <v>0.46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tr">
        <f>FIXED(VLOOKUP($A33,'Small Sample 2-Townhouse'!$A:$R,AA$1,0),2)</f>
        <v>0.29</v>
      </c>
      <c r="AB33" s="3" t="str">
        <f>FIXED(VLOOKUP($A33,'Small Sample 2-Townhouse'!$A:$R,AB$1,0),2)</f>
        <v>0.46</v>
      </c>
      <c r="AC33" s="3" t="str">
        <f>FIXED(VLOOKUP($A33,'Small Sample 2-Townhouse'!$A:$R,AC$1,0),2)</f>
        <v>0.00</v>
      </c>
      <c r="AD33" s="3" t="str">
        <f>FIXED(VLOOKUP($A33,'Small Sample 2-Townhouse'!$A:$R,AD$1,0),2)</f>
        <v>1.00</v>
      </c>
      <c r="AE33" s="9" t="str">
        <f>FIXED(VLOOKUP($A33,'Small Sample 2-Townhouse'!$A:$R,AE$1,0),2)</f>
        <v>0.31</v>
      </c>
      <c r="AF33" s="3" t="str">
        <f>FIXED(VLOOKUP($A33,'Small Sample 2-Townhouse'!$A:$R,AF$1,0),2)</f>
        <v>0.46</v>
      </c>
      <c r="AG33" s="3" t="str">
        <f>FIXED(VLOOKUP($A33,'Small Sample 2-Townhouse'!$A:$R,AG$1,0),2)</f>
        <v>0.00</v>
      </c>
      <c r="AH33" s="13" t="str">
        <f>FIXED(VLOOKUP($A33,'Small Sample 2-Townhouse'!$A:$R,AH$1,0),2)</f>
        <v>1.00</v>
      </c>
      <c r="AI33" s="9" t="str">
        <f>FIXED(VLOOKUP($A33,'Small Sample 2-Townhouse'!$A:$R,AI$1,0),2)</f>
        <v>0.26</v>
      </c>
      <c r="AJ33" s="3" t="str">
        <f>FIXED(VLOOKUP($A33,'Small Sample 2-Townhouse'!$A:$R,AJ$1,0),2)</f>
        <v>0.44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tr">
        <f>FIXED(VLOOKUP($A34,'Full Sample-Townhouse'!$A:$R,C$1,0),2)</f>
        <v>0.06</v>
      </c>
      <c r="D34" s="3" t="str">
        <f>FIXED(VLOOKUP($A34,'Full Sample-Townhouse'!$A:$R,D$1,0),2)</f>
        <v>0.25</v>
      </c>
      <c r="E34" s="3" t="str">
        <f>FIXED(VLOOKUP($A34,'Full Sample-Townhouse'!$A:$R,E$1,0),2)</f>
        <v>0.00</v>
      </c>
      <c r="F34" s="3" t="str">
        <f>FIXED(VLOOKUP($A34,'Full Sample-Townhouse'!$A:$R,F$1,0),2)</f>
        <v>1.00</v>
      </c>
      <c r="G34" s="9" t="str">
        <f>FIXED(VLOOKUP($A34,'Full Sample-Townhouse'!$A:$R,G$1,0),2)</f>
        <v>0.07</v>
      </c>
      <c r="H34" s="3" t="str">
        <f>FIXED(VLOOKUP($A34,'Full Sample-Townhouse'!$A:$R,H$1,0),2)</f>
        <v>0.25</v>
      </c>
      <c r="I34" s="3" t="str">
        <f>FIXED(VLOOKUP($A34,'Full Sample-Townhouse'!$A:$R,I$1,0),2)</f>
        <v>0.00</v>
      </c>
      <c r="J34" s="13" t="str">
        <f>FIXED(VLOOKUP($A34,'Full Sample-Townhouse'!$A:$R,J$1,0),2)</f>
        <v>1.00</v>
      </c>
      <c r="K34" s="9" t="str">
        <f>FIXED(VLOOKUP($A34,'Full Sample-Townhouse'!$A:$R,K$1,0),2)</f>
        <v>0.06</v>
      </c>
      <c r="L34" s="3" t="str">
        <f>FIXED(VLOOKUP($A34,'Full Sample-Townhouse'!$A:$R,L$1,0),2)</f>
        <v>0.24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FIXED(VLOOKUP($A34,'Small Sample 1-Townhouse'!$A:$R,O$1,0),2)</f>
        <v>0.07</v>
      </c>
      <c r="P34" s="3" t="str">
        <f>FIXED(VLOOKUP($A34,'Small Sample 1-Townhouse'!$A:$R,P$1,0),2)</f>
        <v>0.25</v>
      </c>
      <c r="Q34" s="3" t="str">
        <f>FIXED(VLOOKUP($A34,'Small Sample 1-Townhouse'!$A:$R,Q$1,0),2)</f>
        <v>0.00</v>
      </c>
      <c r="R34" s="3" t="str">
        <f>FIXED(VLOOKUP($A34,'Small Sample 1-Townhouse'!$A:$R,R$1,0),2)</f>
        <v>1.00</v>
      </c>
      <c r="S34" s="9" t="str">
        <f>FIXED(VLOOKUP($A34,'Small Sample 1-Townhouse'!$A:$R,S$1,0),2)</f>
        <v>0.07</v>
      </c>
      <c r="T34" s="3" t="str">
        <f>FIXED(VLOOKUP($A34,'Small Sample 1-Townhouse'!$A:$R,T$1,0),2)</f>
        <v>0.26</v>
      </c>
      <c r="U34" s="3" t="str">
        <f>FIXED(VLOOKUP($A34,'Small Sample 1-Townhouse'!$A:$R,U$1,0),2)</f>
        <v>0.00</v>
      </c>
      <c r="V34" s="13" t="str">
        <f>FIXED(VLOOKUP($A34,'Small Sample 1-Townhouse'!$A:$R,V$1,0),2)</f>
        <v>1.00</v>
      </c>
      <c r="W34" s="9" t="str">
        <f>FIXED(VLOOKUP($A34,'Small Sample 1-Townhouse'!$A:$R,W$1,0),2)</f>
        <v>0.06</v>
      </c>
      <c r="X34" s="3" t="str">
        <f>FIXED(VLOOKUP($A34,'Small Sample 1-Townhouse'!$A:$R,X$1,0),2)</f>
        <v>0.24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tr">
        <f>FIXED(VLOOKUP($A34,'Small Sample 2-Townhouse'!$A:$R,AA$1,0),2)</f>
        <v>0.07</v>
      </c>
      <c r="AB34" s="3" t="str">
        <f>FIXED(VLOOKUP($A34,'Small Sample 2-Townhouse'!$A:$R,AB$1,0),2)</f>
        <v>0.25</v>
      </c>
      <c r="AC34" s="3" t="str">
        <f>FIXED(VLOOKUP($A34,'Small Sample 2-Townhouse'!$A:$R,AC$1,0),2)</f>
        <v>0.00</v>
      </c>
      <c r="AD34" s="3" t="str">
        <f>FIXED(VLOOKUP($A34,'Small Sample 2-Townhouse'!$A:$R,AD$1,0),2)</f>
        <v>1.00</v>
      </c>
      <c r="AE34" s="9" t="str">
        <f>FIXED(VLOOKUP($A34,'Small Sample 2-Townhouse'!$A:$R,AE$1,0),2)</f>
        <v>0.07</v>
      </c>
      <c r="AF34" s="3" t="str">
        <f>FIXED(VLOOKUP($A34,'Small Sample 2-Townhouse'!$A:$R,AF$1,0),2)</f>
        <v>0.25</v>
      </c>
      <c r="AG34" s="3" t="str">
        <f>FIXED(VLOOKUP($A34,'Small Sample 2-Townhouse'!$A:$R,AG$1,0),2)</f>
        <v>0.00</v>
      </c>
      <c r="AH34" s="13" t="str">
        <f>FIXED(VLOOKUP($A34,'Small Sample 2-Townhouse'!$A:$R,AH$1,0),2)</f>
        <v>1.00</v>
      </c>
      <c r="AI34" s="9" t="str">
        <f>FIXED(VLOOKUP($A34,'Small Sample 2-Townhouse'!$A:$R,AI$1,0),2)</f>
        <v>0.07</v>
      </c>
      <c r="AJ34" s="3" t="str">
        <f>FIXED(VLOOKUP($A34,'Small Sample 2-Townhouse'!$A:$R,AJ$1,0),2)</f>
        <v>0.25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Sample-Townhouse'!$A:$R,C$1,0),2)</f>
        <v>0.00</v>
      </c>
      <c r="D35" s="3" t="str">
        <f>FIXED(VLOOKUP($A35,'Full Sample-Townhouse'!$A:$R,D$1,0),2)</f>
        <v>0.06</v>
      </c>
      <c r="E35" s="3" t="str">
        <f>FIXED(VLOOKUP($A35,'Full Sample-Townhouse'!$A:$R,E$1,0),2)</f>
        <v>0.00</v>
      </c>
      <c r="F35" s="3" t="str">
        <f>FIXED(VLOOKUP($A35,'Full Sample-Townhouse'!$A:$R,F$1,0),2)</f>
        <v>1.00</v>
      </c>
      <c r="G35" s="9" t="str">
        <f>FIXED(VLOOKUP($A35,'Full Sample-Townhouse'!$A:$R,G$1,0),2)</f>
        <v>0.00</v>
      </c>
      <c r="H35" s="3" t="str">
        <f>FIXED(VLOOKUP($A35,'Full Sample-Townhouse'!$A:$R,H$1,0),2)</f>
        <v>0.06</v>
      </c>
      <c r="I35" s="3" t="str">
        <f>FIXED(VLOOKUP($A35,'Full Sample-Townhouse'!$A:$R,I$1,0),2)</f>
        <v>0.00</v>
      </c>
      <c r="J35" s="13" t="str">
        <f>FIXED(VLOOKUP($A35,'Full Sample-Townhouse'!$A:$R,J$1,0),2)</f>
        <v>1.00</v>
      </c>
      <c r="K35" s="9" t="str">
        <f>FIXED(VLOOKUP($A35,'Full Sample-Townhouse'!$A:$R,K$1,0),2)</f>
        <v>0.00</v>
      </c>
      <c r="L35" s="3" t="str">
        <f>FIXED(VLOOKUP($A35,'Full Sample-Townhouse'!$A:$R,L$1,0),2)</f>
        <v>0.06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1-Townhouse'!$A:$R,O$1,0),2)</f>
        <v>0.00</v>
      </c>
      <c r="P35" s="3" t="str">
        <f>FIXED(VLOOKUP($A35,'Small Sample 1-Townhouse'!$A:$R,P$1,0),2)</f>
        <v>0.05</v>
      </c>
      <c r="Q35" s="3" t="str">
        <f>FIXED(VLOOKUP($A35,'Small Sample 1-Townhouse'!$A:$R,Q$1,0),2)</f>
        <v>0.00</v>
      </c>
      <c r="R35" s="3" t="str">
        <f>FIXED(VLOOKUP($A35,'Small Sample 1-Townhouse'!$A:$R,R$1,0),2)</f>
        <v>1.00</v>
      </c>
      <c r="S35" s="9" t="str">
        <f>FIXED(VLOOKUP($A35,'Small Sample 1-Townhouse'!$A:$R,S$1,0),2)</f>
        <v>0.00</v>
      </c>
      <c r="T35" s="3" t="str">
        <f>FIXED(VLOOKUP($A35,'Small Sample 1-Townhouse'!$A:$R,T$1,0),2)</f>
        <v>0.05</v>
      </c>
      <c r="U35" s="3" t="str">
        <f>FIXED(VLOOKUP($A35,'Small Sample 1-Townhouse'!$A:$R,U$1,0),2)</f>
        <v>0.00</v>
      </c>
      <c r="V35" s="13" t="str">
        <f>FIXED(VLOOKUP($A35,'Small Sample 1-Townhouse'!$A:$R,V$1,0),2)</f>
        <v>1.00</v>
      </c>
      <c r="W35" s="9" t="str">
        <f>FIXED(VLOOKUP($A35,'Small Sample 1-Townhouse'!$A:$R,W$1,0),2)</f>
        <v>0.00</v>
      </c>
      <c r="X35" s="3" t="str">
        <f>FIXED(VLOOKUP($A35,'Small Sample 1-Townhouse'!$A:$R,X$1,0),2)</f>
        <v>0.05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2-Townhouse'!$A:$R,AA$1,0),2)</f>
        <v>0.00</v>
      </c>
      <c r="AB35" s="3" t="str">
        <f>FIXED(VLOOKUP($A35,'Small Sample 2-Townhouse'!$A:$R,AB$1,0),2)</f>
        <v>0.05</v>
      </c>
      <c r="AC35" s="3" t="str">
        <f>FIXED(VLOOKUP($A35,'Small Sample 2-Townhouse'!$A:$R,AC$1,0),2)</f>
        <v>0.00</v>
      </c>
      <c r="AD35" s="3" t="str">
        <f>FIXED(VLOOKUP($A35,'Small Sample 2-Townhouse'!$A:$R,AD$1,0),2)</f>
        <v>1.00</v>
      </c>
      <c r="AE35" s="9" t="str">
        <f>FIXED(VLOOKUP($A35,'Small Sample 2-Townhouse'!$A:$R,AE$1,0),2)</f>
        <v>0.00</v>
      </c>
      <c r="AF35" s="3" t="str">
        <f>FIXED(VLOOKUP($A35,'Small Sample 2-Townhouse'!$A:$R,AF$1,0),2)</f>
        <v>0.06</v>
      </c>
      <c r="AG35" s="3" t="str">
        <f>FIXED(VLOOKUP($A35,'Small Sample 2-Townhouse'!$A:$R,AG$1,0),2)</f>
        <v>0.00</v>
      </c>
      <c r="AH35" s="13" t="str">
        <f>FIXED(VLOOKUP($A35,'Small Sample 2-Townhouse'!$A:$R,AH$1,0),2)</f>
        <v>1.00</v>
      </c>
      <c r="AI35" s="9" t="str">
        <f>FIXED(VLOOKUP($A35,'Small Sample 2-Townhouse'!$A:$R,AI$1,0),2)</f>
        <v>0.00</v>
      </c>
      <c r="AJ35" s="3" t="str">
        <f>FIXED(VLOOKUP($A35,'Small Sample 2-Townhouse'!$A:$R,AJ$1,0),2)</f>
        <v>0.04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Sample-Townhouse'!$A:$R,C$1,0),2)</f>
        <v>0.00</v>
      </c>
      <c r="D36" s="3" t="str">
        <f>FIXED(VLOOKUP($A36,'Full Sample-Townhouse'!$A:$R,D$1,0),2)</f>
        <v>0.01</v>
      </c>
      <c r="E36" s="3" t="str">
        <f>FIXED(VLOOKUP($A36,'Full Sample-Townhouse'!$A:$R,E$1,0),2)</f>
        <v>0.00</v>
      </c>
      <c r="F36" s="3" t="str">
        <f>FIXED(VLOOKUP($A36,'Full Sample-Townhouse'!$A:$R,F$1,0),2)</f>
        <v>1.00</v>
      </c>
      <c r="G36" s="9" t="str">
        <f>FIXED(VLOOKUP($A36,'Full Sample-Townhouse'!$A:$R,G$1,0),2)</f>
        <v>0.00</v>
      </c>
      <c r="H36" s="3" t="str">
        <f>FIXED(VLOOKUP($A36,'Full Sample-Townhouse'!$A:$R,H$1,0),2)</f>
        <v>0.01</v>
      </c>
      <c r="I36" s="3" t="str">
        <f>FIXED(VLOOKUP($A36,'Full Sample-Townhouse'!$A:$R,I$1,0),2)</f>
        <v>0.00</v>
      </c>
      <c r="J36" s="13" t="str">
        <f>FIXED(VLOOKUP($A36,'Full Sample-Townhouse'!$A:$R,J$1,0),2)</f>
        <v>1.00</v>
      </c>
      <c r="K36" s="9" t="str">
        <f>FIXED(VLOOKUP($A36,'Full Sample-Townhouse'!$A:$R,K$1,0),2)</f>
        <v>0.00</v>
      </c>
      <c r="L36" s="3" t="str">
        <f>FIXED(VLOOKUP($A36,'Full Sample-Townhouse'!$A:$R,L$1,0),2)</f>
        <v>0.00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1-Townhouse'!$A:$R,O$1,0),2)</f>
        <v>0.00</v>
      </c>
      <c r="P36" s="3" t="str">
        <f>FIXED(VLOOKUP($A36,'Small Sample 1-Townhouse'!$A:$R,P$1,0),2)</f>
        <v>0.00</v>
      </c>
      <c r="Q36" s="3" t="str">
        <f>FIXED(VLOOKUP($A36,'Small Sample 1-Townhouse'!$A:$R,Q$1,0),2)</f>
        <v>0.00</v>
      </c>
      <c r="R36" s="3" t="str">
        <f>FIXED(VLOOKUP($A36,'Small Sample 1-Townhouse'!$A:$R,R$1,0),2)</f>
        <v>0.00</v>
      </c>
      <c r="S36" s="9" t="str">
        <f>FIXED(VLOOKUP($A36,'Small Sample 1-Townhouse'!$A:$R,S$1,0),2)</f>
        <v>0.00</v>
      </c>
      <c r="T36" s="3" t="str">
        <f>FIXED(VLOOKUP($A36,'Small Sample 1-Townhouse'!$A:$R,T$1,0),2)</f>
        <v>0.00</v>
      </c>
      <c r="U36" s="3" t="str">
        <f>FIXED(VLOOKUP($A36,'Small Sample 1-Townhouse'!$A:$R,U$1,0),2)</f>
        <v>0.00</v>
      </c>
      <c r="V36" s="13" t="str">
        <f>FIXED(VLOOKUP($A36,'Small Sample 1-Townhouse'!$A:$R,V$1,0),2)</f>
        <v>0.00</v>
      </c>
      <c r="W36" s="9" t="str">
        <f>FIXED(VLOOKUP($A36,'Small Sample 1-Townhouse'!$A:$R,W$1,0),2)</f>
        <v>0.00</v>
      </c>
      <c r="X36" s="3" t="str">
        <f>FIXED(VLOOKUP($A36,'Small Sample 1-Townhouse'!$A:$R,X$1,0),2)</f>
        <v>0.00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2-Townhouse'!$A:$R,AA$1,0),2)</f>
        <v>0.00</v>
      </c>
      <c r="AB36" s="3" t="str">
        <f>FIXED(VLOOKUP($A36,'Small Sample 2-Townhouse'!$A:$R,AB$1,0),2)</f>
        <v>0.00</v>
      </c>
      <c r="AC36" s="3" t="str">
        <f>FIXED(VLOOKUP($A36,'Small Sample 2-Townhouse'!$A:$R,AC$1,0),2)</f>
        <v>0.00</v>
      </c>
      <c r="AD36" s="3" t="str">
        <f>FIXED(VLOOKUP($A36,'Small Sample 2-Townhouse'!$A:$R,AD$1,0),2)</f>
        <v>0.00</v>
      </c>
      <c r="AE36" s="9" t="str">
        <f>FIXED(VLOOKUP($A36,'Small Sample 2-Townhouse'!$A:$R,AE$1,0),2)</f>
        <v>0.00</v>
      </c>
      <c r="AF36" s="3" t="str">
        <f>FIXED(VLOOKUP($A36,'Small Sample 2-Townhouse'!$A:$R,AF$1,0),2)</f>
        <v>0.00</v>
      </c>
      <c r="AG36" s="3" t="str">
        <f>FIXED(VLOOKUP($A36,'Small Sample 2-Townhouse'!$A:$R,AG$1,0),2)</f>
        <v>0.00</v>
      </c>
      <c r="AH36" s="13" t="str">
        <f>FIXED(VLOOKUP($A36,'Small Sample 2-Townhouse'!$A:$R,AH$1,0),2)</f>
        <v>0.00</v>
      </c>
      <c r="AI36" s="9" t="str">
        <f>FIXED(VLOOKUP($A36,'Small Sample 2-Townhouse'!$A:$R,AI$1,0),2)</f>
        <v>0.00</v>
      </c>
      <c r="AJ36" s="3" t="str">
        <f>FIXED(VLOOKUP($A36,'Small Sample 2-Townhouse'!$A:$R,AJ$1,0),2)</f>
        <v>0.00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Sample-Townhouse'!$A:$R,C$1,0),2)</f>
        <v>0.00</v>
      </c>
      <c r="D37" s="3" t="str">
        <f>FIXED(VLOOKUP($A37,'Full Sample-Townhouse'!$A:$R,D$1,0),2)</f>
        <v>0.00</v>
      </c>
      <c r="E37" s="3" t="str">
        <f>FIXED(VLOOKUP($A37,'Full Sample-Townhouse'!$A:$R,E$1,0),2)</f>
        <v>0.00</v>
      </c>
      <c r="F37" s="3" t="str">
        <f>FIXED(VLOOKUP($A37,'Full Sample-Townhouse'!$A:$R,F$1,0),2)</f>
        <v>0.00</v>
      </c>
      <c r="G37" s="9" t="str">
        <f>FIXED(VLOOKUP($A37,'Full Sample-Townhouse'!$A:$R,G$1,0),2)</f>
        <v>0.00</v>
      </c>
      <c r="H37" s="3" t="str">
        <f>FIXED(VLOOKUP($A37,'Full Sample-Townhouse'!$A:$R,H$1,0),2)</f>
        <v>0.00</v>
      </c>
      <c r="I37" s="3" t="str">
        <f>FIXED(VLOOKUP($A37,'Full Sample-Townhouse'!$A:$R,I$1,0),2)</f>
        <v>0.00</v>
      </c>
      <c r="J37" s="13" t="str">
        <f>FIXED(VLOOKUP($A37,'Full Sample-Townhouse'!$A:$R,J$1,0),2)</f>
        <v>0.00</v>
      </c>
      <c r="K37" s="9" t="str">
        <f>FIXED(VLOOKUP($A37,'Full Sample-Townhouse'!$A:$R,K$1,0),2)</f>
        <v>0.00</v>
      </c>
      <c r="L37" s="3" t="str">
        <f>FIXED(VLOOKUP($A37,'Full Sample-Townhouse'!$A:$R,L$1,0),2)</f>
        <v>0.00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1-Townhouse'!$A:$R,O$1,0),2)</f>
        <v>0.00</v>
      </c>
      <c r="P37" s="3" t="str">
        <f>FIXED(VLOOKUP($A37,'Small Sample 1-Townhouse'!$A:$R,P$1,0),2)</f>
        <v>0.00</v>
      </c>
      <c r="Q37" s="3" t="str">
        <f>FIXED(VLOOKUP($A37,'Small Sample 1-Townhouse'!$A:$R,Q$1,0),2)</f>
        <v>0.00</v>
      </c>
      <c r="R37" s="3" t="str">
        <f>FIXED(VLOOKUP($A37,'Small Sample 1-Townhouse'!$A:$R,R$1,0),2)</f>
        <v>0.00</v>
      </c>
      <c r="S37" s="9" t="str">
        <f>FIXED(VLOOKUP($A37,'Small Sample 1-Townhouse'!$A:$R,S$1,0),2)</f>
        <v>0.00</v>
      </c>
      <c r="T37" s="3" t="str">
        <f>FIXED(VLOOKUP($A37,'Small Sample 1-Townhouse'!$A:$R,T$1,0),2)</f>
        <v>0.00</v>
      </c>
      <c r="U37" s="3" t="str">
        <f>FIXED(VLOOKUP($A37,'Small Sample 1-Townhouse'!$A:$R,U$1,0),2)</f>
        <v>0.00</v>
      </c>
      <c r="V37" s="13" t="str">
        <f>FIXED(VLOOKUP($A37,'Small Sample 1-Townhouse'!$A:$R,V$1,0),2)</f>
        <v>0.00</v>
      </c>
      <c r="W37" s="9" t="str">
        <f>FIXED(VLOOKUP($A37,'Small Sample 1-Townhouse'!$A:$R,W$1,0),2)</f>
        <v>0.00</v>
      </c>
      <c r="X37" s="3" t="str">
        <f>FIXED(VLOOKUP($A37,'Small Sample 1-Townhouse'!$A:$R,X$1,0),2)</f>
        <v>0.00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2-Townhouse'!$A:$R,AA$1,0),2)</f>
        <v>0.00</v>
      </c>
      <c r="AB37" s="3" t="str">
        <f>FIXED(VLOOKUP($A37,'Small Sample 2-Townhouse'!$A:$R,AB$1,0),2)</f>
        <v>0.00</v>
      </c>
      <c r="AC37" s="3" t="str">
        <f>FIXED(VLOOKUP($A37,'Small Sample 2-Townhouse'!$A:$R,AC$1,0),2)</f>
        <v>0.00</v>
      </c>
      <c r="AD37" s="3" t="str">
        <f>FIXED(VLOOKUP($A37,'Small Sample 2-Townhouse'!$A:$R,AD$1,0),2)</f>
        <v>0.00</v>
      </c>
      <c r="AE37" s="9" t="str">
        <f>FIXED(VLOOKUP($A37,'Small Sample 2-Townhouse'!$A:$R,AE$1,0),2)</f>
        <v>0.00</v>
      </c>
      <c r="AF37" s="3" t="str">
        <f>FIXED(VLOOKUP($A37,'Small Sample 2-Townhouse'!$A:$R,AF$1,0),2)</f>
        <v>0.00</v>
      </c>
      <c r="AG37" s="3" t="str">
        <f>FIXED(VLOOKUP($A37,'Small Sample 2-Townhouse'!$A:$R,AG$1,0),2)</f>
        <v>0.00</v>
      </c>
      <c r="AH37" s="13" t="str">
        <f>FIXED(VLOOKUP($A37,'Small Sample 2-Townhouse'!$A:$R,AH$1,0),2)</f>
        <v>0.00</v>
      </c>
      <c r="AI37" s="9" t="str">
        <f>FIXED(VLOOKUP($A37,'Small Sample 2-Townhouse'!$A:$R,AI$1,0),2)</f>
        <v>0.00</v>
      </c>
      <c r="AJ37" s="3" t="str">
        <f>FIXED(VLOOKUP($A37,'Small Sample 2-Townhouse'!$A:$R,AJ$1,0),2)</f>
        <v>0.00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tr">
        <f>FIXED(VLOOKUP($A38,'Full Sample-Townhouse'!$A:$R,C$1,0),2)</f>
        <v>0.08</v>
      </c>
      <c r="D38" s="3" t="str">
        <f>FIXED(VLOOKUP($A38,'Full Sample-Townhouse'!$A:$R,D$1,0),2)</f>
        <v>0.27</v>
      </c>
      <c r="E38" s="3" t="str">
        <f>FIXED(VLOOKUP($A38,'Full Sample-Townhouse'!$A:$R,E$1,0),2)</f>
        <v>0.00</v>
      </c>
      <c r="F38" s="3" t="str">
        <f>FIXED(VLOOKUP($A38,'Full Sample-Townhouse'!$A:$R,F$1,0),2)</f>
        <v>1.00</v>
      </c>
      <c r="G38" s="9" t="str">
        <f>FIXED(VLOOKUP($A38,'Full Sample-Townhouse'!$A:$R,G$1,0),2)</f>
        <v>0.08</v>
      </c>
      <c r="H38" s="3" t="str">
        <f>FIXED(VLOOKUP($A38,'Full Sample-Townhouse'!$A:$R,H$1,0),2)</f>
        <v>0.28</v>
      </c>
      <c r="I38" s="3" t="str">
        <f>FIXED(VLOOKUP($A38,'Full Sample-Townhouse'!$A:$R,I$1,0),2)</f>
        <v>0.00</v>
      </c>
      <c r="J38" s="13" t="str">
        <f>FIXED(VLOOKUP($A38,'Full Sample-Townhouse'!$A:$R,J$1,0),2)</f>
        <v>1.00</v>
      </c>
      <c r="K38" s="9" t="str">
        <f>FIXED(VLOOKUP($A38,'Full Sample-Townhouse'!$A:$R,K$1,0),2)</f>
        <v>0.08</v>
      </c>
      <c r="L38" s="3" t="str">
        <f>FIXED(VLOOKUP($A38,'Full Sample-Townhouse'!$A:$R,L$1,0),2)</f>
        <v>0.27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FIXED(VLOOKUP($A38,'Small Sample 1-Townhouse'!$A:$R,O$1,0),2)</f>
        <v>0.08</v>
      </c>
      <c r="P38" s="3" t="str">
        <f>FIXED(VLOOKUP($A38,'Small Sample 1-Townhouse'!$A:$R,P$1,0),2)</f>
        <v>0.27</v>
      </c>
      <c r="Q38" s="3" t="str">
        <f>FIXED(VLOOKUP($A38,'Small Sample 1-Townhouse'!$A:$R,Q$1,0),2)</f>
        <v>0.00</v>
      </c>
      <c r="R38" s="3" t="str">
        <f>FIXED(VLOOKUP($A38,'Small Sample 1-Townhouse'!$A:$R,R$1,0),2)</f>
        <v>1.00</v>
      </c>
      <c r="S38" s="9" t="str">
        <f>FIXED(VLOOKUP($A38,'Small Sample 1-Townhouse'!$A:$R,S$1,0),2)</f>
        <v>0.08</v>
      </c>
      <c r="T38" s="3" t="str">
        <f>FIXED(VLOOKUP($A38,'Small Sample 1-Townhouse'!$A:$R,T$1,0),2)</f>
        <v>0.28</v>
      </c>
      <c r="U38" s="3" t="str">
        <f>FIXED(VLOOKUP($A38,'Small Sample 1-Townhouse'!$A:$R,U$1,0),2)</f>
        <v>0.00</v>
      </c>
      <c r="V38" s="13" t="str">
        <f>FIXED(VLOOKUP($A38,'Small Sample 1-Townhouse'!$A:$R,V$1,0),2)</f>
        <v>1.00</v>
      </c>
      <c r="W38" s="9" t="str">
        <f>FIXED(VLOOKUP($A38,'Small Sample 1-Townhouse'!$A:$R,W$1,0),2)</f>
        <v>0.08</v>
      </c>
      <c r="X38" s="3" t="str">
        <f>FIXED(VLOOKUP($A38,'Small Sample 1-Townhouse'!$A:$R,X$1,0),2)</f>
        <v>0.27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tr">
        <f>FIXED(VLOOKUP($A38,'Small Sample 2-Townhouse'!$A:$R,AA$1,0),2)</f>
        <v>0.08</v>
      </c>
      <c r="AB38" s="3" t="str">
        <f>FIXED(VLOOKUP($A38,'Small Sample 2-Townhouse'!$A:$R,AB$1,0),2)</f>
        <v>0.27</v>
      </c>
      <c r="AC38" s="3" t="str">
        <f>FIXED(VLOOKUP($A38,'Small Sample 2-Townhouse'!$A:$R,AC$1,0),2)</f>
        <v>0.00</v>
      </c>
      <c r="AD38" s="3" t="str">
        <f>FIXED(VLOOKUP($A38,'Small Sample 2-Townhouse'!$A:$R,AD$1,0),2)</f>
        <v>1.00</v>
      </c>
      <c r="AE38" s="9" t="str">
        <f>FIXED(VLOOKUP($A38,'Small Sample 2-Townhouse'!$A:$R,AE$1,0),2)</f>
        <v>0.08</v>
      </c>
      <c r="AF38" s="3" t="str">
        <f>FIXED(VLOOKUP($A38,'Small Sample 2-Townhouse'!$A:$R,AF$1,0),2)</f>
        <v>0.28</v>
      </c>
      <c r="AG38" s="3" t="str">
        <f>FIXED(VLOOKUP($A38,'Small Sample 2-Townhouse'!$A:$R,AG$1,0),2)</f>
        <v>0.00</v>
      </c>
      <c r="AH38" s="13" t="str">
        <f>FIXED(VLOOKUP($A38,'Small Sample 2-Townhouse'!$A:$R,AH$1,0),2)</f>
        <v>1.00</v>
      </c>
      <c r="AI38" s="9" t="str">
        <f>FIXED(VLOOKUP($A38,'Small Sample 2-Townhouse'!$A:$R,AI$1,0),2)</f>
        <v>0.08</v>
      </c>
      <c r="AJ38" s="3" t="str">
        <f>FIXED(VLOOKUP($A38,'Small Sample 2-Townhouse'!$A:$R,AJ$1,0),2)</f>
        <v>0.27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Sample-Townhouse'!$A:$R,C$1,0),2)</f>
        <v>0.11</v>
      </c>
      <c r="D39" s="3" t="str">
        <f>FIXED(VLOOKUP($A39,'Full Sample-Townhouse'!$A:$R,D$1,0),2)</f>
        <v>0.31</v>
      </c>
      <c r="E39" s="3" t="str">
        <f>FIXED(VLOOKUP($A39,'Full Sample-Townhouse'!$A:$R,E$1,0),2)</f>
        <v>0.00</v>
      </c>
      <c r="F39" s="3" t="str">
        <f>FIXED(VLOOKUP($A39,'Full Sample-Townhouse'!$A:$R,F$1,0),2)</f>
        <v>1.00</v>
      </c>
      <c r="G39" s="9" t="str">
        <f>FIXED(VLOOKUP($A39,'Full Sample-Townhouse'!$A:$R,G$1,0),2)</f>
        <v>0.11</v>
      </c>
      <c r="H39" s="3" t="str">
        <f>FIXED(VLOOKUP($A39,'Full Sample-Townhouse'!$A:$R,H$1,0),2)</f>
        <v>0.32</v>
      </c>
      <c r="I39" s="3" t="str">
        <f>FIXED(VLOOKUP($A39,'Full Sample-Townhouse'!$A:$R,I$1,0),2)</f>
        <v>0.00</v>
      </c>
      <c r="J39" s="13" t="str">
        <f>FIXED(VLOOKUP($A39,'Full Sample-Townhouse'!$A:$R,J$1,0),2)</f>
        <v>1.00</v>
      </c>
      <c r="K39" s="9" t="str">
        <f>FIXED(VLOOKUP($A39,'Full Sample-Townhouse'!$A:$R,K$1,0),2)</f>
        <v>0.11</v>
      </c>
      <c r="L39" s="3" t="str">
        <f>FIXED(VLOOKUP($A39,'Full Sample-Townhouse'!$A:$R,L$1,0),2)</f>
        <v>0.31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1-Townhouse'!$A:$R,O$1,0),2)</f>
        <v>0.10</v>
      </c>
      <c r="P39" s="3" t="str">
        <f>FIXED(VLOOKUP($A39,'Small Sample 1-Townhouse'!$A:$R,P$1,0),2)</f>
        <v>0.30</v>
      </c>
      <c r="Q39" s="3" t="str">
        <f>FIXED(VLOOKUP($A39,'Small Sample 1-Townhouse'!$A:$R,Q$1,0),2)</f>
        <v>0.00</v>
      </c>
      <c r="R39" s="3" t="str">
        <f>FIXED(VLOOKUP($A39,'Small Sample 1-Townhouse'!$A:$R,R$1,0),2)</f>
        <v>1.00</v>
      </c>
      <c r="S39" s="9" t="str">
        <f>FIXED(VLOOKUP($A39,'Small Sample 1-Townhouse'!$A:$R,S$1,0),2)</f>
        <v>0.10</v>
      </c>
      <c r="T39" s="3" t="str">
        <f>FIXED(VLOOKUP($A39,'Small Sample 1-Townhouse'!$A:$R,T$1,0),2)</f>
        <v>0.29</v>
      </c>
      <c r="U39" s="3" t="str">
        <f>FIXED(VLOOKUP($A39,'Small Sample 1-Townhouse'!$A:$R,U$1,0),2)</f>
        <v>0.00</v>
      </c>
      <c r="V39" s="13" t="str">
        <f>FIXED(VLOOKUP($A39,'Small Sample 1-Townhouse'!$A:$R,V$1,0),2)</f>
        <v>1.00</v>
      </c>
      <c r="W39" s="9" t="str">
        <f>FIXED(VLOOKUP($A39,'Small Sample 1-Townhouse'!$A:$R,W$1,0),2)</f>
        <v>0.11</v>
      </c>
      <c r="X39" s="3" t="str">
        <f>FIXED(VLOOKUP($A39,'Small Sample 1-Townhouse'!$A:$R,X$1,0),2)</f>
        <v>0.31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2-Townhouse'!$A:$R,AA$1,0),2)</f>
        <v>0.10</v>
      </c>
      <c r="AB39" s="3" t="str">
        <f>FIXED(VLOOKUP($A39,'Small Sample 2-Townhouse'!$A:$R,AB$1,0),2)</f>
        <v>0.30</v>
      </c>
      <c r="AC39" s="3" t="str">
        <f>FIXED(VLOOKUP($A39,'Small Sample 2-Townhouse'!$A:$R,AC$1,0),2)</f>
        <v>0.00</v>
      </c>
      <c r="AD39" s="3" t="str">
        <f>FIXED(VLOOKUP($A39,'Small Sample 2-Townhouse'!$A:$R,AD$1,0),2)</f>
        <v>1.00</v>
      </c>
      <c r="AE39" s="9" t="str">
        <f>FIXED(VLOOKUP($A39,'Small Sample 2-Townhouse'!$A:$R,AE$1,0),2)</f>
        <v>0.11</v>
      </c>
      <c r="AF39" s="3" t="str">
        <f>FIXED(VLOOKUP($A39,'Small Sample 2-Townhouse'!$A:$R,AF$1,0),2)</f>
        <v>0.31</v>
      </c>
      <c r="AG39" s="3" t="str">
        <f>FIXED(VLOOKUP($A39,'Small Sample 2-Townhouse'!$A:$R,AG$1,0),2)</f>
        <v>0.00</v>
      </c>
      <c r="AH39" s="13" t="str">
        <f>FIXED(VLOOKUP($A39,'Small Sample 2-Townhouse'!$A:$R,AH$1,0),2)</f>
        <v>1.00</v>
      </c>
      <c r="AI39" s="9" t="str">
        <f>FIXED(VLOOKUP($A39,'Small Sample 2-Townhouse'!$A:$R,AI$1,0),2)</f>
        <v>0.09</v>
      </c>
      <c r="AJ39" s="3" t="str">
        <f>FIXED(VLOOKUP($A39,'Small Sample 2-Townhouse'!$A:$R,AJ$1,0),2)</f>
        <v>0.28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Sample-Townhouse'!$A:$R,C$1,0),2)</f>
        <v>0.00</v>
      </c>
      <c r="D40" s="3" t="str">
        <f>FIXED(VLOOKUP($A40,'Full Sample-Townhouse'!$A:$R,D$1,0),2)</f>
        <v>0.02</v>
      </c>
      <c r="E40" s="3" t="str">
        <f>FIXED(VLOOKUP($A40,'Full Sample-Townhouse'!$A:$R,E$1,0),2)</f>
        <v>0.00</v>
      </c>
      <c r="F40" s="3" t="str">
        <f>FIXED(VLOOKUP($A40,'Full Sample-Townhouse'!$A:$R,F$1,0),2)</f>
        <v>1.00</v>
      </c>
      <c r="G40" s="9" t="str">
        <f>FIXED(VLOOKUP($A40,'Full Sample-Townhouse'!$A:$R,G$1,0),2)</f>
        <v>0.00</v>
      </c>
      <c r="H40" s="3" t="str">
        <f>FIXED(VLOOKUP($A40,'Full Sample-Townhouse'!$A:$R,H$1,0),2)</f>
        <v>0.02</v>
      </c>
      <c r="I40" s="3" t="str">
        <f>FIXED(VLOOKUP($A40,'Full Sample-Townhouse'!$A:$R,I$1,0),2)</f>
        <v>0.00</v>
      </c>
      <c r="J40" s="13" t="str">
        <f>FIXED(VLOOKUP($A40,'Full Sample-Townhouse'!$A:$R,J$1,0),2)</f>
        <v>1.00</v>
      </c>
      <c r="K40" s="9" t="str">
        <f>FIXED(VLOOKUP($A40,'Full Sample-Townhouse'!$A:$R,K$1,0),2)</f>
        <v>0.00</v>
      </c>
      <c r="L40" s="3" t="str">
        <f>FIXED(VLOOKUP($A40,'Full Sample-Townhouse'!$A:$R,L$1,0),2)</f>
        <v>0.03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1-Townhouse'!$A:$R,O$1,0),2)</f>
        <v>0.00</v>
      </c>
      <c r="P40" s="3" t="str">
        <f>FIXED(VLOOKUP($A40,'Small Sample 1-Townhouse'!$A:$R,P$1,0),2)</f>
        <v>0.02</v>
      </c>
      <c r="Q40" s="3" t="str">
        <f>FIXED(VLOOKUP($A40,'Small Sample 1-Townhouse'!$A:$R,Q$1,0),2)</f>
        <v>0.00</v>
      </c>
      <c r="R40" s="3" t="str">
        <f>FIXED(VLOOKUP($A40,'Small Sample 1-Townhouse'!$A:$R,R$1,0),2)</f>
        <v>1.00</v>
      </c>
      <c r="S40" s="9" t="str">
        <f>FIXED(VLOOKUP($A40,'Small Sample 1-Townhouse'!$A:$R,S$1,0),2)</f>
        <v>0.00</v>
      </c>
      <c r="T40" s="3" t="str">
        <f>FIXED(VLOOKUP($A40,'Small Sample 1-Townhouse'!$A:$R,T$1,0),2)</f>
        <v>0.02</v>
      </c>
      <c r="U40" s="3" t="str">
        <f>FIXED(VLOOKUP($A40,'Small Sample 1-Townhouse'!$A:$R,U$1,0),2)</f>
        <v>0.00</v>
      </c>
      <c r="V40" s="13" t="str">
        <f>FIXED(VLOOKUP($A40,'Small Sample 1-Townhouse'!$A:$R,V$1,0),2)</f>
        <v>1.00</v>
      </c>
      <c r="W40" s="9" t="str">
        <f>FIXED(VLOOKUP($A40,'Small Sample 1-Townhouse'!$A:$R,W$1,0),2)</f>
        <v>0.00</v>
      </c>
      <c r="X40" s="3" t="str">
        <f>FIXED(VLOOKUP($A40,'Small Sample 1-Townhouse'!$A:$R,X$1,0),2)</f>
        <v>0.03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2-Townhouse'!$A:$R,AA$1,0),2)</f>
        <v>0.00</v>
      </c>
      <c r="AB40" s="3" t="str">
        <f>FIXED(VLOOKUP($A40,'Small Sample 2-Townhouse'!$A:$R,AB$1,0),2)</f>
        <v>0.02</v>
      </c>
      <c r="AC40" s="3" t="str">
        <f>FIXED(VLOOKUP($A40,'Small Sample 2-Townhouse'!$A:$R,AC$1,0),2)</f>
        <v>0.00</v>
      </c>
      <c r="AD40" s="3" t="str">
        <f>FIXED(VLOOKUP($A40,'Small Sample 2-Townhouse'!$A:$R,AD$1,0),2)</f>
        <v>1.00</v>
      </c>
      <c r="AE40" s="9" t="str">
        <f>FIXED(VLOOKUP($A40,'Small Sample 2-Townhouse'!$A:$R,AE$1,0),2)</f>
        <v>0.00</v>
      </c>
      <c r="AF40" s="3" t="str">
        <f>FIXED(VLOOKUP($A40,'Small Sample 2-Townhouse'!$A:$R,AF$1,0),2)</f>
        <v>0.02</v>
      </c>
      <c r="AG40" s="3" t="str">
        <f>FIXED(VLOOKUP($A40,'Small Sample 2-Townhouse'!$A:$R,AG$1,0),2)</f>
        <v>0.00</v>
      </c>
      <c r="AH40" s="13" t="str">
        <f>FIXED(VLOOKUP($A40,'Small Sample 2-Townhouse'!$A:$R,AH$1,0),2)</f>
        <v>1.00</v>
      </c>
      <c r="AI40" s="9" t="str">
        <f>FIXED(VLOOKUP($A40,'Small Sample 2-Townhouse'!$A:$R,AI$1,0),2)</f>
        <v>0.00</v>
      </c>
      <c r="AJ40" s="3" t="str">
        <f>FIXED(VLOOKUP($A40,'Small Sample 2-Townhouse'!$A:$R,AJ$1,0),2)</f>
        <v>0.02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9" t="str">
        <f>FIXED(VLOOKUP($A41,'Full Sample-Townhouse'!$A:$R,C$1,0),2)</f>
        <v>0.05</v>
      </c>
      <c r="D41" s="3" t="str">
        <f>FIXED(VLOOKUP($A41,'Full Sample-Townhouse'!$A:$R,D$1,0),2)</f>
        <v>0.22</v>
      </c>
      <c r="E41" s="3" t="str">
        <f>FIXED(VLOOKUP($A41,'Full Sample-Townhouse'!$A:$R,E$1,0),2)</f>
        <v>0.00</v>
      </c>
      <c r="F41" s="3" t="str">
        <f>FIXED(VLOOKUP($A41,'Full Sample-Townhouse'!$A:$R,F$1,0),2)</f>
        <v>1.00</v>
      </c>
      <c r="G41" s="9" t="str">
        <f>FIXED(VLOOKUP($A41,'Full Sample-Townhouse'!$A:$R,G$1,0),2)</f>
        <v>0.05</v>
      </c>
      <c r="H41" s="3" t="str">
        <f>FIXED(VLOOKUP($A41,'Full Sample-Townhouse'!$A:$R,H$1,0),2)</f>
        <v>0.22</v>
      </c>
      <c r="I41" s="3" t="str">
        <f>FIXED(VLOOKUP($A41,'Full Sample-Townhouse'!$A:$R,I$1,0),2)</f>
        <v>0.00</v>
      </c>
      <c r="J41" s="13" t="str">
        <f>FIXED(VLOOKUP($A41,'Full Sample-Townhouse'!$A:$R,J$1,0),2)</f>
        <v>1.00</v>
      </c>
      <c r="K41" s="9" t="str">
        <f>FIXED(VLOOKUP($A41,'Full Sample-Townhouse'!$A:$R,K$1,0),2)</f>
        <v>0.06</v>
      </c>
      <c r="L41" s="3" t="str">
        <f>FIXED(VLOOKUP($A41,'Full Sample-Townhouse'!$A:$R,L$1,0),2)</f>
        <v>0.23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FIXED(VLOOKUP($A41,'Small Sample 1-Townhouse'!$A:$R,O$1,0),2)</f>
        <v>0.06</v>
      </c>
      <c r="P41" s="3" t="str">
        <f>FIXED(VLOOKUP($A41,'Small Sample 1-Townhouse'!$A:$R,P$1,0),2)</f>
        <v>0.23</v>
      </c>
      <c r="Q41" s="3" t="str">
        <f>FIXED(VLOOKUP($A41,'Small Sample 1-Townhouse'!$A:$R,Q$1,0),2)</f>
        <v>0.00</v>
      </c>
      <c r="R41" s="3" t="str">
        <f>FIXED(VLOOKUP($A41,'Small Sample 1-Townhouse'!$A:$R,R$1,0),2)</f>
        <v>1.00</v>
      </c>
      <c r="S41" s="9" t="str">
        <f>FIXED(VLOOKUP($A41,'Small Sample 1-Townhouse'!$A:$R,S$1,0),2)</f>
        <v>0.05</v>
      </c>
      <c r="T41" s="3" t="str">
        <f>FIXED(VLOOKUP($A41,'Small Sample 1-Townhouse'!$A:$R,T$1,0),2)</f>
        <v>0.23</v>
      </c>
      <c r="U41" s="3" t="str">
        <f>FIXED(VLOOKUP($A41,'Small Sample 1-Townhouse'!$A:$R,U$1,0),2)</f>
        <v>0.00</v>
      </c>
      <c r="V41" s="13" t="str">
        <f>FIXED(VLOOKUP($A41,'Small Sample 1-Townhouse'!$A:$R,V$1,0),2)</f>
        <v>1.00</v>
      </c>
      <c r="W41" s="9" t="str">
        <f>FIXED(VLOOKUP($A41,'Small Sample 1-Townhouse'!$A:$R,W$1,0),2)</f>
        <v>0.06</v>
      </c>
      <c r="X41" s="3" t="str">
        <f>FIXED(VLOOKUP($A41,'Small Sample 1-Townhouse'!$A:$R,X$1,0),2)</f>
        <v>0.23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9" t="str">
        <f>FIXED(VLOOKUP($A41,'Small Sample 2-Townhouse'!$A:$R,AA$1,0),2)</f>
        <v>0.06</v>
      </c>
      <c r="AB41" s="3" t="str">
        <f>FIXED(VLOOKUP($A41,'Small Sample 2-Townhouse'!$A:$R,AB$1,0),2)</f>
        <v>0.23</v>
      </c>
      <c r="AC41" s="3" t="str">
        <f>FIXED(VLOOKUP($A41,'Small Sample 2-Townhouse'!$A:$R,AC$1,0),2)</f>
        <v>0.00</v>
      </c>
      <c r="AD41" s="3" t="str">
        <f>FIXED(VLOOKUP($A41,'Small Sample 2-Townhouse'!$A:$R,AD$1,0),2)</f>
        <v>1.00</v>
      </c>
      <c r="AE41" s="9" t="str">
        <f>FIXED(VLOOKUP($A41,'Small Sample 2-Townhouse'!$A:$R,AE$1,0),2)</f>
        <v>0.05</v>
      </c>
      <c r="AF41" s="3" t="str">
        <f>FIXED(VLOOKUP($A41,'Small Sample 2-Townhouse'!$A:$R,AF$1,0),2)</f>
        <v>0.22</v>
      </c>
      <c r="AG41" s="3" t="str">
        <f>FIXED(VLOOKUP($A41,'Small Sample 2-Townhouse'!$A:$R,AG$1,0),2)</f>
        <v>0.00</v>
      </c>
      <c r="AH41" s="13" t="str">
        <f>FIXED(VLOOKUP($A41,'Small Sample 2-Townhouse'!$A:$R,AH$1,0),2)</f>
        <v>1.00</v>
      </c>
      <c r="AI41" s="9" t="str">
        <f>FIXED(VLOOKUP($A41,'Small Sample 2-Townhouse'!$A:$R,AI$1,0),2)</f>
        <v>0.06</v>
      </c>
      <c r="AJ41" s="3" t="str">
        <f>FIXED(VLOOKUP($A41,'Small Sample 2-Townhouse'!$A:$R,AJ$1,0),2)</f>
        <v>0.24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Sample-Townhouse'!$A:$R,C$1,0),2)</f>
        <v>0.23</v>
      </c>
      <c r="D42" s="3" t="str">
        <f>FIXED(VLOOKUP($A42,'Full Sample-Townhouse'!$A:$R,D$1,0),2)</f>
        <v>0.42</v>
      </c>
      <c r="E42" s="3" t="str">
        <f>FIXED(VLOOKUP($A42,'Full Sample-Townhouse'!$A:$R,E$1,0),2)</f>
        <v>0.00</v>
      </c>
      <c r="F42" s="3" t="str">
        <f>FIXED(VLOOKUP($A42,'Full Sample-Townhouse'!$A:$R,F$1,0),2)</f>
        <v>1.00</v>
      </c>
      <c r="G42" s="9" t="str">
        <f>FIXED(VLOOKUP($A42,'Full Sample-Townhouse'!$A:$R,G$1,0),2)</f>
        <v>0.23</v>
      </c>
      <c r="H42" s="3" t="str">
        <f>FIXED(VLOOKUP($A42,'Full Sample-Townhouse'!$A:$R,H$1,0),2)</f>
        <v>0.42</v>
      </c>
      <c r="I42" s="3" t="str">
        <f>FIXED(VLOOKUP($A42,'Full Sample-Townhouse'!$A:$R,I$1,0),2)</f>
        <v>0.00</v>
      </c>
      <c r="J42" s="13" t="str">
        <f>FIXED(VLOOKUP($A42,'Full Sample-Townhouse'!$A:$R,J$1,0),2)</f>
        <v>1.00</v>
      </c>
      <c r="K42" s="9" t="str">
        <f>FIXED(VLOOKUP($A42,'Full Sample-Townhouse'!$A:$R,K$1,0),2)</f>
        <v>0.22</v>
      </c>
      <c r="L42" s="3" t="str">
        <f>FIXED(VLOOKUP($A42,'Full Sample-Townhouse'!$A:$R,L$1,0),2)</f>
        <v>0.41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1-Townhouse'!$A:$R,O$1,0),2)</f>
        <v>0.22</v>
      </c>
      <c r="P42" s="3" t="str">
        <f>FIXED(VLOOKUP($A42,'Small Sample 1-Townhouse'!$A:$R,P$1,0),2)</f>
        <v>0.41</v>
      </c>
      <c r="Q42" s="3" t="str">
        <f>FIXED(VLOOKUP($A42,'Small Sample 1-Townhouse'!$A:$R,Q$1,0),2)</f>
        <v>0.00</v>
      </c>
      <c r="R42" s="3" t="str">
        <f>FIXED(VLOOKUP($A42,'Small Sample 1-Townhouse'!$A:$R,R$1,0),2)</f>
        <v>1.00</v>
      </c>
      <c r="S42" s="9" t="str">
        <f>FIXED(VLOOKUP($A42,'Small Sample 1-Townhouse'!$A:$R,S$1,0),2)</f>
        <v>0.21</v>
      </c>
      <c r="T42" s="3" t="str">
        <f>FIXED(VLOOKUP($A42,'Small Sample 1-Townhouse'!$A:$R,T$1,0),2)</f>
        <v>0.41</v>
      </c>
      <c r="U42" s="3" t="str">
        <f>FIXED(VLOOKUP($A42,'Small Sample 1-Townhouse'!$A:$R,U$1,0),2)</f>
        <v>0.00</v>
      </c>
      <c r="V42" s="13" t="str">
        <f>FIXED(VLOOKUP($A42,'Small Sample 1-Townhouse'!$A:$R,V$1,0),2)</f>
        <v>1.00</v>
      </c>
      <c r="W42" s="9" t="str">
        <f>FIXED(VLOOKUP($A42,'Small Sample 1-Townhouse'!$A:$R,W$1,0),2)</f>
        <v>0.22</v>
      </c>
      <c r="X42" s="3" t="str">
        <f>FIXED(VLOOKUP($A42,'Small Sample 1-Townhouse'!$A:$R,X$1,0),2)</f>
        <v>0.41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2-Townhouse'!$A:$R,AA$1,0),2)</f>
        <v>0.22</v>
      </c>
      <c r="AB42" s="3" t="str">
        <f>FIXED(VLOOKUP($A42,'Small Sample 2-Townhouse'!$A:$R,AB$1,0),2)</f>
        <v>0.41</v>
      </c>
      <c r="AC42" s="3" t="str">
        <f>FIXED(VLOOKUP($A42,'Small Sample 2-Townhouse'!$A:$R,AC$1,0),2)</f>
        <v>0.00</v>
      </c>
      <c r="AD42" s="3" t="str">
        <f>FIXED(VLOOKUP($A42,'Small Sample 2-Townhouse'!$A:$R,AD$1,0),2)</f>
        <v>1.00</v>
      </c>
      <c r="AE42" s="9" t="str">
        <f>FIXED(VLOOKUP($A42,'Small Sample 2-Townhouse'!$A:$R,AE$1,0),2)</f>
        <v>0.23</v>
      </c>
      <c r="AF42" s="3" t="str">
        <f>FIXED(VLOOKUP($A42,'Small Sample 2-Townhouse'!$A:$R,AF$1,0),2)</f>
        <v>0.42</v>
      </c>
      <c r="AG42" s="3" t="str">
        <f>FIXED(VLOOKUP($A42,'Small Sample 2-Townhouse'!$A:$R,AG$1,0),2)</f>
        <v>0.00</v>
      </c>
      <c r="AH42" s="13" t="str">
        <f>FIXED(VLOOKUP($A42,'Small Sample 2-Townhouse'!$A:$R,AH$1,0),2)</f>
        <v>1.00</v>
      </c>
      <c r="AI42" s="9" t="str">
        <f>FIXED(VLOOKUP($A42,'Small Sample 2-Townhouse'!$A:$R,AI$1,0),2)</f>
        <v>0.20</v>
      </c>
      <c r="AJ42" s="3" t="str">
        <f>FIXED(VLOOKUP($A42,'Small Sample 2-Townhouse'!$A:$R,AJ$1,0),2)</f>
        <v>0.40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Sample-Townhouse'!$A:$R,C$1,0),2)</f>
        <v>0.28</v>
      </c>
      <c r="D43" s="3" t="str">
        <f>FIXED(VLOOKUP($A43,'Full Sample-Townhouse'!$A:$R,D$1,0),2)</f>
        <v>0.45</v>
      </c>
      <c r="E43" s="3" t="str">
        <f>FIXED(VLOOKUP($A43,'Full Sample-Townhouse'!$A:$R,E$1,0),2)</f>
        <v>0.00</v>
      </c>
      <c r="F43" s="3" t="str">
        <f>FIXED(VLOOKUP($A43,'Full Sample-Townhouse'!$A:$R,F$1,0),2)</f>
        <v>1.00</v>
      </c>
      <c r="G43" s="9" t="str">
        <f>FIXED(VLOOKUP($A43,'Full Sample-Townhouse'!$A:$R,G$1,0),2)</f>
        <v>0.27</v>
      </c>
      <c r="H43" s="3" t="str">
        <f>FIXED(VLOOKUP($A43,'Full Sample-Townhouse'!$A:$R,H$1,0),2)</f>
        <v>0.45</v>
      </c>
      <c r="I43" s="3" t="str">
        <f>FIXED(VLOOKUP($A43,'Full Sample-Townhouse'!$A:$R,I$1,0),2)</f>
        <v>0.00</v>
      </c>
      <c r="J43" s="13" t="str">
        <f>FIXED(VLOOKUP($A43,'Full Sample-Townhouse'!$A:$R,J$1,0),2)</f>
        <v>1.00</v>
      </c>
      <c r="K43" s="9" t="str">
        <f>FIXED(VLOOKUP($A43,'Full Sample-Townhouse'!$A:$R,K$1,0),2)</f>
        <v>0.30</v>
      </c>
      <c r="L43" s="3" t="str">
        <f>FIXED(VLOOKUP($A43,'Full Sample-Townhouse'!$A:$R,L$1,0),2)</f>
        <v>0.46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1-Townhouse'!$A:$R,O$1,0),2)</f>
        <v>0.29</v>
      </c>
      <c r="P43" s="3" t="str">
        <f>FIXED(VLOOKUP($A43,'Small Sample 1-Townhouse'!$A:$R,P$1,0),2)</f>
        <v>0.45</v>
      </c>
      <c r="Q43" s="3" t="str">
        <f>FIXED(VLOOKUP($A43,'Small Sample 1-Townhouse'!$A:$R,Q$1,0),2)</f>
        <v>0.00</v>
      </c>
      <c r="R43" s="3" t="str">
        <f>FIXED(VLOOKUP($A43,'Small Sample 1-Townhouse'!$A:$R,R$1,0),2)</f>
        <v>1.00</v>
      </c>
      <c r="S43" s="9" t="str">
        <f>FIXED(VLOOKUP($A43,'Small Sample 1-Townhouse'!$A:$R,S$1,0),2)</f>
        <v>0.28</v>
      </c>
      <c r="T43" s="3" t="str">
        <f>FIXED(VLOOKUP($A43,'Small Sample 1-Townhouse'!$A:$R,T$1,0),2)</f>
        <v>0.45</v>
      </c>
      <c r="U43" s="3" t="str">
        <f>FIXED(VLOOKUP($A43,'Small Sample 1-Townhouse'!$A:$R,U$1,0),2)</f>
        <v>0.00</v>
      </c>
      <c r="V43" s="13" t="str">
        <f>FIXED(VLOOKUP($A43,'Small Sample 1-Townhouse'!$A:$R,V$1,0),2)</f>
        <v>1.00</v>
      </c>
      <c r="W43" s="9" t="str">
        <f>FIXED(VLOOKUP($A43,'Small Sample 1-Townhouse'!$A:$R,W$1,0),2)</f>
        <v>0.30</v>
      </c>
      <c r="X43" s="3" t="str">
        <f>FIXED(VLOOKUP($A43,'Small Sample 1-Townhouse'!$A:$R,X$1,0),2)</f>
        <v>0.46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2-Townhouse'!$A:$R,AA$1,0),2)</f>
        <v>0.29</v>
      </c>
      <c r="AB43" s="3" t="str">
        <f>FIXED(VLOOKUP($A43,'Small Sample 2-Townhouse'!$A:$R,AB$1,0),2)</f>
        <v>0.45</v>
      </c>
      <c r="AC43" s="3" t="str">
        <f>FIXED(VLOOKUP($A43,'Small Sample 2-Townhouse'!$A:$R,AC$1,0),2)</f>
        <v>0.00</v>
      </c>
      <c r="AD43" s="3" t="str">
        <f>FIXED(VLOOKUP($A43,'Small Sample 2-Townhouse'!$A:$R,AD$1,0),2)</f>
        <v>1.00</v>
      </c>
      <c r="AE43" s="9" t="str">
        <f>FIXED(VLOOKUP($A43,'Small Sample 2-Townhouse'!$A:$R,AE$1,0),2)</f>
        <v>0.28</v>
      </c>
      <c r="AF43" s="3" t="str">
        <f>FIXED(VLOOKUP($A43,'Small Sample 2-Townhouse'!$A:$R,AF$1,0),2)</f>
        <v>0.45</v>
      </c>
      <c r="AG43" s="3" t="str">
        <f>FIXED(VLOOKUP($A43,'Small Sample 2-Townhouse'!$A:$R,AG$1,0),2)</f>
        <v>0.00</v>
      </c>
      <c r="AH43" s="13" t="str">
        <f>FIXED(VLOOKUP($A43,'Small Sample 2-Townhouse'!$A:$R,AH$1,0),2)</f>
        <v>1.00</v>
      </c>
      <c r="AI43" s="9" t="str">
        <f>FIXED(VLOOKUP($A43,'Small Sample 2-Townhouse'!$A:$R,AI$1,0),2)</f>
        <v>0.31</v>
      </c>
      <c r="AJ43" s="3" t="str">
        <f>FIXED(VLOOKUP($A43,'Small Sample 2-Townhouse'!$A:$R,AJ$1,0),2)</f>
        <v>0.46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Sample-Townhouse'!$A:$R,C$1,0),2)</f>
        <v>0.07</v>
      </c>
      <c r="D44" s="3" t="str">
        <f>FIXED(VLOOKUP($A44,'Full Sample-Townhouse'!$A:$R,D$1,0),2)</f>
        <v>0.25</v>
      </c>
      <c r="E44" s="3" t="str">
        <f>FIXED(VLOOKUP($A44,'Full Sample-Townhouse'!$A:$R,E$1,0),2)</f>
        <v>0.00</v>
      </c>
      <c r="F44" s="3" t="str">
        <f>FIXED(VLOOKUP($A44,'Full Sample-Townhouse'!$A:$R,F$1,0),2)</f>
        <v>1.00</v>
      </c>
      <c r="G44" s="9" t="str">
        <f>FIXED(VLOOKUP($A44,'Full Sample-Townhouse'!$A:$R,G$1,0),2)</f>
        <v>0.07</v>
      </c>
      <c r="H44" s="3" t="str">
        <f>FIXED(VLOOKUP($A44,'Full Sample-Townhouse'!$A:$R,H$1,0),2)</f>
        <v>0.25</v>
      </c>
      <c r="I44" s="3" t="str">
        <f>FIXED(VLOOKUP($A44,'Full Sample-Townhouse'!$A:$R,I$1,0),2)</f>
        <v>0.00</v>
      </c>
      <c r="J44" s="13" t="str">
        <f>FIXED(VLOOKUP($A44,'Full Sample-Townhouse'!$A:$R,J$1,0),2)</f>
        <v>1.00</v>
      </c>
      <c r="K44" s="9" t="str">
        <f>FIXED(VLOOKUP($A44,'Full Sample-Townhouse'!$A:$R,K$1,0),2)</f>
        <v>0.07</v>
      </c>
      <c r="L44" s="3" t="str">
        <f>FIXED(VLOOKUP($A44,'Full Sample-Townhouse'!$A:$R,L$1,0),2)</f>
        <v>0.25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1-Townhouse'!$A:$R,O$1,0),2)</f>
        <v>0.07</v>
      </c>
      <c r="P44" s="3" t="str">
        <f>FIXED(VLOOKUP($A44,'Small Sample 1-Townhouse'!$A:$R,P$1,0),2)</f>
        <v>0.26</v>
      </c>
      <c r="Q44" s="3" t="str">
        <f>FIXED(VLOOKUP($A44,'Small Sample 1-Townhouse'!$A:$R,Q$1,0),2)</f>
        <v>0.00</v>
      </c>
      <c r="R44" s="3" t="str">
        <f>FIXED(VLOOKUP($A44,'Small Sample 1-Townhouse'!$A:$R,R$1,0),2)</f>
        <v>1.00</v>
      </c>
      <c r="S44" s="9" t="str">
        <f>FIXED(VLOOKUP($A44,'Small Sample 1-Townhouse'!$A:$R,S$1,0),2)</f>
        <v>0.07</v>
      </c>
      <c r="T44" s="3" t="str">
        <f>FIXED(VLOOKUP($A44,'Small Sample 1-Townhouse'!$A:$R,T$1,0),2)</f>
        <v>0.26</v>
      </c>
      <c r="U44" s="3" t="str">
        <f>FIXED(VLOOKUP($A44,'Small Sample 1-Townhouse'!$A:$R,U$1,0),2)</f>
        <v>0.00</v>
      </c>
      <c r="V44" s="13" t="str">
        <f>FIXED(VLOOKUP($A44,'Small Sample 1-Townhouse'!$A:$R,V$1,0),2)</f>
        <v>1.00</v>
      </c>
      <c r="W44" s="9" t="str">
        <f>FIXED(VLOOKUP($A44,'Small Sample 1-Townhouse'!$A:$R,W$1,0),2)</f>
        <v>0.07</v>
      </c>
      <c r="X44" s="3" t="str">
        <f>FIXED(VLOOKUP($A44,'Small Sample 1-Townhouse'!$A:$R,X$1,0),2)</f>
        <v>0.25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2-Townhouse'!$A:$R,AA$1,0),2)</f>
        <v>0.07</v>
      </c>
      <c r="AB44" s="3" t="str">
        <f>FIXED(VLOOKUP($A44,'Small Sample 2-Townhouse'!$A:$R,AB$1,0),2)</f>
        <v>0.26</v>
      </c>
      <c r="AC44" s="3" t="str">
        <f>FIXED(VLOOKUP($A44,'Small Sample 2-Townhouse'!$A:$R,AC$1,0),2)</f>
        <v>0.00</v>
      </c>
      <c r="AD44" s="3" t="str">
        <f>FIXED(VLOOKUP($A44,'Small Sample 2-Townhouse'!$A:$R,AD$1,0),2)</f>
        <v>1.00</v>
      </c>
      <c r="AE44" s="9" t="str">
        <f>FIXED(VLOOKUP($A44,'Small Sample 2-Townhouse'!$A:$R,AE$1,0),2)</f>
        <v>0.07</v>
      </c>
      <c r="AF44" s="3" t="str">
        <f>FIXED(VLOOKUP($A44,'Small Sample 2-Townhouse'!$A:$R,AF$1,0),2)</f>
        <v>0.25</v>
      </c>
      <c r="AG44" s="3" t="str">
        <f>FIXED(VLOOKUP($A44,'Small Sample 2-Townhouse'!$A:$R,AG$1,0),2)</f>
        <v>0.00</v>
      </c>
      <c r="AH44" s="13" t="str">
        <f>FIXED(VLOOKUP($A44,'Small Sample 2-Townhouse'!$A:$R,AH$1,0),2)</f>
        <v>1.00</v>
      </c>
      <c r="AI44" s="9" t="str">
        <f>FIXED(VLOOKUP($A44,'Small Sample 2-Townhouse'!$A:$R,AI$1,0),2)</f>
        <v>0.07</v>
      </c>
      <c r="AJ44" s="3" t="str">
        <f>FIXED(VLOOKUP($A44,'Small Sample 2-Townhouse'!$A:$R,AJ$1,0),2)</f>
        <v>0.26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Sample-Townhouse'!$A:$R,C$1,0),2)</f>
        <v>0.20</v>
      </c>
      <c r="D45" s="3" t="str">
        <f>FIXED(VLOOKUP($A45,'Full Sample-Townhouse'!$A:$R,D$1,0),2)</f>
        <v>0.40</v>
      </c>
      <c r="E45" s="3" t="str">
        <f>FIXED(VLOOKUP($A45,'Full Sample-Townhouse'!$A:$R,E$1,0),2)</f>
        <v>0.00</v>
      </c>
      <c r="F45" s="3" t="str">
        <f>FIXED(VLOOKUP($A45,'Full Sample-Townhouse'!$A:$R,F$1,0),2)</f>
        <v>1.00</v>
      </c>
      <c r="G45" s="9" t="str">
        <f>FIXED(VLOOKUP($A45,'Full Sample-Townhouse'!$A:$R,G$1,0),2)</f>
        <v>0.21</v>
      </c>
      <c r="H45" s="3" t="str">
        <f>FIXED(VLOOKUP($A45,'Full Sample-Townhouse'!$A:$R,H$1,0),2)</f>
        <v>0.40</v>
      </c>
      <c r="I45" s="3" t="str">
        <f>FIXED(VLOOKUP($A45,'Full Sample-Townhouse'!$A:$R,I$1,0),2)</f>
        <v>0.00</v>
      </c>
      <c r="J45" s="13" t="str">
        <f>FIXED(VLOOKUP($A45,'Full Sample-Townhouse'!$A:$R,J$1,0),2)</f>
        <v>1.00</v>
      </c>
      <c r="K45" s="9" t="str">
        <f>FIXED(VLOOKUP($A45,'Full Sample-Townhouse'!$A:$R,K$1,0),2)</f>
        <v>0.20</v>
      </c>
      <c r="L45" s="3" t="str">
        <f>FIXED(VLOOKUP($A45,'Full Sample-Townhouse'!$A:$R,L$1,0),2)</f>
        <v>0.40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1-Townhouse'!$A:$R,O$1,0),2)</f>
        <v>0.21</v>
      </c>
      <c r="P45" s="3" t="str">
        <f>FIXED(VLOOKUP($A45,'Small Sample 1-Townhouse'!$A:$R,P$1,0),2)</f>
        <v>0.41</v>
      </c>
      <c r="Q45" s="3" t="str">
        <f>FIXED(VLOOKUP($A45,'Small Sample 1-Townhouse'!$A:$R,Q$1,0),2)</f>
        <v>0.00</v>
      </c>
      <c r="R45" s="3" t="str">
        <f>FIXED(VLOOKUP($A45,'Small Sample 1-Townhouse'!$A:$R,R$1,0),2)</f>
        <v>1.00</v>
      </c>
      <c r="S45" s="9" t="str">
        <f>FIXED(VLOOKUP($A45,'Small Sample 1-Townhouse'!$A:$R,S$1,0),2)</f>
        <v>0.21</v>
      </c>
      <c r="T45" s="3" t="str">
        <f>FIXED(VLOOKUP($A45,'Small Sample 1-Townhouse'!$A:$R,T$1,0),2)</f>
        <v>0.41</v>
      </c>
      <c r="U45" s="3" t="str">
        <f>FIXED(VLOOKUP($A45,'Small Sample 1-Townhouse'!$A:$R,U$1,0),2)</f>
        <v>0.00</v>
      </c>
      <c r="V45" s="13" t="str">
        <f>FIXED(VLOOKUP($A45,'Small Sample 1-Townhouse'!$A:$R,V$1,0),2)</f>
        <v>1.00</v>
      </c>
      <c r="W45" s="9" t="str">
        <f>FIXED(VLOOKUP($A45,'Small Sample 1-Townhouse'!$A:$R,W$1,0),2)</f>
        <v>0.21</v>
      </c>
      <c r="X45" s="3" t="str">
        <f>FIXED(VLOOKUP($A45,'Small Sample 1-Townhouse'!$A:$R,X$1,0),2)</f>
        <v>0.40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2-Townhouse'!$A:$R,AA$1,0),2)</f>
        <v>0.21</v>
      </c>
      <c r="AB45" s="3" t="str">
        <f>FIXED(VLOOKUP($A45,'Small Sample 2-Townhouse'!$A:$R,AB$1,0),2)</f>
        <v>0.41</v>
      </c>
      <c r="AC45" s="3" t="str">
        <f>FIXED(VLOOKUP($A45,'Small Sample 2-Townhouse'!$A:$R,AC$1,0),2)</f>
        <v>0.00</v>
      </c>
      <c r="AD45" s="3" t="str">
        <f>FIXED(VLOOKUP($A45,'Small Sample 2-Townhouse'!$A:$R,AD$1,0),2)</f>
        <v>1.00</v>
      </c>
      <c r="AE45" s="9" t="str">
        <f>FIXED(VLOOKUP($A45,'Small Sample 2-Townhouse'!$A:$R,AE$1,0),2)</f>
        <v>0.21</v>
      </c>
      <c r="AF45" s="3" t="str">
        <f>FIXED(VLOOKUP($A45,'Small Sample 2-Townhouse'!$A:$R,AF$1,0),2)</f>
        <v>0.41</v>
      </c>
      <c r="AG45" s="3" t="str">
        <f>FIXED(VLOOKUP($A45,'Small Sample 2-Townhouse'!$A:$R,AG$1,0),2)</f>
        <v>0.00</v>
      </c>
      <c r="AH45" s="13" t="str">
        <f>FIXED(VLOOKUP($A45,'Small Sample 2-Townhouse'!$A:$R,AH$1,0),2)</f>
        <v>1.00</v>
      </c>
      <c r="AI45" s="9" t="str">
        <f>FIXED(VLOOKUP($A45,'Small Sample 2-Townhouse'!$A:$R,AI$1,0),2)</f>
        <v>0.22</v>
      </c>
      <c r="AJ45" s="3" t="str">
        <f>FIXED(VLOOKUP($A45,'Small Sample 2-Townhouse'!$A:$R,AJ$1,0),2)</f>
        <v>0.41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Sample-Townhouse'!$A:$R,C$1,0),2)</f>
        <v>0.06</v>
      </c>
      <c r="D46" s="3" t="str">
        <f>FIXED(VLOOKUP($A46,'Full Sample-Townhouse'!$A:$R,D$1,0),2)</f>
        <v>0.23</v>
      </c>
      <c r="E46" s="3" t="str">
        <f>FIXED(VLOOKUP($A46,'Full Sample-Townhouse'!$A:$R,E$1,0),2)</f>
        <v>0.00</v>
      </c>
      <c r="F46" s="3" t="str">
        <f>FIXED(VLOOKUP($A46,'Full Sample-Townhouse'!$A:$R,F$1,0),2)</f>
        <v>1.00</v>
      </c>
      <c r="G46" s="9" t="str">
        <f>FIXED(VLOOKUP($A46,'Full Sample-Townhouse'!$A:$R,G$1,0),2)</f>
        <v>0.06</v>
      </c>
      <c r="H46" s="3" t="str">
        <f>FIXED(VLOOKUP($A46,'Full Sample-Townhouse'!$A:$R,H$1,0),2)</f>
        <v>0.24</v>
      </c>
      <c r="I46" s="3" t="str">
        <f>FIXED(VLOOKUP($A46,'Full Sample-Townhouse'!$A:$R,I$1,0),2)</f>
        <v>0.00</v>
      </c>
      <c r="J46" s="13" t="str">
        <f>FIXED(VLOOKUP($A46,'Full Sample-Townhouse'!$A:$R,J$1,0),2)</f>
        <v>1.00</v>
      </c>
      <c r="K46" s="9" t="str">
        <f>FIXED(VLOOKUP($A46,'Full Sample-Townhouse'!$A:$R,K$1,0),2)</f>
        <v>0.05</v>
      </c>
      <c r="L46" s="3" t="str">
        <f>FIXED(VLOOKUP($A46,'Full Sample-Townhouse'!$A:$R,L$1,0),2)</f>
        <v>0.22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1-Townhouse'!$A:$R,O$1,0),2)</f>
        <v>0.06</v>
      </c>
      <c r="P46" s="3" t="str">
        <f>FIXED(VLOOKUP($A46,'Small Sample 1-Townhouse'!$A:$R,P$1,0),2)</f>
        <v>0.23</v>
      </c>
      <c r="Q46" s="3" t="str">
        <f>FIXED(VLOOKUP($A46,'Small Sample 1-Townhouse'!$A:$R,Q$1,0),2)</f>
        <v>0.00</v>
      </c>
      <c r="R46" s="3" t="str">
        <f>FIXED(VLOOKUP($A46,'Small Sample 1-Townhouse'!$A:$R,R$1,0),2)</f>
        <v>1.00</v>
      </c>
      <c r="S46" s="9" t="str">
        <f>FIXED(VLOOKUP($A46,'Small Sample 1-Townhouse'!$A:$R,S$1,0),2)</f>
        <v>0.07</v>
      </c>
      <c r="T46" s="3" t="str">
        <f>FIXED(VLOOKUP($A46,'Small Sample 1-Townhouse'!$A:$R,T$1,0),2)</f>
        <v>0.25</v>
      </c>
      <c r="U46" s="3" t="str">
        <f>FIXED(VLOOKUP($A46,'Small Sample 1-Townhouse'!$A:$R,U$1,0),2)</f>
        <v>0.00</v>
      </c>
      <c r="V46" s="13" t="str">
        <f>FIXED(VLOOKUP($A46,'Small Sample 1-Townhouse'!$A:$R,V$1,0),2)</f>
        <v>1.00</v>
      </c>
      <c r="W46" s="9" t="str">
        <f>FIXED(VLOOKUP($A46,'Small Sample 1-Townhouse'!$A:$R,W$1,0),2)</f>
        <v>0.05</v>
      </c>
      <c r="X46" s="3" t="str">
        <f>FIXED(VLOOKUP($A46,'Small Sample 1-Townhouse'!$A:$R,X$1,0),2)</f>
        <v>0.22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2-Townhouse'!$A:$R,AA$1,0),2)</f>
        <v>0.06</v>
      </c>
      <c r="AB46" s="3" t="str">
        <f>FIXED(VLOOKUP($A46,'Small Sample 2-Townhouse'!$A:$R,AB$1,0),2)</f>
        <v>0.23</v>
      </c>
      <c r="AC46" s="3" t="str">
        <f>FIXED(VLOOKUP($A46,'Small Sample 2-Townhouse'!$A:$R,AC$1,0),2)</f>
        <v>0.00</v>
      </c>
      <c r="AD46" s="3" t="str">
        <f>FIXED(VLOOKUP($A46,'Small Sample 2-Townhouse'!$A:$R,AD$1,0),2)</f>
        <v>1.00</v>
      </c>
      <c r="AE46" s="9" t="str">
        <f>FIXED(VLOOKUP($A46,'Small Sample 2-Townhouse'!$A:$R,AE$1,0),2)</f>
        <v>0.06</v>
      </c>
      <c r="AF46" s="3" t="str">
        <f>FIXED(VLOOKUP($A46,'Small Sample 2-Townhouse'!$A:$R,AF$1,0),2)</f>
        <v>0.24</v>
      </c>
      <c r="AG46" s="3" t="str">
        <f>FIXED(VLOOKUP($A46,'Small Sample 2-Townhouse'!$A:$R,AG$1,0),2)</f>
        <v>0.00</v>
      </c>
      <c r="AH46" s="13" t="str">
        <f>FIXED(VLOOKUP($A46,'Small Sample 2-Townhouse'!$A:$R,AH$1,0),2)</f>
        <v>1.00</v>
      </c>
      <c r="AI46" s="9" t="str">
        <f>FIXED(VLOOKUP($A46,'Small Sample 2-Townhouse'!$A:$R,AI$1,0),2)</f>
        <v>0.05</v>
      </c>
      <c r="AJ46" s="3" t="str">
        <f>FIXED(VLOOKUP($A46,'Small Sample 2-Townhouse'!$A:$R,AJ$1,0),2)</f>
        <v>0.22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Sample-Townhouse'!$A:$R,C$1,0),2)</f>
        <v>12.37</v>
      </c>
      <c r="D47" s="3" t="str">
        <f>FIXED(VLOOKUP($A47,'Full Sample-Townhouse'!$A:$R,D$1,0),2)</f>
        <v>41.82</v>
      </c>
      <c r="E47" s="3" t="str">
        <f>FIXED(VLOOKUP($A47,'Full Sample-Townhouse'!$A:$R,E$1,0),2)</f>
        <v>0.00</v>
      </c>
      <c r="F47" s="3" t="str">
        <f>FIXED(VLOOKUP($A47,'Full Sample-Townhouse'!$A:$R,F$1,0),2)</f>
        <v>1,000.00</v>
      </c>
      <c r="G47" s="9" t="str">
        <f>FIXED(VLOOKUP($A47,'Full Sample-Townhouse'!$A:$R,G$1,0),2)</f>
        <v>11.81</v>
      </c>
      <c r="H47" s="3" t="str">
        <f>FIXED(VLOOKUP($A47,'Full Sample-Townhouse'!$A:$R,H$1,0),2)</f>
        <v>39.64</v>
      </c>
      <c r="I47" s="3" t="str">
        <f>FIXED(VLOOKUP($A47,'Full Sample-Townhouse'!$A:$R,I$1,0),2)</f>
        <v>0.00</v>
      </c>
      <c r="J47" s="13" t="str">
        <f>FIXED(VLOOKUP($A47,'Full Sample-Townhouse'!$A:$R,J$1,0),2)</f>
        <v>651.00</v>
      </c>
      <c r="K47" s="9" t="str">
        <f>FIXED(VLOOKUP($A47,'Full Sample-Townhouse'!$A:$R,K$1,0),2)</f>
        <v>13.14</v>
      </c>
      <c r="L47" s="3" t="str">
        <f>FIXED(VLOOKUP($A47,'Full Sample-Townhouse'!$A:$R,L$1,0),2)</f>
        <v>44.63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1-Townhouse'!$A:$R,O$1,0),2)</f>
        <v>11.52</v>
      </c>
      <c r="P47" s="3" t="str">
        <f>FIXED(VLOOKUP($A47,'Small Sample 1-Townhouse'!$A:$R,P$1,0),2)</f>
        <v>41.13</v>
      </c>
      <c r="Q47" s="3" t="str">
        <f>FIXED(VLOOKUP($A47,'Small Sample 1-Townhouse'!$A:$R,Q$1,0),2)</f>
        <v>0.00</v>
      </c>
      <c r="R47" s="3" t="str">
        <f>FIXED(VLOOKUP($A47,'Small Sample 1-Townhouse'!$A:$R,R$1,0),2)</f>
        <v>1,000.00</v>
      </c>
      <c r="S47" s="9" t="str">
        <f>FIXED(VLOOKUP($A47,'Small Sample 1-Townhouse'!$A:$R,S$1,0),2)</f>
        <v>10.28</v>
      </c>
      <c r="T47" s="3" t="str">
        <f>FIXED(VLOOKUP($A47,'Small Sample 1-Townhouse'!$A:$R,T$1,0),2)</f>
        <v>38.20</v>
      </c>
      <c r="U47" s="3" t="str">
        <f>FIXED(VLOOKUP($A47,'Small Sample 1-Townhouse'!$A:$R,U$1,0),2)</f>
        <v>0.00</v>
      </c>
      <c r="V47" s="13" t="str">
        <f>FIXED(VLOOKUP($A47,'Small Sample 1-Townhouse'!$A:$R,V$1,0),2)</f>
        <v>631.00</v>
      </c>
      <c r="W47" s="9" t="str">
        <f>FIXED(VLOOKUP($A47,'Small Sample 1-Townhouse'!$A:$R,W$1,0),2)</f>
        <v>12.86</v>
      </c>
      <c r="X47" s="3" t="str">
        <f>FIXED(VLOOKUP($A47,'Small Sample 1-Townhouse'!$A:$R,X$1,0),2)</f>
        <v>44.06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2-Townhouse'!$A:$R,AA$1,0),2)</f>
        <v>11.19</v>
      </c>
      <c r="AB47" s="3" t="str">
        <f>FIXED(VLOOKUP($A47,'Small Sample 2-Townhouse'!$A:$R,AB$1,0),2)</f>
        <v>40.25</v>
      </c>
      <c r="AC47" s="3" t="str">
        <f>FIXED(VLOOKUP($A47,'Small Sample 2-Townhouse'!$A:$R,AC$1,0),2)</f>
        <v>0.00</v>
      </c>
      <c r="AD47" s="3" t="str">
        <f>FIXED(VLOOKUP($A47,'Small Sample 2-Townhouse'!$A:$R,AD$1,0),2)</f>
        <v>1,000.00</v>
      </c>
      <c r="AE47" s="9" t="str">
        <f>FIXED(VLOOKUP($A47,'Small Sample 2-Townhouse'!$A:$R,AE$1,0),2)</f>
        <v>11.28</v>
      </c>
      <c r="AF47" s="3" t="str">
        <f>FIXED(VLOOKUP($A47,'Small Sample 2-Townhouse'!$A:$R,AF$1,0),2)</f>
        <v>38.83</v>
      </c>
      <c r="AG47" s="3" t="str">
        <f>FIXED(VLOOKUP($A47,'Small Sample 2-Townhouse'!$A:$R,AG$1,0),2)</f>
        <v>0.00</v>
      </c>
      <c r="AH47" s="13" t="str">
        <f>FIXED(VLOOKUP($A47,'Small Sample 2-Townhouse'!$A:$R,AH$1,0),2)</f>
        <v>651.00</v>
      </c>
      <c r="AI47" s="9" t="str">
        <f>FIXED(VLOOKUP($A47,'Small Sample 2-Townhouse'!$A:$R,AI$1,0),2)</f>
        <v>11.04</v>
      </c>
      <c r="AJ47" s="3" t="str">
        <f>FIXED(VLOOKUP($A47,'Small Sample 2-Townhouse'!$A:$R,AJ$1,0),2)</f>
        <v>42.60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Sample-Townhouse'!$A:$R,C$1,0),2)</f>
        <v>0.10</v>
      </c>
      <c r="D48" s="3" t="str">
        <f>FIXED(VLOOKUP($A48,'Full Sample-Townhouse'!$A:$R,D$1,0),2)</f>
        <v>0.30</v>
      </c>
      <c r="E48" s="3" t="str">
        <f>FIXED(VLOOKUP($A48,'Full Sample-Townhouse'!$A:$R,E$1,0),2)</f>
        <v>0.00</v>
      </c>
      <c r="F48" s="3" t="str">
        <f>FIXED(VLOOKUP($A48,'Full Sample-Townhouse'!$A:$R,F$1,0),2)</f>
        <v>1.00</v>
      </c>
      <c r="G48" s="9" t="str">
        <f>FIXED(VLOOKUP($A48,'Full Sample-Townhouse'!$A:$R,G$1,0),2)</f>
        <v>0.10</v>
      </c>
      <c r="H48" s="3" t="str">
        <f>FIXED(VLOOKUP($A48,'Full Sample-Townhouse'!$A:$R,H$1,0),2)</f>
        <v>0.30</v>
      </c>
      <c r="I48" s="3" t="str">
        <f>FIXED(VLOOKUP($A48,'Full Sample-Townhouse'!$A:$R,I$1,0),2)</f>
        <v>0.00</v>
      </c>
      <c r="J48" s="13" t="str">
        <f>FIXED(VLOOKUP($A48,'Full Sample-Townhouse'!$A:$R,J$1,0),2)</f>
        <v>1.00</v>
      </c>
      <c r="K48" s="9" t="str">
        <f>FIXED(VLOOKUP($A48,'Full Sample-Townhouse'!$A:$R,K$1,0),2)</f>
        <v>0.10</v>
      </c>
      <c r="L48" s="3" t="str">
        <f>FIXED(VLOOKUP($A48,'Full Sample-Townhouse'!$A:$R,L$1,0),2)</f>
        <v>0.30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1-Townhouse'!$A:$R,O$1,0),2)</f>
        <v>0.10</v>
      </c>
      <c r="P48" s="3" t="str">
        <f>FIXED(VLOOKUP($A48,'Small Sample 1-Townhouse'!$A:$R,P$1,0),2)</f>
        <v>0.30</v>
      </c>
      <c r="Q48" s="3" t="str">
        <f>FIXED(VLOOKUP($A48,'Small Sample 1-Townhouse'!$A:$R,Q$1,0),2)</f>
        <v>0.00</v>
      </c>
      <c r="R48" s="3" t="str">
        <f>FIXED(VLOOKUP($A48,'Small Sample 1-Townhouse'!$A:$R,R$1,0),2)</f>
        <v>1.00</v>
      </c>
      <c r="S48" s="9" t="str">
        <f>FIXED(VLOOKUP($A48,'Small Sample 1-Townhouse'!$A:$R,S$1,0),2)</f>
        <v>0.11</v>
      </c>
      <c r="T48" s="3" t="str">
        <f>FIXED(VLOOKUP($A48,'Small Sample 1-Townhouse'!$A:$R,T$1,0),2)</f>
        <v>0.31</v>
      </c>
      <c r="U48" s="3" t="str">
        <f>FIXED(VLOOKUP($A48,'Small Sample 1-Townhouse'!$A:$R,U$1,0),2)</f>
        <v>0.00</v>
      </c>
      <c r="V48" s="13" t="str">
        <f>FIXED(VLOOKUP($A48,'Small Sample 1-Townhouse'!$A:$R,V$1,0),2)</f>
        <v>1.00</v>
      </c>
      <c r="W48" s="9" t="str">
        <f>FIXED(VLOOKUP($A48,'Small Sample 1-Townhouse'!$A:$R,W$1,0),2)</f>
        <v>0.10</v>
      </c>
      <c r="X48" s="3" t="str">
        <f>FIXED(VLOOKUP($A48,'Small Sample 1-Townhouse'!$A:$R,X$1,0),2)</f>
        <v>0.30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2-Townhouse'!$A:$R,AA$1,0),2)</f>
        <v>0.10</v>
      </c>
      <c r="AB48" s="3" t="str">
        <f>FIXED(VLOOKUP($A48,'Small Sample 2-Townhouse'!$A:$R,AB$1,0),2)</f>
        <v>0.30</v>
      </c>
      <c r="AC48" s="3" t="str">
        <f>FIXED(VLOOKUP($A48,'Small Sample 2-Townhouse'!$A:$R,AC$1,0),2)</f>
        <v>0.00</v>
      </c>
      <c r="AD48" s="3" t="str">
        <f>FIXED(VLOOKUP($A48,'Small Sample 2-Townhouse'!$A:$R,AD$1,0),2)</f>
        <v>1.00</v>
      </c>
      <c r="AE48" s="9" t="str">
        <f>FIXED(VLOOKUP($A48,'Small Sample 2-Townhouse'!$A:$R,AE$1,0),2)</f>
        <v>0.10</v>
      </c>
      <c r="AF48" s="3" t="str">
        <f>FIXED(VLOOKUP($A48,'Small Sample 2-Townhouse'!$A:$R,AF$1,0),2)</f>
        <v>0.30</v>
      </c>
      <c r="AG48" s="3" t="str">
        <f>FIXED(VLOOKUP($A48,'Small Sample 2-Townhouse'!$A:$R,AG$1,0),2)</f>
        <v>0.00</v>
      </c>
      <c r="AH48" s="13" t="str">
        <f>FIXED(VLOOKUP($A48,'Small Sample 2-Townhouse'!$A:$R,AH$1,0),2)</f>
        <v>1.00</v>
      </c>
      <c r="AI48" s="9" t="str">
        <f>FIXED(VLOOKUP($A48,'Small Sample 2-Townhouse'!$A:$R,AI$1,0),2)</f>
        <v>0.10</v>
      </c>
      <c r="AJ48" s="3" t="str">
        <f>FIXED(VLOOKUP($A48,'Small Sample 2-Townhouse'!$A:$R,AJ$1,0),2)</f>
        <v>0.30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75</v>
      </c>
      <c r="B49" s="4" t="s">
        <v>151</v>
      </c>
      <c r="C49" s="9" t="str">
        <f>FIXED(VLOOKUP($A49,'Full Sample-Townhouse'!$A:$R,C$1,0),2)</f>
        <v>0.44</v>
      </c>
      <c r="D49" s="3" t="str">
        <f>FIXED(VLOOKUP($A49,'Full Sample-Townhouse'!$A:$R,D$1,0),2)</f>
        <v>0.50</v>
      </c>
      <c r="E49" s="3" t="str">
        <f>FIXED(VLOOKUP($A49,'Full Sample-Townhouse'!$A:$R,E$1,0),2)</f>
        <v>0.00</v>
      </c>
      <c r="F49" s="3" t="str">
        <f>FIXED(VLOOKUP($A49,'Full Sample-Townhouse'!$A:$R,F$1,0),2)</f>
        <v>1.00</v>
      </c>
      <c r="G49" s="9" t="str">
        <f>FIXED(VLOOKUP($A49,'Full Sample-Townhouse'!$A:$R,G$1,0),2)</f>
        <v>0.43</v>
      </c>
      <c r="H49" s="3" t="str">
        <f>FIXED(VLOOKUP($A49,'Full Sample-Townhouse'!$A:$R,H$1,0),2)</f>
        <v>0.50</v>
      </c>
      <c r="I49" s="3" t="str">
        <f>FIXED(VLOOKUP($A49,'Full Sample-Townhouse'!$A:$R,I$1,0),2)</f>
        <v>0.00</v>
      </c>
      <c r="J49" s="13" t="str">
        <f>FIXED(VLOOKUP($A49,'Full Sample-Townhouse'!$A:$R,J$1,0),2)</f>
        <v>1.00</v>
      </c>
      <c r="K49" s="9" t="str">
        <f>FIXED(VLOOKUP($A49,'Full Sample-Townhouse'!$A:$R,K$1,0),2)</f>
        <v>0.45</v>
      </c>
      <c r="L49" s="3" t="str">
        <f>FIXED(VLOOKUP($A49,'Full Sample-Townhouse'!$A:$R,L$1,0),2)</f>
        <v>0.50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1-Townhouse'!$A:$R,O$1,0),2)</f>
        <v>0.46</v>
      </c>
      <c r="P49" s="3" t="str">
        <f>FIXED(VLOOKUP($A49,'Small Sample 1-Townhouse'!$A:$R,P$1,0),2)</f>
        <v>0.50</v>
      </c>
      <c r="Q49" s="3" t="str">
        <f>FIXED(VLOOKUP($A49,'Small Sample 1-Townhouse'!$A:$R,Q$1,0),2)</f>
        <v>0.00</v>
      </c>
      <c r="R49" s="3" t="str">
        <f>FIXED(VLOOKUP($A49,'Small Sample 1-Townhouse'!$A:$R,R$1,0),2)</f>
        <v>1.00</v>
      </c>
      <c r="S49" s="9" t="str">
        <f>FIXED(VLOOKUP($A49,'Small Sample 1-Townhouse'!$A:$R,S$1,0),2)</f>
        <v>0.46</v>
      </c>
      <c r="T49" s="3" t="str">
        <f>FIXED(VLOOKUP($A49,'Small Sample 1-Townhouse'!$A:$R,T$1,0),2)</f>
        <v>0.50</v>
      </c>
      <c r="U49" s="3" t="str">
        <f>FIXED(VLOOKUP($A49,'Small Sample 1-Townhouse'!$A:$R,U$1,0),2)</f>
        <v>0.00</v>
      </c>
      <c r="V49" s="13" t="str">
        <f>FIXED(VLOOKUP($A49,'Small Sample 1-Townhouse'!$A:$R,V$1,0),2)</f>
        <v>1.00</v>
      </c>
      <c r="W49" s="9" t="str">
        <f>FIXED(VLOOKUP($A49,'Small Sample 1-Townhouse'!$A:$R,W$1,0),2)</f>
        <v>0.45</v>
      </c>
      <c r="X49" s="3" t="str">
        <f>FIXED(VLOOKUP($A49,'Small Sample 1-Townhouse'!$A:$R,X$1,0),2)</f>
        <v>0.50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2-Townhouse'!$A:$R,AA$1,0),2)</f>
        <v>0.46</v>
      </c>
      <c r="AB49" s="3" t="str">
        <f>FIXED(VLOOKUP($A49,'Small Sample 2-Townhouse'!$A:$R,AB$1,0),2)</f>
        <v>0.50</v>
      </c>
      <c r="AC49" s="3" t="str">
        <f>FIXED(VLOOKUP($A49,'Small Sample 2-Townhouse'!$A:$R,AC$1,0),2)</f>
        <v>0.00</v>
      </c>
      <c r="AD49" s="3" t="str">
        <f>FIXED(VLOOKUP($A49,'Small Sample 2-Townhouse'!$A:$R,AD$1,0),2)</f>
        <v>1.00</v>
      </c>
      <c r="AE49" s="9" t="str">
        <f>FIXED(VLOOKUP($A49,'Small Sample 2-Townhouse'!$A:$R,AE$1,0),2)</f>
        <v>0.44</v>
      </c>
      <c r="AF49" s="3" t="str">
        <f>FIXED(VLOOKUP($A49,'Small Sample 2-Townhouse'!$A:$R,AF$1,0),2)</f>
        <v>0.50</v>
      </c>
      <c r="AG49" s="3" t="str">
        <f>FIXED(VLOOKUP($A49,'Small Sample 2-Townhouse'!$A:$R,AG$1,0),2)</f>
        <v>0.00</v>
      </c>
      <c r="AH49" s="13" t="str">
        <f>FIXED(VLOOKUP($A49,'Small Sample 2-Townhouse'!$A:$R,AH$1,0),2)</f>
        <v>1.00</v>
      </c>
      <c r="AI49" s="9" t="str">
        <f>FIXED(VLOOKUP($A49,'Small Sample 2-Townhouse'!$A:$R,AI$1,0),2)</f>
        <v>0.48</v>
      </c>
      <c r="AJ49" s="3" t="str">
        <f>FIXED(VLOOKUP($A49,'Small Sample 2-Townhouse'!$A:$R,AJ$1,0),2)</f>
        <v>0.50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76</v>
      </c>
      <c r="B50" s="4" t="s">
        <v>152</v>
      </c>
      <c r="C50" s="9" t="str">
        <f>FIXED(VLOOKUP($A50,'Full Sample-Townhouse'!$A:$R,C$1,0),2)</f>
        <v>0.44</v>
      </c>
      <c r="D50" s="3" t="str">
        <f>FIXED(VLOOKUP($A50,'Full Sample-Townhouse'!$A:$R,D$1,0),2)</f>
        <v>0.50</v>
      </c>
      <c r="E50" s="3" t="str">
        <f>FIXED(VLOOKUP($A50,'Full Sample-Townhouse'!$A:$R,E$1,0),2)</f>
        <v>0.00</v>
      </c>
      <c r="F50" s="3" t="str">
        <f>FIXED(VLOOKUP($A50,'Full Sample-Townhouse'!$A:$R,F$1,0),2)</f>
        <v>1.00</v>
      </c>
      <c r="G50" s="9" t="str">
        <f>FIXED(VLOOKUP($A50,'Full Sample-Townhouse'!$A:$R,G$1,0),2)</f>
        <v>0.45</v>
      </c>
      <c r="H50" s="3" t="str">
        <f>FIXED(VLOOKUP($A50,'Full Sample-Townhouse'!$A:$R,H$1,0),2)</f>
        <v>0.50</v>
      </c>
      <c r="I50" s="3" t="str">
        <f>FIXED(VLOOKUP($A50,'Full Sample-Townhouse'!$A:$R,I$1,0),2)</f>
        <v>0.00</v>
      </c>
      <c r="J50" s="13" t="str">
        <f>FIXED(VLOOKUP($A50,'Full Sample-Townhouse'!$A:$R,J$1,0),2)</f>
        <v>1.00</v>
      </c>
      <c r="K50" s="9" t="str">
        <f>FIXED(VLOOKUP($A50,'Full Sample-Townhouse'!$A:$R,K$1,0),2)</f>
        <v>0.43</v>
      </c>
      <c r="L50" s="3" t="str">
        <f>FIXED(VLOOKUP($A50,'Full Sample-Townhouse'!$A:$R,L$1,0),2)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1-Townhouse'!$A:$R,O$1,0),2)</f>
        <v>0.42</v>
      </c>
      <c r="P50" s="3" t="str">
        <f>FIXED(VLOOKUP($A50,'Small Sample 1-Townhouse'!$A:$R,P$1,0),2)</f>
        <v>0.49</v>
      </c>
      <c r="Q50" s="3" t="str">
        <f>FIXED(VLOOKUP($A50,'Small Sample 1-Townhouse'!$A:$R,Q$1,0),2)</f>
        <v>0.00</v>
      </c>
      <c r="R50" s="3" t="str">
        <f>FIXED(VLOOKUP($A50,'Small Sample 1-Townhouse'!$A:$R,R$1,0),2)</f>
        <v>1.00</v>
      </c>
      <c r="S50" s="9" t="str">
        <f>FIXED(VLOOKUP($A50,'Small Sample 1-Townhouse'!$A:$R,S$1,0),2)</f>
        <v>0.42</v>
      </c>
      <c r="T50" s="3" t="str">
        <f>FIXED(VLOOKUP($A50,'Small Sample 1-Townhouse'!$A:$R,T$1,0),2)</f>
        <v>0.49</v>
      </c>
      <c r="U50" s="3" t="str">
        <f>FIXED(VLOOKUP($A50,'Small Sample 1-Townhouse'!$A:$R,U$1,0),2)</f>
        <v>0.00</v>
      </c>
      <c r="V50" s="13" t="str">
        <f>FIXED(VLOOKUP($A50,'Small Sample 1-Townhouse'!$A:$R,V$1,0),2)</f>
        <v>1.00</v>
      </c>
      <c r="W50" s="9" t="str">
        <f>FIXED(VLOOKUP($A50,'Small Sample 1-Townhouse'!$A:$R,W$1,0),2)</f>
        <v>0.43</v>
      </c>
      <c r="X50" s="3" t="str">
        <f>FIXED(VLOOKUP($A50,'Small Sample 1-Townhouse'!$A:$R,X$1,0),2)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2-Townhouse'!$A:$R,AA$1,0),2)</f>
        <v>0.42</v>
      </c>
      <c r="AB50" s="3" t="str">
        <f>FIXED(VLOOKUP($A50,'Small Sample 2-Townhouse'!$A:$R,AB$1,0),2)</f>
        <v>0.49</v>
      </c>
      <c r="AC50" s="3" t="str">
        <f>FIXED(VLOOKUP($A50,'Small Sample 2-Townhouse'!$A:$R,AC$1,0),2)</f>
        <v>0.00</v>
      </c>
      <c r="AD50" s="3" t="str">
        <f>FIXED(VLOOKUP($A50,'Small Sample 2-Townhouse'!$A:$R,AD$1,0),2)</f>
        <v>1.00</v>
      </c>
      <c r="AE50" s="9" t="str">
        <f>FIXED(VLOOKUP($A50,'Small Sample 2-Townhouse'!$A:$R,AE$1,0),2)</f>
        <v>0.44</v>
      </c>
      <c r="AF50" s="3" t="str">
        <f>FIXED(VLOOKUP($A50,'Small Sample 2-Townhouse'!$A:$R,AF$1,0),2)</f>
        <v>0.50</v>
      </c>
      <c r="AG50" s="3" t="str">
        <f>FIXED(VLOOKUP($A50,'Small Sample 2-Townhouse'!$A:$R,AG$1,0),2)</f>
        <v>0.00</v>
      </c>
      <c r="AH50" s="13" t="str">
        <f>FIXED(VLOOKUP($A50,'Small Sample 2-Townhouse'!$A:$R,AH$1,0),2)</f>
        <v>1.00</v>
      </c>
      <c r="AI50" s="9" t="str">
        <f>FIXED(VLOOKUP($A50,'Small Sample 2-Townhouse'!$A:$R,AI$1,0),2)</f>
        <v>0.40</v>
      </c>
      <c r="AJ50" s="3" t="str">
        <f>FIXED(VLOOKUP($A50,'Small Sample 2-Townhouse'!$A:$R,AJ$1,0),2)</f>
        <v>0.49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77</v>
      </c>
      <c r="B51" s="4" t="s">
        <v>153</v>
      </c>
      <c r="C51" s="9" t="str">
        <f>FIXED(VLOOKUP($A51,'Full Sample-Townhouse'!$A:$R,C$1,0),2)</f>
        <v>0.01</v>
      </c>
      <c r="D51" s="3" t="str">
        <f>FIXED(VLOOKUP($A51,'Full Sample-Townhouse'!$A:$R,D$1,0),2)</f>
        <v>0.09</v>
      </c>
      <c r="E51" s="3" t="str">
        <f>FIXED(VLOOKUP($A51,'Full Sample-Townhouse'!$A:$R,E$1,0),2)</f>
        <v>0.00</v>
      </c>
      <c r="F51" s="3" t="str">
        <f>FIXED(VLOOKUP($A51,'Full Sample-Townhouse'!$A:$R,F$1,0),2)</f>
        <v>1.00</v>
      </c>
      <c r="G51" s="9" t="str">
        <f>FIXED(VLOOKUP($A51,'Full Sample-Townhouse'!$A:$R,G$1,0),2)</f>
        <v>0.01</v>
      </c>
      <c r="H51" s="3" t="str">
        <f>FIXED(VLOOKUP($A51,'Full Sample-Townhouse'!$A:$R,H$1,0),2)</f>
        <v>0.09</v>
      </c>
      <c r="I51" s="3" t="str">
        <f>FIXED(VLOOKUP($A51,'Full Sample-Townhouse'!$A:$R,I$1,0),2)</f>
        <v>0.00</v>
      </c>
      <c r="J51" s="13" t="str">
        <f>FIXED(VLOOKUP($A51,'Full Sample-Townhouse'!$A:$R,J$1,0),2)</f>
        <v>1.00</v>
      </c>
      <c r="K51" s="9" t="str">
        <f>FIXED(VLOOKUP($A51,'Full Sample-Townhouse'!$A:$R,K$1,0),2)</f>
        <v>0.01</v>
      </c>
      <c r="L51" s="3" t="str">
        <f>FIXED(VLOOKUP($A51,'Full Sample-Townhouse'!$A:$R,L$1,0),2)</f>
        <v>0.10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1-Townhouse'!$A:$R,O$1,0),2)</f>
        <v>0.01</v>
      </c>
      <c r="P51" s="3" t="str">
        <f>FIXED(VLOOKUP($A51,'Small Sample 1-Townhouse'!$A:$R,P$1,0),2)</f>
        <v>0.10</v>
      </c>
      <c r="Q51" s="3" t="str">
        <f>FIXED(VLOOKUP($A51,'Small Sample 1-Townhouse'!$A:$R,Q$1,0),2)</f>
        <v>0.00</v>
      </c>
      <c r="R51" s="3" t="str">
        <f>FIXED(VLOOKUP($A51,'Small Sample 1-Townhouse'!$A:$R,R$1,0),2)</f>
        <v>1.00</v>
      </c>
      <c r="S51" s="9" t="str">
        <f>FIXED(VLOOKUP($A51,'Small Sample 1-Townhouse'!$A:$R,S$1,0),2)</f>
        <v>0.01</v>
      </c>
      <c r="T51" s="3" t="str">
        <f>FIXED(VLOOKUP($A51,'Small Sample 1-Townhouse'!$A:$R,T$1,0),2)</f>
        <v>0.09</v>
      </c>
      <c r="U51" s="3" t="str">
        <f>FIXED(VLOOKUP($A51,'Small Sample 1-Townhouse'!$A:$R,U$1,0),2)</f>
        <v>0.00</v>
      </c>
      <c r="V51" s="13" t="str">
        <f>FIXED(VLOOKUP($A51,'Small Sample 1-Townhouse'!$A:$R,V$1,0),2)</f>
        <v>1.00</v>
      </c>
      <c r="W51" s="9" t="str">
        <f>FIXED(VLOOKUP($A51,'Small Sample 1-Townhouse'!$A:$R,W$1,0),2)</f>
        <v>0.01</v>
      </c>
      <c r="X51" s="3" t="str">
        <f>FIXED(VLOOKUP($A51,'Small Sample 1-Townhouse'!$A:$R,X$1,0),2)</f>
        <v>0.10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2-Townhouse'!$A:$R,AA$1,0),2)</f>
        <v>0.01</v>
      </c>
      <c r="AB51" s="3" t="str">
        <f>FIXED(VLOOKUP($A51,'Small Sample 2-Townhouse'!$A:$R,AB$1,0),2)</f>
        <v>0.09</v>
      </c>
      <c r="AC51" s="3" t="str">
        <f>FIXED(VLOOKUP($A51,'Small Sample 2-Townhouse'!$A:$R,AC$1,0),2)</f>
        <v>0.00</v>
      </c>
      <c r="AD51" s="3" t="str">
        <f>FIXED(VLOOKUP($A51,'Small Sample 2-Townhouse'!$A:$R,AD$1,0),2)</f>
        <v>1.00</v>
      </c>
      <c r="AE51" s="9" t="str">
        <f>FIXED(VLOOKUP($A51,'Small Sample 2-Townhouse'!$A:$R,AE$1,0),2)</f>
        <v>0.01</v>
      </c>
      <c r="AF51" s="3" t="str">
        <f>FIXED(VLOOKUP($A51,'Small Sample 2-Townhouse'!$A:$R,AF$1,0),2)</f>
        <v>0.09</v>
      </c>
      <c r="AG51" s="3" t="str">
        <f>FIXED(VLOOKUP($A51,'Small Sample 2-Townhouse'!$A:$R,AG$1,0),2)</f>
        <v>0.00</v>
      </c>
      <c r="AH51" s="13" t="str">
        <f>FIXED(VLOOKUP($A51,'Small Sample 2-Townhouse'!$A:$R,AH$1,0),2)</f>
        <v>1.00</v>
      </c>
      <c r="AI51" s="9" t="str">
        <f>FIXED(VLOOKUP($A51,'Small Sample 2-Townhouse'!$A:$R,AI$1,0),2)</f>
        <v>0.01</v>
      </c>
      <c r="AJ51" s="3" t="str">
        <f>FIXED(VLOOKUP($A51,'Small Sample 2-Townhouse'!$A:$R,AJ$1,0),2)</f>
        <v>0.10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78</v>
      </c>
      <c r="B52" s="4" t="s">
        <v>154</v>
      </c>
      <c r="C52" s="9" t="str">
        <f>FIXED(VLOOKUP($A52,'Full Sample-Townhouse'!$A:$R,C$1,0),2)</f>
        <v>0.01</v>
      </c>
      <c r="D52" s="3" t="str">
        <f>FIXED(VLOOKUP($A52,'Full Sample-Townhouse'!$A:$R,D$1,0),2)</f>
        <v>0.09</v>
      </c>
      <c r="E52" s="3" t="str">
        <f>FIXED(VLOOKUP($A52,'Full Sample-Townhouse'!$A:$R,E$1,0),2)</f>
        <v>0.00</v>
      </c>
      <c r="F52" s="3" t="str">
        <f>FIXED(VLOOKUP($A52,'Full Sample-Townhouse'!$A:$R,F$1,0),2)</f>
        <v>1.00</v>
      </c>
      <c r="G52" s="9" t="str">
        <f>FIXED(VLOOKUP($A52,'Full Sample-Townhouse'!$A:$R,G$1,0),2)</f>
        <v>0.01</v>
      </c>
      <c r="H52" s="3" t="str">
        <f>FIXED(VLOOKUP($A52,'Full Sample-Townhouse'!$A:$R,H$1,0),2)</f>
        <v>0.09</v>
      </c>
      <c r="I52" s="3" t="str">
        <f>FIXED(VLOOKUP($A52,'Full Sample-Townhouse'!$A:$R,I$1,0),2)</f>
        <v>0.00</v>
      </c>
      <c r="J52" s="13" t="str">
        <f>FIXED(VLOOKUP($A52,'Full Sample-Townhouse'!$A:$R,J$1,0),2)</f>
        <v>1.00</v>
      </c>
      <c r="K52" s="9" t="str">
        <f>FIXED(VLOOKUP($A52,'Full Sample-Townhouse'!$A:$R,K$1,0),2)</f>
        <v>0.01</v>
      </c>
      <c r="L52" s="3" t="str">
        <f>FIXED(VLOOKUP($A52,'Full Sample-Townhouse'!$A:$R,L$1,0),2)</f>
        <v>0.10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1-Townhouse'!$A:$R,O$1,0),2)</f>
        <v>0.01</v>
      </c>
      <c r="P52" s="3" t="str">
        <f>FIXED(VLOOKUP($A52,'Small Sample 1-Townhouse'!$A:$R,P$1,0),2)</f>
        <v>0.09</v>
      </c>
      <c r="Q52" s="3" t="str">
        <f>FIXED(VLOOKUP($A52,'Small Sample 1-Townhouse'!$A:$R,Q$1,0),2)</f>
        <v>0.00</v>
      </c>
      <c r="R52" s="3" t="str">
        <f>FIXED(VLOOKUP($A52,'Small Sample 1-Townhouse'!$A:$R,R$1,0),2)</f>
        <v>1.00</v>
      </c>
      <c r="S52" s="9" t="str">
        <f>FIXED(VLOOKUP($A52,'Small Sample 1-Townhouse'!$A:$R,S$1,0),2)</f>
        <v>0.01</v>
      </c>
      <c r="T52" s="3" t="str">
        <f>FIXED(VLOOKUP($A52,'Small Sample 1-Townhouse'!$A:$R,T$1,0),2)</f>
        <v>0.09</v>
      </c>
      <c r="U52" s="3" t="str">
        <f>FIXED(VLOOKUP($A52,'Small Sample 1-Townhouse'!$A:$R,U$1,0),2)</f>
        <v>0.00</v>
      </c>
      <c r="V52" s="13" t="str">
        <f>FIXED(VLOOKUP($A52,'Small Sample 1-Townhouse'!$A:$R,V$1,0),2)</f>
        <v>1.00</v>
      </c>
      <c r="W52" s="9" t="str">
        <f>FIXED(VLOOKUP($A52,'Small Sample 1-Townhouse'!$A:$R,W$1,0),2)</f>
        <v>0.01</v>
      </c>
      <c r="X52" s="3" t="str">
        <f>FIXED(VLOOKUP($A52,'Small Sample 1-Townhouse'!$A:$R,X$1,0),2)</f>
        <v>0.10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2-Townhouse'!$A:$R,AA$1,0),2)</f>
        <v>0.01</v>
      </c>
      <c r="AB52" s="3" t="str">
        <f>FIXED(VLOOKUP($A52,'Small Sample 2-Townhouse'!$A:$R,AB$1,0),2)</f>
        <v>0.09</v>
      </c>
      <c r="AC52" s="3" t="str">
        <f>FIXED(VLOOKUP($A52,'Small Sample 2-Townhouse'!$A:$R,AC$1,0),2)</f>
        <v>0.00</v>
      </c>
      <c r="AD52" s="3" t="str">
        <f>FIXED(VLOOKUP($A52,'Small Sample 2-Townhouse'!$A:$R,AD$1,0),2)</f>
        <v>1.00</v>
      </c>
      <c r="AE52" s="9" t="str">
        <f>FIXED(VLOOKUP($A52,'Small Sample 2-Townhouse'!$A:$R,AE$1,0),2)</f>
        <v>0.01</v>
      </c>
      <c r="AF52" s="3" t="str">
        <f>FIXED(VLOOKUP($A52,'Small Sample 2-Townhouse'!$A:$R,AF$1,0),2)</f>
        <v>0.09</v>
      </c>
      <c r="AG52" s="3" t="str">
        <f>FIXED(VLOOKUP($A52,'Small Sample 2-Townhouse'!$A:$R,AG$1,0),2)</f>
        <v>0.00</v>
      </c>
      <c r="AH52" s="13" t="str">
        <f>FIXED(VLOOKUP($A52,'Small Sample 2-Townhouse'!$A:$R,AH$1,0),2)</f>
        <v>1.00</v>
      </c>
      <c r="AI52" s="9" t="str">
        <f>FIXED(VLOOKUP($A52,'Small Sample 2-Townhouse'!$A:$R,AI$1,0),2)</f>
        <v>0.01</v>
      </c>
      <c r="AJ52" s="3" t="str">
        <f>FIXED(VLOOKUP($A52,'Small Sample 2-Townhouse'!$A:$R,AJ$1,0),2)</f>
        <v>0.09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170</v>
      </c>
      <c r="B53" s="4" t="s">
        <v>176</v>
      </c>
      <c r="C53" s="9" t="str">
        <f>FIXED(VLOOKUP($A53,'Full Sample-Townhouse'!$A:$R,C$1,0),2)</f>
        <v>0.00</v>
      </c>
      <c r="D53" s="3" t="str">
        <f>FIXED(VLOOKUP($A53,'Full Sample-Townhouse'!$A:$R,D$1,0),2)</f>
        <v>0.03</v>
      </c>
      <c r="E53" s="3" t="str">
        <f>FIXED(VLOOKUP($A53,'Full Sample-Townhouse'!$A:$R,E$1,0),2)</f>
        <v>0.00</v>
      </c>
      <c r="F53" s="3" t="str">
        <f>FIXED(VLOOKUP($A53,'Full Sample-Townhouse'!$A:$R,F$1,0),2)</f>
        <v>1.00</v>
      </c>
      <c r="G53" s="9" t="str">
        <f>FIXED(VLOOKUP($A53,'Full Sample-Townhouse'!$A:$R,G$1,0),2)</f>
        <v>0.00</v>
      </c>
      <c r="H53" s="3" t="str">
        <f>FIXED(VLOOKUP($A53,'Full Sample-Townhouse'!$A:$R,H$1,0),2)</f>
        <v>0.03</v>
      </c>
      <c r="I53" s="3" t="str">
        <f>FIXED(VLOOKUP($A53,'Full Sample-Townhouse'!$A:$R,I$1,0),2)</f>
        <v>0.00</v>
      </c>
      <c r="J53" s="13" t="str">
        <f>FIXED(VLOOKUP($A53,'Full Sample-Townhouse'!$A:$R,J$1,0),2)</f>
        <v>1.00</v>
      </c>
      <c r="K53" s="9" t="str">
        <f>FIXED(VLOOKUP($A53,'Full Sample-Townhouse'!$A:$R,K$1,0),2)</f>
        <v>0.00</v>
      </c>
      <c r="L53" s="3" t="str">
        <f>FIXED(VLOOKUP($A53,'Full Sample-Townhouse'!$A:$R,L$1,0),2)</f>
        <v>0.03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1-Townhouse'!$A:$R,O$1,0),2)</f>
        <v>0.00</v>
      </c>
      <c r="P53" s="3" t="str">
        <f>FIXED(VLOOKUP($A53,'Small Sample 1-Townhouse'!$A:$R,P$1,0),2)</f>
        <v>0.03</v>
      </c>
      <c r="Q53" s="3" t="str">
        <f>FIXED(VLOOKUP($A53,'Small Sample 1-Townhouse'!$A:$R,Q$1,0),2)</f>
        <v>0.00</v>
      </c>
      <c r="R53" s="3" t="str">
        <f>FIXED(VLOOKUP($A53,'Small Sample 1-Townhouse'!$A:$R,R$1,0),2)</f>
        <v>1.00</v>
      </c>
      <c r="S53" s="9" t="str">
        <f>FIXED(VLOOKUP($A53,'Small Sample 1-Townhouse'!$A:$R,S$1,0),2)</f>
        <v>0.00</v>
      </c>
      <c r="T53" s="3" t="str">
        <f>FIXED(VLOOKUP($A53,'Small Sample 1-Townhouse'!$A:$R,T$1,0),2)</f>
        <v>0.04</v>
      </c>
      <c r="U53" s="3" t="str">
        <f>FIXED(VLOOKUP($A53,'Small Sample 1-Townhouse'!$A:$R,U$1,0),2)</f>
        <v>0.00</v>
      </c>
      <c r="V53" s="13" t="str">
        <f>FIXED(VLOOKUP($A53,'Small Sample 1-Townhouse'!$A:$R,V$1,0),2)</f>
        <v>1.00</v>
      </c>
      <c r="W53" s="9" t="str">
        <f>FIXED(VLOOKUP($A53,'Small Sample 1-Townhouse'!$A:$R,W$1,0),2)</f>
        <v>0.00</v>
      </c>
      <c r="X53" s="3" t="str">
        <f>FIXED(VLOOKUP($A53,'Small Sample 1-Townhouse'!$A:$R,X$1,0),2)</f>
        <v>0.03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2-Townhouse'!$A:$R,AA$1,0),2)</f>
        <v>0.00</v>
      </c>
      <c r="AB53" s="3" t="str">
        <f>FIXED(VLOOKUP($A53,'Small Sample 2-Townhouse'!$A:$R,AB$1,0),2)</f>
        <v>0.04</v>
      </c>
      <c r="AC53" s="3" t="str">
        <f>FIXED(VLOOKUP($A53,'Small Sample 2-Townhouse'!$A:$R,AC$1,0),2)</f>
        <v>0.00</v>
      </c>
      <c r="AD53" s="3" t="str">
        <f>FIXED(VLOOKUP($A53,'Small Sample 2-Townhouse'!$A:$R,AD$1,0),2)</f>
        <v>1.00</v>
      </c>
      <c r="AE53" s="9" t="str">
        <f>FIXED(VLOOKUP($A53,'Small Sample 2-Townhouse'!$A:$R,AE$1,0),2)</f>
        <v>0.00</v>
      </c>
      <c r="AF53" s="3" t="str">
        <f>FIXED(VLOOKUP($A53,'Small Sample 2-Townhouse'!$A:$R,AF$1,0),2)</f>
        <v>0.03</v>
      </c>
      <c r="AG53" s="3" t="str">
        <f>FIXED(VLOOKUP($A53,'Small Sample 2-Townhouse'!$A:$R,AG$1,0),2)</f>
        <v>0.00</v>
      </c>
      <c r="AH53" s="13" t="str">
        <f>FIXED(VLOOKUP($A53,'Small Sample 2-Townhouse'!$A:$R,AH$1,0),2)</f>
        <v>1.00</v>
      </c>
      <c r="AI53" s="9" t="str">
        <f>FIXED(VLOOKUP($A53,'Small Sample 2-Townhouse'!$A:$R,AI$1,0),2)</f>
        <v>0.00</v>
      </c>
      <c r="AJ53" s="3" t="str">
        <f>FIXED(VLOOKUP($A53,'Small Sample 2-Townhouse'!$A:$R,AJ$1,0),2)</f>
        <v>0.04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52</v>
      </c>
      <c r="B54" s="4" t="s">
        <v>132</v>
      </c>
      <c r="C54" s="9" t="str">
        <f>FIXED(VLOOKUP($A54,'Full Sample-Townhouse'!$A:$R,C$1,0),2)</f>
        <v>0.37</v>
      </c>
      <c r="D54" s="3" t="str">
        <f>FIXED(VLOOKUP($A54,'Full Sample-Townhouse'!$A:$R,D$1,0),2)</f>
        <v>0.48</v>
      </c>
      <c r="E54" s="3" t="str">
        <f>FIXED(VLOOKUP($A54,'Full Sample-Townhouse'!$A:$R,E$1,0),2)</f>
        <v>0.00</v>
      </c>
      <c r="F54" s="3" t="str">
        <f>FIXED(VLOOKUP($A54,'Full Sample-Townhouse'!$A:$R,F$1,0),2)</f>
        <v>1.00</v>
      </c>
      <c r="G54" s="9" t="str">
        <f>FIXED(VLOOKUP($A54,'Full Sample-Townhouse'!$A:$R,G$1,0),2)</f>
        <v>0.36</v>
      </c>
      <c r="H54" s="3" t="str">
        <f>FIXED(VLOOKUP($A54,'Full Sample-Townhouse'!$A:$R,H$1,0),2)</f>
        <v>0.48</v>
      </c>
      <c r="I54" s="3" t="str">
        <f>FIXED(VLOOKUP($A54,'Full Sample-Townhouse'!$A:$R,I$1,0),2)</f>
        <v>0.00</v>
      </c>
      <c r="J54" s="13" t="str">
        <f>FIXED(VLOOKUP($A54,'Full Sample-Townhouse'!$A:$R,J$1,0),2)</f>
        <v>1.00</v>
      </c>
      <c r="K54" s="9" t="str">
        <f>FIXED(VLOOKUP($A54,'Full Sample-Townhouse'!$A:$R,K$1,0),2)</f>
        <v>0.39</v>
      </c>
      <c r="L54" s="3" t="str">
        <f>FIXED(VLOOKUP($A54,'Full Sample-Townhouse'!$A:$R,L$1,0),2)</f>
        <v>0.49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1-Townhouse'!$A:$R,O$1,0),2)</f>
        <v>0.38</v>
      </c>
      <c r="P54" s="3" t="str">
        <f>FIXED(VLOOKUP($A54,'Small Sample 1-Townhouse'!$A:$R,P$1,0),2)</f>
        <v>0.48</v>
      </c>
      <c r="Q54" s="3" t="str">
        <f>FIXED(VLOOKUP($A54,'Small Sample 1-Townhouse'!$A:$R,Q$1,0),2)</f>
        <v>0.00</v>
      </c>
      <c r="R54" s="3" t="str">
        <f>FIXED(VLOOKUP($A54,'Small Sample 1-Townhouse'!$A:$R,R$1,0),2)</f>
        <v>1.00</v>
      </c>
      <c r="S54" s="9" t="str">
        <f>FIXED(VLOOKUP($A54,'Small Sample 1-Townhouse'!$A:$R,S$1,0),2)</f>
        <v>0.36</v>
      </c>
      <c r="T54" s="3" t="str">
        <f>FIXED(VLOOKUP($A54,'Small Sample 1-Townhouse'!$A:$R,T$1,0),2)</f>
        <v>0.48</v>
      </c>
      <c r="U54" s="3" t="str">
        <f>FIXED(VLOOKUP($A54,'Small Sample 1-Townhouse'!$A:$R,U$1,0),2)</f>
        <v>0.00</v>
      </c>
      <c r="V54" s="13" t="str">
        <f>FIXED(VLOOKUP($A54,'Small Sample 1-Townhouse'!$A:$R,V$1,0),2)</f>
        <v>1.00</v>
      </c>
      <c r="W54" s="9" t="str">
        <f>FIXED(VLOOKUP($A54,'Small Sample 1-Townhouse'!$A:$R,W$1,0),2)</f>
        <v>0.39</v>
      </c>
      <c r="X54" s="3" t="str">
        <f>FIXED(VLOOKUP($A54,'Small Sample 1-Townhouse'!$A:$R,X$1,0),2)</f>
        <v>0.49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2-Townhouse'!$A:$R,AA$1,0),2)</f>
        <v>0.36</v>
      </c>
      <c r="AB54" s="3" t="str">
        <f>FIXED(VLOOKUP($A54,'Small Sample 2-Townhouse'!$A:$R,AB$1,0),2)</f>
        <v>0.48</v>
      </c>
      <c r="AC54" s="3" t="str">
        <f>FIXED(VLOOKUP($A54,'Small Sample 2-Townhouse'!$A:$R,AC$1,0),2)</f>
        <v>0.00</v>
      </c>
      <c r="AD54" s="3" t="str">
        <f>FIXED(VLOOKUP($A54,'Small Sample 2-Townhouse'!$A:$R,AD$1,0),2)</f>
        <v>1.00</v>
      </c>
      <c r="AE54" s="9" t="str">
        <f>FIXED(VLOOKUP($A54,'Small Sample 2-Townhouse'!$A:$R,AE$1,0),2)</f>
        <v>0.35</v>
      </c>
      <c r="AF54" s="3" t="str">
        <f>FIXED(VLOOKUP($A54,'Small Sample 2-Townhouse'!$A:$R,AF$1,0),2)</f>
        <v>0.48</v>
      </c>
      <c r="AG54" s="3" t="str">
        <f>FIXED(VLOOKUP($A54,'Small Sample 2-Townhouse'!$A:$R,AG$1,0),2)</f>
        <v>0.00</v>
      </c>
      <c r="AH54" s="13" t="str">
        <f>FIXED(VLOOKUP($A54,'Small Sample 2-Townhouse'!$A:$R,AH$1,0),2)</f>
        <v>1.00</v>
      </c>
      <c r="AI54" s="9" t="str">
        <f>FIXED(VLOOKUP($A54,'Small Sample 2-Townhouse'!$A:$R,AI$1,0),2)</f>
        <v>0.36</v>
      </c>
      <c r="AJ54" s="3" t="str">
        <f>FIXED(VLOOKUP($A54,'Small Sample 2-Townhouse'!$A:$R,AJ$1,0),2)</f>
        <v>0.48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51</v>
      </c>
      <c r="B55" t="s">
        <v>131</v>
      </c>
      <c r="C55" s="9" t="str">
        <f>FIXED(VLOOKUP($A55,'Full Sample-Townhouse'!$A:$R,C$1,0),2)</f>
        <v>1.27</v>
      </c>
      <c r="D55" s="3" t="str">
        <f>FIXED(VLOOKUP($A55,'Full Sample-Townhouse'!$A:$R,D$1,0),2)</f>
        <v>1.89</v>
      </c>
      <c r="E55" s="3" t="str">
        <f>FIXED(VLOOKUP($A55,'Full Sample-Townhouse'!$A:$R,E$1,0),2)</f>
        <v>0.00</v>
      </c>
      <c r="F55" s="3" t="str">
        <f>FIXED(VLOOKUP($A55,'Full Sample-Townhouse'!$A:$R,F$1,0),2)</f>
        <v>36.00</v>
      </c>
      <c r="G55" s="9" t="str">
        <f>FIXED(VLOOKUP($A55,'Full Sample-Townhouse'!$A:$R,G$1,0),2)</f>
        <v>1.29</v>
      </c>
      <c r="H55" s="3" t="str">
        <f>FIXED(VLOOKUP($A55,'Full Sample-Townhouse'!$A:$R,H$1,0),2)</f>
        <v>1.93</v>
      </c>
      <c r="I55" s="3" t="str">
        <f>FIXED(VLOOKUP($A55,'Full Sample-Townhouse'!$A:$R,I$1,0),2)</f>
        <v>0.00</v>
      </c>
      <c r="J55" s="13" t="str">
        <f>FIXED(VLOOKUP($A55,'Full Sample-Townhouse'!$A:$R,J$1,0),2)</f>
        <v>36.00</v>
      </c>
      <c r="K55" s="9" t="str">
        <f>FIXED(VLOOKUP($A55,'Full Sample-Townhouse'!$A:$R,K$1,0),2)</f>
        <v>1.24</v>
      </c>
      <c r="L55" s="3" t="str">
        <f>FIXED(VLOOKUP($A55,'Full Sample-Townhouse'!$A:$R,L$1,0),2)</f>
        <v>1.84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1-Townhouse'!$A:$R,O$1,0),2)</f>
        <v>1.31</v>
      </c>
      <c r="P55" s="3" t="str">
        <f>FIXED(VLOOKUP($A55,'Small Sample 1-Townhouse'!$A:$R,P$1,0),2)</f>
        <v>1.89</v>
      </c>
      <c r="Q55" s="3" t="str">
        <f>FIXED(VLOOKUP($A55,'Small Sample 1-Townhouse'!$A:$R,Q$1,0),2)</f>
        <v>0.00</v>
      </c>
      <c r="R55" s="3" t="str">
        <f>FIXED(VLOOKUP($A55,'Small Sample 1-Townhouse'!$A:$R,R$1,0),2)</f>
        <v>36.00</v>
      </c>
      <c r="S55" s="9" t="str">
        <f>FIXED(VLOOKUP($A55,'Small Sample 1-Townhouse'!$A:$R,S$1,0),2)</f>
        <v>1.36</v>
      </c>
      <c r="T55" s="3" t="str">
        <f>FIXED(VLOOKUP($A55,'Small Sample 1-Townhouse'!$A:$R,T$1,0),2)</f>
        <v>1.94</v>
      </c>
      <c r="U55" s="3" t="str">
        <f>FIXED(VLOOKUP($A55,'Small Sample 1-Townhouse'!$A:$R,U$1,0),2)</f>
        <v>0.00</v>
      </c>
      <c r="V55" s="13" t="str">
        <f>FIXED(VLOOKUP($A55,'Small Sample 1-Townhouse'!$A:$R,V$1,0),2)</f>
        <v>36.00</v>
      </c>
      <c r="W55" s="9" t="str">
        <f>FIXED(VLOOKUP($A55,'Small Sample 1-Townhouse'!$A:$R,W$1,0),2)</f>
        <v>1.25</v>
      </c>
      <c r="X55" s="3" t="str">
        <f>FIXED(VLOOKUP($A55,'Small Sample 1-Townhouse'!$A:$R,X$1,0),2)</f>
        <v>1.84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2-Townhouse'!$A:$R,AA$1,0),2)</f>
        <v>1.33</v>
      </c>
      <c r="AB55" s="3" t="str">
        <f>FIXED(VLOOKUP($A55,'Small Sample 2-Townhouse'!$A:$R,AB$1,0),2)</f>
        <v>1.93</v>
      </c>
      <c r="AC55" s="3" t="str">
        <f>FIXED(VLOOKUP($A55,'Small Sample 2-Townhouse'!$A:$R,AC$1,0),2)</f>
        <v>0.00</v>
      </c>
      <c r="AD55" s="3" t="str">
        <f>FIXED(VLOOKUP($A55,'Small Sample 2-Townhouse'!$A:$R,AD$1,0),2)</f>
        <v>36.00</v>
      </c>
      <c r="AE55" s="9" t="str">
        <f>FIXED(VLOOKUP($A55,'Small Sample 2-Townhouse'!$A:$R,AE$1,0),2)</f>
        <v>1.32</v>
      </c>
      <c r="AF55" s="3" t="str">
        <f>FIXED(VLOOKUP($A55,'Small Sample 2-Townhouse'!$A:$R,AF$1,0),2)</f>
        <v>1.94</v>
      </c>
      <c r="AG55" s="3" t="str">
        <f>FIXED(VLOOKUP($A55,'Small Sample 2-Townhouse'!$A:$R,AG$1,0),2)</f>
        <v>0.00</v>
      </c>
      <c r="AH55" s="13" t="str">
        <f>FIXED(VLOOKUP($A55,'Small Sample 2-Townhouse'!$A:$R,AH$1,0),2)</f>
        <v>36.00</v>
      </c>
      <c r="AI55" s="9" t="str">
        <f>FIXED(VLOOKUP($A55,'Small Sample 2-Townhouse'!$A:$R,AI$1,0),2)</f>
        <v>1.36</v>
      </c>
      <c r="AJ55" s="3" t="str">
        <f>FIXED(VLOOKUP($A55,'Small Sample 2-Townhouse'!$A:$R,AJ$1,0),2)</f>
        <v>1.90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38</v>
      </c>
      <c r="B56" t="s">
        <v>185</v>
      </c>
      <c r="C56" s="9" t="str">
        <f>FIXED(VLOOKUP($A56,'Full Sample-Townhouse'!$A:$R,C$1,0),2)</f>
        <v>1.76</v>
      </c>
      <c r="D56" s="3" t="str">
        <f>FIXED(VLOOKUP($A56,'Full Sample-Townhouse'!$A:$R,D$1,0),2)</f>
        <v>2.27</v>
      </c>
      <c r="E56" s="3" t="str">
        <f>FIXED(VLOOKUP($A56,'Full Sample-Townhouse'!$A:$R,E$1,0),2)</f>
        <v>0.00</v>
      </c>
      <c r="F56" s="3" t="str">
        <f>FIXED(VLOOKUP($A56,'Full Sample-Townhouse'!$A:$R,F$1,0),2)</f>
        <v>12.79</v>
      </c>
      <c r="G56" s="9" t="str">
        <f>FIXED(VLOOKUP($A56,'Full Sample-Townhouse'!$A:$R,G$1,0),2)</f>
        <v>1.78</v>
      </c>
      <c r="H56" s="3" t="str">
        <f>FIXED(VLOOKUP($A56,'Full Sample-Townhouse'!$A:$R,H$1,0),2)</f>
        <v>2.31</v>
      </c>
      <c r="I56" s="3" t="str">
        <f>FIXED(VLOOKUP($A56,'Full Sample-Townhouse'!$A:$R,I$1,0),2)</f>
        <v>0.00</v>
      </c>
      <c r="J56" s="13" t="str">
        <f>FIXED(VLOOKUP($A56,'Full Sample-Townhouse'!$A:$R,J$1,0),2)</f>
        <v>12.79</v>
      </c>
      <c r="K56" s="9" t="str">
        <f>FIXED(VLOOKUP($A56,'Full Sample-Townhouse'!$A:$R,K$1,0),2)</f>
        <v>1.72</v>
      </c>
      <c r="L56" s="3" t="str">
        <f>FIXED(VLOOKUP($A56,'Full Sample-Townhouse'!$A:$R,L$1,0),2)</f>
        <v>2.20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1-Townhouse'!$A:$R,O$1,0),2)</f>
        <v>1.70</v>
      </c>
      <c r="P56" s="3" t="str">
        <f>FIXED(VLOOKUP($A56,'Small Sample 1-Townhouse'!$A:$R,P$1,0),2)</f>
        <v>2.21</v>
      </c>
      <c r="Q56" s="3" t="str">
        <f>FIXED(VLOOKUP($A56,'Small Sample 1-Townhouse'!$A:$R,Q$1,0),2)</f>
        <v>0.00</v>
      </c>
      <c r="R56" s="3" t="str">
        <f>FIXED(VLOOKUP($A56,'Small Sample 1-Townhouse'!$A:$R,R$1,0),2)</f>
        <v>12.79</v>
      </c>
      <c r="S56" s="9" t="str">
        <f>FIXED(VLOOKUP($A56,'Small Sample 1-Townhouse'!$A:$R,S$1,0),2)</f>
        <v>1.68</v>
      </c>
      <c r="T56" s="3" t="str">
        <f>FIXED(VLOOKUP($A56,'Small Sample 1-Townhouse'!$A:$R,T$1,0),2)</f>
        <v>2.23</v>
      </c>
      <c r="U56" s="3" t="str">
        <f>FIXED(VLOOKUP($A56,'Small Sample 1-Townhouse'!$A:$R,U$1,0),2)</f>
        <v>0.00</v>
      </c>
      <c r="V56" s="13" t="str">
        <f>FIXED(VLOOKUP($A56,'Small Sample 1-Townhouse'!$A:$R,V$1,0),2)</f>
        <v>12.79</v>
      </c>
      <c r="W56" s="9" t="str">
        <f>FIXED(VLOOKUP($A56,'Small Sample 1-Townhouse'!$A:$R,W$1,0),2)</f>
        <v>1.72</v>
      </c>
      <c r="X56" s="3" t="str">
        <f>FIXED(VLOOKUP($A56,'Small Sample 1-Townhouse'!$A:$R,X$1,0),2)</f>
        <v>2.20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2-Townhouse'!$A:$R,AA$1,0),2)</f>
        <v>1.70</v>
      </c>
      <c r="AB56" s="3" t="str">
        <f>FIXED(VLOOKUP($A56,'Small Sample 2-Townhouse'!$A:$R,AB$1,0),2)</f>
        <v>2.21</v>
      </c>
      <c r="AC56" s="3" t="str">
        <f>FIXED(VLOOKUP($A56,'Small Sample 2-Townhouse'!$A:$R,AC$1,0),2)</f>
        <v>0.00</v>
      </c>
      <c r="AD56" s="3" t="str">
        <f>FIXED(VLOOKUP($A56,'Small Sample 2-Townhouse'!$A:$R,AD$1,0),2)</f>
        <v>12.79</v>
      </c>
      <c r="AE56" s="9" t="str">
        <f>FIXED(VLOOKUP($A56,'Small Sample 2-Townhouse'!$A:$R,AE$1,0),2)</f>
        <v>1.76</v>
      </c>
      <c r="AF56" s="3" t="str">
        <f>FIXED(VLOOKUP($A56,'Small Sample 2-Townhouse'!$A:$R,AF$1,0),2)</f>
        <v>2.31</v>
      </c>
      <c r="AG56" s="3" t="str">
        <f>FIXED(VLOOKUP($A56,'Small Sample 2-Townhouse'!$A:$R,AG$1,0),2)</f>
        <v>0.00</v>
      </c>
      <c r="AH56" s="13" t="str">
        <f>FIXED(VLOOKUP($A56,'Small Sample 2-Townhouse'!$A:$R,AH$1,0),2)</f>
        <v>12.79</v>
      </c>
      <c r="AI56" s="9" t="str">
        <f>FIXED(VLOOKUP($A56,'Small Sample 2-Townhouse'!$A:$R,AI$1,0),2)</f>
        <v>1.59</v>
      </c>
      <c r="AJ56" s="3" t="str">
        <f>FIXED(VLOOKUP($A56,'Small Sample 2-Townhouse'!$A:$R,AJ$1,0),2)</f>
        <v>2.04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39</v>
      </c>
      <c r="B57" t="s">
        <v>177</v>
      </c>
      <c r="C57" s="9" t="str">
        <f>FIXED(VLOOKUP($A57,'Full Sample-Townhouse'!$A:$R,C$1,0),2)</f>
        <v>0.34</v>
      </c>
      <c r="D57" s="3" t="str">
        <f>FIXED(VLOOKUP($A57,'Full Sample-Townhouse'!$A:$R,D$1,0),2)</f>
        <v>0.27</v>
      </c>
      <c r="E57" s="3" t="str">
        <f>FIXED(VLOOKUP($A57,'Full Sample-Townhouse'!$A:$R,E$1,0),2)</f>
        <v>0.00</v>
      </c>
      <c r="F57" s="3" t="str">
        <f>FIXED(VLOOKUP($A57,'Full Sample-Townhouse'!$A:$R,F$1,0),2)</f>
        <v>2.17</v>
      </c>
      <c r="G57" s="9" t="str">
        <f>FIXED(VLOOKUP($A57,'Full Sample-Townhouse'!$A:$R,G$1,0),2)</f>
        <v>0.34</v>
      </c>
      <c r="H57" s="3" t="str">
        <f>FIXED(VLOOKUP($A57,'Full Sample-Townhouse'!$A:$R,H$1,0),2)</f>
        <v>0.27</v>
      </c>
      <c r="I57" s="3" t="str">
        <f>FIXED(VLOOKUP($A57,'Full Sample-Townhouse'!$A:$R,I$1,0),2)</f>
        <v>0.01</v>
      </c>
      <c r="J57" s="13" t="str">
        <f>FIXED(VLOOKUP($A57,'Full Sample-Townhouse'!$A:$R,J$1,0),2)</f>
        <v>1.75</v>
      </c>
      <c r="K57" s="9" t="str">
        <f>FIXED(VLOOKUP($A57,'Full Sample-Townhouse'!$A:$R,K$1,0),2)</f>
        <v>0.35</v>
      </c>
      <c r="L57" s="3" t="str">
        <f>FIXED(VLOOKUP($A57,'Full Sample-Townhouse'!$A:$R,L$1,0),2)</f>
        <v>0.28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1-Townhouse'!$A:$R,O$1,0),2)</f>
        <v>0.34</v>
      </c>
      <c r="P57" s="3" t="str">
        <f>FIXED(VLOOKUP($A57,'Small Sample 1-Townhouse'!$A:$R,P$1,0),2)</f>
        <v>0.27</v>
      </c>
      <c r="Q57" s="3" t="str">
        <f>FIXED(VLOOKUP($A57,'Small Sample 1-Townhouse'!$A:$R,Q$1,0),2)</f>
        <v>0.00</v>
      </c>
      <c r="R57" s="3" t="str">
        <f>FIXED(VLOOKUP($A57,'Small Sample 1-Townhouse'!$A:$R,R$1,0),2)</f>
        <v>2.17</v>
      </c>
      <c r="S57" s="9" t="str">
        <f>FIXED(VLOOKUP($A57,'Small Sample 1-Townhouse'!$A:$R,S$1,0),2)</f>
        <v>0.33</v>
      </c>
      <c r="T57" s="3" t="str">
        <f>FIXED(VLOOKUP($A57,'Small Sample 1-Townhouse'!$A:$R,T$1,0),2)</f>
        <v>0.26</v>
      </c>
      <c r="U57" s="3" t="str">
        <f>FIXED(VLOOKUP($A57,'Small Sample 1-Townhouse'!$A:$R,U$1,0),2)</f>
        <v>0.01</v>
      </c>
      <c r="V57" s="13" t="str">
        <f>FIXED(VLOOKUP($A57,'Small Sample 1-Townhouse'!$A:$R,V$1,0),2)</f>
        <v>1.75</v>
      </c>
      <c r="W57" s="9" t="str">
        <f>FIXED(VLOOKUP($A57,'Small Sample 1-Townhouse'!$A:$R,W$1,0),2)</f>
        <v>0.35</v>
      </c>
      <c r="X57" s="3" t="str">
        <f>FIXED(VLOOKUP($A57,'Small Sample 1-Townhouse'!$A:$R,X$1,0),2)</f>
        <v>0.28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2-Townhouse'!$A:$R,AA$1,0),2)</f>
        <v>0.34</v>
      </c>
      <c r="AB57" s="3" t="str">
        <f>FIXED(VLOOKUP($A57,'Small Sample 2-Townhouse'!$A:$R,AB$1,0),2)</f>
        <v>0.27</v>
      </c>
      <c r="AC57" s="3" t="str">
        <f>FIXED(VLOOKUP($A57,'Small Sample 2-Townhouse'!$A:$R,AC$1,0),2)</f>
        <v>0.00</v>
      </c>
      <c r="AD57" s="3" t="str">
        <f>FIXED(VLOOKUP($A57,'Small Sample 2-Townhouse'!$A:$R,AD$1,0),2)</f>
        <v>2.17</v>
      </c>
      <c r="AE57" s="9" t="str">
        <f>FIXED(VLOOKUP($A57,'Small Sample 2-Townhouse'!$A:$R,AE$1,0),2)</f>
        <v>0.34</v>
      </c>
      <c r="AF57" s="3" t="str">
        <f>FIXED(VLOOKUP($A57,'Small Sample 2-Townhouse'!$A:$R,AF$1,0),2)</f>
        <v>0.26</v>
      </c>
      <c r="AG57" s="3" t="str">
        <f>FIXED(VLOOKUP($A57,'Small Sample 2-Townhouse'!$A:$R,AG$1,0),2)</f>
        <v>0.01</v>
      </c>
      <c r="AH57" s="13" t="str">
        <f>FIXED(VLOOKUP($A57,'Small Sample 2-Townhouse'!$A:$R,AH$1,0),2)</f>
        <v>1.75</v>
      </c>
      <c r="AI57" s="9" t="str">
        <f>FIXED(VLOOKUP($A57,'Small Sample 2-Townhouse'!$A:$R,AI$1,0),2)</f>
        <v>0.34</v>
      </c>
      <c r="AJ57" s="3" t="str">
        <f>FIXED(VLOOKUP($A57,'Small Sample 2-Townhouse'!$A:$R,AJ$1,0),2)</f>
        <v>0.27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40</v>
      </c>
      <c r="B58" t="s">
        <v>178</v>
      </c>
      <c r="C58" s="9" t="str">
        <f>FIXED(VLOOKUP($A58,'Full Sample-Townhouse'!$A:$R,C$1,0),2)</f>
        <v>3.19</v>
      </c>
      <c r="D58" s="3" t="str">
        <f>FIXED(VLOOKUP($A58,'Full Sample-Townhouse'!$A:$R,D$1,0),2)</f>
        <v>3.46</v>
      </c>
      <c r="E58" s="3" t="str">
        <f>FIXED(VLOOKUP($A58,'Full Sample-Townhouse'!$A:$R,E$1,0),2)</f>
        <v>0.02</v>
      </c>
      <c r="F58" s="3" t="str">
        <f>FIXED(VLOOKUP($A58,'Full Sample-Townhouse'!$A:$R,F$1,0),2)</f>
        <v>20.40</v>
      </c>
      <c r="G58" s="9" t="str">
        <f>FIXED(VLOOKUP($A58,'Full Sample-Townhouse'!$A:$R,G$1,0),2)</f>
        <v>3.13</v>
      </c>
      <c r="H58" s="3" t="str">
        <f>FIXED(VLOOKUP($A58,'Full Sample-Townhouse'!$A:$R,H$1,0),2)</f>
        <v>3.34</v>
      </c>
      <c r="I58" s="3" t="str">
        <f>FIXED(VLOOKUP($A58,'Full Sample-Townhouse'!$A:$R,I$1,0),2)</f>
        <v>0.02</v>
      </c>
      <c r="J58" s="13" t="str">
        <f>FIXED(VLOOKUP($A58,'Full Sample-Townhouse'!$A:$R,J$1,0),2)</f>
        <v>20.40</v>
      </c>
      <c r="K58" s="9" t="str">
        <f>FIXED(VLOOKUP($A58,'Full Sample-Townhouse'!$A:$R,K$1,0),2)</f>
        <v>3.27</v>
      </c>
      <c r="L58" s="3" t="str">
        <f>FIXED(VLOOKUP($A58,'Full Sample-Townhouse'!$A:$R,L$1,0),2)</f>
        <v>3.61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1-Townhouse'!$A:$R,O$1,0),2)</f>
        <v>3.09</v>
      </c>
      <c r="P58" s="3" t="str">
        <f>FIXED(VLOOKUP($A58,'Small Sample 1-Townhouse'!$A:$R,P$1,0),2)</f>
        <v>3.44</v>
      </c>
      <c r="Q58" s="3" t="str">
        <f>FIXED(VLOOKUP($A58,'Small Sample 1-Townhouse'!$A:$R,Q$1,0),2)</f>
        <v>0.02</v>
      </c>
      <c r="R58" s="3" t="str">
        <f>FIXED(VLOOKUP($A58,'Small Sample 1-Townhouse'!$A:$R,R$1,0),2)</f>
        <v>20.40</v>
      </c>
      <c r="S58" s="9" t="str">
        <f>FIXED(VLOOKUP($A58,'Small Sample 1-Townhouse'!$A:$R,S$1,0),2)</f>
        <v>2.96</v>
      </c>
      <c r="T58" s="3" t="str">
        <f>FIXED(VLOOKUP($A58,'Small Sample 1-Townhouse'!$A:$R,T$1,0),2)</f>
        <v>3.27</v>
      </c>
      <c r="U58" s="3" t="str">
        <f>FIXED(VLOOKUP($A58,'Small Sample 1-Townhouse'!$A:$R,U$1,0),2)</f>
        <v>0.02</v>
      </c>
      <c r="V58" s="13" t="str">
        <f>FIXED(VLOOKUP($A58,'Small Sample 1-Townhouse'!$A:$R,V$1,0),2)</f>
        <v>20.40</v>
      </c>
      <c r="W58" s="9" t="str">
        <f>FIXED(VLOOKUP($A58,'Small Sample 1-Townhouse'!$A:$R,W$1,0),2)</f>
        <v>3.24</v>
      </c>
      <c r="X58" s="3" t="str">
        <f>FIXED(VLOOKUP($A58,'Small Sample 1-Townhouse'!$A:$R,X$1,0),2)</f>
        <v>3.61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2-Townhouse'!$A:$R,AA$1,0),2)</f>
        <v>3.10</v>
      </c>
      <c r="AB58" s="3" t="str">
        <f>FIXED(VLOOKUP($A58,'Small Sample 2-Townhouse'!$A:$R,AB$1,0),2)</f>
        <v>3.44</v>
      </c>
      <c r="AC58" s="3" t="str">
        <f>FIXED(VLOOKUP($A58,'Small Sample 2-Townhouse'!$A:$R,AC$1,0),2)</f>
        <v>0.02</v>
      </c>
      <c r="AD58" s="3" t="str">
        <f>FIXED(VLOOKUP($A58,'Small Sample 2-Townhouse'!$A:$R,AD$1,0),2)</f>
        <v>20.40</v>
      </c>
      <c r="AE58" s="9" t="str">
        <f>FIXED(VLOOKUP($A58,'Small Sample 2-Townhouse'!$A:$R,AE$1,0),2)</f>
        <v>3.08</v>
      </c>
      <c r="AF58" s="3" t="str">
        <f>FIXED(VLOOKUP($A58,'Small Sample 2-Townhouse'!$A:$R,AF$1,0),2)</f>
        <v>3.32</v>
      </c>
      <c r="AG58" s="3" t="str">
        <f>FIXED(VLOOKUP($A58,'Small Sample 2-Townhouse'!$A:$R,AG$1,0),2)</f>
        <v>0.02</v>
      </c>
      <c r="AH58" s="13" t="str">
        <f>FIXED(VLOOKUP($A58,'Small Sample 2-Townhouse'!$A:$R,AH$1,0),2)</f>
        <v>20.40</v>
      </c>
      <c r="AI58" s="9" t="str">
        <f>FIXED(VLOOKUP($A58,'Small Sample 2-Townhouse'!$A:$R,AI$1,0),2)</f>
        <v>3.12</v>
      </c>
      <c r="AJ58" s="3" t="str">
        <f>FIXED(VLOOKUP($A58,'Small Sample 2-Townhouse'!$A:$R,AJ$1,0),2)</f>
        <v>3.63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41</v>
      </c>
      <c r="B59" t="s">
        <v>179</v>
      </c>
      <c r="C59" s="9" t="str">
        <f>FIXED(VLOOKUP($A59,'Full Sample-Townhouse'!$A:$R,C$1,0),2)</f>
        <v>7.62</v>
      </c>
      <c r="D59" s="3" t="str">
        <f>FIXED(VLOOKUP($A59,'Full Sample-Townhouse'!$A:$R,D$1,0),2)</f>
        <v>5.17</v>
      </c>
      <c r="E59" s="3" t="str">
        <f>FIXED(VLOOKUP($A59,'Full Sample-Townhouse'!$A:$R,E$1,0),2)</f>
        <v>0.99</v>
      </c>
      <c r="F59" s="3" t="str">
        <f>FIXED(VLOOKUP($A59,'Full Sample-Townhouse'!$A:$R,F$1,0),2)</f>
        <v>25.14</v>
      </c>
      <c r="G59" s="9" t="str">
        <f>FIXED(VLOOKUP($A59,'Full Sample-Townhouse'!$A:$R,G$1,0),2)</f>
        <v>7.63</v>
      </c>
      <c r="H59" s="3" t="str">
        <f>FIXED(VLOOKUP($A59,'Full Sample-Townhouse'!$A:$R,H$1,0),2)</f>
        <v>5.19</v>
      </c>
      <c r="I59" s="3" t="str">
        <f>FIXED(VLOOKUP($A59,'Full Sample-Townhouse'!$A:$R,I$1,0),2)</f>
        <v>0.99</v>
      </c>
      <c r="J59" s="13" t="str">
        <f>FIXED(VLOOKUP($A59,'Full Sample-Townhouse'!$A:$R,J$1,0),2)</f>
        <v>25.14</v>
      </c>
      <c r="K59" s="9" t="str">
        <f>FIXED(VLOOKUP($A59,'Full Sample-Townhouse'!$A:$R,K$1,0),2)</f>
        <v>7.59</v>
      </c>
      <c r="L59" s="3" t="str">
        <f>FIXED(VLOOKUP($A59,'Full Sample-Townhouse'!$A:$R,L$1,0),2)</f>
        <v>5.15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1-Townhouse'!$A:$R,O$1,0),2)</f>
        <v>7.54</v>
      </c>
      <c r="P59" s="3" t="str">
        <f>FIXED(VLOOKUP($A59,'Small Sample 1-Townhouse'!$A:$R,P$1,0),2)</f>
        <v>5.14</v>
      </c>
      <c r="Q59" s="3" t="str">
        <f>FIXED(VLOOKUP($A59,'Small Sample 1-Townhouse'!$A:$R,Q$1,0),2)</f>
        <v>0.99</v>
      </c>
      <c r="R59" s="3" t="str">
        <f>FIXED(VLOOKUP($A59,'Small Sample 1-Townhouse'!$A:$R,R$1,0),2)</f>
        <v>25.14</v>
      </c>
      <c r="S59" s="9" t="str">
        <f>FIXED(VLOOKUP($A59,'Small Sample 1-Townhouse'!$A:$R,S$1,0),2)</f>
        <v>7.51</v>
      </c>
      <c r="T59" s="3" t="str">
        <f>FIXED(VLOOKUP($A59,'Small Sample 1-Townhouse'!$A:$R,T$1,0),2)</f>
        <v>5.14</v>
      </c>
      <c r="U59" s="3" t="str">
        <f>FIXED(VLOOKUP($A59,'Small Sample 1-Townhouse'!$A:$R,U$1,0),2)</f>
        <v>0.99</v>
      </c>
      <c r="V59" s="13" t="str">
        <f>FIXED(VLOOKUP($A59,'Small Sample 1-Townhouse'!$A:$R,V$1,0),2)</f>
        <v>25.14</v>
      </c>
      <c r="W59" s="9" t="str">
        <f>FIXED(VLOOKUP($A59,'Small Sample 1-Townhouse'!$A:$R,W$1,0),2)</f>
        <v>7.57</v>
      </c>
      <c r="X59" s="3" t="str">
        <f>FIXED(VLOOKUP($A59,'Small Sample 1-Townhouse'!$A:$R,X$1,0),2)</f>
        <v>5.14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2-Townhouse'!$A:$R,AA$1,0),2)</f>
        <v>7.54</v>
      </c>
      <c r="AB59" s="3" t="str">
        <f>FIXED(VLOOKUP($A59,'Small Sample 2-Townhouse'!$A:$R,AB$1,0),2)</f>
        <v>5.14</v>
      </c>
      <c r="AC59" s="3" t="str">
        <f>FIXED(VLOOKUP($A59,'Small Sample 2-Townhouse'!$A:$R,AC$1,0),2)</f>
        <v>0.99</v>
      </c>
      <c r="AD59" s="3" t="str">
        <f>FIXED(VLOOKUP($A59,'Small Sample 2-Townhouse'!$A:$R,AD$1,0),2)</f>
        <v>25.14</v>
      </c>
      <c r="AE59" s="9" t="str">
        <f>FIXED(VLOOKUP($A59,'Small Sample 2-Townhouse'!$A:$R,AE$1,0),2)</f>
        <v>7.62</v>
      </c>
      <c r="AF59" s="3" t="str">
        <f>FIXED(VLOOKUP($A59,'Small Sample 2-Townhouse'!$A:$R,AF$1,0),2)</f>
        <v>5.19</v>
      </c>
      <c r="AG59" s="3" t="str">
        <f>FIXED(VLOOKUP($A59,'Small Sample 2-Townhouse'!$A:$R,AG$1,0),2)</f>
        <v>0.99</v>
      </c>
      <c r="AH59" s="13" t="str">
        <f>FIXED(VLOOKUP($A59,'Small Sample 2-Townhouse'!$A:$R,AH$1,0),2)</f>
        <v>25.14</v>
      </c>
      <c r="AI59" s="9" t="str">
        <f>FIXED(VLOOKUP($A59,'Small Sample 2-Townhouse'!$A:$R,AI$1,0),2)</f>
        <v>7.41</v>
      </c>
      <c r="AJ59" s="3" t="str">
        <f>FIXED(VLOOKUP($A59,'Small Sample 2-Townhouse'!$A:$R,AJ$1,0),2)</f>
        <v>5.06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173</v>
      </c>
      <c r="B60" t="s">
        <v>180</v>
      </c>
      <c r="C60" s="9" t="str">
        <f>FIXED(VLOOKUP($A60,'Full Sample-Townhouse'!$A:$R,C$1,0),2)</f>
        <v>1.26</v>
      </c>
      <c r="D60" s="3" t="str">
        <f>FIXED(VLOOKUP($A60,'Full Sample-Townhouse'!$A:$R,D$1,0),2)</f>
        <v>6.05</v>
      </c>
      <c r="E60" s="3" t="str">
        <f>FIXED(VLOOKUP($A60,'Full Sample-Townhouse'!$A:$R,E$1,0),2)</f>
        <v>0.04</v>
      </c>
      <c r="F60" s="3" t="str">
        <f>FIXED(VLOOKUP($A60,'Full Sample-Townhouse'!$A:$R,F$1,0),2)</f>
        <v>196.49</v>
      </c>
      <c r="G60" s="9" t="str">
        <f>FIXED(VLOOKUP($A60,'Full Sample-Townhouse'!$A:$R,G$1,0),2)</f>
        <v>1.29</v>
      </c>
      <c r="H60" s="3" t="str">
        <f>FIXED(VLOOKUP($A60,'Full Sample-Townhouse'!$A:$R,H$1,0),2)</f>
        <v>6.24</v>
      </c>
      <c r="I60" s="3" t="str">
        <f>FIXED(VLOOKUP($A60,'Full Sample-Townhouse'!$A:$R,I$1,0),2)</f>
        <v>0.04</v>
      </c>
      <c r="J60" s="13" t="str">
        <f>FIXED(VLOOKUP($A60,'Full Sample-Townhouse'!$A:$R,J$1,0),2)</f>
        <v>196.49</v>
      </c>
      <c r="K60" s="9" t="str">
        <f>FIXED(VLOOKUP($A60,'Full Sample-Townhouse'!$A:$R,K$1,0),2)</f>
        <v>1.24</v>
      </c>
      <c r="L60" s="3" t="str">
        <f>FIXED(VLOOKUP($A60,'Full Sample-Townhouse'!$A:$R,L$1,0),2)</f>
        <v>5.79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1-Townhouse'!$A:$R,O$1,0),2)</f>
        <v>1.26</v>
      </c>
      <c r="P60" s="3" t="str">
        <f>FIXED(VLOOKUP($A60,'Small Sample 1-Townhouse'!$A:$R,P$1,0),2)</f>
        <v>6.17</v>
      </c>
      <c r="Q60" s="3" t="str">
        <f>FIXED(VLOOKUP($A60,'Small Sample 1-Townhouse'!$A:$R,Q$1,0),2)</f>
        <v>0.04</v>
      </c>
      <c r="R60" s="3" t="str">
        <f>FIXED(VLOOKUP($A60,'Small Sample 1-Townhouse'!$A:$R,R$1,0),2)</f>
        <v>196.49</v>
      </c>
      <c r="S60" s="9" t="str">
        <f>FIXED(VLOOKUP($A60,'Small Sample 1-Townhouse'!$A:$R,S$1,0),2)</f>
        <v>1.28</v>
      </c>
      <c r="T60" s="3" t="str">
        <f>FIXED(VLOOKUP($A60,'Small Sample 1-Townhouse'!$A:$R,T$1,0),2)</f>
        <v>6.42</v>
      </c>
      <c r="U60" s="3" t="str">
        <f>FIXED(VLOOKUP($A60,'Small Sample 1-Townhouse'!$A:$R,U$1,0),2)</f>
        <v>0.04</v>
      </c>
      <c r="V60" s="13" t="str">
        <f>FIXED(VLOOKUP($A60,'Small Sample 1-Townhouse'!$A:$R,V$1,0),2)</f>
        <v>196.49</v>
      </c>
      <c r="W60" s="9" t="str">
        <f>FIXED(VLOOKUP($A60,'Small Sample 1-Townhouse'!$A:$R,W$1,0),2)</f>
        <v>1.24</v>
      </c>
      <c r="X60" s="3" t="str">
        <f>FIXED(VLOOKUP($A60,'Small Sample 1-Townhouse'!$A:$R,X$1,0),2)</f>
        <v>5.89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2-Townhouse'!$A:$R,AA$1,0),2)</f>
        <v>1.26</v>
      </c>
      <c r="AB60" s="3" t="str">
        <f>FIXED(VLOOKUP($A60,'Small Sample 2-Townhouse'!$A:$R,AB$1,0),2)</f>
        <v>6.17</v>
      </c>
      <c r="AC60" s="3" t="str">
        <f>FIXED(VLOOKUP($A60,'Small Sample 2-Townhouse'!$A:$R,AC$1,0),2)</f>
        <v>0.04</v>
      </c>
      <c r="AD60" s="3" t="str">
        <f>FIXED(VLOOKUP($A60,'Small Sample 2-Townhouse'!$A:$R,AD$1,0),2)</f>
        <v>196.49</v>
      </c>
      <c r="AE60" s="9" t="str">
        <f>FIXED(VLOOKUP($A60,'Small Sample 2-Townhouse'!$A:$R,AE$1,0),2)</f>
        <v>1.29</v>
      </c>
      <c r="AF60" s="3" t="str">
        <f>FIXED(VLOOKUP($A60,'Small Sample 2-Townhouse'!$A:$R,AF$1,0),2)</f>
        <v>6.46</v>
      </c>
      <c r="AG60" s="3" t="str">
        <f>FIXED(VLOOKUP($A60,'Small Sample 2-Townhouse'!$A:$R,AG$1,0),2)</f>
        <v>0.04</v>
      </c>
      <c r="AH60" s="13" t="str">
        <f>FIXED(VLOOKUP($A60,'Small Sample 2-Townhouse'!$A:$R,AH$1,0),2)</f>
        <v>196.49</v>
      </c>
      <c r="AI60" s="9" t="str">
        <f>FIXED(VLOOKUP($A60,'Small Sample 2-Townhouse'!$A:$R,AI$1,0),2)</f>
        <v>1.20</v>
      </c>
      <c r="AJ60" s="3" t="str">
        <f>FIXED(VLOOKUP($A60,'Small Sample 2-Townhouse'!$A:$R,AJ$1,0),2)</f>
        <v>5.63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174</v>
      </c>
      <c r="B61" t="s">
        <v>181</v>
      </c>
      <c r="C61" s="9" t="str">
        <f>FIXED(VLOOKUP($A61,'Full Sample-Townhouse'!$A:$R,C$1,0),2)</f>
        <v>1.97</v>
      </c>
      <c r="D61" s="3" t="str">
        <f>FIXED(VLOOKUP($A61,'Full Sample-Townhouse'!$A:$R,D$1,0),2)</f>
        <v>1.33</v>
      </c>
      <c r="E61" s="3" t="str">
        <f>FIXED(VLOOKUP($A61,'Full Sample-Townhouse'!$A:$R,E$1,0),2)</f>
        <v>0.07</v>
      </c>
      <c r="F61" s="3" t="str">
        <f>FIXED(VLOOKUP($A61,'Full Sample-Townhouse'!$A:$R,F$1,0),2)</f>
        <v>7.28</v>
      </c>
      <c r="G61" s="9" t="str">
        <f>FIXED(VLOOKUP($A61,'Full Sample-Townhouse'!$A:$R,G$1,0),2)</f>
        <v>1.97</v>
      </c>
      <c r="H61" s="3" t="str">
        <f>FIXED(VLOOKUP($A61,'Full Sample-Townhouse'!$A:$R,H$1,0),2)</f>
        <v>1.33</v>
      </c>
      <c r="I61" s="3" t="str">
        <f>FIXED(VLOOKUP($A61,'Full Sample-Townhouse'!$A:$R,I$1,0),2)</f>
        <v>0.07</v>
      </c>
      <c r="J61" s="13" t="str">
        <f>FIXED(VLOOKUP($A61,'Full Sample-Townhouse'!$A:$R,J$1,0),2)</f>
        <v>7.28</v>
      </c>
      <c r="K61" s="9" t="str">
        <f>FIXED(VLOOKUP($A61,'Full Sample-Townhouse'!$A:$R,K$1,0),2)</f>
        <v>1.97</v>
      </c>
      <c r="L61" s="3" t="str">
        <f>FIXED(VLOOKUP($A61,'Full Sample-Townhouse'!$A:$R,L$1,0),2)</f>
        <v>1.33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1-Townhouse'!$A:$R,O$1,0),2)</f>
        <v>1.94</v>
      </c>
      <c r="P61" s="3" t="str">
        <f>FIXED(VLOOKUP($A61,'Small Sample 1-Townhouse'!$A:$R,P$1,0),2)</f>
        <v>1.31</v>
      </c>
      <c r="Q61" s="3" t="str">
        <f>FIXED(VLOOKUP($A61,'Small Sample 1-Townhouse'!$A:$R,Q$1,0),2)</f>
        <v>0.07</v>
      </c>
      <c r="R61" s="3" t="str">
        <f>FIXED(VLOOKUP($A61,'Small Sample 1-Townhouse'!$A:$R,R$1,0),2)</f>
        <v>7.28</v>
      </c>
      <c r="S61" s="9" t="str">
        <f>FIXED(VLOOKUP($A61,'Small Sample 1-Townhouse'!$A:$R,S$1,0),2)</f>
        <v>1.92</v>
      </c>
      <c r="T61" s="3" t="str">
        <f>FIXED(VLOOKUP($A61,'Small Sample 1-Townhouse'!$A:$R,T$1,0),2)</f>
        <v>1.30</v>
      </c>
      <c r="U61" s="3" t="str">
        <f>FIXED(VLOOKUP($A61,'Small Sample 1-Townhouse'!$A:$R,U$1,0),2)</f>
        <v>0.07</v>
      </c>
      <c r="V61" s="13" t="str">
        <f>FIXED(VLOOKUP($A61,'Small Sample 1-Townhouse'!$A:$R,V$1,0),2)</f>
        <v>7.28</v>
      </c>
      <c r="W61" s="9" t="str">
        <f>FIXED(VLOOKUP($A61,'Small Sample 1-Townhouse'!$A:$R,W$1,0),2)</f>
        <v>1.97</v>
      </c>
      <c r="X61" s="3" t="str">
        <f>FIXED(VLOOKUP($A61,'Small Sample 1-Townhouse'!$A:$R,X$1,0),2)</f>
        <v>1.33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2-Townhouse'!$A:$R,AA$1,0),2)</f>
        <v>1.94</v>
      </c>
      <c r="AB61" s="3" t="str">
        <f>FIXED(VLOOKUP($A61,'Small Sample 2-Townhouse'!$A:$R,AB$1,0),2)</f>
        <v>1.31</v>
      </c>
      <c r="AC61" s="3" t="str">
        <f>FIXED(VLOOKUP($A61,'Small Sample 2-Townhouse'!$A:$R,AC$1,0),2)</f>
        <v>0.07</v>
      </c>
      <c r="AD61" s="3" t="str">
        <f>FIXED(VLOOKUP($A61,'Small Sample 2-Townhouse'!$A:$R,AD$1,0),2)</f>
        <v>7.28</v>
      </c>
      <c r="AE61" s="9" t="str">
        <f>FIXED(VLOOKUP($A61,'Small Sample 2-Townhouse'!$A:$R,AE$1,0),2)</f>
        <v>1.95</v>
      </c>
      <c r="AF61" s="3" t="str">
        <f>FIXED(VLOOKUP($A61,'Small Sample 2-Townhouse'!$A:$R,AF$1,0),2)</f>
        <v>1.32</v>
      </c>
      <c r="AG61" s="3" t="str">
        <f>FIXED(VLOOKUP($A61,'Small Sample 2-Townhouse'!$A:$R,AG$1,0),2)</f>
        <v>0.07</v>
      </c>
      <c r="AH61" s="13" t="str">
        <f>FIXED(VLOOKUP($A61,'Small Sample 2-Townhouse'!$A:$R,AH$1,0),2)</f>
        <v>7.28</v>
      </c>
      <c r="AI61" s="9" t="str">
        <f>FIXED(VLOOKUP($A61,'Small Sample 2-Townhouse'!$A:$R,AI$1,0),2)</f>
        <v>1.93</v>
      </c>
      <c r="AJ61" s="3" t="str">
        <f>FIXED(VLOOKUP($A61,'Small Sample 2-Townhouse'!$A:$R,AJ$1,0),2)</f>
        <v>1.30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175</v>
      </c>
      <c r="B62" t="s">
        <v>182</v>
      </c>
      <c r="C62" s="9" t="str">
        <f>FIXED(VLOOKUP($A62,'Full Sample-Townhouse'!$A:$R,C$1,0),2)</f>
        <v>1.84</v>
      </c>
      <c r="D62" s="3" t="str">
        <f>FIXED(VLOOKUP($A62,'Full Sample-Townhouse'!$A:$R,D$1,0),2)</f>
        <v>1.21</v>
      </c>
      <c r="E62" s="3" t="str">
        <f>FIXED(VLOOKUP($A62,'Full Sample-Townhouse'!$A:$R,E$1,0),2)</f>
        <v>0.03</v>
      </c>
      <c r="F62" s="3" t="str">
        <f>FIXED(VLOOKUP($A62,'Full Sample-Townhouse'!$A:$R,F$1,0),2)</f>
        <v>6.80</v>
      </c>
      <c r="G62" s="9" t="str">
        <f>FIXED(VLOOKUP($A62,'Full Sample-Townhouse'!$A:$R,G$1,0),2)</f>
        <v>1.84</v>
      </c>
      <c r="H62" s="3" t="str">
        <f>FIXED(VLOOKUP($A62,'Full Sample-Townhouse'!$A:$R,H$1,0),2)</f>
        <v>1.21</v>
      </c>
      <c r="I62" s="3" t="str">
        <f>FIXED(VLOOKUP($A62,'Full Sample-Townhouse'!$A:$R,I$1,0),2)</f>
        <v>0.03</v>
      </c>
      <c r="J62" s="13" t="str">
        <f>FIXED(VLOOKUP($A62,'Full Sample-Townhouse'!$A:$R,J$1,0),2)</f>
        <v>6.80</v>
      </c>
      <c r="K62" s="9" t="str">
        <f>FIXED(VLOOKUP($A62,'Full Sample-Townhouse'!$A:$R,K$1,0),2)</f>
        <v>1.82</v>
      </c>
      <c r="L62" s="3" t="str">
        <f>FIXED(VLOOKUP($A62,'Full Sample-Townhouse'!$A:$R,L$1,0),2)</f>
        <v>1.21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1-Townhouse'!$A:$R,O$1,0),2)</f>
        <v>1.80</v>
      </c>
      <c r="P62" s="3" t="str">
        <f>FIXED(VLOOKUP($A62,'Small Sample 1-Townhouse'!$A:$R,P$1,0),2)</f>
        <v>1.19</v>
      </c>
      <c r="Q62" s="3" t="str">
        <f>FIXED(VLOOKUP($A62,'Small Sample 1-Townhouse'!$A:$R,Q$1,0),2)</f>
        <v>0.03</v>
      </c>
      <c r="R62" s="3" t="str">
        <f>FIXED(VLOOKUP($A62,'Small Sample 1-Townhouse'!$A:$R,R$1,0),2)</f>
        <v>6.80</v>
      </c>
      <c r="S62" s="9" t="str">
        <f>FIXED(VLOOKUP($A62,'Small Sample 1-Townhouse'!$A:$R,S$1,0),2)</f>
        <v>1.78</v>
      </c>
      <c r="T62" s="3" t="str">
        <f>FIXED(VLOOKUP($A62,'Small Sample 1-Townhouse'!$A:$R,T$1,0),2)</f>
        <v>1.18</v>
      </c>
      <c r="U62" s="3" t="str">
        <f>FIXED(VLOOKUP($A62,'Small Sample 1-Townhouse'!$A:$R,U$1,0),2)</f>
        <v>0.03</v>
      </c>
      <c r="V62" s="13" t="str">
        <f>FIXED(VLOOKUP($A62,'Small Sample 1-Townhouse'!$A:$R,V$1,0),2)</f>
        <v>6.80</v>
      </c>
      <c r="W62" s="9" t="str">
        <f>FIXED(VLOOKUP($A62,'Small Sample 1-Townhouse'!$A:$R,W$1,0),2)</f>
        <v>1.81</v>
      </c>
      <c r="X62" s="3" t="str">
        <f>FIXED(VLOOKUP($A62,'Small Sample 1-Townhouse'!$A:$R,X$1,0),2)</f>
        <v>1.21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2-Townhouse'!$A:$R,AA$1,0),2)</f>
        <v>1.80</v>
      </c>
      <c r="AB62" s="3" t="str">
        <f>FIXED(VLOOKUP($A62,'Small Sample 2-Townhouse'!$A:$R,AB$1,0),2)</f>
        <v>1.19</v>
      </c>
      <c r="AC62" s="3" t="str">
        <f>FIXED(VLOOKUP($A62,'Small Sample 2-Townhouse'!$A:$R,AC$1,0),2)</f>
        <v>0.03</v>
      </c>
      <c r="AD62" s="3" t="str">
        <f>FIXED(VLOOKUP($A62,'Small Sample 2-Townhouse'!$A:$R,AD$1,0),2)</f>
        <v>6.80</v>
      </c>
      <c r="AE62" s="9" t="str">
        <f>FIXED(VLOOKUP($A62,'Small Sample 2-Townhouse'!$A:$R,AE$1,0),2)</f>
        <v>1.82</v>
      </c>
      <c r="AF62" s="3" t="str">
        <f>FIXED(VLOOKUP($A62,'Small Sample 2-Townhouse'!$A:$R,AF$1,0),2)</f>
        <v>1.20</v>
      </c>
      <c r="AG62" s="3" t="str">
        <f>FIXED(VLOOKUP($A62,'Small Sample 2-Townhouse'!$A:$R,AG$1,0),2)</f>
        <v>0.03</v>
      </c>
      <c r="AH62" s="13" t="str">
        <f>FIXED(VLOOKUP($A62,'Small Sample 2-Townhouse'!$A:$R,AH$1,0),2)</f>
        <v>6.80</v>
      </c>
      <c r="AI62" s="9" t="str">
        <f>FIXED(VLOOKUP($A62,'Small Sample 2-Townhouse'!$A:$R,AI$1,0),2)</f>
        <v>1.75</v>
      </c>
      <c r="AJ62" s="3" t="str">
        <f>FIXED(VLOOKUP($A62,'Small Sample 2-Townhouse'!$A:$R,AJ$1,0),2)</f>
        <v>1.18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53</v>
      </c>
      <c r="B63" t="s">
        <v>183</v>
      </c>
      <c r="C63" s="9" t="str">
        <f>FIXED(VLOOKUP($A63,'Full Sample-Townhouse'!$A:$R,C$1,0),2)</f>
        <v>2,359,735.00</v>
      </c>
      <c r="D63" s="3" t="str">
        <f>FIXED(VLOOKUP($A63,'Full Sample-Townhouse'!$A:$R,D$1,0),2)</f>
        <v>6,910.85</v>
      </c>
      <c r="E63" s="3" t="str">
        <f>FIXED(VLOOKUP($A63,'Full Sample-Townhouse'!$A:$R,E$1,0),2)</f>
        <v>2,351,041.00</v>
      </c>
      <c r="F63" s="3" t="str">
        <f>FIXED(VLOOKUP($A63,'Full Sample-Townhouse'!$A:$R,F$1,0),2)</f>
        <v>2,400,056.00</v>
      </c>
      <c r="G63" s="9" t="str">
        <f>FIXED(VLOOKUP($A63,'Full Sample-Townhouse'!$A:$R,G$1,0),2)</f>
        <v>2,359,780.00</v>
      </c>
      <c r="H63" s="3" t="str">
        <f>FIXED(VLOOKUP($A63,'Full Sample-Townhouse'!$A:$R,H$1,0),2)</f>
        <v>6,956.67</v>
      </c>
      <c r="I63" s="3" t="str">
        <f>FIXED(VLOOKUP($A63,'Full Sample-Townhouse'!$A:$R,I$1,0),2)</f>
        <v>2,351,041.00</v>
      </c>
      <c r="J63" s="13" t="str">
        <f>FIXED(VLOOKUP($A63,'Full Sample-Townhouse'!$A:$R,J$1,0),2)</f>
        <v>2,400,056.00</v>
      </c>
      <c r="K63" s="9" t="str">
        <f>FIXED(VLOOKUP($A63,'Full Sample-Townhouse'!$A:$R,K$1,0),2)</f>
        <v>2,359,674.00</v>
      </c>
      <c r="L63" s="3" t="str">
        <f>FIXED(VLOOKUP($A63,'Full Sample-Townhouse'!$A:$R,L$1,0),2)</f>
        <v>6,847.01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1-Townhouse'!$A:$R,O$1,0),2)</f>
        <v>2,359,549.00</v>
      </c>
      <c r="P63" s="3" t="str">
        <f>FIXED(VLOOKUP($A63,'Small Sample 1-Townhouse'!$A:$R,P$1,0),2)</f>
        <v>6,873.48</v>
      </c>
      <c r="Q63" s="3" t="str">
        <f>FIXED(VLOOKUP($A63,'Small Sample 1-Townhouse'!$A:$R,Q$1,0),2)</f>
        <v>2,351,113.00</v>
      </c>
      <c r="R63" s="3" t="str">
        <f>FIXED(VLOOKUP($A63,'Small Sample 1-Townhouse'!$A:$R,R$1,0),2)</f>
        <v>2,400,056.00</v>
      </c>
      <c r="S63" s="9" t="str">
        <f>FIXED(VLOOKUP($A63,'Small Sample 1-Townhouse'!$A:$R,S$1,0),2)</f>
        <v>2,359,458.00</v>
      </c>
      <c r="T63" s="3" t="str">
        <f>FIXED(VLOOKUP($A63,'Small Sample 1-Townhouse'!$A:$R,T$1,0),2)</f>
        <v>6,887.82</v>
      </c>
      <c r="U63" s="3" t="str">
        <f>FIXED(VLOOKUP($A63,'Small Sample 1-Townhouse'!$A:$R,U$1,0),2)</f>
        <v>2,351,113.00</v>
      </c>
      <c r="V63" s="13" t="str">
        <f>FIXED(VLOOKUP($A63,'Small Sample 1-Townhouse'!$A:$R,V$1,0),2)</f>
        <v>2,400,056.00</v>
      </c>
      <c r="W63" s="9" t="str">
        <f>FIXED(VLOOKUP($A63,'Small Sample 1-Townhouse'!$A:$R,W$1,0),2)</f>
        <v>2,359,648.00</v>
      </c>
      <c r="X63" s="3" t="str">
        <f>FIXED(VLOOKUP($A63,'Small Sample 1-Townhouse'!$A:$R,X$1,0),2)</f>
        <v>6,856.74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2-Townhouse'!$A:$R,AA$1,0),2)</f>
        <v>2,359,551.00</v>
      </c>
      <c r="AB63" s="3" t="str">
        <f>FIXED(VLOOKUP($A63,'Small Sample 2-Townhouse'!$A:$R,AB$1,0),2)</f>
        <v>6,874.58</v>
      </c>
      <c r="AC63" s="3" t="str">
        <f>FIXED(VLOOKUP($A63,'Small Sample 2-Townhouse'!$A:$R,AC$1,0),2)</f>
        <v>2,351,041.00</v>
      </c>
      <c r="AD63" s="3" t="str">
        <f>FIXED(VLOOKUP($A63,'Small Sample 2-Townhouse'!$A:$R,AD$1,0),2)</f>
        <v>2,400,056.00</v>
      </c>
      <c r="AE63" s="9" t="str">
        <f>FIXED(VLOOKUP($A63,'Small Sample 2-Townhouse'!$A:$R,AE$1,0),2)</f>
        <v>2,359,711.00</v>
      </c>
      <c r="AF63" s="3" t="str">
        <f>FIXED(VLOOKUP($A63,'Small Sample 2-Townhouse'!$A:$R,AF$1,0),2)</f>
        <v>6,950.83</v>
      </c>
      <c r="AG63" s="3" t="str">
        <f>FIXED(VLOOKUP($A63,'Small Sample 2-Townhouse'!$A:$R,AG$1,0),2)</f>
        <v>2,351,041.00</v>
      </c>
      <c r="AH63" s="13" t="str">
        <f>FIXED(VLOOKUP($A63,'Small Sample 2-Townhouse'!$A:$R,AH$1,0),2)</f>
        <v>2,400,056.00</v>
      </c>
      <c r="AI63" s="9" t="str">
        <f>FIXED(VLOOKUP($A63,'Small Sample 2-Townhouse'!$A:$R,AI$1,0),2)</f>
        <v>2,359,275.00</v>
      </c>
      <c r="AJ63" s="3" t="str">
        <f>FIXED(VLOOKUP($A63,'Small Sample 2-Townhouse'!$A:$R,AJ$1,0),2)</f>
        <v>6,732.10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54</v>
      </c>
      <c r="B64" t="s">
        <v>184</v>
      </c>
      <c r="C64" s="9" t="str">
        <f>FIXED(VLOOKUP($A64,'Full Sample-Townhouse'!$A:$R,C$1,0),2)</f>
        <v>614,179.70</v>
      </c>
      <c r="D64" s="3" t="str">
        <f>FIXED(VLOOKUP($A64,'Full Sample-Townhouse'!$A:$R,D$1,0),2)</f>
        <v>11,613.40</v>
      </c>
      <c r="E64" s="3" t="str">
        <f>FIXED(VLOOKUP($A64,'Full Sample-Townhouse'!$A:$R,E$1,0),2)</f>
        <v>580,446.10</v>
      </c>
      <c r="F64" s="3" t="str">
        <f>FIXED(VLOOKUP($A64,'Full Sample-Townhouse'!$A:$R,F$1,0),2)</f>
        <v>637,819.70</v>
      </c>
      <c r="G64" s="9" t="str">
        <f>FIXED(VLOOKUP($A64,'Full Sample-Townhouse'!$A:$R,G$1,0),2)</f>
        <v>614,158.00</v>
      </c>
      <c r="H64" s="3" t="str">
        <f>FIXED(VLOOKUP($A64,'Full Sample-Townhouse'!$A:$R,H$1,0),2)</f>
        <v>11,475.19</v>
      </c>
      <c r="I64" s="3" t="str">
        <f>FIXED(VLOOKUP($A64,'Full Sample-Townhouse'!$A:$R,I$1,0),2)</f>
        <v>580,446.10</v>
      </c>
      <c r="J64" s="13" t="str">
        <f>FIXED(VLOOKUP($A64,'Full Sample-Townhouse'!$A:$R,J$1,0),2)</f>
        <v>637,819.70</v>
      </c>
      <c r="K64" s="9" t="str">
        <f>FIXED(VLOOKUP($A64,'Full Sample-Townhouse'!$A:$R,K$1,0),2)</f>
        <v>614,209.70</v>
      </c>
      <c r="L64" s="3" t="str">
        <f>FIXED(VLOOKUP($A64,'Full Sample-Townhouse'!$A:$R,L$1,0),2)</f>
        <v>11,801.75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1-Townhouse'!$A:$R,O$1,0),2)</f>
        <v>614,681.30</v>
      </c>
      <c r="P64" s="3" t="str">
        <f>FIXED(VLOOKUP($A64,'Small Sample 1-Townhouse'!$A:$R,P$1,0),2)</f>
        <v>11,377.04</v>
      </c>
      <c r="Q64" s="3" t="str">
        <f>FIXED(VLOOKUP($A64,'Small Sample 1-Townhouse'!$A:$R,Q$1,0),2)</f>
        <v>580,446.10</v>
      </c>
      <c r="R64" s="3" t="str">
        <f>FIXED(VLOOKUP($A64,'Small Sample 1-Townhouse'!$A:$R,R$1,0),2)</f>
        <v>637,819.70</v>
      </c>
      <c r="S64" s="9" t="str">
        <f>FIXED(VLOOKUP($A64,'Small Sample 1-Townhouse'!$A:$R,S$1,0),2)</f>
        <v>615,023.80</v>
      </c>
      <c r="T64" s="3" t="str">
        <f>FIXED(VLOOKUP($A64,'Small Sample 1-Townhouse'!$A:$R,T$1,0),2)</f>
        <v>11,023.52</v>
      </c>
      <c r="U64" s="3" t="str">
        <f>FIXED(VLOOKUP($A64,'Small Sample 1-Townhouse'!$A:$R,U$1,0),2)</f>
        <v>580,446.10</v>
      </c>
      <c r="V64" s="13" t="str">
        <f>FIXED(VLOOKUP($A64,'Small Sample 1-Townhouse'!$A:$R,V$1,0),2)</f>
        <v>637,819.70</v>
      </c>
      <c r="W64" s="9" t="str">
        <f>FIXED(VLOOKUP($A64,'Small Sample 1-Townhouse'!$A:$R,W$1,0),2)</f>
        <v>614,307.80</v>
      </c>
      <c r="X64" s="3" t="str">
        <f>FIXED(VLOOKUP($A64,'Small Sample 1-Townhouse'!$A:$R,X$1,0),2)</f>
        <v>11,739.61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2-Townhouse'!$A:$R,AA$1,0),2)</f>
        <v>614,679.10</v>
      </c>
      <c r="AB64" s="3" t="str">
        <f>FIXED(VLOOKUP($A64,'Small Sample 2-Townhouse'!$A:$R,AB$1,0),2)</f>
        <v>11,377.33</v>
      </c>
      <c r="AC64" s="3" t="str">
        <f>FIXED(VLOOKUP($A64,'Small Sample 2-Townhouse'!$A:$R,AC$1,0),2)</f>
        <v>580,446.10</v>
      </c>
      <c r="AD64" s="3" t="str">
        <f>FIXED(VLOOKUP($A64,'Small Sample 2-Townhouse'!$A:$R,AD$1,0),2)</f>
        <v>637,819.70</v>
      </c>
      <c r="AE64" s="9" t="str">
        <f>FIXED(VLOOKUP($A64,'Small Sample 2-Townhouse'!$A:$R,AE$1,0),2)</f>
        <v>614,420.30</v>
      </c>
      <c r="AF64" s="3" t="str">
        <f>FIXED(VLOOKUP($A64,'Small Sample 2-Townhouse'!$A:$R,AF$1,0),2)</f>
        <v>11,358.05</v>
      </c>
      <c r="AG64" s="3" t="str">
        <f>FIXED(VLOOKUP($A64,'Small Sample 2-Townhouse'!$A:$R,AG$1,0),2)</f>
        <v>580,446.10</v>
      </c>
      <c r="AH64" s="13" t="str">
        <f>FIXED(VLOOKUP($A64,'Small Sample 2-Townhouse'!$A:$R,AH$1,0),2)</f>
        <v>637,819.70</v>
      </c>
      <c r="AI64" s="9" t="str">
        <f>FIXED(VLOOKUP($A64,'Small Sample 2-Townhouse'!$A:$R,AI$1,0),2)</f>
        <v>615,126.80</v>
      </c>
      <c r="AJ64" s="3" t="str">
        <f>FIXED(VLOOKUP($A64,'Small Sample 2-Townhouse'!$A:$R,AJ$1,0),2)</f>
        <v>11,397.40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Sample-Townhouse'!$A:$R,C$1,0),2)</f>
        <v>0.21</v>
      </c>
      <c r="D65" s="3" t="str">
        <f>FIXED(VLOOKUP($A65,'Full Sample-Townhouse'!$A:$R,D$1,0),2)</f>
        <v>0.41</v>
      </c>
      <c r="E65" s="3" t="str">
        <f>FIXED(VLOOKUP($A65,'Full Sample-Townhouse'!$A:$R,E$1,0),2)</f>
        <v>0.00</v>
      </c>
      <c r="F65" s="3" t="str">
        <f>FIXED(VLOOKUP($A65,'Full Sample-Townhouse'!$A:$R,F$1,0),2)</f>
        <v>1.00</v>
      </c>
      <c r="G65" s="9" t="str">
        <f>FIXED(VLOOKUP($A65,'Full Sample-Townhouse'!$A:$R,G$1,0),2)</f>
        <v>0.22</v>
      </c>
      <c r="H65" s="3" t="str">
        <f>FIXED(VLOOKUP($A65,'Full Sample-Townhouse'!$A:$R,H$1,0),2)</f>
        <v>0.41</v>
      </c>
      <c r="I65" s="3" t="str">
        <f>FIXED(VLOOKUP($A65,'Full Sample-Townhouse'!$A:$R,I$1,0),2)</f>
        <v>0.00</v>
      </c>
      <c r="J65" s="13" t="str">
        <f>FIXED(VLOOKUP($A65,'Full Sample-Townhouse'!$A:$R,J$1,0),2)</f>
        <v>1.00</v>
      </c>
      <c r="K65" s="9" t="str">
        <f>FIXED(VLOOKUP($A65,'Full Sample-Townhouse'!$A:$R,K$1,0),2)</f>
        <v>0.20</v>
      </c>
      <c r="L65" s="3" t="str">
        <f>FIXED(VLOOKUP($A65,'Full Sample-Townhouse'!$A:$R,L$1,0),2)</f>
        <v>0.40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1-Townhouse'!$A:$R,O$1,0),2)</f>
        <v>0.21</v>
      </c>
      <c r="P65" s="3" t="str">
        <f>FIXED(VLOOKUP($A65,'Small Sample 1-Townhouse'!$A:$R,P$1,0),2)</f>
        <v>0.41</v>
      </c>
      <c r="Q65" s="3" t="str">
        <f>FIXED(VLOOKUP($A65,'Small Sample 1-Townhouse'!$A:$R,Q$1,0),2)</f>
        <v>0.00</v>
      </c>
      <c r="R65" s="3" t="str">
        <f>FIXED(VLOOKUP($A65,'Small Sample 1-Townhouse'!$A:$R,R$1,0),2)</f>
        <v>1.00</v>
      </c>
      <c r="S65" s="9" t="str">
        <f>FIXED(VLOOKUP($A65,'Small Sample 1-Townhouse'!$A:$R,S$1,0),2)</f>
        <v>0.23</v>
      </c>
      <c r="T65" s="3" t="str">
        <f>FIXED(VLOOKUP($A65,'Small Sample 1-Townhouse'!$A:$R,T$1,0),2)</f>
        <v>0.42</v>
      </c>
      <c r="U65" s="3" t="str">
        <f>FIXED(VLOOKUP($A65,'Small Sample 1-Townhouse'!$A:$R,U$1,0),2)</f>
        <v>0.00</v>
      </c>
      <c r="V65" s="13" t="str">
        <f>FIXED(VLOOKUP($A65,'Small Sample 1-Townhouse'!$A:$R,V$1,0),2)</f>
        <v>1.00</v>
      </c>
      <c r="W65" s="9" t="str">
        <f>FIXED(VLOOKUP($A65,'Small Sample 1-Townhouse'!$A:$R,W$1,0),2)</f>
        <v>0.20</v>
      </c>
      <c r="X65" s="3" t="str">
        <f>FIXED(VLOOKUP($A65,'Small Sample 1-Townhouse'!$A:$R,X$1,0),2)</f>
        <v>0.40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2-Townhouse'!$A:$R,AA$1,0),2)</f>
        <v>0.21</v>
      </c>
      <c r="AB65" s="3" t="str">
        <f>FIXED(VLOOKUP($A65,'Small Sample 2-Townhouse'!$A:$R,AB$1,0),2)</f>
        <v>0.41</v>
      </c>
      <c r="AC65" s="3" t="str">
        <f>FIXED(VLOOKUP($A65,'Small Sample 2-Townhouse'!$A:$R,AC$1,0),2)</f>
        <v>0.00</v>
      </c>
      <c r="AD65" s="3" t="str">
        <f>FIXED(VLOOKUP($A65,'Small Sample 2-Townhouse'!$A:$R,AD$1,0),2)</f>
        <v>1.00</v>
      </c>
      <c r="AE65" s="9" t="str">
        <f>FIXED(VLOOKUP($A65,'Small Sample 2-Townhouse'!$A:$R,AE$1,0),2)</f>
        <v>0.22</v>
      </c>
      <c r="AF65" s="3" t="str">
        <f>FIXED(VLOOKUP($A65,'Small Sample 2-Townhouse'!$A:$R,AF$1,0),2)</f>
        <v>0.41</v>
      </c>
      <c r="AG65" s="3" t="str">
        <f>FIXED(VLOOKUP($A65,'Small Sample 2-Townhouse'!$A:$R,AG$1,0),2)</f>
        <v>0.00</v>
      </c>
      <c r="AH65" s="13" t="str">
        <f>FIXED(VLOOKUP($A65,'Small Sample 2-Townhouse'!$A:$R,AH$1,0),2)</f>
        <v>1.00</v>
      </c>
      <c r="AI65" s="9" t="str">
        <f>FIXED(VLOOKUP($A65,'Small Sample 2-Townhouse'!$A:$R,AI$1,0),2)</f>
        <v>0.20</v>
      </c>
      <c r="AJ65" s="3" t="str">
        <f>FIXED(VLOOKUP($A65,'Small Sample 2-Townhouse'!$A:$R,AJ$1,0),2)</f>
        <v>0.40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9" t="str">
        <f>FIXED(VLOOKUP($A66,'Full Sample-Townhouse'!$A:$R,C$1,0),2)</f>
        <v>0.01</v>
      </c>
      <c r="D66" s="3" t="str">
        <f>FIXED(VLOOKUP($A66,'Full Sample-Townhouse'!$A:$R,D$1,0),2)</f>
        <v>0.10</v>
      </c>
      <c r="E66" s="3" t="str">
        <f>FIXED(VLOOKUP($A66,'Full Sample-Townhouse'!$A:$R,E$1,0),2)</f>
        <v>0.00</v>
      </c>
      <c r="F66" s="3" t="str">
        <f>FIXED(VLOOKUP($A66,'Full Sample-Townhouse'!$A:$R,F$1,0),2)</f>
        <v>1.00</v>
      </c>
      <c r="G66" s="9" t="str">
        <f>FIXED(VLOOKUP($A66,'Full Sample-Townhouse'!$A:$R,G$1,0),2)</f>
        <v>0.01</v>
      </c>
      <c r="H66" s="3" t="str">
        <f>FIXED(VLOOKUP($A66,'Full Sample-Townhouse'!$A:$R,H$1,0),2)</f>
        <v>0.09</v>
      </c>
      <c r="I66" s="3" t="str">
        <f>FIXED(VLOOKUP($A66,'Full Sample-Townhouse'!$A:$R,I$1,0),2)</f>
        <v>0.00</v>
      </c>
      <c r="J66" s="13" t="str">
        <f>FIXED(VLOOKUP($A66,'Full Sample-Townhouse'!$A:$R,J$1,0),2)</f>
        <v>1.00</v>
      </c>
      <c r="K66" s="9" t="str">
        <f>FIXED(VLOOKUP($A66,'Full Sample-Townhouse'!$A:$R,K$1,0),2)</f>
        <v>0.01</v>
      </c>
      <c r="L66" s="3" t="str">
        <f>FIXED(VLOOKUP($A66,'Full Sample-Townhouse'!$A:$R,L$1,0),2)</f>
        <v>0.11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FIXED(VLOOKUP($A66,'Small Sample 1-Townhouse'!$A:$R,O$1,0),2)</f>
        <v>0.01</v>
      </c>
      <c r="P66" s="3" t="str">
        <f>FIXED(VLOOKUP($A66,'Small Sample 1-Townhouse'!$A:$R,P$1,0),2)</f>
        <v>0.10</v>
      </c>
      <c r="Q66" s="3" t="str">
        <f>FIXED(VLOOKUP($A66,'Small Sample 1-Townhouse'!$A:$R,Q$1,0),2)</f>
        <v>0.00</v>
      </c>
      <c r="R66" s="3" t="str">
        <f>FIXED(VLOOKUP($A66,'Small Sample 1-Townhouse'!$A:$R,R$1,0),2)</f>
        <v>1.00</v>
      </c>
      <c r="S66" s="9" t="str">
        <f>FIXED(VLOOKUP($A66,'Small Sample 1-Townhouse'!$A:$R,S$1,0),2)</f>
        <v>0.01</v>
      </c>
      <c r="T66" s="3" t="str">
        <f>FIXED(VLOOKUP($A66,'Small Sample 1-Townhouse'!$A:$R,T$1,0),2)</f>
        <v>0.10</v>
      </c>
      <c r="U66" s="3" t="str">
        <f>FIXED(VLOOKUP($A66,'Small Sample 1-Townhouse'!$A:$R,U$1,0),2)</f>
        <v>0.00</v>
      </c>
      <c r="V66" s="13" t="str">
        <f>FIXED(VLOOKUP($A66,'Small Sample 1-Townhouse'!$A:$R,V$1,0),2)</f>
        <v>1.00</v>
      </c>
      <c r="W66" s="9" t="str">
        <f>FIXED(VLOOKUP($A66,'Small Sample 1-Townhouse'!$A:$R,W$1,0),2)</f>
        <v>0.01</v>
      </c>
      <c r="X66" s="3" t="str">
        <f>FIXED(VLOOKUP($A66,'Small Sample 1-Townhouse'!$A:$R,X$1,0),2)</f>
        <v>0.11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9" t="str">
        <f>FIXED(VLOOKUP($A66,'Small Sample 2-Townhouse'!$A:$R,AA$1,0),2)</f>
        <v>0.01</v>
      </c>
      <c r="AB66" s="3" t="str">
        <f>FIXED(VLOOKUP($A66,'Small Sample 2-Townhouse'!$A:$R,AB$1,0),2)</f>
        <v>0.10</v>
      </c>
      <c r="AC66" s="3" t="str">
        <f>FIXED(VLOOKUP($A66,'Small Sample 2-Townhouse'!$A:$R,AC$1,0),2)</f>
        <v>0.00</v>
      </c>
      <c r="AD66" s="3" t="str">
        <f>FIXED(VLOOKUP($A66,'Small Sample 2-Townhouse'!$A:$R,AD$1,0),2)</f>
        <v>1.00</v>
      </c>
      <c r="AE66" s="9" t="str">
        <f>FIXED(VLOOKUP($A66,'Small Sample 2-Townhouse'!$A:$R,AE$1,0),2)</f>
        <v>0.01</v>
      </c>
      <c r="AF66" s="3" t="str">
        <f>FIXED(VLOOKUP($A66,'Small Sample 2-Townhouse'!$A:$R,AF$1,0),2)</f>
        <v>0.10</v>
      </c>
      <c r="AG66" s="3" t="str">
        <f>FIXED(VLOOKUP($A66,'Small Sample 2-Townhouse'!$A:$R,AG$1,0),2)</f>
        <v>0.00</v>
      </c>
      <c r="AH66" s="13" t="str">
        <f>FIXED(VLOOKUP($A66,'Small Sample 2-Townhouse'!$A:$R,AH$1,0),2)</f>
        <v>1.00</v>
      </c>
      <c r="AI66" s="9" t="str">
        <f>FIXED(VLOOKUP($A66,'Small Sample 2-Townhouse'!$A:$R,AI$1,0),2)</f>
        <v>0.01</v>
      </c>
      <c r="AJ66" s="3" t="str">
        <f>FIXED(VLOOKUP($A66,'Small Sample 2-Townhouse'!$A:$R,AJ$1,0),2)</f>
        <v>0.12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9" t="str">
        <f>FIXED(VLOOKUP($A67,'Full Sample-Townhouse'!$A:$R,C$1,0),2)</f>
        <v>0.00</v>
      </c>
      <c r="D67" s="3" t="str">
        <f>FIXED(VLOOKUP($A67,'Full Sample-Townhouse'!$A:$R,D$1,0),2)</f>
        <v>0.02</v>
      </c>
      <c r="E67" s="3" t="str">
        <f>FIXED(VLOOKUP($A67,'Full Sample-Townhouse'!$A:$R,E$1,0),2)</f>
        <v>0.00</v>
      </c>
      <c r="F67" s="3" t="str">
        <f>FIXED(VLOOKUP($A67,'Full Sample-Townhouse'!$A:$R,F$1,0),2)</f>
        <v>1.00</v>
      </c>
      <c r="G67" s="9" t="str">
        <f>FIXED(VLOOKUP($A67,'Full Sample-Townhouse'!$A:$R,G$1,0),2)</f>
        <v>0.00</v>
      </c>
      <c r="H67" s="3" t="str">
        <f>FIXED(VLOOKUP($A67,'Full Sample-Townhouse'!$A:$R,H$1,0),2)</f>
        <v>0.03</v>
      </c>
      <c r="I67" s="3" t="str">
        <f>FIXED(VLOOKUP($A67,'Full Sample-Townhouse'!$A:$R,I$1,0),2)</f>
        <v>0.00</v>
      </c>
      <c r="J67" s="13" t="str">
        <f>FIXED(VLOOKUP($A67,'Full Sample-Townhouse'!$A:$R,J$1,0),2)</f>
        <v>1.00</v>
      </c>
      <c r="K67" s="9" t="str">
        <f>FIXED(VLOOKUP($A67,'Full Sample-Townhouse'!$A:$R,K$1,0),2)</f>
        <v>0.00</v>
      </c>
      <c r="L67" s="3" t="str">
        <f>FIXED(VLOOKUP($A67,'Full Sample-Townhouse'!$A:$R,L$1,0),2)</f>
        <v>0.02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FIXED(VLOOKUP($A67,'Small Sample 1-Townhouse'!$A:$R,O$1,0),2)</f>
        <v>0.00</v>
      </c>
      <c r="P67" s="3" t="str">
        <f>FIXED(VLOOKUP($A67,'Small Sample 1-Townhouse'!$A:$R,P$1,0),2)</f>
        <v>0.02</v>
      </c>
      <c r="Q67" s="3" t="str">
        <f>FIXED(VLOOKUP($A67,'Small Sample 1-Townhouse'!$A:$R,Q$1,0),2)</f>
        <v>0.00</v>
      </c>
      <c r="R67" s="3" t="str">
        <f>FIXED(VLOOKUP($A67,'Small Sample 1-Townhouse'!$A:$R,R$1,0),2)</f>
        <v>1.00</v>
      </c>
      <c r="S67" s="9" t="str">
        <f>FIXED(VLOOKUP($A67,'Small Sample 1-Townhouse'!$A:$R,S$1,0),2)</f>
        <v>0.00</v>
      </c>
      <c r="T67" s="3" t="str">
        <f>FIXED(VLOOKUP($A67,'Small Sample 1-Townhouse'!$A:$R,T$1,0),2)</f>
        <v>0.03</v>
      </c>
      <c r="U67" s="3" t="str">
        <f>FIXED(VLOOKUP($A67,'Small Sample 1-Townhouse'!$A:$R,U$1,0),2)</f>
        <v>0.00</v>
      </c>
      <c r="V67" s="13" t="str">
        <f>FIXED(VLOOKUP($A67,'Small Sample 1-Townhouse'!$A:$R,V$1,0),2)</f>
        <v>1.00</v>
      </c>
      <c r="W67" s="9" t="str">
        <f>FIXED(VLOOKUP($A67,'Small Sample 1-Townhouse'!$A:$R,W$1,0),2)</f>
        <v>0.00</v>
      </c>
      <c r="X67" s="3" t="str">
        <f>FIXED(VLOOKUP($A67,'Small Sample 1-Townhouse'!$A:$R,X$1,0),2)</f>
        <v>0.02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9" t="str">
        <f>FIXED(VLOOKUP($A67,'Small Sample 2-Townhouse'!$A:$R,AA$1,0),2)</f>
        <v>0.00</v>
      </c>
      <c r="AB67" s="3" t="str">
        <f>FIXED(VLOOKUP($A67,'Small Sample 2-Townhouse'!$A:$R,AB$1,0),2)</f>
        <v>0.02</v>
      </c>
      <c r="AC67" s="3" t="str">
        <f>FIXED(VLOOKUP($A67,'Small Sample 2-Townhouse'!$A:$R,AC$1,0),2)</f>
        <v>0.00</v>
      </c>
      <c r="AD67" s="3" t="str">
        <f>FIXED(VLOOKUP($A67,'Small Sample 2-Townhouse'!$A:$R,AD$1,0),2)</f>
        <v>1.00</v>
      </c>
      <c r="AE67" s="9" t="str">
        <f>FIXED(VLOOKUP($A67,'Small Sample 2-Townhouse'!$A:$R,AE$1,0),2)</f>
        <v>0.00</v>
      </c>
      <c r="AF67" s="3" t="str">
        <f>FIXED(VLOOKUP($A67,'Small Sample 2-Townhouse'!$A:$R,AF$1,0),2)</f>
        <v>0.03</v>
      </c>
      <c r="AG67" s="3" t="str">
        <f>FIXED(VLOOKUP($A67,'Small Sample 2-Townhouse'!$A:$R,AG$1,0),2)</f>
        <v>0.00</v>
      </c>
      <c r="AH67" s="13" t="str">
        <f>FIXED(VLOOKUP($A67,'Small Sample 2-Townhouse'!$A:$R,AH$1,0),2)</f>
        <v>1.00</v>
      </c>
      <c r="AI67" s="9" t="str">
        <f>FIXED(VLOOKUP($A67,'Small Sample 2-Townhouse'!$A:$R,AI$1,0),2)</f>
        <v>0.00</v>
      </c>
      <c r="AJ67" s="3" t="str">
        <f>FIXED(VLOOKUP($A67,'Small Sample 2-Townhouse'!$A:$R,AJ$1,0),2)</f>
        <v>0.02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9" t="str">
        <f>FIXED(VLOOKUP($A68,'Full Sample-Townhouse'!$A:$R,C$1,0),2)</f>
        <v>0.07</v>
      </c>
      <c r="D68" s="3" t="str">
        <f>FIXED(VLOOKUP($A68,'Full Sample-Townhouse'!$A:$R,D$1,0),2)</f>
        <v>0.26</v>
      </c>
      <c r="E68" s="3" t="str">
        <f>FIXED(VLOOKUP($A68,'Full Sample-Townhouse'!$A:$R,E$1,0),2)</f>
        <v>0.00</v>
      </c>
      <c r="F68" s="3" t="str">
        <f>FIXED(VLOOKUP($A68,'Full Sample-Townhouse'!$A:$R,F$1,0),2)</f>
        <v>1.00</v>
      </c>
      <c r="G68" s="9" t="str">
        <f>FIXED(VLOOKUP($A68,'Full Sample-Townhouse'!$A:$R,G$1,0),2)</f>
        <v>0.07</v>
      </c>
      <c r="H68" s="3" t="str">
        <f>FIXED(VLOOKUP($A68,'Full Sample-Townhouse'!$A:$R,H$1,0),2)</f>
        <v>0.26</v>
      </c>
      <c r="I68" s="3" t="str">
        <f>FIXED(VLOOKUP($A68,'Full Sample-Townhouse'!$A:$R,I$1,0),2)</f>
        <v>0.00</v>
      </c>
      <c r="J68" s="13" t="str">
        <f>FIXED(VLOOKUP($A68,'Full Sample-Townhouse'!$A:$R,J$1,0),2)</f>
        <v>1.00</v>
      </c>
      <c r="K68" s="9" t="str">
        <f>FIXED(VLOOKUP($A68,'Full Sample-Townhouse'!$A:$R,K$1,0),2)</f>
        <v>0.08</v>
      </c>
      <c r="L68" s="3" t="str">
        <f>FIXED(VLOOKUP($A68,'Full Sample-Townhouse'!$A:$R,L$1,0),2)</f>
        <v>0.26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9" t="str">
        <f>FIXED(VLOOKUP($A68,'Small Sample 1-Townhouse'!$A:$R,O$1,0),2)</f>
        <v>0.08</v>
      </c>
      <c r="P68" s="3" t="str">
        <f>FIXED(VLOOKUP($A68,'Small Sample 1-Townhouse'!$A:$R,P$1,0),2)</f>
        <v>0.26</v>
      </c>
      <c r="Q68" s="3" t="str">
        <f>FIXED(VLOOKUP($A68,'Small Sample 1-Townhouse'!$A:$R,Q$1,0),2)</f>
        <v>0.00</v>
      </c>
      <c r="R68" s="3" t="str">
        <f>FIXED(VLOOKUP($A68,'Small Sample 1-Townhouse'!$A:$R,R$1,0),2)</f>
        <v>1.00</v>
      </c>
      <c r="S68" s="9" t="str">
        <f>FIXED(VLOOKUP($A68,'Small Sample 1-Townhouse'!$A:$R,S$1,0),2)</f>
        <v>0.08</v>
      </c>
      <c r="T68" s="3" t="str">
        <f>FIXED(VLOOKUP($A68,'Small Sample 1-Townhouse'!$A:$R,T$1,0),2)</f>
        <v>0.26</v>
      </c>
      <c r="U68" s="3" t="str">
        <f>FIXED(VLOOKUP($A68,'Small Sample 1-Townhouse'!$A:$R,U$1,0),2)</f>
        <v>0.00</v>
      </c>
      <c r="V68" s="13" t="str">
        <f>FIXED(VLOOKUP($A68,'Small Sample 1-Townhouse'!$A:$R,V$1,0),2)</f>
        <v>1.00</v>
      </c>
      <c r="W68" s="9" t="str">
        <f>FIXED(VLOOKUP($A68,'Small Sample 1-Townhouse'!$A:$R,W$1,0),2)</f>
        <v>0.08</v>
      </c>
      <c r="X68" s="3" t="str">
        <f>FIXED(VLOOKUP($A68,'Small Sample 1-Townhouse'!$A:$R,X$1,0),2)</f>
        <v>0.26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9" t="str">
        <f>FIXED(VLOOKUP($A68,'Small Sample 2-Townhouse'!$A:$R,AA$1,0),2)</f>
        <v>0.08</v>
      </c>
      <c r="AB68" s="3" t="str">
        <f>FIXED(VLOOKUP($A68,'Small Sample 2-Townhouse'!$A:$R,AB$1,0),2)</f>
        <v>0.26</v>
      </c>
      <c r="AC68" s="3" t="str">
        <f>FIXED(VLOOKUP($A68,'Small Sample 2-Townhouse'!$A:$R,AC$1,0),2)</f>
        <v>0.00</v>
      </c>
      <c r="AD68" s="3" t="str">
        <f>FIXED(VLOOKUP($A68,'Small Sample 2-Townhouse'!$A:$R,AD$1,0),2)</f>
        <v>1.00</v>
      </c>
      <c r="AE68" s="9" t="str">
        <f>FIXED(VLOOKUP($A68,'Small Sample 2-Townhouse'!$A:$R,AE$1,0),2)</f>
        <v>0.07</v>
      </c>
      <c r="AF68" s="3" t="str">
        <f>FIXED(VLOOKUP($A68,'Small Sample 2-Townhouse'!$A:$R,AF$1,0),2)</f>
        <v>0.26</v>
      </c>
      <c r="AG68" s="3" t="str">
        <f>FIXED(VLOOKUP($A68,'Small Sample 2-Townhouse'!$A:$R,AG$1,0),2)</f>
        <v>0.00</v>
      </c>
      <c r="AH68" s="13" t="str">
        <f>FIXED(VLOOKUP($A68,'Small Sample 2-Townhouse'!$A:$R,AH$1,0),2)</f>
        <v>1.00</v>
      </c>
      <c r="AI68" s="9" t="str">
        <f>FIXED(VLOOKUP($A68,'Small Sample 2-Townhouse'!$A:$R,AI$1,0),2)</f>
        <v>0.08</v>
      </c>
      <c r="AJ68" s="3" t="str">
        <f>FIXED(VLOOKUP($A68,'Small Sample 2-Townhouse'!$A:$R,AJ$1,0),2)</f>
        <v>0.27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Sample-Townhouse'!$A:$R,C$1,0),2)</f>
        <v>0.31</v>
      </c>
      <c r="D69" s="3" t="str">
        <f>FIXED(VLOOKUP($A69,'Full Sample-Townhouse'!$A:$R,D$1,0),2)</f>
        <v>0.46</v>
      </c>
      <c r="E69" s="3" t="str">
        <f>FIXED(VLOOKUP($A69,'Full Sample-Townhouse'!$A:$R,E$1,0),2)</f>
        <v>0.00</v>
      </c>
      <c r="F69" s="3" t="str">
        <f>FIXED(VLOOKUP($A69,'Full Sample-Townhouse'!$A:$R,F$1,0),2)</f>
        <v>1.00</v>
      </c>
      <c r="G69" s="9" t="str">
        <f>FIXED(VLOOKUP($A69,'Full Sample-Townhouse'!$A:$R,G$1,0),2)</f>
        <v>0.31</v>
      </c>
      <c r="H69" s="3" t="str">
        <f>FIXED(VLOOKUP($A69,'Full Sample-Townhouse'!$A:$R,H$1,0),2)</f>
        <v>0.46</v>
      </c>
      <c r="I69" s="3" t="str">
        <f>FIXED(VLOOKUP($A69,'Full Sample-Townhouse'!$A:$R,I$1,0),2)</f>
        <v>0.00</v>
      </c>
      <c r="J69" s="13" t="str">
        <f>FIXED(VLOOKUP($A69,'Full Sample-Townhouse'!$A:$R,J$1,0),2)</f>
        <v>1.00</v>
      </c>
      <c r="K69" s="9" t="str">
        <f>FIXED(VLOOKUP($A69,'Full Sample-Townhouse'!$A:$R,K$1,0),2)</f>
        <v>0.31</v>
      </c>
      <c r="L69" s="3" t="str">
        <f>FIXED(VLOOKUP($A69,'Full Sample-Townhouse'!$A:$R,L$1,0),2)</f>
        <v>0.46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1-Townhouse'!$A:$R,O$1,0),2)</f>
        <v>0.29</v>
      </c>
      <c r="P69" s="3" t="str">
        <f>FIXED(VLOOKUP($A69,'Small Sample 1-Townhouse'!$A:$R,P$1,0),2)</f>
        <v>0.45</v>
      </c>
      <c r="Q69" s="3" t="str">
        <f>FIXED(VLOOKUP($A69,'Small Sample 1-Townhouse'!$A:$R,Q$1,0),2)</f>
        <v>0.00</v>
      </c>
      <c r="R69" s="3" t="str">
        <f>FIXED(VLOOKUP($A69,'Small Sample 1-Townhouse'!$A:$R,R$1,0),2)</f>
        <v>1.00</v>
      </c>
      <c r="S69" s="9" t="str">
        <f>FIXED(VLOOKUP($A69,'Small Sample 1-Townhouse'!$A:$R,S$1,0),2)</f>
        <v>0.27</v>
      </c>
      <c r="T69" s="3" t="str">
        <f>FIXED(VLOOKUP($A69,'Small Sample 1-Townhouse'!$A:$R,T$1,0),2)</f>
        <v>0.44</v>
      </c>
      <c r="U69" s="3" t="str">
        <f>FIXED(VLOOKUP($A69,'Small Sample 1-Townhouse'!$A:$R,U$1,0),2)</f>
        <v>0.00</v>
      </c>
      <c r="V69" s="13" t="str">
        <f>FIXED(VLOOKUP($A69,'Small Sample 1-Townhouse'!$A:$R,V$1,0),2)</f>
        <v>1.00</v>
      </c>
      <c r="W69" s="9" t="str">
        <f>FIXED(VLOOKUP($A69,'Small Sample 1-Townhouse'!$A:$R,W$1,0),2)</f>
        <v>0.30</v>
      </c>
      <c r="X69" s="3" t="str">
        <f>FIXED(VLOOKUP($A69,'Small Sample 1-Townhouse'!$A:$R,X$1,0),2)</f>
        <v>0.46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2-Townhouse'!$A:$R,AA$1,0),2)</f>
        <v>0.29</v>
      </c>
      <c r="AB69" s="3" t="str">
        <f>FIXED(VLOOKUP($A69,'Small Sample 2-Townhouse'!$A:$R,AB$1,0),2)</f>
        <v>0.45</v>
      </c>
      <c r="AC69" s="3" t="str">
        <f>FIXED(VLOOKUP($A69,'Small Sample 2-Townhouse'!$A:$R,AC$1,0),2)</f>
        <v>0.00</v>
      </c>
      <c r="AD69" s="3" t="str">
        <f>FIXED(VLOOKUP($A69,'Small Sample 2-Townhouse'!$A:$R,AD$1,0),2)</f>
        <v>1.00</v>
      </c>
      <c r="AE69" s="9" t="str">
        <f>FIXED(VLOOKUP($A69,'Small Sample 2-Townhouse'!$A:$R,AE$1,0),2)</f>
        <v>0.30</v>
      </c>
      <c r="AF69" s="3" t="str">
        <f>FIXED(VLOOKUP($A69,'Small Sample 2-Townhouse'!$A:$R,AF$1,0),2)</f>
        <v>0.46</v>
      </c>
      <c r="AG69" s="3" t="str">
        <f>FIXED(VLOOKUP($A69,'Small Sample 2-Townhouse'!$A:$R,AG$1,0),2)</f>
        <v>0.00</v>
      </c>
      <c r="AH69" s="13" t="str">
        <f>FIXED(VLOOKUP($A69,'Small Sample 2-Townhouse'!$A:$R,AH$1,0),2)</f>
        <v>1.00</v>
      </c>
      <c r="AI69" s="9" t="str">
        <f>FIXED(VLOOKUP($A69,'Small Sample 2-Townhouse'!$A:$R,AI$1,0),2)</f>
        <v>0.27</v>
      </c>
      <c r="AJ69" s="3" t="str">
        <f>FIXED(VLOOKUP($A69,'Small Sample 2-Townhouse'!$A:$R,AJ$1,0),2)</f>
        <v>0.44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Sample-Townhouse'!$A:$R,C$1,0),2)</f>
        <v>0.01</v>
      </c>
      <c r="D70" s="3" t="str">
        <f>FIXED(VLOOKUP($A70,'Full Sample-Townhouse'!$A:$R,D$1,0),2)</f>
        <v>0.09</v>
      </c>
      <c r="E70" s="3" t="str">
        <f>FIXED(VLOOKUP($A70,'Full Sample-Townhouse'!$A:$R,E$1,0),2)</f>
        <v>0.00</v>
      </c>
      <c r="F70" s="3" t="str">
        <f>FIXED(VLOOKUP($A70,'Full Sample-Townhouse'!$A:$R,F$1,0),2)</f>
        <v>1.00</v>
      </c>
      <c r="G70" s="9" t="str">
        <f>FIXED(VLOOKUP($A70,'Full Sample-Townhouse'!$A:$R,G$1,0),2)</f>
        <v>0.01</v>
      </c>
      <c r="H70" s="3" t="str">
        <f>FIXED(VLOOKUP($A70,'Full Sample-Townhouse'!$A:$R,H$1,0),2)</f>
        <v>0.08</v>
      </c>
      <c r="I70" s="3" t="str">
        <f>FIXED(VLOOKUP($A70,'Full Sample-Townhouse'!$A:$R,I$1,0),2)</f>
        <v>0.00</v>
      </c>
      <c r="J70" s="13" t="str">
        <f>FIXED(VLOOKUP($A70,'Full Sample-Townhouse'!$A:$R,J$1,0),2)</f>
        <v>1.00</v>
      </c>
      <c r="K70" s="9" t="str">
        <f>FIXED(VLOOKUP($A70,'Full Sample-Townhouse'!$A:$R,K$1,0),2)</f>
        <v>0.01</v>
      </c>
      <c r="L70" s="3" t="str">
        <f>FIXED(VLOOKUP($A70,'Full Sample-Townhouse'!$A:$R,L$1,0),2)</f>
        <v>0.09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1-Townhouse'!$A:$R,O$1,0),2)</f>
        <v>0.01</v>
      </c>
      <c r="P70" s="3" t="str">
        <f>FIXED(VLOOKUP($A70,'Small Sample 1-Townhouse'!$A:$R,P$1,0),2)</f>
        <v>0.09</v>
      </c>
      <c r="Q70" s="3" t="str">
        <f>FIXED(VLOOKUP($A70,'Small Sample 1-Townhouse'!$A:$R,Q$1,0),2)</f>
        <v>0.00</v>
      </c>
      <c r="R70" s="3" t="str">
        <f>FIXED(VLOOKUP($A70,'Small Sample 1-Townhouse'!$A:$R,R$1,0),2)</f>
        <v>1.00</v>
      </c>
      <c r="S70" s="9" t="str">
        <f>FIXED(VLOOKUP($A70,'Small Sample 1-Townhouse'!$A:$R,S$1,0),2)</f>
        <v>0.01</v>
      </c>
      <c r="T70" s="3" t="str">
        <f>FIXED(VLOOKUP($A70,'Small Sample 1-Townhouse'!$A:$R,T$1,0),2)</f>
        <v>0.09</v>
      </c>
      <c r="U70" s="3" t="str">
        <f>FIXED(VLOOKUP($A70,'Small Sample 1-Townhouse'!$A:$R,U$1,0),2)</f>
        <v>0.00</v>
      </c>
      <c r="V70" s="13" t="str">
        <f>FIXED(VLOOKUP($A70,'Small Sample 1-Townhouse'!$A:$R,V$1,0),2)</f>
        <v>1.00</v>
      </c>
      <c r="W70" s="9" t="str">
        <f>FIXED(VLOOKUP($A70,'Small Sample 1-Townhouse'!$A:$R,W$1,0),2)</f>
        <v>0.01</v>
      </c>
      <c r="X70" s="3" t="str">
        <f>FIXED(VLOOKUP($A70,'Small Sample 1-Townhouse'!$A:$R,X$1,0),2)</f>
        <v>0.09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2-Townhouse'!$A:$R,AA$1,0),2)</f>
        <v>0.01</v>
      </c>
      <c r="AB70" s="3" t="str">
        <f>FIXED(VLOOKUP($A70,'Small Sample 2-Townhouse'!$A:$R,AB$1,0),2)</f>
        <v>0.09</v>
      </c>
      <c r="AC70" s="3" t="str">
        <f>FIXED(VLOOKUP($A70,'Small Sample 2-Townhouse'!$A:$R,AC$1,0),2)</f>
        <v>0.00</v>
      </c>
      <c r="AD70" s="3" t="str">
        <f>FIXED(VLOOKUP($A70,'Small Sample 2-Townhouse'!$A:$R,AD$1,0),2)</f>
        <v>1.00</v>
      </c>
      <c r="AE70" s="9" t="str">
        <f>FIXED(VLOOKUP($A70,'Small Sample 2-Townhouse'!$A:$R,AE$1,0),2)</f>
        <v>0.01</v>
      </c>
      <c r="AF70" s="3" t="str">
        <f>FIXED(VLOOKUP($A70,'Small Sample 2-Townhouse'!$A:$R,AF$1,0),2)</f>
        <v>0.08</v>
      </c>
      <c r="AG70" s="3" t="str">
        <f>FIXED(VLOOKUP($A70,'Small Sample 2-Townhouse'!$A:$R,AG$1,0),2)</f>
        <v>0.00</v>
      </c>
      <c r="AH70" s="13" t="str">
        <f>FIXED(VLOOKUP($A70,'Small Sample 2-Townhouse'!$A:$R,AH$1,0),2)</f>
        <v>1.00</v>
      </c>
      <c r="AI70" s="9" t="str">
        <f>FIXED(VLOOKUP($A70,'Small Sample 2-Townhouse'!$A:$R,AI$1,0),2)</f>
        <v>0.01</v>
      </c>
      <c r="AJ70" s="3" t="str">
        <f>FIXED(VLOOKUP($A70,'Small Sample 2-Townhouse'!$A:$R,AJ$1,0),2)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Sample-Townhouse'!$A:$R,C$1,0),2)</f>
        <v>0.39</v>
      </c>
      <c r="D71" s="3" t="str">
        <f>FIXED(VLOOKUP($A71,'Full Sample-Townhouse'!$A:$R,D$1,0),2)</f>
        <v>0.49</v>
      </c>
      <c r="E71" s="3" t="str">
        <f>FIXED(VLOOKUP($A71,'Full Sample-Townhouse'!$A:$R,E$1,0),2)</f>
        <v>0.00</v>
      </c>
      <c r="F71" s="3" t="str">
        <f>FIXED(VLOOKUP($A71,'Full Sample-Townhouse'!$A:$R,F$1,0),2)</f>
        <v>1.00</v>
      </c>
      <c r="G71" s="9" t="str">
        <f>FIXED(VLOOKUP($A71,'Full Sample-Townhouse'!$A:$R,G$1,0),2)</f>
        <v>0.39</v>
      </c>
      <c r="H71" s="3" t="str">
        <f>FIXED(VLOOKUP($A71,'Full Sample-Townhouse'!$A:$R,H$1,0),2)</f>
        <v>0.49</v>
      </c>
      <c r="I71" s="3" t="str">
        <f>FIXED(VLOOKUP($A71,'Full Sample-Townhouse'!$A:$R,I$1,0),2)</f>
        <v>0.00</v>
      </c>
      <c r="J71" s="13" t="str">
        <f>FIXED(VLOOKUP($A71,'Full Sample-Townhouse'!$A:$R,J$1,0),2)</f>
        <v>1.00</v>
      </c>
      <c r="K71" s="9" t="str">
        <f>FIXED(VLOOKUP($A71,'Full Sample-Townhouse'!$A:$R,K$1,0),2)</f>
        <v>0.40</v>
      </c>
      <c r="L71" s="3" t="str">
        <f>FIXED(VLOOKUP($A71,'Full Sample-Townhouse'!$A:$R,L$1,0),2)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1-Townhouse'!$A:$R,O$1,0),2)</f>
        <v>0.41</v>
      </c>
      <c r="P71" s="3" t="str">
        <f>FIXED(VLOOKUP($A71,'Small Sample 1-Townhouse'!$A:$R,P$1,0),2)</f>
        <v>0.49</v>
      </c>
      <c r="Q71" s="3" t="str">
        <f>FIXED(VLOOKUP($A71,'Small Sample 1-Townhouse'!$A:$R,Q$1,0),2)</f>
        <v>0.00</v>
      </c>
      <c r="R71" s="3" t="str">
        <f>FIXED(VLOOKUP($A71,'Small Sample 1-Townhouse'!$A:$R,R$1,0),2)</f>
        <v>1.00</v>
      </c>
      <c r="S71" s="9" t="str">
        <f>FIXED(VLOOKUP($A71,'Small Sample 1-Townhouse'!$A:$R,S$1,0),2)</f>
        <v>0.41</v>
      </c>
      <c r="T71" s="3" t="str">
        <f>FIXED(VLOOKUP($A71,'Small Sample 1-Townhouse'!$A:$R,T$1,0),2)</f>
        <v>0.49</v>
      </c>
      <c r="U71" s="3" t="str">
        <f>FIXED(VLOOKUP($A71,'Small Sample 1-Townhouse'!$A:$R,U$1,0),2)</f>
        <v>0.00</v>
      </c>
      <c r="V71" s="13" t="str">
        <f>FIXED(VLOOKUP($A71,'Small Sample 1-Townhouse'!$A:$R,V$1,0),2)</f>
        <v>1.00</v>
      </c>
      <c r="W71" s="9" t="str">
        <f>FIXED(VLOOKUP($A71,'Small Sample 1-Townhouse'!$A:$R,W$1,0),2)</f>
        <v>0.41</v>
      </c>
      <c r="X71" s="3" t="str">
        <f>FIXED(VLOOKUP($A71,'Small Sample 1-Townhouse'!$A:$R,X$1,0),2)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2-Townhouse'!$A:$R,AA$1,0),2)</f>
        <v>0.41</v>
      </c>
      <c r="AB71" s="3" t="str">
        <f>FIXED(VLOOKUP($A71,'Small Sample 2-Townhouse'!$A:$R,AB$1,0),2)</f>
        <v>0.49</v>
      </c>
      <c r="AC71" s="3" t="str">
        <f>FIXED(VLOOKUP($A71,'Small Sample 2-Townhouse'!$A:$R,AC$1,0),2)</f>
        <v>0.00</v>
      </c>
      <c r="AD71" s="3" t="str">
        <f>FIXED(VLOOKUP($A71,'Small Sample 2-Townhouse'!$A:$R,AD$1,0),2)</f>
        <v>1.00</v>
      </c>
      <c r="AE71" s="9" t="str">
        <f>FIXED(VLOOKUP($A71,'Small Sample 2-Townhouse'!$A:$R,AE$1,0),2)</f>
        <v>0.39</v>
      </c>
      <c r="AF71" s="3" t="str">
        <f>FIXED(VLOOKUP($A71,'Small Sample 2-Townhouse'!$A:$R,AF$1,0),2)</f>
        <v>0.49</v>
      </c>
      <c r="AG71" s="3" t="str">
        <f>FIXED(VLOOKUP($A71,'Small Sample 2-Townhouse'!$A:$R,AG$1,0),2)</f>
        <v>0.00</v>
      </c>
      <c r="AH71" s="13" t="str">
        <f>FIXED(VLOOKUP($A71,'Small Sample 2-Townhouse'!$A:$R,AH$1,0),2)</f>
        <v>1.00</v>
      </c>
      <c r="AI71" s="9" t="str">
        <f>FIXED(VLOOKUP($A71,'Small Sample 2-Townhouse'!$A:$R,AI$1,0),2)</f>
        <v>0.43</v>
      </c>
      <c r="AJ71" s="3" t="str">
        <f>FIXED(VLOOKUP($A71,'Small Sample 2-Townhouse'!$A:$R,AJ$1,0),2)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Sample-Townhouse'!$A:$R,C$1,0),2)</f>
        <v>0.27</v>
      </c>
      <c r="D72" s="3" t="str">
        <f>FIXED(VLOOKUP($A72,'Full Sample-Townhouse'!$A:$R,D$1,0),2)</f>
        <v>0.19</v>
      </c>
      <c r="E72" s="3" t="str">
        <f>FIXED(VLOOKUP($A72,'Full Sample-Townhouse'!$A:$R,E$1,0),2)</f>
        <v>0.00</v>
      </c>
      <c r="F72" s="3" t="str">
        <f>FIXED(VLOOKUP($A72,'Full Sample-Townhouse'!$A:$R,F$1,0),2)</f>
        <v>0.83</v>
      </c>
      <c r="G72" s="9" t="str">
        <f>FIXED(VLOOKUP($A72,'Full Sample-Townhouse'!$A:$R,G$1,0),2)</f>
        <v>0.28</v>
      </c>
      <c r="H72" s="3" t="str">
        <f>FIXED(VLOOKUP($A72,'Full Sample-Townhouse'!$A:$R,H$1,0),2)</f>
        <v>0.19</v>
      </c>
      <c r="I72" s="3" t="str">
        <f>FIXED(VLOOKUP($A72,'Full Sample-Townhouse'!$A:$R,I$1,0),2)</f>
        <v>0.00</v>
      </c>
      <c r="J72" s="13" t="str">
        <f>FIXED(VLOOKUP($A72,'Full Sample-Townhouse'!$A:$R,J$1,0),2)</f>
        <v>0.83</v>
      </c>
      <c r="K72" s="9" t="str">
        <f>FIXED(VLOOKUP($A72,'Full Sample-Townhouse'!$A:$R,K$1,0),2)</f>
        <v>0.27</v>
      </c>
      <c r="L72" s="3" t="str">
        <f>FIXED(VLOOKUP($A72,'Full Sample-Townhouse'!$A:$R,L$1,0),2)</f>
        <v>0.18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1-Townhouse'!$A:$R,O$1,0),2)</f>
        <v>0.27</v>
      </c>
      <c r="P72" s="3" t="str">
        <f>FIXED(VLOOKUP($A72,'Small Sample 1-Townhouse'!$A:$R,P$1,0),2)</f>
        <v>0.19</v>
      </c>
      <c r="Q72" s="3" t="str">
        <f>FIXED(VLOOKUP($A72,'Small Sample 1-Townhouse'!$A:$R,Q$1,0),2)</f>
        <v>0.00</v>
      </c>
      <c r="R72" s="3" t="str">
        <f>FIXED(VLOOKUP($A72,'Small Sample 1-Townhouse'!$A:$R,R$1,0),2)</f>
        <v>0.83</v>
      </c>
      <c r="S72" s="9" t="str">
        <f>FIXED(VLOOKUP($A72,'Small Sample 1-Townhouse'!$A:$R,S$1,0),2)</f>
        <v>0.27</v>
      </c>
      <c r="T72" s="3" t="str">
        <f>FIXED(VLOOKUP($A72,'Small Sample 1-Townhouse'!$A:$R,T$1,0),2)</f>
        <v>0.19</v>
      </c>
      <c r="U72" s="3" t="str">
        <f>FIXED(VLOOKUP($A72,'Small Sample 1-Townhouse'!$A:$R,U$1,0),2)</f>
        <v>0.00</v>
      </c>
      <c r="V72" s="13" t="str">
        <f>FIXED(VLOOKUP($A72,'Small Sample 1-Townhouse'!$A:$R,V$1,0),2)</f>
        <v>0.83</v>
      </c>
      <c r="W72" s="9" t="str">
        <f>FIXED(VLOOKUP($A72,'Small Sample 1-Townhouse'!$A:$R,W$1,0),2)</f>
        <v>0.27</v>
      </c>
      <c r="X72" s="3" t="str">
        <f>FIXED(VLOOKUP($A72,'Small Sample 1-Townhouse'!$A:$R,X$1,0),2)</f>
        <v>0.18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2-Townhouse'!$A:$R,AA$1,0),2)</f>
        <v>0.27</v>
      </c>
      <c r="AB72" s="3" t="str">
        <f>FIXED(VLOOKUP($A72,'Small Sample 2-Townhouse'!$A:$R,AB$1,0),2)</f>
        <v>0.19</v>
      </c>
      <c r="AC72" s="3" t="str">
        <f>FIXED(VLOOKUP($A72,'Small Sample 2-Townhouse'!$A:$R,AC$1,0),2)</f>
        <v>0.00</v>
      </c>
      <c r="AD72" s="3" t="str">
        <f>FIXED(VLOOKUP($A72,'Small Sample 2-Townhouse'!$A:$R,AD$1,0),2)</f>
        <v>0.83</v>
      </c>
      <c r="AE72" s="9" t="str">
        <f>FIXED(VLOOKUP($A72,'Small Sample 2-Townhouse'!$A:$R,AE$1,0),2)</f>
        <v>0.28</v>
      </c>
      <c r="AF72" s="3" t="str">
        <f>FIXED(VLOOKUP($A72,'Small Sample 2-Townhouse'!$A:$R,AF$1,0),2)</f>
        <v>0.19</v>
      </c>
      <c r="AG72" s="3" t="str">
        <f>FIXED(VLOOKUP($A72,'Small Sample 2-Townhouse'!$A:$R,AG$1,0),2)</f>
        <v>0.00</v>
      </c>
      <c r="AH72" s="13" t="str">
        <f>FIXED(VLOOKUP($A72,'Small Sample 2-Townhouse'!$A:$R,AH$1,0),2)</f>
        <v>0.83</v>
      </c>
      <c r="AI72" s="9" t="str">
        <f>FIXED(VLOOKUP($A72,'Small Sample 2-Townhouse'!$A:$R,AI$1,0),2)</f>
        <v>0.26</v>
      </c>
      <c r="AJ72" s="3" t="str">
        <f>FIXED(VLOOKUP($A72,'Small Sample 2-Townhouse'!$A:$R,AJ$1,0),2)</f>
        <v>0.18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Sample-Townhouse'!$A:$R,C$1,0),2)</f>
        <v>0.02</v>
      </c>
      <c r="D73" s="3" t="str">
        <f>FIXED(VLOOKUP($A73,'Full Sample-Townhouse'!$A:$R,D$1,0),2)</f>
        <v>0.04</v>
      </c>
      <c r="E73" s="3" t="str">
        <f>FIXED(VLOOKUP($A73,'Full Sample-Townhouse'!$A:$R,E$1,0),2)</f>
        <v>0.00</v>
      </c>
      <c r="F73" s="3" t="str">
        <f>FIXED(VLOOKUP($A73,'Full Sample-Townhouse'!$A:$R,F$1,0),2)</f>
        <v>0.24</v>
      </c>
      <c r="G73" s="9" t="str">
        <f>FIXED(VLOOKUP($A73,'Full Sample-Townhouse'!$A:$R,G$1,0),2)</f>
        <v>0.02</v>
      </c>
      <c r="H73" s="3" t="str">
        <f>FIXED(VLOOKUP($A73,'Full Sample-Townhouse'!$A:$R,H$1,0),2)</f>
        <v>0.04</v>
      </c>
      <c r="I73" s="3" t="str">
        <f>FIXED(VLOOKUP($A73,'Full Sample-Townhouse'!$A:$R,I$1,0),2)</f>
        <v>0.00</v>
      </c>
      <c r="J73" s="13" t="str">
        <f>FIXED(VLOOKUP($A73,'Full Sample-Townhouse'!$A:$R,J$1,0),2)</f>
        <v>0.24</v>
      </c>
      <c r="K73" s="9" t="str">
        <f>FIXED(VLOOKUP($A73,'Full Sample-Townhouse'!$A:$R,K$1,0),2)</f>
        <v>0.02</v>
      </c>
      <c r="L73" s="3" t="str">
        <f>FIXED(VLOOKUP($A73,'Full Sample-Townhouse'!$A:$R,L$1,0),2)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1-Townhouse'!$A:$R,O$1,0),2)</f>
        <v>0.02</v>
      </c>
      <c r="P73" s="3" t="str">
        <f>FIXED(VLOOKUP($A73,'Small Sample 1-Townhouse'!$A:$R,P$1,0),2)</f>
        <v>0.04</v>
      </c>
      <c r="Q73" s="3" t="str">
        <f>FIXED(VLOOKUP($A73,'Small Sample 1-Townhouse'!$A:$R,Q$1,0),2)</f>
        <v>0.00</v>
      </c>
      <c r="R73" s="3" t="str">
        <f>FIXED(VLOOKUP($A73,'Small Sample 1-Townhouse'!$A:$R,R$1,0),2)</f>
        <v>0.24</v>
      </c>
      <c r="S73" s="9" t="str">
        <f>FIXED(VLOOKUP($A73,'Small Sample 1-Townhouse'!$A:$R,S$1,0),2)</f>
        <v>0.02</v>
      </c>
      <c r="T73" s="3" t="str">
        <f>FIXED(VLOOKUP($A73,'Small Sample 1-Townhouse'!$A:$R,T$1,0),2)</f>
        <v>0.04</v>
      </c>
      <c r="U73" s="3" t="str">
        <f>FIXED(VLOOKUP($A73,'Small Sample 1-Townhouse'!$A:$R,U$1,0),2)</f>
        <v>0.00</v>
      </c>
      <c r="V73" s="13" t="str">
        <f>FIXED(VLOOKUP($A73,'Small Sample 1-Townhouse'!$A:$R,V$1,0),2)</f>
        <v>0.24</v>
      </c>
      <c r="W73" s="9" t="str">
        <f>FIXED(VLOOKUP($A73,'Small Sample 1-Townhouse'!$A:$R,W$1,0),2)</f>
        <v>0.02</v>
      </c>
      <c r="X73" s="3" t="str">
        <f>FIXED(VLOOKUP($A73,'Small Sample 1-Townhouse'!$A:$R,X$1,0),2)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2-Townhouse'!$A:$R,AA$1,0),2)</f>
        <v>0.02</v>
      </c>
      <c r="AB73" s="3" t="str">
        <f>FIXED(VLOOKUP($A73,'Small Sample 2-Townhouse'!$A:$R,AB$1,0),2)</f>
        <v>0.04</v>
      </c>
      <c r="AC73" s="3" t="str">
        <f>FIXED(VLOOKUP($A73,'Small Sample 2-Townhouse'!$A:$R,AC$1,0),2)</f>
        <v>0.00</v>
      </c>
      <c r="AD73" s="3" t="str">
        <f>FIXED(VLOOKUP($A73,'Small Sample 2-Townhouse'!$A:$R,AD$1,0),2)</f>
        <v>0.24</v>
      </c>
      <c r="AE73" s="9" t="str">
        <f>FIXED(VLOOKUP($A73,'Small Sample 2-Townhouse'!$A:$R,AE$1,0),2)</f>
        <v>0.02</v>
      </c>
      <c r="AF73" s="3" t="str">
        <f>FIXED(VLOOKUP($A73,'Small Sample 2-Townhouse'!$A:$R,AF$1,0),2)</f>
        <v>0.04</v>
      </c>
      <c r="AG73" s="3" t="str">
        <f>FIXED(VLOOKUP($A73,'Small Sample 2-Townhouse'!$A:$R,AG$1,0),2)</f>
        <v>0.00</v>
      </c>
      <c r="AH73" s="13" t="str">
        <f>FIXED(VLOOKUP($A73,'Small Sample 2-Townhouse'!$A:$R,AH$1,0),2)</f>
        <v>0.24</v>
      </c>
      <c r="AI73" s="9" t="str">
        <f>FIXED(VLOOKUP($A73,'Small Sample 2-Townhouse'!$A:$R,AI$1,0),2)</f>
        <v>0.02</v>
      </c>
      <c r="AJ73" s="3" t="str">
        <f>FIXED(VLOOKUP($A73,'Small Sample 2-Townhouse'!$A:$R,AJ$1,0),2)</f>
        <v>0.04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Sample-Townhouse'!$A:$R,C$1,0),2)</f>
        <v>0.44</v>
      </c>
      <c r="D74" s="3" t="str">
        <f>FIXED(VLOOKUP($A74,'Full Sample-Townhouse'!$A:$R,D$1,0),2)</f>
        <v>0.19</v>
      </c>
      <c r="E74" s="3" t="str">
        <f>FIXED(VLOOKUP($A74,'Full Sample-Townhouse'!$A:$R,E$1,0),2)</f>
        <v>0.01</v>
      </c>
      <c r="F74" s="3" t="str">
        <f>FIXED(VLOOKUP($A74,'Full Sample-Townhouse'!$A:$R,F$1,0),2)</f>
        <v>1.00</v>
      </c>
      <c r="G74" s="9" t="str">
        <f>FIXED(VLOOKUP($A74,'Full Sample-Townhouse'!$A:$R,G$1,0),2)</f>
        <v>0.44</v>
      </c>
      <c r="H74" s="3" t="str">
        <f>FIXED(VLOOKUP($A74,'Full Sample-Townhouse'!$A:$R,H$1,0),2)</f>
        <v>0.20</v>
      </c>
      <c r="I74" s="3" t="str">
        <f>FIXED(VLOOKUP($A74,'Full Sample-Townhouse'!$A:$R,I$1,0),2)</f>
        <v>0.01</v>
      </c>
      <c r="J74" s="13" t="str">
        <f>FIXED(VLOOKUP($A74,'Full Sample-Townhouse'!$A:$R,J$1,0),2)</f>
        <v>1.00</v>
      </c>
      <c r="K74" s="9" t="str">
        <f>FIXED(VLOOKUP($A74,'Full Sample-Townhouse'!$A:$R,K$1,0),2)</f>
        <v>0.44</v>
      </c>
      <c r="L74" s="3" t="str">
        <f>FIXED(VLOOKUP($A74,'Full Sample-Townhouse'!$A:$R,L$1,0),2)</f>
        <v>0.19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1-Townhouse'!$A:$R,O$1,0),2)</f>
        <v>0.45</v>
      </c>
      <c r="P74" s="3" t="str">
        <f>FIXED(VLOOKUP($A74,'Small Sample 1-Townhouse'!$A:$R,P$1,0),2)</f>
        <v>0.20</v>
      </c>
      <c r="Q74" s="3" t="str">
        <f>FIXED(VLOOKUP($A74,'Small Sample 1-Townhouse'!$A:$R,Q$1,0),2)</f>
        <v>0.01</v>
      </c>
      <c r="R74" s="3" t="str">
        <f>FIXED(VLOOKUP($A74,'Small Sample 1-Townhouse'!$A:$R,R$1,0),2)</f>
        <v>1.00</v>
      </c>
      <c r="S74" s="9" t="str">
        <f>FIXED(VLOOKUP($A74,'Small Sample 1-Townhouse'!$A:$R,S$1,0),2)</f>
        <v>0.45</v>
      </c>
      <c r="T74" s="3" t="str">
        <f>FIXED(VLOOKUP($A74,'Small Sample 1-Townhouse'!$A:$R,T$1,0),2)</f>
        <v>0.20</v>
      </c>
      <c r="U74" s="3" t="str">
        <f>FIXED(VLOOKUP($A74,'Small Sample 1-Townhouse'!$A:$R,U$1,0),2)</f>
        <v>0.01</v>
      </c>
      <c r="V74" s="13" t="str">
        <f>FIXED(VLOOKUP($A74,'Small Sample 1-Townhouse'!$A:$R,V$1,0),2)</f>
        <v>1.00</v>
      </c>
      <c r="W74" s="9" t="str">
        <f>FIXED(VLOOKUP($A74,'Small Sample 1-Townhouse'!$A:$R,W$1,0),2)</f>
        <v>0.44</v>
      </c>
      <c r="X74" s="3" t="str">
        <f>FIXED(VLOOKUP($A74,'Small Sample 1-Townhouse'!$A:$R,X$1,0),2)</f>
        <v>0.19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2-Townhouse'!$A:$R,AA$1,0),2)</f>
        <v>0.45</v>
      </c>
      <c r="AB74" s="3" t="str">
        <f>FIXED(VLOOKUP($A74,'Small Sample 2-Townhouse'!$A:$R,AB$1,0),2)</f>
        <v>0.20</v>
      </c>
      <c r="AC74" s="3" t="str">
        <f>FIXED(VLOOKUP($A74,'Small Sample 2-Townhouse'!$A:$R,AC$1,0),2)</f>
        <v>0.01</v>
      </c>
      <c r="AD74" s="3" t="str">
        <f>FIXED(VLOOKUP($A74,'Small Sample 2-Townhouse'!$A:$R,AD$1,0),2)</f>
        <v>1.00</v>
      </c>
      <c r="AE74" s="9" t="str">
        <f>FIXED(VLOOKUP($A74,'Small Sample 2-Townhouse'!$A:$R,AE$1,0),2)</f>
        <v>0.44</v>
      </c>
      <c r="AF74" s="3" t="str">
        <f>FIXED(VLOOKUP($A74,'Small Sample 2-Townhouse'!$A:$R,AF$1,0),2)</f>
        <v>0.20</v>
      </c>
      <c r="AG74" s="3" t="str">
        <f>FIXED(VLOOKUP($A74,'Small Sample 2-Townhouse'!$A:$R,AG$1,0),2)</f>
        <v>0.01</v>
      </c>
      <c r="AH74" s="13" t="str">
        <f>FIXED(VLOOKUP($A74,'Small Sample 2-Townhouse'!$A:$R,AH$1,0),2)</f>
        <v>1.00</v>
      </c>
      <c r="AI74" s="9" t="str">
        <f>FIXED(VLOOKUP($A74,'Small Sample 2-Townhouse'!$A:$R,AI$1,0),2)</f>
        <v>0.46</v>
      </c>
      <c r="AJ74" s="3" t="str">
        <f>FIXED(VLOOKUP($A74,'Small Sample 2-Townhouse'!$A:$R,AJ$1,0),2)</f>
        <v>0.19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Sample-Townhouse'!$A:$R,C$1,0),2)</f>
        <v>0.06</v>
      </c>
      <c r="D75" s="3" t="str">
        <f>FIXED(VLOOKUP($A75,'Full Sample-Townhouse'!$A:$R,D$1,0),2)</f>
        <v>0.09</v>
      </c>
      <c r="E75" s="3" t="str">
        <f>FIXED(VLOOKUP($A75,'Full Sample-Townhouse'!$A:$R,E$1,0),2)</f>
        <v>0.00</v>
      </c>
      <c r="F75" s="3" t="str">
        <f>FIXED(VLOOKUP($A75,'Full Sample-Townhouse'!$A:$R,F$1,0),2)</f>
        <v>0.64</v>
      </c>
      <c r="G75" s="9" t="str">
        <f>FIXED(VLOOKUP($A75,'Full Sample-Townhouse'!$A:$R,G$1,0),2)</f>
        <v>0.06</v>
      </c>
      <c r="H75" s="3" t="str">
        <f>FIXED(VLOOKUP($A75,'Full Sample-Townhouse'!$A:$R,H$1,0),2)</f>
        <v>0.09</v>
      </c>
      <c r="I75" s="3" t="str">
        <f>FIXED(VLOOKUP($A75,'Full Sample-Townhouse'!$A:$R,I$1,0),2)</f>
        <v>0.00</v>
      </c>
      <c r="J75" s="13" t="str">
        <f>FIXED(VLOOKUP($A75,'Full Sample-Townhouse'!$A:$R,J$1,0),2)</f>
        <v>0.64</v>
      </c>
      <c r="K75" s="9" t="str">
        <f>FIXED(VLOOKUP($A75,'Full Sample-Townhouse'!$A:$R,K$1,0),2)</f>
        <v>0.06</v>
      </c>
      <c r="L75" s="3" t="str">
        <f>FIXED(VLOOKUP($A75,'Full Sample-Townhouse'!$A:$R,L$1,0),2)</f>
        <v>0.09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1-Townhouse'!$A:$R,O$1,0),2)</f>
        <v>0.06</v>
      </c>
      <c r="P75" s="3" t="str">
        <f>FIXED(VLOOKUP($A75,'Small Sample 1-Townhouse'!$A:$R,P$1,0),2)</f>
        <v>0.09</v>
      </c>
      <c r="Q75" s="3" t="str">
        <f>FIXED(VLOOKUP($A75,'Small Sample 1-Townhouse'!$A:$R,Q$1,0),2)</f>
        <v>0.00</v>
      </c>
      <c r="R75" s="3" t="str">
        <f>FIXED(VLOOKUP($A75,'Small Sample 1-Townhouse'!$A:$R,R$1,0),2)</f>
        <v>0.64</v>
      </c>
      <c r="S75" s="9" t="str">
        <f>FIXED(VLOOKUP($A75,'Small Sample 1-Townhouse'!$A:$R,S$1,0),2)</f>
        <v>0.06</v>
      </c>
      <c r="T75" s="3" t="str">
        <f>FIXED(VLOOKUP($A75,'Small Sample 1-Townhouse'!$A:$R,T$1,0),2)</f>
        <v>0.08</v>
      </c>
      <c r="U75" s="3" t="str">
        <f>FIXED(VLOOKUP($A75,'Small Sample 1-Townhouse'!$A:$R,U$1,0),2)</f>
        <v>0.00</v>
      </c>
      <c r="V75" s="13" t="str">
        <f>FIXED(VLOOKUP($A75,'Small Sample 1-Townhouse'!$A:$R,V$1,0),2)</f>
        <v>0.64</v>
      </c>
      <c r="W75" s="9" t="str">
        <f>FIXED(VLOOKUP($A75,'Small Sample 1-Townhouse'!$A:$R,W$1,0),2)</f>
        <v>0.06</v>
      </c>
      <c r="X75" s="3" t="str">
        <f>FIXED(VLOOKUP($A75,'Small Sample 1-Townhouse'!$A:$R,X$1,0),2)</f>
        <v>0.09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2-Townhouse'!$A:$R,AA$1,0),2)</f>
        <v>0.06</v>
      </c>
      <c r="AB75" s="3" t="str">
        <f>FIXED(VLOOKUP($A75,'Small Sample 2-Townhouse'!$A:$R,AB$1,0),2)</f>
        <v>0.09</v>
      </c>
      <c r="AC75" s="3" t="str">
        <f>FIXED(VLOOKUP($A75,'Small Sample 2-Townhouse'!$A:$R,AC$1,0),2)</f>
        <v>0.00</v>
      </c>
      <c r="AD75" s="3" t="str">
        <f>FIXED(VLOOKUP($A75,'Small Sample 2-Townhouse'!$A:$R,AD$1,0),2)</f>
        <v>0.64</v>
      </c>
      <c r="AE75" s="9" t="str">
        <f>FIXED(VLOOKUP($A75,'Small Sample 2-Townhouse'!$A:$R,AE$1,0),2)</f>
        <v>0.06</v>
      </c>
      <c r="AF75" s="3" t="str">
        <f>FIXED(VLOOKUP($A75,'Small Sample 2-Townhouse'!$A:$R,AF$1,0),2)</f>
        <v>0.09</v>
      </c>
      <c r="AG75" s="3" t="str">
        <f>FIXED(VLOOKUP($A75,'Small Sample 2-Townhouse'!$A:$R,AG$1,0),2)</f>
        <v>0.00</v>
      </c>
      <c r="AH75" s="13" t="str">
        <f>FIXED(VLOOKUP($A75,'Small Sample 2-Townhouse'!$A:$R,AH$1,0),2)</f>
        <v>0.64</v>
      </c>
      <c r="AI75" s="9" t="str">
        <f>FIXED(VLOOKUP($A75,'Small Sample 2-Townhouse'!$A:$R,AI$1,0),2)</f>
        <v>0.06</v>
      </c>
      <c r="AJ75" s="3" t="str">
        <f>FIXED(VLOOKUP($A75,'Small Sample 2-Townhouse'!$A:$R,AJ$1,0),2)</f>
        <v>0.09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Sample-Townhouse'!$A:$R,C$1,0),2)</f>
        <v>0.83</v>
      </c>
      <c r="D76" s="3" t="str">
        <f>FIXED(VLOOKUP($A76,'Full Sample-Townhouse'!$A:$R,D$1,0),2)</f>
        <v>0.20</v>
      </c>
      <c r="E76" s="3" t="str">
        <f>FIXED(VLOOKUP($A76,'Full Sample-Townhouse'!$A:$R,E$1,0),2)</f>
        <v>0.11</v>
      </c>
      <c r="F76" s="3" t="str">
        <f>FIXED(VLOOKUP($A76,'Full Sample-Townhouse'!$A:$R,F$1,0),2)</f>
        <v>1.00</v>
      </c>
      <c r="G76" s="9" t="str">
        <f>FIXED(VLOOKUP($A76,'Full Sample-Townhouse'!$A:$R,G$1,0),2)</f>
        <v>0.84</v>
      </c>
      <c r="H76" s="3" t="str">
        <f>FIXED(VLOOKUP($A76,'Full Sample-Townhouse'!$A:$R,H$1,0),2)</f>
        <v>0.20</v>
      </c>
      <c r="I76" s="3" t="str">
        <f>FIXED(VLOOKUP($A76,'Full Sample-Townhouse'!$A:$R,I$1,0),2)</f>
        <v>0.11</v>
      </c>
      <c r="J76" s="13" t="str">
        <f>FIXED(VLOOKUP($A76,'Full Sample-Townhouse'!$A:$R,J$1,0),2)</f>
        <v>1.00</v>
      </c>
      <c r="K76" s="9" t="str">
        <f>FIXED(VLOOKUP($A76,'Full Sample-Townhouse'!$A:$R,K$1,0),2)</f>
        <v>0.83</v>
      </c>
      <c r="L76" s="3" t="str">
        <f>FIXED(VLOOKUP($A76,'Full Sample-Townhouse'!$A:$R,L$1,0),2)</f>
        <v>0.19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1-Townhouse'!$A:$R,O$1,0),2)</f>
        <v>0.83</v>
      </c>
      <c r="P76" s="3" t="str">
        <f>FIXED(VLOOKUP($A76,'Small Sample 1-Townhouse'!$A:$R,P$1,0),2)</f>
        <v>0.20</v>
      </c>
      <c r="Q76" s="3" t="str">
        <f>FIXED(VLOOKUP($A76,'Small Sample 1-Townhouse'!$A:$R,Q$1,0),2)</f>
        <v>0.11</v>
      </c>
      <c r="R76" s="3" t="str">
        <f>FIXED(VLOOKUP($A76,'Small Sample 1-Townhouse'!$A:$R,R$1,0),2)</f>
        <v>1.00</v>
      </c>
      <c r="S76" s="9" t="str">
        <f>FIXED(VLOOKUP($A76,'Small Sample 1-Townhouse'!$A:$R,S$1,0),2)</f>
        <v>0.83</v>
      </c>
      <c r="T76" s="3" t="str">
        <f>FIXED(VLOOKUP($A76,'Small Sample 1-Townhouse'!$A:$R,T$1,0),2)</f>
        <v>0.20</v>
      </c>
      <c r="U76" s="3" t="str">
        <f>FIXED(VLOOKUP($A76,'Small Sample 1-Townhouse'!$A:$R,U$1,0),2)</f>
        <v>0.11</v>
      </c>
      <c r="V76" s="13" t="str">
        <f>FIXED(VLOOKUP($A76,'Small Sample 1-Townhouse'!$A:$R,V$1,0),2)</f>
        <v>1.00</v>
      </c>
      <c r="W76" s="9" t="str">
        <f>FIXED(VLOOKUP($A76,'Small Sample 1-Townhouse'!$A:$R,W$1,0),2)</f>
        <v>0.83</v>
      </c>
      <c r="X76" s="3" t="str">
        <f>FIXED(VLOOKUP($A76,'Small Sample 1-Townhouse'!$A:$R,X$1,0),2)</f>
        <v>0.19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2-Townhouse'!$A:$R,AA$1,0),2)</f>
        <v>0.83</v>
      </c>
      <c r="AB76" s="3" t="str">
        <f>FIXED(VLOOKUP($A76,'Small Sample 2-Townhouse'!$A:$R,AB$1,0),2)</f>
        <v>0.20</v>
      </c>
      <c r="AC76" s="3" t="str">
        <f>FIXED(VLOOKUP($A76,'Small Sample 2-Townhouse'!$A:$R,AC$1,0),2)</f>
        <v>0.11</v>
      </c>
      <c r="AD76" s="3" t="str">
        <f>FIXED(VLOOKUP($A76,'Small Sample 2-Townhouse'!$A:$R,AD$1,0),2)</f>
        <v>1.00</v>
      </c>
      <c r="AE76" s="9" t="str">
        <f>FIXED(VLOOKUP($A76,'Small Sample 2-Townhouse'!$A:$R,AE$1,0),2)</f>
        <v>0.83</v>
      </c>
      <c r="AF76" s="3" t="str">
        <f>FIXED(VLOOKUP($A76,'Small Sample 2-Townhouse'!$A:$R,AF$1,0),2)</f>
        <v>0.20</v>
      </c>
      <c r="AG76" s="3" t="str">
        <f>FIXED(VLOOKUP($A76,'Small Sample 2-Townhouse'!$A:$R,AG$1,0),2)</f>
        <v>0.11</v>
      </c>
      <c r="AH76" s="13" t="str">
        <f>FIXED(VLOOKUP($A76,'Small Sample 2-Townhouse'!$A:$R,AH$1,0),2)</f>
        <v>1.00</v>
      </c>
      <c r="AI76" s="9" t="str">
        <f>FIXED(VLOOKUP($A76,'Small Sample 2-Townhouse'!$A:$R,AI$1,0),2)</f>
        <v>0.82</v>
      </c>
      <c r="AJ76" s="3" t="str">
        <f>FIXED(VLOOKUP($A76,'Small Sample 2-Townhouse'!$A:$R,AJ$1,0),2)</f>
        <v>0.19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Sample-Townhouse'!$A:$R,C$1,0),2)</f>
        <v>0.17</v>
      </c>
      <c r="D77" s="3" t="str">
        <f>FIXED(VLOOKUP($A77,'Full Sample-Townhouse'!$A:$R,D$1,0),2)</f>
        <v>0.20</v>
      </c>
      <c r="E77" s="3" t="str">
        <f>FIXED(VLOOKUP($A77,'Full Sample-Townhouse'!$A:$R,E$1,0),2)</f>
        <v>0.00</v>
      </c>
      <c r="F77" s="3" t="str">
        <f>FIXED(VLOOKUP($A77,'Full Sample-Townhouse'!$A:$R,F$1,0),2)</f>
        <v>0.89</v>
      </c>
      <c r="G77" s="9" t="str">
        <f>FIXED(VLOOKUP($A77,'Full Sample-Townhouse'!$A:$R,G$1,0),2)</f>
        <v>0.16</v>
      </c>
      <c r="H77" s="3" t="str">
        <f>FIXED(VLOOKUP($A77,'Full Sample-Townhouse'!$A:$R,H$1,0),2)</f>
        <v>0.20</v>
      </c>
      <c r="I77" s="3" t="str">
        <f>FIXED(VLOOKUP($A77,'Full Sample-Townhouse'!$A:$R,I$1,0),2)</f>
        <v>0.00</v>
      </c>
      <c r="J77" s="13" t="str">
        <f>FIXED(VLOOKUP($A77,'Full Sample-Townhouse'!$A:$R,J$1,0),2)</f>
        <v>0.89</v>
      </c>
      <c r="K77" s="9" t="str">
        <f>FIXED(VLOOKUP($A77,'Full Sample-Townhouse'!$A:$R,K$1,0),2)</f>
        <v>0.17</v>
      </c>
      <c r="L77" s="3" t="str">
        <f>FIXED(VLOOKUP($A77,'Full Sample-Townhouse'!$A:$R,L$1,0),2)</f>
        <v>0.19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1-Townhouse'!$A:$R,O$1,0),2)</f>
        <v>0.17</v>
      </c>
      <c r="P77" s="3" t="str">
        <f>FIXED(VLOOKUP($A77,'Small Sample 1-Townhouse'!$A:$R,P$1,0),2)</f>
        <v>0.20</v>
      </c>
      <c r="Q77" s="3" t="str">
        <f>FIXED(VLOOKUP($A77,'Small Sample 1-Townhouse'!$A:$R,Q$1,0),2)</f>
        <v>0.00</v>
      </c>
      <c r="R77" s="3" t="str">
        <f>FIXED(VLOOKUP($A77,'Small Sample 1-Townhouse'!$A:$R,R$1,0),2)</f>
        <v>0.89</v>
      </c>
      <c r="S77" s="9" t="str">
        <f>FIXED(VLOOKUP($A77,'Small Sample 1-Townhouse'!$A:$R,S$1,0),2)</f>
        <v>0.17</v>
      </c>
      <c r="T77" s="3" t="str">
        <f>FIXED(VLOOKUP($A77,'Small Sample 1-Townhouse'!$A:$R,T$1,0),2)</f>
        <v>0.20</v>
      </c>
      <c r="U77" s="3" t="str">
        <f>FIXED(VLOOKUP($A77,'Small Sample 1-Townhouse'!$A:$R,U$1,0),2)</f>
        <v>0.00</v>
      </c>
      <c r="V77" s="13" t="str">
        <f>FIXED(VLOOKUP($A77,'Small Sample 1-Townhouse'!$A:$R,V$1,0),2)</f>
        <v>0.89</v>
      </c>
      <c r="W77" s="9" t="str">
        <f>FIXED(VLOOKUP($A77,'Small Sample 1-Townhouse'!$A:$R,W$1,0),2)</f>
        <v>0.17</v>
      </c>
      <c r="X77" s="3" t="str">
        <f>FIXED(VLOOKUP($A77,'Small Sample 1-Townhouse'!$A:$R,X$1,0),2)</f>
        <v>0.19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2-Townhouse'!$A:$R,AA$1,0),2)</f>
        <v>0.17</v>
      </c>
      <c r="AB77" s="3" t="str">
        <f>FIXED(VLOOKUP($A77,'Small Sample 2-Townhouse'!$A:$R,AB$1,0),2)</f>
        <v>0.20</v>
      </c>
      <c r="AC77" s="3" t="str">
        <f>FIXED(VLOOKUP($A77,'Small Sample 2-Townhouse'!$A:$R,AC$1,0),2)</f>
        <v>0.00</v>
      </c>
      <c r="AD77" s="3" t="str">
        <f>FIXED(VLOOKUP($A77,'Small Sample 2-Townhouse'!$A:$R,AD$1,0),2)</f>
        <v>0.89</v>
      </c>
      <c r="AE77" s="9" t="str">
        <f>FIXED(VLOOKUP($A77,'Small Sample 2-Townhouse'!$A:$R,AE$1,0),2)</f>
        <v>0.17</v>
      </c>
      <c r="AF77" s="3" t="str">
        <f>FIXED(VLOOKUP($A77,'Small Sample 2-Townhouse'!$A:$R,AF$1,0),2)</f>
        <v>0.20</v>
      </c>
      <c r="AG77" s="3" t="str">
        <f>FIXED(VLOOKUP($A77,'Small Sample 2-Townhouse'!$A:$R,AG$1,0),2)</f>
        <v>0.00</v>
      </c>
      <c r="AH77" s="13" t="str">
        <f>FIXED(VLOOKUP($A77,'Small Sample 2-Townhouse'!$A:$R,AH$1,0),2)</f>
        <v>0.89</v>
      </c>
      <c r="AI77" s="9" t="str">
        <f>FIXED(VLOOKUP($A77,'Small Sample 2-Townhouse'!$A:$R,AI$1,0),2)</f>
        <v>0.18</v>
      </c>
      <c r="AJ77" s="3" t="str">
        <f>FIXED(VLOOKUP($A77,'Small Sample 2-Townhouse'!$A:$R,AJ$1,0),2)</f>
        <v>0.19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Sample-Townhouse'!$A:$R,C$1,0),2)</f>
        <v>0.58</v>
      </c>
      <c r="D78" s="3" t="str">
        <f>FIXED(VLOOKUP($A78,'Full Sample-Townhouse'!$A:$R,D$1,0),2)</f>
        <v>0.19</v>
      </c>
      <c r="E78" s="3" t="str">
        <f>FIXED(VLOOKUP($A78,'Full Sample-Townhouse'!$A:$R,E$1,0),2)</f>
        <v>0.03</v>
      </c>
      <c r="F78" s="3" t="str">
        <f>FIXED(VLOOKUP($A78,'Full Sample-Townhouse'!$A:$R,F$1,0),2)</f>
        <v>0.99</v>
      </c>
      <c r="G78" s="9" t="str">
        <f>FIXED(VLOOKUP($A78,'Full Sample-Townhouse'!$A:$R,G$1,0),2)</f>
        <v>0.59</v>
      </c>
      <c r="H78" s="3" t="str">
        <f>FIXED(VLOOKUP($A78,'Full Sample-Townhouse'!$A:$R,H$1,0),2)</f>
        <v>0.19</v>
      </c>
      <c r="I78" s="3" t="str">
        <f>FIXED(VLOOKUP($A78,'Full Sample-Townhouse'!$A:$R,I$1,0),2)</f>
        <v>0.03</v>
      </c>
      <c r="J78" s="13" t="str">
        <f>FIXED(VLOOKUP($A78,'Full Sample-Townhouse'!$A:$R,J$1,0),2)</f>
        <v>0.99</v>
      </c>
      <c r="K78" s="9" t="str">
        <f>FIXED(VLOOKUP($A78,'Full Sample-Townhouse'!$A:$R,K$1,0),2)</f>
        <v>0.58</v>
      </c>
      <c r="L78" s="3" t="str">
        <f>FIXED(VLOOKUP($A78,'Full Sample-Townhouse'!$A:$R,L$1,0),2)</f>
        <v>0.20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1-Townhouse'!$A:$R,O$1,0),2)</f>
        <v>0.58</v>
      </c>
      <c r="P78" s="3" t="str">
        <f>FIXED(VLOOKUP($A78,'Small Sample 1-Townhouse'!$A:$R,P$1,0),2)</f>
        <v>0.19</v>
      </c>
      <c r="Q78" s="3" t="str">
        <f>FIXED(VLOOKUP($A78,'Small Sample 1-Townhouse'!$A:$R,Q$1,0),2)</f>
        <v>0.03</v>
      </c>
      <c r="R78" s="3" t="str">
        <f>FIXED(VLOOKUP($A78,'Small Sample 1-Townhouse'!$A:$R,R$1,0),2)</f>
        <v>0.99</v>
      </c>
      <c r="S78" s="9" t="str">
        <f>FIXED(VLOOKUP($A78,'Small Sample 1-Townhouse'!$A:$R,S$1,0),2)</f>
        <v>0.58</v>
      </c>
      <c r="T78" s="3" t="str">
        <f>FIXED(VLOOKUP($A78,'Small Sample 1-Townhouse'!$A:$R,T$1,0),2)</f>
        <v>0.19</v>
      </c>
      <c r="U78" s="3" t="str">
        <f>FIXED(VLOOKUP($A78,'Small Sample 1-Townhouse'!$A:$R,U$1,0),2)</f>
        <v>0.06</v>
      </c>
      <c r="V78" s="13" t="str">
        <f>FIXED(VLOOKUP($A78,'Small Sample 1-Townhouse'!$A:$R,V$1,0),2)</f>
        <v>0.99</v>
      </c>
      <c r="W78" s="9" t="str">
        <f>FIXED(VLOOKUP($A78,'Small Sample 1-Townhouse'!$A:$R,W$1,0),2)</f>
        <v>0.57</v>
      </c>
      <c r="X78" s="3" t="str">
        <f>FIXED(VLOOKUP($A78,'Small Sample 1-Townhouse'!$A:$R,X$1,0),2)</f>
        <v>0.20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2-Townhouse'!$A:$R,AA$1,0),2)</f>
        <v>0.58</v>
      </c>
      <c r="AB78" s="3" t="str">
        <f>FIXED(VLOOKUP($A78,'Small Sample 2-Townhouse'!$A:$R,AB$1,0),2)</f>
        <v>0.19</v>
      </c>
      <c r="AC78" s="3" t="str">
        <f>FIXED(VLOOKUP($A78,'Small Sample 2-Townhouse'!$A:$R,AC$1,0),2)</f>
        <v>0.03</v>
      </c>
      <c r="AD78" s="3" t="str">
        <f>FIXED(VLOOKUP($A78,'Small Sample 2-Townhouse'!$A:$R,AD$1,0),2)</f>
        <v>0.99</v>
      </c>
      <c r="AE78" s="9" t="str">
        <f>FIXED(VLOOKUP($A78,'Small Sample 2-Townhouse'!$A:$R,AE$1,0),2)</f>
        <v>0.58</v>
      </c>
      <c r="AF78" s="3" t="str">
        <f>FIXED(VLOOKUP($A78,'Small Sample 2-Townhouse'!$A:$R,AF$1,0),2)</f>
        <v>0.19</v>
      </c>
      <c r="AG78" s="3" t="str">
        <f>FIXED(VLOOKUP($A78,'Small Sample 2-Townhouse'!$A:$R,AG$1,0),2)</f>
        <v>0.03</v>
      </c>
      <c r="AH78" s="13" t="str">
        <f>FIXED(VLOOKUP($A78,'Small Sample 2-Townhouse'!$A:$R,AH$1,0),2)</f>
        <v>0.99</v>
      </c>
      <c r="AI78" s="9" t="str">
        <f>FIXED(VLOOKUP($A78,'Small Sample 2-Townhouse'!$A:$R,AI$1,0),2)</f>
        <v>0.57</v>
      </c>
      <c r="AJ78" s="3" t="str">
        <f>FIXED(VLOOKUP($A78,'Small Sample 2-Townhouse'!$A:$R,AJ$1,0),2)</f>
        <v>0.20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Sample-Townhouse'!$A:$R,C$1,0),2)</f>
        <v>0.42</v>
      </c>
      <c r="D79" s="3" t="str">
        <f>FIXED(VLOOKUP($A79,'Full Sample-Townhouse'!$A:$R,D$1,0),2)</f>
        <v>0.19</v>
      </c>
      <c r="E79" s="3" t="str">
        <f>FIXED(VLOOKUP($A79,'Full Sample-Townhouse'!$A:$R,E$1,0),2)</f>
        <v>0.02</v>
      </c>
      <c r="F79" s="3" t="str">
        <f>FIXED(VLOOKUP($A79,'Full Sample-Townhouse'!$A:$R,F$1,0),2)</f>
        <v>0.97</v>
      </c>
      <c r="G79" s="9" t="str">
        <f>FIXED(VLOOKUP($A79,'Full Sample-Townhouse'!$A:$R,G$1,0),2)</f>
        <v>0.41</v>
      </c>
      <c r="H79" s="3" t="str">
        <f>FIXED(VLOOKUP($A79,'Full Sample-Townhouse'!$A:$R,H$1,0),2)</f>
        <v>0.19</v>
      </c>
      <c r="I79" s="3" t="str">
        <f>FIXED(VLOOKUP($A79,'Full Sample-Townhouse'!$A:$R,I$1,0),2)</f>
        <v>0.02</v>
      </c>
      <c r="J79" s="13" t="str">
        <f>FIXED(VLOOKUP($A79,'Full Sample-Townhouse'!$A:$R,J$1,0),2)</f>
        <v>0.97</v>
      </c>
      <c r="K79" s="9" t="str">
        <f>FIXED(VLOOKUP($A79,'Full Sample-Townhouse'!$A:$R,K$1,0),2)</f>
        <v>0.42</v>
      </c>
      <c r="L79" s="3" t="str">
        <f>FIXED(VLOOKUP($A79,'Full Sample-Townhouse'!$A:$R,L$1,0),2)</f>
        <v>0.20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1-Townhouse'!$A:$R,O$1,0),2)</f>
        <v>0.42</v>
      </c>
      <c r="P79" s="3" t="str">
        <f>FIXED(VLOOKUP($A79,'Small Sample 1-Townhouse'!$A:$R,P$1,0),2)</f>
        <v>0.19</v>
      </c>
      <c r="Q79" s="3" t="str">
        <f>FIXED(VLOOKUP($A79,'Small Sample 1-Townhouse'!$A:$R,Q$1,0),2)</f>
        <v>0.02</v>
      </c>
      <c r="R79" s="3" t="str">
        <f>FIXED(VLOOKUP($A79,'Small Sample 1-Townhouse'!$A:$R,R$1,0),2)</f>
        <v>0.97</v>
      </c>
      <c r="S79" s="9" t="str">
        <f>FIXED(VLOOKUP($A79,'Small Sample 1-Townhouse'!$A:$R,S$1,0),2)</f>
        <v>0.42</v>
      </c>
      <c r="T79" s="3" t="str">
        <f>FIXED(VLOOKUP($A79,'Small Sample 1-Townhouse'!$A:$R,T$1,0),2)</f>
        <v>0.19</v>
      </c>
      <c r="U79" s="3" t="str">
        <f>FIXED(VLOOKUP($A79,'Small Sample 1-Townhouse'!$A:$R,U$1,0),2)</f>
        <v>0.02</v>
      </c>
      <c r="V79" s="13" t="str">
        <f>FIXED(VLOOKUP($A79,'Small Sample 1-Townhouse'!$A:$R,V$1,0),2)</f>
        <v>0.94</v>
      </c>
      <c r="W79" s="9" t="str">
        <f>FIXED(VLOOKUP($A79,'Small Sample 1-Townhouse'!$A:$R,W$1,0),2)</f>
        <v>0.43</v>
      </c>
      <c r="X79" s="3" t="str">
        <f>FIXED(VLOOKUP($A79,'Small Sample 1-Townhouse'!$A:$R,X$1,0),2)</f>
        <v>0.20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2-Townhouse'!$A:$R,AA$1,0),2)</f>
        <v>0.42</v>
      </c>
      <c r="AB79" s="3" t="str">
        <f>FIXED(VLOOKUP($A79,'Small Sample 2-Townhouse'!$A:$R,AB$1,0),2)</f>
        <v>0.19</v>
      </c>
      <c r="AC79" s="3" t="str">
        <f>FIXED(VLOOKUP($A79,'Small Sample 2-Townhouse'!$A:$R,AC$1,0),2)</f>
        <v>0.02</v>
      </c>
      <c r="AD79" s="3" t="str">
        <f>FIXED(VLOOKUP($A79,'Small Sample 2-Townhouse'!$A:$R,AD$1,0),2)</f>
        <v>0.97</v>
      </c>
      <c r="AE79" s="9" t="str">
        <f>FIXED(VLOOKUP($A79,'Small Sample 2-Townhouse'!$A:$R,AE$1,0),2)</f>
        <v>0.42</v>
      </c>
      <c r="AF79" s="3" t="str">
        <f>FIXED(VLOOKUP($A79,'Small Sample 2-Townhouse'!$A:$R,AF$1,0),2)</f>
        <v>0.19</v>
      </c>
      <c r="AG79" s="3" t="str">
        <f>FIXED(VLOOKUP($A79,'Small Sample 2-Townhouse'!$A:$R,AG$1,0),2)</f>
        <v>0.02</v>
      </c>
      <c r="AH79" s="13" t="str">
        <f>FIXED(VLOOKUP($A79,'Small Sample 2-Townhouse'!$A:$R,AH$1,0),2)</f>
        <v>0.97</v>
      </c>
      <c r="AI79" s="9" t="str">
        <f>FIXED(VLOOKUP($A79,'Small Sample 2-Townhouse'!$A:$R,AI$1,0),2)</f>
        <v>0.43</v>
      </c>
      <c r="AJ79" s="3" t="str">
        <f>FIXED(VLOOKUP($A79,'Small Sample 2-Townhouse'!$A:$R,AJ$1,0),2)</f>
        <v>0.20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27">
        <f>'Full Sample-Townhouse'!B3</f>
        <v>27661</v>
      </c>
      <c r="D81" s="28"/>
      <c r="E81" s="28"/>
      <c r="F81" s="28"/>
      <c r="G81" s="27">
        <f>'Full Sample-Townhouse'!H3</f>
        <v>16033</v>
      </c>
      <c r="H81" s="28"/>
      <c r="I81" s="28"/>
      <c r="J81" s="29"/>
      <c r="K81" s="27">
        <f>'Full Sample-Townhouse'!N3</f>
        <v>11628</v>
      </c>
      <c r="L81" s="28"/>
      <c r="M81" s="28"/>
      <c r="N81" s="29"/>
      <c r="O81" s="27">
        <f>'Small Sample 1-Townhouse'!B3</f>
        <v>23504</v>
      </c>
      <c r="P81" s="28"/>
      <c r="Q81" s="28"/>
      <c r="R81" s="28"/>
      <c r="S81" s="27">
        <f>'Small Sample 1-Townhouse'!H3</f>
        <v>12262</v>
      </c>
      <c r="T81" s="28"/>
      <c r="U81" s="28"/>
      <c r="V81" s="29"/>
      <c r="W81" s="27">
        <f>'Small Sample 1-Townhouse'!N3</f>
        <v>11242</v>
      </c>
      <c r="X81" s="28"/>
      <c r="Y81" s="28"/>
      <c r="Z81" s="28"/>
      <c r="AA81" s="27">
        <f>'Small Sample 2-Townhouse'!B3</f>
        <v>23513</v>
      </c>
      <c r="AB81" s="28"/>
      <c r="AC81" s="28"/>
      <c r="AD81" s="28"/>
      <c r="AE81" s="27">
        <f>'Small Sample 2-Townhouse'!H3</f>
        <v>14899</v>
      </c>
      <c r="AF81" s="28"/>
      <c r="AG81" s="28"/>
      <c r="AH81" s="29"/>
      <c r="AI81" s="27">
        <f>'Small Sample 2-Townhouse'!N3</f>
        <v>8614</v>
      </c>
      <c r="AJ81" s="28"/>
      <c r="AK81" s="28"/>
      <c r="AL81" s="28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Sample-Townhouse'!$A:$R,C$1,0),2)</f>
        <v>26.30</v>
      </c>
      <c r="D85" s="3" t="str">
        <f>FIXED(VLOOKUP($A85,'Full Sample-Townhouse'!$A:$R,D$1,0),2)</f>
        <v>96.49</v>
      </c>
      <c r="E85" s="3" t="str">
        <f>FIXED(VLOOKUP($A85,'Full Sample-Townhouse'!$A:$R,E$1,0),2)</f>
        <v>0.00</v>
      </c>
      <c r="F85" s="3" t="str">
        <f>FIXED(VLOOKUP($A85,'Full Sample-Townhouse'!$A:$R,F$1,0),2)</f>
        <v>1,380.00</v>
      </c>
      <c r="G85" s="3" t="str">
        <f>FIXED(VLOOKUP($A85,'Full Sample-Townhouse'!$A:$R,G$1,0),2)</f>
        <v>22.16</v>
      </c>
      <c r="H85" s="3" t="str">
        <f>FIXED(VLOOKUP($A85,'Full Sample-Townhouse'!$A:$R,H$1,0),2)</f>
        <v>88.55</v>
      </c>
      <c r="I85" s="3" t="str">
        <f>FIXED(VLOOKUP($A85,'Full Sample-Townhouse'!$A:$R,I$1,0),2)</f>
        <v>0.00</v>
      </c>
      <c r="J85" s="3" t="str">
        <f>FIXED(VLOOKUP($A85,'Full Sample-Townhouse'!$A:$R,J$1,0),2)</f>
        <v>942.00</v>
      </c>
      <c r="K85" s="3" t="str">
        <f>FIXED(VLOOKUP($A85,'Full Sample-Townhouse'!$A:$R,K$1,0),2)</f>
        <v>31.99</v>
      </c>
      <c r="L85" s="3" t="str">
        <f>FIXED(VLOOKUP($A85,'Full Sample-Townhouse'!$A:$R,L$1,0),2)</f>
        <v>106.21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1-Townhouse'!$A:$R,O$1,0),2)</f>
        <v>24.77</v>
      </c>
      <c r="P85" s="3" t="str">
        <f>FIXED(VLOOKUP($A85,'Small Sample 1-Townhouse'!$A:$R,P$1,0),2)</f>
        <v>93.80</v>
      </c>
      <c r="Q85" s="3" t="str">
        <f>FIXED(VLOOKUP($A85,'Small Sample 1-Townhouse'!$A:$R,Q$1,0),2)</f>
        <v>0.00</v>
      </c>
      <c r="R85" s="3" t="str">
        <f>FIXED(VLOOKUP($A85,'Small Sample 1-Townhouse'!$A:$R,R$1,0),2)</f>
        <v>1,380.00</v>
      </c>
      <c r="S85" s="3" t="str">
        <f>FIXED(VLOOKUP($A85,'Small Sample 1-Townhouse'!$A:$R,S$1,0),2)</f>
        <v>19.17</v>
      </c>
      <c r="T85" s="3" t="str">
        <f>FIXED(VLOOKUP($A85,'Small Sample 1-Townhouse'!$A:$R,T$1,0),2)</f>
        <v>82.55</v>
      </c>
      <c r="U85" s="3" t="str">
        <f>FIXED(VLOOKUP($A85,'Small Sample 1-Townhouse'!$A:$R,U$1,0),2)</f>
        <v>0.00</v>
      </c>
      <c r="V85" s="3" t="str">
        <f>FIXED(VLOOKUP($A85,'Small Sample 1-Townhouse'!$A:$R,V$1,0),2)</f>
        <v>942.00</v>
      </c>
      <c r="W85" s="3" t="str">
        <f>FIXED(VLOOKUP($A85,'Small Sample 1-Townhouse'!$A:$R,W$1,0),2)</f>
        <v>30.88</v>
      </c>
      <c r="X85" s="3" t="str">
        <f>FIXED(VLOOKUP($A85,'Small Sample 1-Townhouse'!$A:$R,X$1,0),2)</f>
        <v>104.37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2-Townhouse'!$A:$R,AA$1,0),2)</f>
        <v>21.77</v>
      </c>
      <c r="AB85" s="3" t="str">
        <f>FIXED(VLOOKUP($A85,'Small Sample 2-Townhouse'!$A:$R,AB$1,0),2)</f>
        <v>87.96</v>
      </c>
      <c r="AC85" s="3" t="str">
        <f>FIXED(VLOOKUP($A85,'Small Sample 2-Townhouse'!$A:$R,AC$1,0),2)</f>
        <v>0.00</v>
      </c>
      <c r="AD85" s="3" t="str">
        <f>FIXED(VLOOKUP($A85,'Small Sample 2-Townhouse'!$A:$R,AD$1,0),2)</f>
        <v>1,042.00</v>
      </c>
      <c r="AE85" s="3" t="str">
        <f>FIXED(VLOOKUP($A85,'Small Sample 2-Townhouse'!$A:$R,AE$1,0),2)</f>
        <v>19.73</v>
      </c>
      <c r="AF85" s="3" t="str">
        <f>FIXED(VLOOKUP($A85,'Small Sample 2-Townhouse'!$A:$R,AF$1,0),2)</f>
        <v>83.57</v>
      </c>
      <c r="AG85" s="3" t="str">
        <f>FIXED(VLOOKUP($A85,'Small Sample 2-Townhouse'!$A:$R,AG$1,0),2)</f>
        <v>0.00</v>
      </c>
      <c r="AH85" s="3" t="str">
        <f>FIXED(VLOOKUP($A85,'Small Sample 2-Townhouse'!$A:$R,AH$1,0),2)</f>
        <v>942.00</v>
      </c>
      <c r="AI85" s="3" t="str">
        <f>FIXED(VLOOKUP($A85,'Small Sample 2-Townhouse'!$A:$R,AI$1,0),2)</f>
        <v>25.31</v>
      </c>
      <c r="AJ85" s="3" t="str">
        <f>FIXED(VLOOKUP($A85,'Small Sample 2-Townhouse'!$A:$R,AJ$1,0),2)</f>
        <v>94.98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Sample-Townhouse'!$A:$R,C$1,0),2)</f>
        <v>0.00</v>
      </c>
      <c r="D86" s="3" t="str">
        <f>FIXED(VLOOKUP($A86,'Full Sample-Townhouse'!$A:$R,D$1,0),2)</f>
        <v>0.04</v>
      </c>
      <c r="E86" s="3" t="str">
        <f>FIXED(VLOOKUP($A86,'Full Sample-Townhouse'!$A:$R,E$1,0),2)</f>
        <v>0.00</v>
      </c>
      <c r="F86" s="3" t="str">
        <f>FIXED(VLOOKUP($A86,'Full Sample-Townhouse'!$A:$R,F$1,0),2)</f>
        <v>1.00</v>
      </c>
      <c r="G86" s="3" t="str">
        <f>FIXED(VLOOKUP($A86,'Full Sample-Townhouse'!$A:$R,G$1,0),2)</f>
        <v>0.00</v>
      </c>
      <c r="H86" s="3" t="str">
        <f>FIXED(VLOOKUP($A86,'Full Sample-Townhouse'!$A:$R,H$1,0),2)</f>
        <v>0.04</v>
      </c>
      <c r="I86" s="3" t="str">
        <f>FIXED(VLOOKUP($A86,'Full Sample-Townhouse'!$A:$R,I$1,0),2)</f>
        <v>0.00</v>
      </c>
      <c r="J86" s="3" t="str">
        <f>FIXED(VLOOKUP($A86,'Full Sample-Townhouse'!$A:$R,J$1,0),2)</f>
        <v>1.00</v>
      </c>
      <c r="K86" s="3" t="str">
        <f>FIXED(VLOOKUP($A86,'Full Sample-Townhouse'!$A:$R,K$1,0),2)</f>
        <v>0.00</v>
      </c>
      <c r="L86" s="3" t="str">
        <f>FIXED(VLOOKUP($A86,'Full Sample-Townhouse'!$A:$R,L$1,0),2)</f>
        <v>0.04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1-Townhouse'!$A:$R,O$1,0),2)</f>
        <v>0.00</v>
      </c>
      <c r="P86" s="3" t="str">
        <f>FIXED(VLOOKUP($A86,'Small Sample 1-Townhouse'!$A:$R,P$1,0),2)</f>
        <v>0.01</v>
      </c>
      <c r="Q86" s="3" t="str">
        <f>FIXED(VLOOKUP($A86,'Small Sample 1-Townhouse'!$A:$R,Q$1,0),2)</f>
        <v>0.00</v>
      </c>
      <c r="R86" s="3" t="str">
        <f>FIXED(VLOOKUP($A86,'Small Sample 1-Townhouse'!$A:$R,R$1,0),2)</f>
        <v>1.00</v>
      </c>
      <c r="S86" s="3" t="str">
        <f>FIXED(VLOOKUP($A86,'Small Sample 1-Townhouse'!$A:$R,S$1,0),2)</f>
        <v>0.00</v>
      </c>
      <c r="T86" s="3" t="str">
        <f>FIXED(VLOOKUP($A86,'Small Sample 1-Townhouse'!$A:$R,T$1,0),2)</f>
        <v>0.01</v>
      </c>
      <c r="U86" s="3" t="str">
        <f>FIXED(VLOOKUP($A86,'Small Sample 1-Townhouse'!$A:$R,U$1,0),2)</f>
        <v>0.00</v>
      </c>
      <c r="V86" s="3" t="str">
        <f>FIXED(VLOOKUP($A86,'Small Sample 1-Townhouse'!$A:$R,V$1,0),2)</f>
        <v>1.00</v>
      </c>
      <c r="W86" s="3" t="str">
        <f>FIXED(VLOOKUP($A86,'Small Sample 1-Townhouse'!$A:$R,W$1,0),2)</f>
        <v>0.00</v>
      </c>
      <c r="X86" s="3" t="str">
        <f>FIXED(VLOOKUP($A86,'Small Sample 1-Townhouse'!$A:$R,X$1,0),2)</f>
        <v>0.01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2-Townhouse'!$A:$R,AA$1,0),2)</f>
        <v>0.00</v>
      </c>
      <c r="AB86" s="3" t="str">
        <f>FIXED(VLOOKUP($A86,'Small Sample 2-Townhouse'!$A:$R,AB$1,0),2)</f>
        <v>0.01</v>
      </c>
      <c r="AC86" s="3" t="str">
        <f>FIXED(VLOOKUP($A86,'Small Sample 2-Townhouse'!$A:$R,AC$1,0),2)</f>
        <v>0.00</v>
      </c>
      <c r="AD86" s="3" t="str">
        <f>FIXED(VLOOKUP($A86,'Small Sample 2-Townhouse'!$A:$R,AD$1,0),2)</f>
        <v>1.00</v>
      </c>
      <c r="AE86" s="3" t="str">
        <f>FIXED(VLOOKUP($A86,'Small Sample 2-Townhouse'!$A:$R,AE$1,0),2)</f>
        <v>0.00</v>
      </c>
      <c r="AF86" s="3" t="str">
        <f>FIXED(VLOOKUP($A86,'Small Sample 2-Townhouse'!$A:$R,AF$1,0),2)</f>
        <v>0.01</v>
      </c>
      <c r="AG86" s="3" t="str">
        <f>FIXED(VLOOKUP($A86,'Small Sample 2-Townhouse'!$A:$R,AG$1,0),2)</f>
        <v>0.00</v>
      </c>
      <c r="AH86" s="3" t="str">
        <f>FIXED(VLOOKUP($A86,'Small Sample 2-Townhouse'!$A:$R,AH$1,0),2)</f>
        <v>1.00</v>
      </c>
      <c r="AI86" s="3" t="str">
        <f>FIXED(VLOOKUP($A86,'Small Sample 2-Townhouse'!$A:$R,AI$1,0),2)</f>
        <v>0.00</v>
      </c>
      <c r="AJ86" s="3" t="str">
        <f>FIXED(VLOOKUP($A86,'Small Sample 2-Townhouse'!$A:$R,AJ$1,0),2)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Sample-Townhouse'!$A:$R,C$1,0),2)</f>
        <v>1.43</v>
      </c>
      <c r="D87" s="3" t="str">
        <f>FIXED(VLOOKUP($A87,'Full Sample-Townhouse'!$A:$R,D$1,0),2)</f>
        <v>4.02</v>
      </c>
      <c r="E87" s="3" t="str">
        <f>FIXED(VLOOKUP($A87,'Full Sample-Townhouse'!$A:$R,E$1,0),2)</f>
        <v>0.00</v>
      </c>
      <c r="F87" s="3" t="str">
        <f>FIXED(VLOOKUP($A87,'Full Sample-Townhouse'!$A:$R,F$1,0),2)</f>
        <v>57.00</v>
      </c>
      <c r="G87" s="3" t="str">
        <f>FIXED(VLOOKUP($A87,'Full Sample-Townhouse'!$A:$R,G$1,0),2)</f>
        <v>1.35</v>
      </c>
      <c r="H87" s="3" t="str">
        <f>FIXED(VLOOKUP($A87,'Full Sample-Townhouse'!$A:$R,H$1,0),2)</f>
        <v>3.84</v>
      </c>
      <c r="I87" s="3" t="str">
        <f>FIXED(VLOOKUP($A87,'Full Sample-Townhouse'!$A:$R,I$1,0),2)</f>
        <v>0.00</v>
      </c>
      <c r="J87" s="3" t="str">
        <f>FIXED(VLOOKUP($A87,'Full Sample-Townhouse'!$A:$R,J$1,0),2)</f>
        <v>57.00</v>
      </c>
      <c r="K87" s="3" t="str">
        <f>FIXED(VLOOKUP($A87,'Full Sample-Townhouse'!$A:$R,K$1,0),2)</f>
        <v>1.54</v>
      </c>
      <c r="L87" s="3" t="str">
        <f>FIXED(VLOOKUP($A87,'Full Sample-Townhouse'!$A:$R,L$1,0),2)</f>
        <v>4.25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1-Townhouse'!$A:$R,O$1,0),2)</f>
        <v>1.46</v>
      </c>
      <c r="P87" s="3" t="str">
        <f>FIXED(VLOOKUP($A87,'Small Sample 1-Townhouse'!$A:$R,P$1,0),2)</f>
        <v>4.04</v>
      </c>
      <c r="Q87" s="3" t="str">
        <f>FIXED(VLOOKUP($A87,'Small Sample 1-Townhouse'!$A:$R,Q$1,0),2)</f>
        <v>0.00</v>
      </c>
      <c r="R87" s="3" t="str">
        <f>FIXED(VLOOKUP($A87,'Small Sample 1-Townhouse'!$A:$R,R$1,0),2)</f>
        <v>57.00</v>
      </c>
      <c r="S87" s="3" t="str">
        <f>FIXED(VLOOKUP($A87,'Small Sample 1-Townhouse'!$A:$R,S$1,0),2)</f>
        <v>1.38</v>
      </c>
      <c r="T87" s="3" t="str">
        <f>FIXED(VLOOKUP($A87,'Small Sample 1-Townhouse'!$A:$R,T$1,0),2)</f>
        <v>3.83</v>
      </c>
      <c r="U87" s="3" t="str">
        <f>FIXED(VLOOKUP($A87,'Small Sample 1-Townhouse'!$A:$R,U$1,0),2)</f>
        <v>0.00</v>
      </c>
      <c r="V87" s="3" t="str">
        <f>FIXED(VLOOKUP($A87,'Small Sample 1-Townhouse'!$A:$R,V$1,0),2)</f>
        <v>57.00</v>
      </c>
      <c r="W87" s="3" t="str">
        <f>FIXED(VLOOKUP($A87,'Small Sample 1-Townhouse'!$A:$R,W$1,0),2)</f>
        <v>1.54</v>
      </c>
      <c r="X87" s="3" t="str">
        <f>FIXED(VLOOKUP($A87,'Small Sample 1-Townhouse'!$A:$R,X$1,0),2)</f>
        <v>4.25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2-Townhouse'!$A:$R,AA$1,0),2)</f>
        <v>1.43</v>
      </c>
      <c r="AB87" s="3" t="str">
        <f>FIXED(VLOOKUP($A87,'Small Sample 2-Townhouse'!$A:$R,AB$1,0),2)</f>
        <v>4.06</v>
      </c>
      <c r="AC87" s="3" t="str">
        <f>FIXED(VLOOKUP($A87,'Small Sample 2-Townhouse'!$A:$R,AC$1,0),2)</f>
        <v>0.00</v>
      </c>
      <c r="AD87" s="3" t="str">
        <f>FIXED(VLOOKUP($A87,'Small Sample 2-Townhouse'!$A:$R,AD$1,0),2)</f>
        <v>57.00</v>
      </c>
      <c r="AE87" s="3" t="str">
        <f>FIXED(VLOOKUP($A87,'Small Sample 2-Townhouse'!$A:$R,AE$1,0),2)</f>
        <v>1.37</v>
      </c>
      <c r="AF87" s="3" t="str">
        <f>FIXED(VLOOKUP($A87,'Small Sample 2-Townhouse'!$A:$R,AF$1,0),2)</f>
        <v>3.87</v>
      </c>
      <c r="AG87" s="3" t="str">
        <f>FIXED(VLOOKUP($A87,'Small Sample 2-Townhouse'!$A:$R,AG$1,0),2)</f>
        <v>0.00</v>
      </c>
      <c r="AH87" s="3" t="str">
        <f>FIXED(VLOOKUP($A87,'Small Sample 2-Townhouse'!$A:$R,AH$1,0),2)</f>
        <v>57.00</v>
      </c>
      <c r="AI87" s="3" t="str">
        <f>FIXED(VLOOKUP($A87,'Small Sample 2-Townhouse'!$A:$R,AI$1,0),2)</f>
        <v>1.52</v>
      </c>
      <c r="AJ87" s="3" t="str">
        <f>FIXED(VLOOKUP($A87,'Small Sample 2-Townhouse'!$A:$R,AJ$1,0),2)</f>
        <v>4.36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Sample-Townhouse'!$A:$R,C$1,0),2)</f>
        <v>4.94</v>
      </c>
      <c r="D88" s="3" t="str">
        <f>FIXED(VLOOKUP($A88,'Full Sample-Townhouse'!$A:$R,D$1,0),2)</f>
        <v>6.89</v>
      </c>
      <c r="E88" s="3" t="str">
        <f>FIXED(VLOOKUP($A88,'Full Sample-Townhouse'!$A:$R,E$1,0),2)</f>
        <v>0.01</v>
      </c>
      <c r="F88" s="3" t="str">
        <f>FIXED(VLOOKUP($A88,'Full Sample-Townhouse'!$A:$R,F$1,0),2)</f>
        <v>111.97</v>
      </c>
      <c r="G88" s="3" t="str">
        <f>FIXED(VLOOKUP($A88,'Full Sample-Townhouse'!$A:$R,G$1,0),2)</f>
        <v>4.90</v>
      </c>
      <c r="H88" s="3" t="str">
        <f>FIXED(VLOOKUP($A88,'Full Sample-Townhouse'!$A:$R,H$1,0),2)</f>
        <v>6.81</v>
      </c>
      <c r="I88" s="3" t="str">
        <f>FIXED(VLOOKUP($A88,'Full Sample-Townhouse'!$A:$R,I$1,0),2)</f>
        <v>0.01</v>
      </c>
      <c r="J88" s="3" t="str">
        <f>FIXED(VLOOKUP($A88,'Full Sample-Townhouse'!$A:$R,J$1,0),2)</f>
        <v>52.78</v>
      </c>
      <c r="K88" s="3" t="str">
        <f>FIXED(VLOOKUP($A88,'Full Sample-Townhouse'!$A:$R,K$1,0),2)</f>
        <v>4.99</v>
      </c>
      <c r="L88" s="3" t="str">
        <f>FIXED(VLOOKUP($A88,'Full Sample-Townhouse'!$A:$R,L$1,0),2)</f>
        <v>6.99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1-Townhouse'!$A:$R,O$1,0),2)</f>
        <v>4.77</v>
      </c>
      <c r="P88" s="3" t="str">
        <f>FIXED(VLOOKUP($A88,'Small Sample 1-Townhouse'!$A:$R,P$1,0),2)</f>
        <v>6.77</v>
      </c>
      <c r="Q88" s="3" t="str">
        <f>FIXED(VLOOKUP($A88,'Small Sample 1-Townhouse'!$A:$R,Q$1,0),2)</f>
        <v>0.01</v>
      </c>
      <c r="R88" s="3" t="str">
        <f>FIXED(VLOOKUP($A88,'Small Sample 1-Townhouse'!$A:$R,R$1,0),2)</f>
        <v>111.97</v>
      </c>
      <c r="S88" s="3" t="str">
        <f>FIXED(VLOOKUP($A88,'Small Sample 1-Townhouse'!$A:$R,S$1,0),2)</f>
        <v>4.61</v>
      </c>
      <c r="T88" s="3" t="str">
        <f>FIXED(VLOOKUP($A88,'Small Sample 1-Townhouse'!$A:$R,T$1,0),2)</f>
        <v>6.59</v>
      </c>
      <c r="U88" s="3" t="str">
        <f>FIXED(VLOOKUP($A88,'Small Sample 1-Townhouse'!$A:$R,U$1,0),2)</f>
        <v>0.01</v>
      </c>
      <c r="V88" s="3" t="str">
        <f>FIXED(VLOOKUP($A88,'Small Sample 1-Townhouse'!$A:$R,V$1,0),2)</f>
        <v>52.78</v>
      </c>
      <c r="W88" s="3" t="str">
        <f>FIXED(VLOOKUP($A88,'Small Sample 1-Townhouse'!$A:$R,W$1,0),2)</f>
        <v>4.95</v>
      </c>
      <c r="X88" s="3" t="str">
        <f>FIXED(VLOOKUP($A88,'Small Sample 1-Townhouse'!$A:$R,X$1,0),2)</f>
        <v>6.96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2-Townhouse'!$A:$R,AA$1,0),2)</f>
        <v>4.77</v>
      </c>
      <c r="AB88" s="3" t="str">
        <f>FIXED(VLOOKUP($A88,'Small Sample 2-Townhouse'!$A:$R,AB$1,0),2)</f>
        <v>6.77</v>
      </c>
      <c r="AC88" s="3" t="str">
        <f>FIXED(VLOOKUP($A88,'Small Sample 2-Townhouse'!$A:$R,AC$1,0),2)</f>
        <v>0.01</v>
      </c>
      <c r="AD88" s="3" t="str">
        <f>FIXED(VLOOKUP($A88,'Small Sample 2-Townhouse'!$A:$R,AD$1,0),2)</f>
        <v>111.97</v>
      </c>
      <c r="AE88" s="3" t="str">
        <f>FIXED(VLOOKUP($A88,'Small Sample 2-Townhouse'!$A:$R,AE$1,0),2)</f>
        <v>4.83</v>
      </c>
      <c r="AF88" s="3" t="str">
        <f>FIXED(VLOOKUP($A88,'Small Sample 2-Townhouse'!$A:$R,AF$1,0),2)</f>
        <v>6.78</v>
      </c>
      <c r="AG88" s="3" t="str">
        <f>FIXED(VLOOKUP($A88,'Small Sample 2-Townhouse'!$A:$R,AG$1,0),2)</f>
        <v>0.01</v>
      </c>
      <c r="AH88" s="3" t="str">
        <f>FIXED(VLOOKUP($A88,'Small Sample 2-Townhouse'!$A:$R,AH$1,0),2)</f>
        <v>52.78</v>
      </c>
      <c r="AI88" s="3" t="str">
        <f>FIXED(VLOOKUP($A88,'Small Sample 2-Townhouse'!$A:$R,AI$1,0),2)</f>
        <v>4.67</v>
      </c>
      <c r="AJ88" s="3" t="str">
        <f>FIXED(VLOOKUP($A88,'Small Sample 2-Townhouse'!$A:$R,AJ$1,0),2)</f>
        <v>6.77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Sample-Townhouse'!$A:$R,C$1,0),2)</f>
        <v>311.77</v>
      </c>
      <c r="D89" s="3" t="str">
        <f>FIXED(VLOOKUP($A89,'Full Sample-Townhouse'!$A:$R,D$1,0),2)</f>
        <v>571.95</v>
      </c>
      <c r="E89" s="3" t="str">
        <f>FIXED(VLOOKUP($A89,'Full Sample-Townhouse'!$A:$R,E$1,0),2)</f>
        <v>0.00</v>
      </c>
      <c r="F89" s="3" t="str">
        <f>FIXED(VLOOKUP($A89,'Full Sample-Townhouse'!$A:$R,F$1,0),2)</f>
        <v>4,021.00</v>
      </c>
      <c r="G89" s="3" t="str">
        <f>FIXED(VLOOKUP($A89,'Full Sample-Townhouse'!$A:$R,G$1,0),2)</f>
        <v>0.00</v>
      </c>
      <c r="H89" s="3" t="str">
        <f>FIXED(VLOOKUP($A89,'Full Sample-Townhouse'!$A:$R,H$1,0),2)</f>
        <v>0.00</v>
      </c>
      <c r="I89" s="3" t="str">
        <f>FIXED(VLOOKUP($A89,'Full Sample-Townhouse'!$A:$R,I$1,0),2)</f>
        <v>0.00</v>
      </c>
      <c r="J89" s="3" t="str">
        <f>FIXED(VLOOKUP($A89,'Full Sample-Townhouse'!$A:$R,J$1,0),2)</f>
        <v>0.00</v>
      </c>
      <c r="K89" s="3" t="str">
        <f>FIXED(VLOOKUP($A89,'Full Sample-Townhouse'!$A:$R,K$1,0),2)</f>
        <v>311.77</v>
      </c>
      <c r="L89" s="3" t="str">
        <f>FIXED(VLOOKUP($A89,'Full Sample-Townhouse'!$A:$R,L$1,0),2)</f>
        <v>571.95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1-Townhouse'!$A:$R,O$1,0),2)</f>
        <v>316.54</v>
      </c>
      <c r="P89" s="3" t="str">
        <f>FIXED(VLOOKUP($A89,'Small Sample 1-Townhouse'!$A:$R,P$1,0),2)</f>
        <v>574.31</v>
      </c>
      <c r="Q89" s="3" t="str">
        <f>FIXED(VLOOKUP($A89,'Small Sample 1-Townhouse'!$A:$R,Q$1,0),2)</f>
        <v>0.00</v>
      </c>
      <c r="R89" s="3" t="str">
        <f>FIXED(VLOOKUP($A89,'Small Sample 1-Townhouse'!$A:$R,R$1,0),2)</f>
        <v>4,021.00</v>
      </c>
      <c r="S89" s="3" t="str">
        <f>FIXED(VLOOKUP($A89,'Small Sample 1-Townhouse'!$A:$R,S$1,0),2)</f>
        <v>0.00</v>
      </c>
      <c r="T89" s="3" t="str">
        <f>FIXED(VLOOKUP($A89,'Small Sample 1-Townhouse'!$A:$R,T$1,0),2)</f>
        <v>0.00</v>
      </c>
      <c r="U89" s="3" t="str">
        <f>FIXED(VLOOKUP($A89,'Small Sample 1-Townhouse'!$A:$R,U$1,0),2)</f>
        <v>0.00</v>
      </c>
      <c r="V89" s="3" t="str">
        <f>FIXED(VLOOKUP($A89,'Small Sample 1-Townhouse'!$A:$R,V$1,0),2)</f>
        <v>0.00</v>
      </c>
      <c r="W89" s="3" t="str">
        <f>FIXED(VLOOKUP($A89,'Small Sample 1-Townhouse'!$A:$R,W$1,0),2)</f>
        <v>316.54</v>
      </c>
      <c r="X89" s="3" t="str">
        <f>FIXED(VLOOKUP($A89,'Small Sample 1-Townhouse'!$A:$R,X$1,0),2)</f>
        <v>574.31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2-Townhouse'!$A:$R,AA$1,0),2)</f>
        <v>305.15</v>
      </c>
      <c r="AB89" s="3" t="str">
        <f>FIXED(VLOOKUP($A89,'Small Sample 2-Townhouse'!$A:$R,AB$1,0),2)</f>
        <v>566.29</v>
      </c>
      <c r="AC89" s="3" t="str">
        <f>FIXED(VLOOKUP($A89,'Small Sample 2-Townhouse'!$A:$R,AC$1,0),2)</f>
        <v>0.00</v>
      </c>
      <c r="AD89" s="3" t="str">
        <f>FIXED(VLOOKUP($A89,'Small Sample 2-Townhouse'!$A:$R,AD$1,0),2)</f>
        <v>4,021.00</v>
      </c>
      <c r="AE89" s="3" t="str">
        <f>FIXED(VLOOKUP($A89,'Small Sample 2-Townhouse'!$A:$R,AE$1,0),2)</f>
        <v>0.00</v>
      </c>
      <c r="AF89" s="3" t="str">
        <f>FIXED(VLOOKUP($A89,'Small Sample 2-Townhouse'!$A:$R,AF$1,0),2)</f>
        <v>0.00</v>
      </c>
      <c r="AG89" s="3" t="str">
        <f>FIXED(VLOOKUP($A89,'Small Sample 2-Townhouse'!$A:$R,AG$1,0),2)</f>
        <v>0.00</v>
      </c>
      <c r="AH89" s="3" t="str">
        <f>FIXED(VLOOKUP($A89,'Small Sample 2-Townhouse'!$A:$R,AH$1,0),2)</f>
        <v>0.00</v>
      </c>
      <c r="AI89" s="3" t="str">
        <f>FIXED(VLOOKUP($A89,'Small Sample 2-Townhouse'!$A:$R,AI$1,0),2)</f>
        <v>305.15</v>
      </c>
      <c r="AJ89" s="3" t="str">
        <f>FIXED(VLOOKUP($A89,'Small Sample 2-Townhouse'!$A:$R,AJ$1,0),2)</f>
        <v>566.29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Sample-Townhouse'!$A:$R,C$1,0),2)</f>
        <v>#N/A</v>
      </c>
      <c r="D90" s="3" t="e">
        <f>FIXED(VLOOKUP($A90,'Full Sample-Townhouse'!$A:$R,D$1,0),2)</f>
        <v>#N/A</v>
      </c>
      <c r="E90" s="3" t="e">
        <f>FIXED(VLOOKUP($A90,'Full Sample-Townhouse'!$A:$R,E$1,0),2)</f>
        <v>#N/A</v>
      </c>
      <c r="F90" s="3" t="e">
        <f>FIXED(VLOOKUP($A90,'Full Sample-Townhouse'!$A:$R,F$1,0),2)</f>
        <v>#N/A</v>
      </c>
      <c r="G90" s="3" t="e">
        <f>FIXED(VLOOKUP($A90,'Full Sample-Townhouse'!$A:$R,G$1,0),2)</f>
        <v>#N/A</v>
      </c>
      <c r="H90" s="3" t="e">
        <f>FIXED(VLOOKUP($A90,'Full Sample-Townhouse'!$A:$R,H$1,0),2)</f>
        <v>#N/A</v>
      </c>
      <c r="I90" s="3" t="e">
        <f>FIXED(VLOOKUP($A90,'Full Sample-Townhouse'!$A:$R,I$1,0),2)</f>
        <v>#N/A</v>
      </c>
      <c r="J90" s="3" t="e">
        <f>FIXED(VLOOKUP($A90,'Full Sample-Townhouse'!$A:$R,J$1,0),2)</f>
        <v>#N/A</v>
      </c>
      <c r="K90" s="3" t="e">
        <f>FIXED(VLOOKUP($A90,'Full Sample-Townhouse'!$A:$R,K$1,0),2)</f>
        <v>#N/A</v>
      </c>
      <c r="L90" s="3" t="e">
        <f>FIXED(VLOOKUP($A90,'Full Sample-Townhouse'!$A:$R,L$1,0),2)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1-Townhouse'!$A:$R,O$1,0),2)</f>
        <v>#N/A</v>
      </c>
      <c r="P90" s="3" t="e">
        <f>FIXED(VLOOKUP($A90,'Small Sample 1-Townhouse'!$A:$R,P$1,0),2)</f>
        <v>#N/A</v>
      </c>
      <c r="Q90" s="3" t="e">
        <f>FIXED(VLOOKUP($A90,'Small Sample 1-Townhouse'!$A:$R,Q$1,0),2)</f>
        <v>#N/A</v>
      </c>
      <c r="R90" s="3" t="e">
        <f>FIXED(VLOOKUP($A90,'Small Sample 1-Townhouse'!$A:$R,R$1,0),2)</f>
        <v>#N/A</v>
      </c>
      <c r="S90" s="3" t="e">
        <f>FIXED(VLOOKUP($A90,'Small Sample 1-Townhouse'!$A:$R,S$1,0),2)</f>
        <v>#N/A</v>
      </c>
      <c r="T90" s="3" t="e">
        <f>FIXED(VLOOKUP($A90,'Small Sample 1-Townhouse'!$A:$R,T$1,0),2)</f>
        <v>#N/A</v>
      </c>
      <c r="U90" s="3" t="e">
        <f>FIXED(VLOOKUP($A90,'Small Sample 1-Townhouse'!$A:$R,U$1,0),2)</f>
        <v>#N/A</v>
      </c>
      <c r="V90" s="3" t="e">
        <f>FIXED(VLOOKUP($A90,'Small Sample 1-Townhouse'!$A:$R,V$1,0),2)</f>
        <v>#N/A</v>
      </c>
      <c r="W90" s="3" t="e">
        <f>FIXED(VLOOKUP($A90,'Small Sample 1-Townhouse'!$A:$R,W$1,0),2)</f>
        <v>#N/A</v>
      </c>
      <c r="X90" s="3" t="e">
        <f>FIXED(VLOOKUP($A90,'Small Sample 1-Townhouse'!$A:$R,X$1,0),2)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2-Townhouse'!$A:$R,AA$1,0),2)</f>
        <v>#N/A</v>
      </c>
      <c r="AB90" s="3" t="e">
        <f>FIXED(VLOOKUP($A90,'Small Sample 2-Townhouse'!$A:$R,AB$1,0),2)</f>
        <v>#N/A</v>
      </c>
      <c r="AC90" s="3" t="e">
        <f>FIXED(VLOOKUP($A90,'Small Sample 2-Townhouse'!$A:$R,AC$1,0),2)</f>
        <v>#N/A</v>
      </c>
      <c r="AD90" s="3" t="e">
        <f>FIXED(VLOOKUP($A90,'Small Sample 2-Townhouse'!$A:$R,AD$1,0),2)</f>
        <v>#N/A</v>
      </c>
      <c r="AE90" s="3" t="e">
        <f>FIXED(VLOOKUP($A90,'Small Sample 2-Townhouse'!$A:$R,AE$1,0),2)</f>
        <v>#N/A</v>
      </c>
      <c r="AF90" s="3" t="e">
        <f>FIXED(VLOOKUP($A90,'Small Sample 2-Townhouse'!$A:$R,AF$1,0),2)</f>
        <v>#N/A</v>
      </c>
      <c r="AG90" s="3" t="e">
        <f>FIXED(VLOOKUP($A90,'Small Sample 2-Townhouse'!$A:$R,AG$1,0),2)</f>
        <v>#N/A</v>
      </c>
      <c r="AH90" s="3" t="e">
        <f>FIXED(VLOOKUP($A90,'Small Sample 2-Townhouse'!$A:$R,AH$1,0),2)</f>
        <v>#N/A</v>
      </c>
      <c r="AI90" s="3" t="e">
        <f>FIXED(VLOOKUP($A90,'Small Sample 2-Townhouse'!$A:$R,AI$1,0),2)</f>
        <v>#N/A</v>
      </c>
      <c r="AJ90" s="3" t="e">
        <f>FIXED(VLOOKUP($A90,'Small Sample 2-Townhouse'!$A:$R,AJ$1,0),2)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Sample-Townhouse'!$A:$R,C$1,0),2)</f>
        <v>1.00</v>
      </c>
      <c r="D91" s="3" t="str">
        <f>FIXED(VLOOKUP($A91,'Full Sample-Townhouse'!$A:$R,D$1,0),2)</f>
        <v>0.00</v>
      </c>
      <c r="E91" s="3" t="str">
        <f>FIXED(VLOOKUP($A91,'Full Sample-Townhouse'!$A:$R,E$1,0),2)</f>
        <v>1.00</v>
      </c>
      <c r="F91" s="3" t="str">
        <f>FIXED(VLOOKUP($A91,'Full Sample-Townhouse'!$A:$R,F$1,0),2)</f>
        <v>1.00</v>
      </c>
      <c r="G91" s="3" t="str">
        <f>FIXED(VLOOKUP($A91,'Full Sample-Townhouse'!$A:$R,G$1,0),2)</f>
        <v>1.00</v>
      </c>
      <c r="H91" s="3" t="str">
        <f>FIXED(VLOOKUP($A91,'Full Sample-Townhouse'!$A:$R,H$1,0),2)</f>
        <v>0.00</v>
      </c>
      <c r="I91" s="3" t="str">
        <f>FIXED(VLOOKUP($A91,'Full Sample-Townhouse'!$A:$R,I$1,0),2)</f>
        <v>1.00</v>
      </c>
      <c r="J91" s="3" t="str">
        <f>FIXED(VLOOKUP($A91,'Full Sample-Townhouse'!$A:$R,J$1,0),2)</f>
        <v>1.00</v>
      </c>
      <c r="K91" s="3" t="str">
        <f>FIXED(VLOOKUP($A91,'Full Sample-Townhouse'!$A:$R,K$1,0),2)</f>
        <v>1.00</v>
      </c>
      <c r="L91" s="3" t="str">
        <f>FIXED(VLOOKUP($A91,'Full Sample-Townhouse'!$A:$R,L$1,0),2)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1-Townhouse'!$A:$R,O$1,0),2)</f>
        <v>1.00</v>
      </c>
      <c r="P91" s="3" t="str">
        <f>FIXED(VLOOKUP($A91,'Small Sample 1-Townhouse'!$A:$R,P$1,0),2)</f>
        <v>0.00</v>
      </c>
      <c r="Q91" s="3" t="str">
        <f>FIXED(VLOOKUP($A91,'Small Sample 1-Townhouse'!$A:$R,Q$1,0),2)</f>
        <v>1.00</v>
      </c>
      <c r="R91" s="3" t="str">
        <f>FIXED(VLOOKUP($A91,'Small Sample 1-Townhouse'!$A:$R,R$1,0),2)</f>
        <v>1.00</v>
      </c>
      <c r="S91" s="3" t="str">
        <f>FIXED(VLOOKUP($A91,'Small Sample 1-Townhouse'!$A:$R,S$1,0),2)</f>
        <v>1.00</v>
      </c>
      <c r="T91" s="3" t="str">
        <f>FIXED(VLOOKUP($A91,'Small Sample 1-Townhouse'!$A:$R,T$1,0),2)</f>
        <v>0.00</v>
      </c>
      <c r="U91" s="3" t="str">
        <f>FIXED(VLOOKUP($A91,'Small Sample 1-Townhouse'!$A:$R,U$1,0),2)</f>
        <v>1.00</v>
      </c>
      <c r="V91" s="3" t="str">
        <f>FIXED(VLOOKUP($A91,'Small Sample 1-Townhouse'!$A:$R,V$1,0),2)</f>
        <v>1.00</v>
      </c>
      <c r="W91" s="3" t="str">
        <f>FIXED(VLOOKUP($A91,'Small Sample 1-Townhouse'!$A:$R,W$1,0),2)</f>
        <v>1.00</v>
      </c>
      <c r="X91" s="3" t="str">
        <f>FIXED(VLOOKUP($A91,'Small Sample 1-Townhouse'!$A:$R,X$1,0),2)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2-Townhouse'!$A:$R,AA$1,0),2)</f>
        <v>1.00</v>
      </c>
      <c r="AB91" s="3" t="str">
        <f>FIXED(VLOOKUP($A91,'Small Sample 2-Townhouse'!$A:$R,AB$1,0),2)</f>
        <v>0.00</v>
      </c>
      <c r="AC91" s="3" t="str">
        <f>FIXED(VLOOKUP($A91,'Small Sample 2-Townhouse'!$A:$R,AC$1,0),2)</f>
        <v>1.00</v>
      </c>
      <c r="AD91" s="3" t="str">
        <f>FIXED(VLOOKUP($A91,'Small Sample 2-Townhouse'!$A:$R,AD$1,0),2)</f>
        <v>1.00</v>
      </c>
      <c r="AE91" s="3" t="str">
        <f>FIXED(VLOOKUP($A91,'Small Sample 2-Townhouse'!$A:$R,AE$1,0),2)</f>
        <v>1.00</v>
      </c>
      <c r="AF91" s="3" t="str">
        <f>FIXED(VLOOKUP($A91,'Small Sample 2-Townhouse'!$A:$R,AF$1,0),2)</f>
        <v>0.00</v>
      </c>
      <c r="AG91" s="3" t="str">
        <f>FIXED(VLOOKUP($A91,'Small Sample 2-Townhouse'!$A:$R,AG$1,0),2)</f>
        <v>1.00</v>
      </c>
      <c r="AH91" s="3" t="str">
        <f>FIXED(VLOOKUP($A91,'Small Sample 2-Townhouse'!$A:$R,AH$1,0),2)</f>
        <v>1.00</v>
      </c>
      <c r="AI91" s="3" t="str">
        <f>FIXED(VLOOKUP($A91,'Small Sample 2-Townhouse'!$A:$R,AI$1,0),2)</f>
        <v>1.00</v>
      </c>
      <c r="AJ91" s="3" t="str">
        <f>FIXED(VLOOKUP($A91,'Small Sample 2-Townhouse'!$A:$R,AJ$1,0),2)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Sample-Townhouse'!$A:$R,C$1,0),2)</f>
        <v>0.00</v>
      </c>
      <c r="D92" s="3" t="str">
        <f>FIXED(VLOOKUP($A92,'Full Sample-Townhouse'!$A:$R,D$1,0),2)</f>
        <v>0.00</v>
      </c>
      <c r="E92" s="3" t="str">
        <f>FIXED(VLOOKUP($A92,'Full Sample-Townhouse'!$A:$R,E$1,0),2)</f>
        <v>0.00</v>
      </c>
      <c r="F92" s="3" t="str">
        <f>FIXED(VLOOKUP($A92,'Full Sample-Townhouse'!$A:$R,F$1,0),2)</f>
        <v>0.00</v>
      </c>
      <c r="G92" s="3" t="str">
        <f>FIXED(VLOOKUP($A92,'Full Sample-Townhouse'!$A:$R,G$1,0),2)</f>
        <v>0.00</v>
      </c>
      <c r="H92" s="3" t="str">
        <f>FIXED(VLOOKUP($A92,'Full Sample-Townhouse'!$A:$R,H$1,0),2)</f>
        <v>0.00</v>
      </c>
      <c r="I92" s="3" t="str">
        <f>FIXED(VLOOKUP($A92,'Full Sample-Townhouse'!$A:$R,I$1,0),2)</f>
        <v>0.00</v>
      </c>
      <c r="J92" s="3" t="str">
        <f>FIXED(VLOOKUP($A92,'Full Sample-Townhouse'!$A:$R,J$1,0),2)</f>
        <v>0.00</v>
      </c>
      <c r="K92" s="3" t="str">
        <f>FIXED(VLOOKUP($A92,'Full Sample-Townhouse'!$A:$R,K$1,0),2)</f>
        <v>0.00</v>
      </c>
      <c r="L92" s="3" t="str">
        <f>FIXED(VLOOKUP($A92,'Full Sample-Townhouse'!$A:$R,L$1,0),2)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1-Townhouse'!$A:$R,O$1,0),2)</f>
        <v>0.00</v>
      </c>
      <c r="P92" s="3" t="str">
        <f>FIXED(VLOOKUP($A92,'Small Sample 1-Townhouse'!$A:$R,P$1,0),2)</f>
        <v>0.00</v>
      </c>
      <c r="Q92" s="3" t="str">
        <f>FIXED(VLOOKUP($A92,'Small Sample 1-Townhouse'!$A:$R,Q$1,0),2)</f>
        <v>0.00</v>
      </c>
      <c r="R92" s="3" t="str">
        <f>FIXED(VLOOKUP($A92,'Small Sample 1-Townhouse'!$A:$R,R$1,0),2)</f>
        <v>0.00</v>
      </c>
      <c r="S92" s="3" t="str">
        <f>FIXED(VLOOKUP($A92,'Small Sample 1-Townhouse'!$A:$R,S$1,0),2)</f>
        <v>0.00</v>
      </c>
      <c r="T92" s="3" t="str">
        <f>FIXED(VLOOKUP($A92,'Small Sample 1-Townhouse'!$A:$R,T$1,0),2)</f>
        <v>0.00</v>
      </c>
      <c r="U92" s="3" t="str">
        <f>FIXED(VLOOKUP($A92,'Small Sample 1-Townhouse'!$A:$R,U$1,0),2)</f>
        <v>0.00</v>
      </c>
      <c r="V92" s="3" t="str">
        <f>FIXED(VLOOKUP($A92,'Small Sample 1-Townhouse'!$A:$R,V$1,0),2)</f>
        <v>0.00</v>
      </c>
      <c r="W92" s="3" t="str">
        <f>FIXED(VLOOKUP($A92,'Small Sample 1-Townhouse'!$A:$R,W$1,0),2)</f>
        <v>0.00</v>
      </c>
      <c r="X92" s="3" t="str">
        <f>FIXED(VLOOKUP($A92,'Small Sample 1-Townhouse'!$A:$R,X$1,0),2)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2-Townhouse'!$A:$R,AA$1,0),2)</f>
        <v>0.00</v>
      </c>
      <c r="AB92" s="3" t="str">
        <f>FIXED(VLOOKUP($A92,'Small Sample 2-Townhouse'!$A:$R,AB$1,0),2)</f>
        <v>0.00</v>
      </c>
      <c r="AC92" s="3" t="str">
        <f>FIXED(VLOOKUP($A92,'Small Sample 2-Townhouse'!$A:$R,AC$1,0),2)</f>
        <v>0.00</v>
      </c>
      <c r="AD92" s="3" t="str">
        <f>FIXED(VLOOKUP($A92,'Small Sample 2-Townhouse'!$A:$R,AD$1,0),2)</f>
        <v>0.00</v>
      </c>
      <c r="AE92" s="3" t="str">
        <f>FIXED(VLOOKUP($A92,'Small Sample 2-Townhouse'!$A:$R,AE$1,0),2)</f>
        <v>0.00</v>
      </c>
      <c r="AF92" s="3" t="str">
        <f>FIXED(VLOOKUP($A92,'Small Sample 2-Townhouse'!$A:$R,AF$1,0),2)</f>
        <v>0.00</v>
      </c>
      <c r="AG92" s="3" t="str">
        <f>FIXED(VLOOKUP($A92,'Small Sample 2-Townhouse'!$A:$R,AG$1,0),2)</f>
        <v>0.00</v>
      </c>
      <c r="AH92" s="3" t="str">
        <f>FIXED(VLOOKUP($A92,'Small Sample 2-Townhouse'!$A:$R,AH$1,0),2)</f>
        <v>0.00</v>
      </c>
      <c r="AI92" s="3" t="str">
        <f>FIXED(VLOOKUP($A92,'Small Sample 2-Townhouse'!$A:$R,AI$1,0),2)</f>
        <v>0.00</v>
      </c>
      <c r="AJ92" s="3" t="str">
        <f>FIXED(VLOOKUP($A92,'Small Sample 2-Townhouse'!$A:$R,AJ$1,0),2)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81:F81"/>
    <mergeCell ref="G81:J81"/>
    <mergeCell ref="K81:N81"/>
    <mergeCell ref="O81:R81"/>
    <mergeCell ref="S81:V81"/>
    <mergeCell ref="AA81:AD81"/>
    <mergeCell ref="AE81:AH81"/>
    <mergeCell ref="AI81:AL81"/>
    <mergeCell ref="W5:Z5"/>
    <mergeCell ref="AA5:AD5"/>
    <mergeCell ref="AE5:AH5"/>
    <mergeCell ref="AI5:AL5"/>
    <mergeCell ref="W81:Z81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D15F-8EBF-48AA-8B88-9B10C98A89A3}">
  <sheetPr codeName="Sheet26">
    <pageSetUpPr fitToPage="1"/>
  </sheetPr>
  <dimension ref="A1:BU92"/>
  <sheetViews>
    <sheetView topLeftCell="A3" workbookViewId="0">
      <selection activeCell="B19" sqref="B1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1.7109375" style="3" bestFit="1" customWidth="1"/>
    <col min="5" max="5" width="12.4257812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2.42578125" style="3" hidden="1" customWidth="1"/>
    <col min="10" max="10" width="12.7109375" style="3" hidden="1" customWidth="1"/>
    <col min="11" max="12" width="11.7109375" style="3" bestFit="1" customWidth="1"/>
    <col min="13" max="13" width="12.42578125" style="3" hidden="1" customWidth="1"/>
    <col min="14" max="14" width="12.7109375" style="3" hidden="1" customWidth="1"/>
    <col min="15" max="16" width="11.7109375" bestFit="1" customWidth="1"/>
    <col min="17" max="17" width="12.42578125" hidden="1" customWidth="1"/>
    <col min="18" max="18" width="12.7109375" hidden="1" customWidth="1"/>
    <col min="19" max="20" width="11.7109375" bestFit="1" customWidth="1"/>
    <col min="21" max="21" width="12.4257812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1" width="11.7109375" bestFit="1" customWidth="1"/>
    <col min="32" max="32" width="10.14062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8.42578125" hidden="1" customWidth="1"/>
    <col min="40" max="40" width="10.140625" bestFit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6" t="s">
        <v>188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</row>
    <row r="3" spans="1:40" ht="23.25" x14ac:dyDescent="0.35">
      <c r="A3" s="36" t="s">
        <v>189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</row>
    <row r="4" spans="1:40" x14ac:dyDescent="0.25">
      <c r="C4" s="38" t="s">
        <v>92</v>
      </c>
      <c r="D4" s="39"/>
      <c r="E4" s="39"/>
      <c r="F4" s="39"/>
      <c r="G4" s="39"/>
      <c r="H4" s="39"/>
      <c r="I4" s="39"/>
      <c r="J4" s="39"/>
      <c r="K4" s="39"/>
      <c r="L4" s="39"/>
      <c r="M4" s="10"/>
      <c r="N4" s="11"/>
      <c r="O4" s="38" t="s">
        <v>325</v>
      </c>
      <c r="P4" s="39"/>
      <c r="Q4" s="39"/>
      <c r="R4" s="39"/>
      <c r="S4" s="39"/>
      <c r="T4" s="39"/>
      <c r="U4" s="39"/>
      <c r="V4" s="39"/>
      <c r="W4" s="39"/>
      <c r="X4" s="39"/>
      <c r="AA4" s="38" t="s">
        <v>324</v>
      </c>
      <c r="AB4" s="39"/>
      <c r="AC4" s="39"/>
      <c r="AD4" s="39"/>
      <c r="AE4" s="39"/>
      <c r="AF4" s="39"/>
      <c r="AG4" s="39"/>
      <c r="AH4" s="39"/>
      <c r="AI4" s="39"/>
      <c r="AJ4" s="39"/>
    </row>
    <row r="5" spans="1:40" ht="30.75" customHeight="1" x14ac:dyDescent="0.25">
      <c r="A5" s="5"/>
      <c r="B5" s="5"/>
      <c r="C5" s="40" t="s">
        <v>92</v>
      </c>
      <c r="D5" s="41"/>
      <c r="E5" s="41"/>
      <c r="F5" s="41"/>
      <c r="G5" s="42" t="s">
        <v>94</v>
      </c>
      <c r="H5" s="43"/>
      <c r="I5" s="43"/>
      <c r="J5" s="44"/>
      <c r="K5" s="40" t="s">
        <v>93</v>
      </c>
      <c r="L5" s="41"/>
      <c r="M5" s="41"/>
      <c r="N5" s="45"/>
      <c r="O5" s="40" t="s">
        <v>92</v>
      </c>
      <c r="P5" s="41"/>
      <c r="Q5" s="41"/>
      <c r="R5" s="41"/>
      <c r="S5" s="42" t="s">
        <v>94</v>
      </c>
      <c r="T5" s="43"/>
      <c r="U5" s="43"/>
      <c r="V5" s="44"/>
      <c r="W5" s="40" t="s">
        <v>93</v>
      </c>
      <c r="X5" s="41"/>
      <c r="Y5" s="41"/>
      <c r="Z5" s="41"/>
      <c r="AA5" s="40" t="s">
        <v>92</v>
      </c>
      <c r="AB5" s="41"/>
      <c r="AC5" s="41"/>
      <c r="AD5" s="41"/>
      <c r="AE5" s="42" t="s">
        <v>94</v>
      </c>
      <c r="AF5" s="43"/>
      <c r="AG5" s="43"/>
      <c r="AH5" s="44"/>
      <c r="AI5" s="40" t="s">
        <v>93</v>
      </c>
      <c r="AJ5" s="41"/>
      <c r="AK5" s="41"/>
      <c r="AL5" s="41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Sample-Single Family'!$A:$R,C$1,0),2)</f>
        <v>1,266,029.00</v>
      </c>
      <c r="D7" s="3" t="str">
        <f>FIXED(VLOOKUP($A7,'Full Sample-Single Family'!$A:$R,D$1,0),2)</f>
        <v>1,030,927.00</v>
      </c>
      <c r="E7" s="3" t="str">
        <f>FIXED(VLOOKUP($A7,'Full Sample-Single Family'!$A:$R,E$1,0),2)</f>
        <v>168,375.10</v>
      </c>
      <c r="F7" s="3" t="str">
        <f>FIXED(VLOOKUP($A7,'Full Sample-Single Family'!$A:$R,F$1,0),2)</f>
        <v>23,293,838.00</v>
      </c>
      <c r="G7" s="9" t="str">
        <f>FIXED(VLOOKUP($A7,'Full Sample-Single Family'!$A:$R,G$1,0),2)</f>
        <v>1,188,971.00</v>
      </c>
      <c r="H7" s="3" t="str">
        <f>FIXED(VLOOKUP($A7,'Full Sample-Single Family'!$A:$R,H$1,0),2)</f>
        <v>976,346.10</v>
      </c>
      <c r="I7" s="3" t="str">
        <f>FIXED(VLOOKUP($A7,'Full Sample-Single Family'!$A:$R,I$1,0),2)</f>
        <v>168,375.10</v>
      </c>
      <c r="J7" s="13" t="str">
        <f>FIXED(VLOOKUP($A7,'Full Sample-Single Family'!$A:$R,J$1,0),2)</f>
        <v>23,293,838.00</v>
      </c>
      <c r="K7" s="9" t="str">
        <f>FIXED(VLOOKUP($A7,'Full Sample-Single Family'!$A:$R,K$1,0),2)</f>
        <v>1,371,362.00</v>
      </c>
      <c r="L7" s="3" t="str">
        <f>FIXED(VLOOKUP($A7,'Full Sample-Single Family'!$A:$R,L$1,0),2)</f>
        <v>1,092,461.00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1-Single Family'!$A:$R,O$1,0),2)</f>
        <v>1,291,549.00</v>
      </c>
      <c r="P7" s="3" t="str">
        <f>FIXED(VLOOKUP($A7,'Small Sample 1-Single Family'!$A:$R,P$1,0),2)</f>
        <v>1,055,709.00</v>
      </c>
      <c r="Q7" s="3" t="str">
        <f>FIXED(VLOOKUP($A7,'Small Sample 1-Single Family'!$A:$R,Q$1,0),2)</f>
        <v>168,375.10</v>
      </c>
      <c r="R7" s="3" t="str">
        <f>FIXED(VLOOKUP($A7,'Small Sample 1-Single Family'!$A:$R,R$1,0),2)</f>
        <v>23,293,838.00</v>
      </c>
      <c r="S7" s="9" t="str">
        <f>FIXED(VLOOKUP($A7,'Small Sample 1-Single Family'!$A:$R,S$1,0),2)</f>
        <v>1,215,053.00</v>
      </c>
      <c r="T7" s="3" t="str">
        <f>FIXED(VLOOKUP($A7,'Small Sample 1-Single Family'!$A:$R,T$1,0),2)</f>
        <v>1,006,619.00</v>
      </c>
      <c r="U7" s="3" t="str">
        <f>FIXED(VLOOKUP($A7,'Small Sample 1-Single Family'!$A:$R,U$1,0),2)</f>
        <v>168,375.10</v>
      </c>
      <c r="V7" s="13" t="str">
        <f>FIXED(VLOOKUP($A7,'Small Sample 1-Single Family'!$A:$R,V$1,0),2)</f>
        <v>23,293,838.00</v>
      </c>
      <c r="W7" s="9" t="str">
        <f>FIXED(VLOOKUP($A7,'Small Sample 1-Single Family'!$A:$R,W$1,0),2)</f>
        <v>1,378,213.00</v>
      </c>
      <c r="X7" s="3" t="str">
        <f>FIXED(VLOOKUP($A7,'Small Sample 1-Single Family'!$A:$R,X$1,0),2)</f>
        <v>1,102,360.00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2-Single Family'!$A:$R,AA$1,0),2)</f>
        <v>1,266,487.00</v>
      </c>
      <c r="AB7" s="3" t="str">
        <f>FIXED(VLOOKUP($A7,'Small Sample 2-Single Family'!$A:$R,AB$1,0),2)</f>
        <v>1,040,810.00</v>
      </c>
      <c r="AC7" s="3" t="str">
        <f>FIXED(VLOOKUP($A7,'Small Sample 2-Single Family'!$A:$R,AC$1,0),2)</f>
        <v>168,375.10</v>
      </c>
      <c r="AD7" s="3" t="str">
        <f>FIXED(VLOOKUP($A7,'Small Sample 2-Single Family'!$A:$R,AD$1,0),2)</f>
        <v>23,293,838.00</v>
      </c>
      <c r="AE7" s="9" t="str">
        <f>FIXED(VLOOKUP($A7,'Small Sample 2-Single Family'!$A:$R,AE$1,0),2)</f>
        <v>1,192,123.00</v>
      </c>
      <c r="AF7" s="3" t="str">
        <f>FIXED(VLOOKUP($A7,'Small Sample 2-Single Family'!$A:$R,AF$1,0),2)</f>
        <v>964,659.60</v>
      </c>
      <c r="AG7" s="3" t="str">
        <f>FIXED(VLOOKUP($A7,'Small Sample 2-Single Family'!$A:$R,AG$1,0),2)</f>
        <v>168,375.10</v>
      </c>
      <c r="AH7" s="13" t="str">
        <f>FIXED(VLOOKUP($A7,'Small Sample 2-Single Family'!$A:$R,AH$1,0),2)</f>
        <v>23,293,838.00</v>
      </c>
      <c r="AI7" s="9" t="str">
        <f>FIXED(VLOOKUP($A7,'Small Sample 2-Single Family'!$A:$R,AI$1,0),2)</f>
        <v>1,390,901.00</v>
      </c>
      <c r="AJ7" s="3" t="str">
        <f>FIXED(VLOOKUP($A7,'Small Sample 2-Single Family'!$A:$R,AJ$1,0),2)</f>
        <v>1,146,389.00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326</v>
      </c>
    </row>
    <row r="8" spans="1:40" x14ac:dyDescent="0.25">
      <c r="A8" t="s">
        <v>20</v>
      </c>
      <c r="B8" t="s">
        <v>104</v>
      </c>
      <c r="C8" s="9" t="str">
        <f>FIXED(VLOOKUP($A8,'Full Sample-Single Family'!$A:$R,C$1,0),2)</f>
        <v>1,252,514.00</v>
      </c>
      <c r="D8" s="3" t="str">
        <f>FIXED(VLOOKUP($A8,'Full Sample-Single Family'!$A:$R,D$1,0),2)</f>
        <v>958,356.20</v>
      </c>
      <c r="E8" s="3" t="str">
        <f>FIXED(VLOOKUP($A8,'Full Sample-Single Family'!$A:$R,E$1,0),2)</f>
        <v>180,401.90</v>
      </c>
      <c r="F8" s="3" t="str">
        <f>FIXED(VLOOKUP($A8,'Full Sample-Single Family'!$A:$R,F$1,0),2)</f>
        <v>22,166,108.00</v>
      </c>
      <c r="G8" s="9" t="str">
        <f>FIXED(VLOOKUP($A8,'Full Sample-Single Family'!$A:$R,G$1,0),2)</f>
        <v>1,164,099.00</v>
      </c>
      <c r="H8" s="3" t="str">
        <f>FIXED(VLOOKUP($A8,'Full Sample-Single Family'!$A:$R,H$1,0),2)</f>
        <v>899,009.60</v>
      </c>
      <c r="I8" s="3" t="str">
        <f>FIXED(VLOOKUP($A8,'Full Sample-Single Family'!$A:$R,I$1,0),2)</f>
        <v>180,401.90</v>
      </c>
      <c r="J8" s="13" t="str">
        <f>FIXED(VLOOKUP($A8,'Full Sample-Single Family'!$A:$R,J$1,0),2)</f>
        <v>21,058,570.00</v>
      </c>
      <c r="K8" s="9" t="str">
        <f>FIXED(VLOOKUP($A8,'Full Sample-Single Family'!$A:$R,K$1,0),2)</f>
        <v>1,373,372.00</v>
      </c>
      <c r="L8" s="3" t="str">
        <f>FIXED(VLOOKUP($A8,'Full Sample-Single Family'!$A:$R,L$1,0),2)</f>
        <v>1,021,727.00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1-Single Family'!$A:$R,O$1,0),2)</f>
        <v>1,279,360.00</v>
      </c>
      <c r="P8" s="3" t="str">
        <f>FIXED(VLOOKUP($A8,'Small Sample 1-Single Family'!$A:$R,P$1,0),2)</f>
        <v>981,225.30</v>
      </c>
      <c r="Q8" s="3" t="str">
        <f>FIXED(VLOOKUP($A8,'Small Sample 1-Single Family'!$A:$R,Q$1,0),2)</f>
        <v>180,401.90</v>
      </c>
      <c r="R8" s="3" t="str">
        <f>FIXED(VLOOKUP($A8,'Small Sample 1-Single Family'!$A:$R,R$1,0),2)</f>
        <v>22,166,108.00</v>
      </c>
      <c r="S8" s="9" t="str">
        <f>FIXED(VLOOKUP($A8,'Small Sample 1-Single Family'!$A:$R,S$1,0),2)</f>
        <v>1,189,751.00</v>
      </c>
      <c r="T8" s="3" t="str">
        <f>FIXED(VLOOKUP($A8,'Small Sample 1-Single Family'!$A:$R,T$1,0),2)</f>
        <v>926,722.50</v>
      </c>
      <c r="U8" s="3" t="str">
        <f>FIXED(VLOOKUP($A8,'Small Sample 1-Single Family'!$A:$R,U$1,0),2)</f>
        <v>180,401.90</v>
      </c>
      <c r="V8" s="13" t="str">
        <f>FIXED(VLOOKUP($A8,'Small Sample 1-Single Family'!$A:$R,V$1,0),2)</f>
        <v>21,058,570.00</v>
      </c>
      <c r="W8" s="9" t="str">
        <f>FIXED(VLOOKUP($A8,'Small Sample 1-Single Family'!$A:$R,W$1,0),2)</f>
        <v>1,380,878.00</v>
      </c>
      <c r="X8" s="3" t="str">
        <f>FIXED(VLOOKUP($A8,'Small Sample 1-Single Family'!$A:$R,X$1,0),2)</f>
        <v>1,030,200.00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2-Single Family'!$A:$R,AA$1,0),2)</f>
        <v>1,250,026.00</v>
      </c>
      <c r="AB8" s="3" t="str">
        <f>FIXED(VLOOKUP($A8,'Small Sample 2-Single Family'!$A:$R,AB$1,0),2)</f>
        <v>961,708.60</v>
      </c>
      <c r="AC8" s="3" t="str">
        <f>FIXED(VLOOKUP($A8,'Small Sample 2-Single Family'!$A:$R,AC$1,0),2)</f>
        <v>180,401.90</v>
      </c>
      <c r="AD8" s="3" t="str">
        <f>FIXED(VLOOKUP($A8,'Small Sample 2-Single Family'!$A:$R,AD$1,0),2)</f>
        <v>22,166,108.00</v>
      </c>
      <c r="AE8" s="9" t="str">
        <f>FIXED(VLOOKUP($A8,'Small Sample 2-Single Family'!$A:$R,AE$1,0),2)</f>
        <v>1,166,712.00</v>
      </c>
      <c r="AF8" s="3" t="str">
        <f>FIXED(VLOOKUP($A8,'Small Sample 2-Single Family'!$A:$R,AF$1,0),2)</f>
        <v>883,541.30</v>
      </c>
      <c r="AG8" s="3" t="str">
        <f>FIXED(VLOOKUP($A8,'Small Sample 2-Single Family'!$A:$R,AG$1,0),2)</f>
        <v>180,401.90</v>
      </c>
      <c r="AH8" s="13" t="str">
        <f>FIXED(VLOOKUP($A8,'Small Sample 2-Single Family'!$A:$R,AH$1,0),2)</f>
        <v>21,058,570.00</v>
      </c>
      <c r="AI8" s="9" t="str">
        <f>FIXED(VLOOKUP($A8,'Small Sample 2-Single Family'!$A:$R,AI$1,0),2)</f>
        <v>1,389,411.00</v>
      </c>
      <c r="AJ8" s="3" t="str">
        <f>FIXED(VLOOKUP($A8,'Small Sample 2-Single Family'!$A:$R,AJ$1,0),2)</f>
        <v>1,065,499.00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Sample-Single Family'!$A:$R,C$1,0),2)</f>
        <v>10,880.39</v>
      </c>
      <c r="D9" s="3" t="str">
        <f>FIXED(VLOOKUP($A9,'Full Sample-Single Family'!$A:$R,D$1,0),2)</f>
        <v>121,225.80</v>
      </c>
      <c r="E9" s="3" t="str">
        <f>FIXED(VLOOKUP($A9,'Full Sample-Single Family'!$A:$R,E$1,0),2)</f>
        <v>-2,010,000.00</v>
      </c>
      <c r="F9" s="3" t="str">
        <f>FIXED(VLOOKUP($A9,'Full Sample-Single Family'!$A:$R,F$1,0),2)</f>
        <v>6,900,000.00</v>
      </c>
      <c r="G9" s="9" t="str">
        <f>FIXED(VLOOKUP($A9,'Full Sample-Single Family'!$A:$R,G$1,0),2)</f>
        <v>20,433.05</v>
      </c>
      <c r="H9" s="3" t="str">
        <f>FIXED(VLOOKUP($A9,'Full Sample-Single Family'!$A:$R,H$1,0),2)</f>
        <v>94,750.50</v>
      </c>
      <c r="I9" s="3" t="str">
        <f>FIXED(VLOOKUP($A9,'Full Sample-Single Family'!$A:$R,I$1,0),2)</f>
        <v>-1,850,000.00</v>
      </c>
      <c r="J9" s="13" t="str">
        <f>FIXED(VLOOKUP($A9,'Full Sample-Single Family'!$A:$R,J$1,0),2)</f>
        <v>2,950,000.00</v>
      </c>
      <c r="K9" s="9" t="str">
        <f>FIXED(VLOOKUP($A9,'Full Sample-Single Family'!$A:$R,K$1,0),2)</f>
        <v>-2,177.47</v>
      </c>
      <c r="L9" s="3" t="str">
        <f>FIXED(VLOOKUP($A9,'Full Sample-Single Family'!$A:$R,L$1,0),2)</f>
        <v>149,058.10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1-Single Family'!$A:$R,O$1,0),2)</f>
        <v>9,764.07</v>
      </c>
      <c r="P9" s="3" t="str">
        <f>FIXED(VLOOKUP($A9,'Small Sample 1-Single Family'!$A:$R,P$1,0),2)</f>
        <v>125,143.10</v>
      </c>
      <c r="Q9" s="3" t="str">
        <f>FIXED(VLOOKUP($A9,'Small Sample 1-Single Family'!$A:$R,Q$1,0),2)</f>
        <v>-2,010,000.00</v>
      </c>
      <c r="R9" s="3" t="str">
        <f>FIXED(VLOOKUP($A9,'Small Sample 1-Single Family'!$A:$R,R$1,0),2)</f>
        <v>6,900,000.00</v>
      </c>
      <c r="S9" s="9" t="str">
        <f>FIXED(VLOOKUP($A9,'Small Sample 1-Single Family'!$A:$R,S$1,0),2)</f>
        <v>20,807.72</v>
      </c>
      <c r="T9" s="3" t="str">
        <f>FIXED(VLOOKUP($A9,'Small Sample 1-Single Family'!$A:$R,T$1,0),2)</f>
        <v>96,865.89</v>
      </c>
      <c r="U9" s="3" t="str">
        <f>FIXED(VLOOKUP($A9,'Small Sample 1-Single Family'!$A:$R,U$1,0),2)</f>
        <v>-1,850,000.00</v>
      </c>
      <c r="V9" s="13" t="str">
        <f>FIXED(VLOOKUP($A9,'Small Sample 1-Single Family'!$A:$R,V$1,0),2)</f>
        <v>2,950,000.00</v>
      </c>
      <c r="W9" s="9" t="str">
        <f>FIXED(VLOOKUP($A9,'Small Sample 1-Single Family'!$A:$R,W$1,0),2)</f>
        <v>-2,747.40</v>
      </c>
      <c r="X9" s="3" t="str">
        <f>FIXED(VLOOKUP($A9,'Small Sample 1-Single Family'!$A:$R,X$1,0),2)</f>
        <v>149,933.30</v>
      </c>
      <c r="Y9" s="3"/>
      <c r="Z9" s="3"/>
      <c r="AA9" s="9" t="str">
        <f>FIXED(VLOOKUP($A9,'Small Sample 2-Single Family'!$A:$R,AA$1,0),2)</f>
        <v>13,408.78</v>
      </c>
      <c r="AB9" s="3" t="str">
        <f>FIXED(VLOOKUP($A9,'Small Sample 2-Single Family'!$A:$R,AB$1,0),2)</f>
        <v>126,229.10</v>
      </c>
      <c r="AC9" s="3" t="str">
        <f>FIXED(VLOOKUP($A9,'Small Sample 2-Single Family'!$A:$R,AC$1,0),2)</f>
        <v>-2,010,000.00</v>
      </c>
      <c r="AD9" s="3" t="str">
        <f>FIXED(VLOOKUP($A9,'Small Sample 2-Single Family'!$A:$R,AD$1,0),2)</f>
        <v>6,900,000.00</v>
      </c>
      <c r="AE9" s="9" t="str">
        <f>FIXED(VLOOKUP($A9,'Small Sample 2-Single Family'!$A:$R,AE$1,0),2)</f>
        <v>20,856.18</v>
      </c>
      <c r="AF9" s="3" t="str">
        <f>FIXED(VLOOKUP($A9,'Small Sample 2-Single Family'!$A:$R,AF$1,0),2)</f>
        <v>97,105.61</v>
      </c>
      <c r="AG9" s="3" t="str">
        <f>FIXED(VLOOKUP($A9,'Small Sample 2-Single Family'!$A:$R,AG$1,0),2)</f>
        <v>-1,850,000.00</v>
      </c>
      <c r="AH9" s="13" t="str">
        <f>FIXED(VLOOKUP($A9,'Small Sample 2-Single Family'!$A:$R,AH$1,0),2)</f>
        <v>2,950,000.00</v>
      </c>
      <c r="AI9" s="9" t="str">
        <f>FIXED(VLOOKUP($A9,'Small Sample 2-Single Family'!$A:$R,AI$1,0),2)</f>
        <v>949.10</v>
      </c>
      <c r="AJ9" s="3" t="str">
        <f>FIXED(VLOOKUP($A9,'Small Sample 2-Single Family'!$A:$R,AJ$1,0),2)</f>
        <v>163,003.90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Sample-Single Family'!$A:$R,C$1,0),2)</f>
        <v>1.30</v>
      </c>
      <c r="D10" s="3" t="str">
        <f>FIXED(VLOOKUP($A10,'Full Sample-Single Family'!$A:$R,D$1,0),2)</f>
        <v>0.54</v>
      </c>
      <c r="E10" s="3" t="str">
        <f>FIXED(VLOOKUP($A10,'Full Sample-Single Family'!$A:$R,E$1,0),2)</f>
        <v>1.00</v>
      </c>
      <c r="F10" s="3" t="str">
        <f>FIXED(VLOOKUP($A10,'Full Sample-Single Family'!$A:$R,F$1,0),2)</f>
        <v>4.00</v>
      </c>
      <c r="G10" s="9" t="str">
        <f>FIXED(VLOOKUP($A10,'Full Sample-Single Family'!$A:$R,G$1,0),2)</f>
        <v>1.29</v>
      </c>
      <c r="H10" s="3" t="str">
        <f>FIXED(VLOOKUP($A10,'Full Sample-Single Family'!$A:$R,H$1,0),2)</f>
        <v>0.53</v>
      </c>
      <c r="I10" s="3" t="str">
        <f>FIXED(VLOOKUP($A10,'Full Sample-Single Family'!$A:$R,I$1,0),2)</f>
        <v>1.00</v>
      </c>
      <c r="J10" s="13" t="str">
        <f>FIXED(VLOOKUP($A10,'Full Sample-Single Family'!$A:$R,J$1,0),2)</f>
        <v>4.00</v>
      </c>
      <c r="K10" s="9" t="str">
        <f>FIXED(VLOOKUP($A10,'Full Sample-Single Family'!$A:$R,K$1,0),2)</f>
        <v>1.32</v>
      </c>
      <c r="L10" s="3" t="str">
        <f>FIXED(VLOOKUP($A10,'Full Sample-Single Family'!$A:$R,L$1,0),2)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1-Single Family'!$A:$R,O$1,0),2)</f>
        <v>1.17</v>
      </c>
      <c r="P10" s="3" t="str">
        <f>FIXED(VLOOKUP($A10,'Small Sample 1-Single Family'!$A:$R,P$1,0),2)</f>
        <v>0.41</v>
      </c>
      <c r="Q10" s="3" t="str">
        <f>FIXED(VLOOKUP($A10,'Small Sample 1-Single Family'!$A:$R,Q$1,0),2)</f>
        <v>1.00</v>
      </c>
      <c r="R10" s="3" t="str">
        <f>FIXED(VLOOKUP($A10,'Small Sample 1-Single Family'!$A:$R,R$1,0),2)</f>
        <v>4.00</v>
      </c>
      <c r="S10" s="9" t="str">
        <f>FIXED(VLOOKUP($A10,'Small Sample 1-Single Family'!$A:$R,S$1,0),2)</f>
        <v>1.07</v>
      </c>
      <c r="T10" s="3" t="str">
        <f>FIXED(VLOOKUP($A10,'Small Sample 1-Single Family'!$A:$R,T$1,0),2)</f>
        <v>0.27</v>
      </c>
      <c r="U10" s="3" t="str">
        <f>FIXED(VLOOKUP($A10,'Small Sample 1-Single Family'!$A:$R,U$1,0),2)</f>
        <v>1.00</v>
      </c>
      <c r="V10" s="13" t="str">
        <f>FIXED(VLOOKUP($A10,'Small Sample 1-Single Family'!$A:$R,V$1,0),2)</f>
        <v>3.00</v>
      </c>
      <c r="W10" s="9" t="str">
        <f>FIXED(VLOOKUP($A10,'Small Sample 1-Single Family'!$A:$R,W$1,0),2)</f>
        <v>1.28</v>
      </c>
      <c r="X10" s="3" t="str">
        <f>FIXED(VLOOKUP($A10,'Small Sample 1-Single Family'!$A:$R,X$1,0),2)</f>
        <v>0.51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2-Single Family'!$A:$R,AA$1,0),2)</f>
        <v>1.17</v>
      </c>
      <c r="AB10" s="3" t="str">
        <f>FIXED(VLOOKUP($A10,'Small Sample 2-Single Family'!$A:$R,AB$1,0),2)</f>
        <v>0.41</v>
      </c>
      <c r="AC10" s="3" t="str">
        <f>FIXED(VLOOKUP($A10,'Small Sample 2-Single Family'!$A:$R,AC$1,0),2)</f>
        <v>1.00</v>
      </c>
      <c r="AD10" s="3" t="str">
        <f>FIXED(VLOOKUP($A10,'Small Sample 2-Single Family'!$A:$R,AD$1,0),2)</f>
        <v>4.00</v>
      </c>
      <c r="AE10" s="9" t="str">
        <f>FIXED(VLOOKUP($A10,'Small Sample 2-Single Family'!$A:$R,AE$1,0),2)</f>
        <v>1.23</v>
      </c>
      <c r="AF10" s="3" t="str">
        <f>FIXED(VLOOKUP($A10,'Small Sample 2-Single Family'!$A:$R,AF$1,0),2)</f>
        <v>0.47</v>
      </c>
      <c r="AG10" s="3" t="str">
        <f>FIXED(VLOOKUP($A10,'Small Sample 2-Single Family'!$A:$R,AG$1,0),2)</f>
        <v>1.00</v>
      </c>
      <c r="AH10" s="13" t="str">
        <f>FIXED(VLOOKUP($A10,'Small Sample 2-Single Family'!$A:$R,AH$1,0),2)</f>
        <v>4.00</v>
      </c>
      <c r="AI10" s="9" t="str">
        <f>FIXED(VLOOKUP($A10,'Small Sample 2-Single Family'!$A:$R,AI$1,0),2)</f>
        <v>1.06</v>
      </c>
      <c r="AJ10" s="3" t="str">
        <f>FIXED(VLOOKUP($A10,'Small Sample 2-Single Family'!$A:$R,AJ$1,0),2)</f>
        <v>0.25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Sample-Single Family'!$A:$R,C$1,0),2)</f>
        <v>0.42</v>
      </c>
      <c r="D11" s="3" t="str">
        <f>FIXED(VLOOKUP($A11,'Full Sample-Single Family'!$A:$R,D$1,0),2)</f>
        <v>0.49</v>
      </c>
      <c r="E11" s="3" t="str">
        <f>FIXED(VLOOKUP($A11,'Full Sample-Single Family'!$A:$R,E$1,0),2)</f>
        <v>0.00</v>
      </c>
      <c r="F11" s="3" t="str">
        <f>FIXED(VLOOKUP($A11,'Full Sample-Single Family'!$A:$R,F$1,0),2)</f>
        <v>1.00</v>
      </c>
      <c r="G11" s="9" t="str">
        <f>FIXED(VLOOKUP($A11,'Full Sample-Single Family'!$A:$R,G$1,0),2)</f>
        <v>0.00</v>
      </c>
      <c r="H11" s="3" t="str">
        <f>FIXED(VLOOKUP($A11,'Full Sample-Single Family'!$A:$R,H$1,0),2)</f>
        <v>0.00</v>
      </c>
      <c r="I11" s="3" t="str">
        <f>FIXED(VLOOKUP($A11,'Full Sample-Single Family'!$A:$R,I$1,0),2)</f>
        <v>0.00</v>
      </c>
      <c r="J11" s="13" t="str">
        <f>FIXED(VLOOKUP($A11,'Full Sample-Single Family'!$A:$R,J$1,0),2)</f>
        <v>0.00</v>
      </c>
      <c r="K11" s="9" t="str">
        <f>FIXED(VLOOKUP($A11,'Full Sample-Single Family'!$A:$R,K$1,0),2)</f>
        <v>1.00</v>
      </c>
      <c r="L11" s="3" t="str">
        <f>FIXED(VLOOKUP($A11,'Full Sample-Single Family'!$A:$R,L$1,0),2)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1-Single Family'!$A:$R,O$1,0),2)</f>
        <v>0.47</v>
      </c>
      <c r="P11" s="3" t="str">
        <f>FIXED(VLOOKUP($A11,'Small Sample 1-Single Family'!$A:$R,P$1,0),2)</f>
        <v>0.50</v>
      </c>
      <c r="Q11" s="3" t="str">
        <f>FIXED(VLOOKUP($A11,'Small Sample 1-Single Family'!$A:$R,Q$1,0),2)</f>
        <v>0.00</v>
      </c>
      <c r="R11" s="3" t="str">
        <f>FIXED(VLOOKUP($A11,'Small Sample 1-Single Family'!$A:$R,R$1,0),2)</f>
        <v>1.00</v>
      </c>
      <c r="S11" s="9" t="str">
        <f>FIXED(VLOOKUP($A11,'Small Sample 1-Single Family'!$A:$R,S$1,0),2)</f>
        <v>0.00</v>
      </c>
      <c r="T11" s="3" t="str">
        <f>FIXED(VLOOKUP($A11,'Small Sample 1-Single Family'!$A:$R,T$1,0),2)</f>
        <v>0.00</v>
      </c>
      <c r="U11" s="3" t="str">
        <f>FIXED(VLOOKUP($A11,'Small Sample 1-Single Family'!$A:$R,U$1,0),2)</f>
        <v>0.00</v>
      </c>
      <c r="V11" s="13" t="str">
        <f>FIXED(VLOOKUP($A11,'Small Sample 1-Single Family'!$A:$R,V$1,0),2)</f>
        <v>0.00</v>
      </c>
      <c r="W11" s="9" t="str">
        <f>FIXED(VLOOKUP($A11,'Small Sample 1-Single Family'!$A:$R,W$1,0),2)</f>
        <v>1.00</v>
      </c>
      <c r="X11" s="3" t="str">
        <f>FIXED(VLOOKUP($A11,'Small Sample 1-Single Family'!$A:$R,X$1,0),2)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2-Single Family'!$A:$R,AA$1,0),2)</f>
        <v>0.37</v>
      </c>
      <c r="AB11" s="3" t="str">
        <f>FIXED(VLOOKUP($A11,'Small Sample 2-Single Family'!$A:$R,AB$1,0),2)</f>
        <v>0.48</v>
      </c>
      <c r="AC11" s="3" t="str">
        <f>FIXED(VLOOKUP($A11,'Small Sample 2-Single Family'!$A:$R,AC$1,0),2)</f>
        <v>0.00</v>
      </c>
      <c r="AD11" s="3" t="str">
        <f>FIXED(VLOOKUP($A11,'Small Sample 2-Single Family'!$A:$R,AD$1,0),2)</f>
        <v>1.00</v>
      </c>
      <c r="AE11" s="9" t="str">
        <f>FIXED(VLOOKUP($A11,'Small Sample 2-Single Family'!$A:$R,AE$1,0),2)</f>
        <v>0.00</v>
      </c>
      <c r="AF11" s="3" t="str">
        <f>FIXED(VLOOKUP($A11,'Small Sample 2-Single Family'!$A:$R,AF$1,0),2)</f>
        <v>0.00</v>
      </c>
      <c r="AG11" s="3" t="str">
        <f>FIXED(VLOOKUP($A11,'Small Sample 2-Single Family'!$A:$R,AG$1,0),2)</f>
        <v>0.00</v>
      </c>
      <c r="AH11" s="13" t="str">
        <f>FIXED(VLOOKUP($A11,'Small Sample 2-Single Family'!$A:$R,AH$1,0),2)</f>
        <v>0.00</v>
      </c>
      <c r="AI11" s="9" t="str">
        <f>FIXED(VLOOKUP($A11,'Small Sample 2-Single Family'!$A:$R,AI$1,0),2)</f>
        <v>1.00</v>
      </c>
      <c r="AJ11" s="3" t="str">
        <f>FIXED(VLOOKUP($A11,'Small Sample 2-Single Family'!$A:$R,AJ$1,0),2)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Sample-Single Family'!$A:$R,C$1,0),2)</f>
        <v>0.37</v>
      </c>
      <c r="D12" s="3" t="str">
        <f>FIXED(VLOOKUP($A12,'Full Sample-Single Family'!$A:$R,D$1,0),2)</f>
        <v>0.48</v>
      </c>
      <c r="E12" s="3" t="str">
        <f>FIXED(VLOOKUP($A12,'Full Sample-Single Family'!$A:$R,E$1,0),2)</f>
        <v>0.00</v>
      </c>
      <c r="F12" s="3" t="str">
        <f>FIXED(VLOOKUP($A12,'Full Sample-Single Family'!$A:$R,F$1,0),2)</f>
        <v>1.00</v>
      </c>
      <c r="G12" s="9" t="str">
        <f>FIXED(VLOOKUP($A12,'Full Sample-Single Family'!$A:$R,G$1,0),2)</f>
        <v>0.00</v>
      </c>
      <c r="H12" s="3" t="str">
        <f>FIXED(VLOOKUP($A12,'Full Sample-Single Family'!$A:$R,H$1,0),2)</f>
        <v>0.04</v>
      </c>
      <c r="I12" s="3" t="str">
        <f>FIXED(VLOOKUP($A12,'Full Sample-Single Family'!$A:$R,I$1,0),2)</f>
        <v>0.00</v>
      </c>
      <c r="J12" s="13" t="str">
        <f>FIXED(VLOOKUP($A12,'Full Sample-Single Family'!$A:$R,J$1,0),2)</f>
        <v>1.00</v>
      </c>
      <c r="K12" s="9" t="str">
        <f>FIXED(VLOOKUP($A12,'Full Sample-Single Family'!$A:$R,K$1,0),2)</f>
        <v>0.87</v>
      </c>
      <c r="L12" s="3" t="str">
        <f>FIXED(VLOOKUP($A12,'Full Sample-Single Family'!$A:$R,L$1,0),2)</f>
        <v>0.34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1-Single Family'!$A:$R,O$1,0),2)</f>
        <v>0.41</v>
      </c>
      <c r="P12" s="3" t="str">
        <f>FIXED(VLOOKUP($A12,'Small Sample 1-Single Family'!$A:$R,P$1,0),2)</f>
        <v>0.49</v>
      </c>
      <c r="Q12" s="3" t="str">
        <f>FIXED(VLOOKUP($A12,'Small Sample 1-Single Family'!$A:$R,Q$1,0),2)</f>
        <v>0.00</v>
      </c>
      <c r="R12" s="3" t="str">
        <f>FIXED(VLOOKUP($A12,'Small Sample 1-Single Family'!$A:$R,R$1,0),2)</f>
        <v>1.00</v>
      </c>
      <c r="S12" s="9" t="str">
        <f>FIXED(VLOOKUP($A12,'Small Sample 1-Single Family'!$A:$R,S$1,0),2)</f>
        <v>0.00</v>
      </c>
      <c r="T12" s="3" t="str">
        <f>FIXED(VLOOKUP($A12,'Small Sample 1-Single Family'!$A:$R,T$1,0),2)</f>
        <v>0.04</v>
      </c>
      <c r="U12" s="3" t="str">
        <f>FIXED(VLOOKUP($A12,'Small Sample 1-Single Family'!$A:$R,U$1,0),2)</f>
        <v>0.00</v>
      </c>
      <c r="V12" s="13" t="str">
        <f>FIXED(VLOOKUP($A12,'Small Sample 1-Single Family'!$A:$R,V$1,0),2)</f>
        <v>1.00</v>
      </c>
      <c r="W12" s="9" t="str">
        <f>FIXED(VLOOKUP($A12,'Small Sample 1-Single Family'!$A:$R,W$1,0),2)</f>
        <v>0.86</v>
      </c>
      <c r="X12" s="3" t="str">
        <f>FIXED(VLOOKUP($A12,'Small Sample 1-Single Family'!$A:$R,X$1,0),2)</f>
        <v>0.34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2-Single Family'!$A:$R,AA$1,0),2)</f>
        <v>0.33</v>
      </c>
      <c r="AB12" s="3" t="str">
        <f>FIXED(VLOOKUP($A12,'Small Sample 2-Single Family'!$A:$R,AB$1,0),2)</f>
        <v>0.47</v>
      </c>
      <c r="AC12" s="3" t="str">
        <f>FIXED(VLOOKUP($A12,'Small Sample 2-Single Family'!$A:$R,AC$1,0),2)</f>
        <v>0.00</v>
      </c>
      <c r="AD12" s="3" t="str">
        <f>FIXED(VLOOKUP($A12,'Small Sample 2-Single Family'!$A:$R,AD$1,0),2)</f>
        <v>1.00</v>
      </c>
      <c r="AE12" s="9" t="str">
        <f>FIXED(VLOOKUP($A12,'Small Sample 2-Single Family'!$A:$R,AE$1,0),2)</f>
        <v>0.00</v>
      </c>
      <c r="AF12" s="3" t="str">
        <f>FIXED(VLOOKUP($A12,'Small Sample 2-Single Family'!$A:$R,AF$1,0),2)</f>
        <v>0.03</v>
      </c>
      <c r="AG12" s="3" t="str">
        <f>FIXED(VLOOKUP($A12,'Small Sample 2-Single Family'!$A:$R,AG$1,0),2)</f>
        <v>0.00</v>
      </c>
      <c r="AH12" s="13" t="str">
        <f>FIXED(VLOOKUP($A12,'Small Sample 2-Single Family'!$A:$R,AH$1,0),2)</f>
        <v>1.00</v>
      </c>
      <c r="AI12" s="9" t="str">
        <f>FIXED(VLOOKUP($A12,'Small Sample 2-Single Family'!$A:$R,AI$1,0),2)</f>
        <v>0.87</v>
      </c>
      <c r="AJ12" s="3" t="str">
        <f>FIXED(VLOOKUP($A12,'Small Sample 2-Single Family'!$A:$R,AJ$1,0),2)</f>
        <v>0.33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Sample-Single Family'!$A:$R,C$1,0),2)</f>
        <v>42.31</v>
      </c>
      <c r="D13" s="3" t="str">
        <f>FIXED(VLOOKUP($A13,'Full Sample-Single Family'!$A:$R,D$1,0),2)</f>
        <v>56.51</v>
      </c>
      <c r="E13" s="3" t="str">
        <f>FIXED(VLOOKUP($A13,'Full Sample-Single Family'!$A:$R,E$1,0),2)</f>
        <v>0.00</v>
      </c>
      <c r="F13" s="3" t="str">
        <f>FIXED(VLOOKUP($A13,'Full Sample-Single Family'!$A:$R,F$1,0),2)</f>
        <v>1,402.00</v>
      </c>
      <c r="G13" s="9" t="str">
        <f>FIXED(VLOOKUP($A13,'Full Sample-Single Family'!$A:$R,G$1,0),2)</f>
        <v>51.58</v>
      </c>
      <c r="H13" s="3" t="str">
        <f>FIXED(VLOOKUP($A13,'Full Sample-Single Family'!$A:$R,H$1,0),2)</f>
        <v>59.84</v>
      </c>
      <c r="I13" s="3" t="str">
        <f>FIXED(VLOOKUP($A13,'Full Sample-Single Family'!$A:$R,I$1,0),2)</f>
        <v>0.00</v>
      </c>
      <c r="J13" s="13" t="str">
        <f>FIXED(VLOOKUP($A13,'Full Sample-Single Family'!$A:$R,J$1,0),2)</f>
        <v>1,402.00</v>
      </c>
      <c r="K13" s="9" t="str">
        <f>FIXED(VLOOKUP($A13,'Full Sample-Single Family'!$A:$R,K$1,0),2)</f>
        <v>29.63</v>
      </c>
      <c r="L13" s="3" t="str">
        <f>FIXED(VLOOKUP($A13,'Full Sample-Single Family'!$A:$R,L$1,0),2)</f>
        <v>48.86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1-Single Family'!$A:$R,O$1,0),2)</f>
        <v>41.13</v>
      </c>
      <c r="P13" s="3" t="str">
        <f>FIXED(VLOOKUP($A13,'Small Sample 1-Single Family'!$A:$R,P$1,0),2)</f>
        <v>55.74</v>
      </c>
      <c r="Q13" s="3" t="str">
        <f>FIXED(VLOOKUP($A13,'Small Sample 1-Single Family'!$A:$R,Q$1,0),2)</f>
        <v>0.00</v>
      </c>
      <c r="R13" s="3" t="str">
        <f>FIXED(VLOOKUP($A13,'Small Sample 1-Single Family'!$A:$R,R$1,0),2)</f>
        <v>739.00</v>
      </c>
      <c r="S13" s="9" t="str">
        <f>FIXED(VLOOKUP($A13,'Small Sample 1-Single Family'!$A:$R,S$1,0),2)</f>
        <v>51.41</v>
      </c>
      <c r="T13" s="3" t="str">
        <f>FIXED(VLOOKUP($A13,'Small Sample 1-Single Family'!$A:$R,T$1,0),2)</f>
        <v>59.31</v>
      </c>
      <c r="U13" s="3" t="str">
        <f>FIXED(VLOOKUP($A13,'Small Sample 1-Single Family'!$A:$R,U$1,0),2)</f>
        <v>0.00</v>
      </c>
      <c r="V13" s="13" t="str">
        <f>FIXED(VLOOKUP($A13,'Small Sample 1-Single Family'!$A:$R,V$1,0),2)</f>
        <v>739.00</v>
      </c>
      <c r="W13" s="9" t="str">
        <f>FIXED(VLOOKUP($A13,'Small Sample 1-Single Family'!$A:$R,W$1,0),2)</f>
        <v>29.49</v>
      </c>
      <c r="X13" s="3" t="str">
        <f>FIXED(VLOOKUP($A13,'Small Sample 1-Single Family'!$A:$R,X$1,0),2)</f>
        <v>48.86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2-Single Family'!$A:$R,AA$1,0),2)</f>
        <v>44.59</v>
      </c>
      <c r="AB13" s="3" t="str">
        <f>FIXED(VLOOKUP($A13,'Small Sample 2-Single Family'!$A:$R,AB$1,0),2)</f>
        <v>58.28</v>
      </c>
      <c r="AC13" s="3" t="str">
        <f>FIXED(VLOOKUP($A13,'Small Sample 2-Single Family'!$A:$R,AC$1,0),2)</f>
        <v>0.00</v>
      </c>
      <c r="AD13" s="3" t="str">
        <f>FIXED(VLOOKUP($A13,'Small Sample 2-Single Family'!$A:$R,AD$1,0),2)</f>
        <v>1,402.00</v>
      </c>
      <c r="AE13" s="9" t="str">
        <f>FIXED(VLOOKUP($A13,'Small Sample 2-Single Family'!$A:$R,AE$1,0),2)</f>
        <v>52.39</v>
      </c>
      <c r="AF13" s="3" t="str">
        <f>FIXED(VLOOKUP($A13,'Small Sample 2-Single Family'!$A:$R,AF$1,0),2)</f>
        <v>60.49</v>
      </c>
      <c r="AG13" s="3" t="str">
        <f>FIXED(VLOOKUP($A13,'Small Sample 2-Single Family'!$A:$R,AG$1,0),2)</f>
        <v>0.00</v>
      </c>
      <c r="AH13" s="13" t="str">
        <f>FIXED(VLOOKUP($A13,'Small Sample 2-Single Family'!$A:$R,AH$1,0),2)</f>
        <v>1,402.00</v>
      </c>
      <c r="AI13" s="9" t="str">
        <f>FIXED(VLOOKUP($A13,'Small Sample 2-Single Family'!$A:$R,AI$1,0),2)</f>
        <v>31.53</v>
      </c>
      <c r="AJ13" s="3" t="str">
        <f>FIXED(VLOOKUP($A13,'Small Sample 2-Single Family'!$A:$R,AJ$1,0),2)</f>
        <v>51.83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340</v>
      </c>
      <c r="C14" s="9" t="str">
        <f>FIXED(VLOOKUP($A14,'Full Sample-Single Family'!$A:$R,C$1,0),2)</f>
        <v>2,019.04</v>
      </c>
      <c r="D14" s="3" t="str">
        <f>FIXED(VLOOKUP($A14,'Full Sample-Single Family'!$A:$R,D$1,0),2)</f>
        <v>2.01</v>
      </c>
      <c r="E14" s="3" t="str">
        <f>FIXED(VLOOKUP($A14,'Full Sample-Single Family'!$A:$R,E$1,0),2)</f>
        <v>2,016.00</v>
      </c>
      <c r="F14" s="3" t="str">
        <f>FIXED(VLOOKUP($A14,'Full Sample-Single Family'!$A:$R,F$1,0),2)</f>
        <v>2,023.00</v>
      </c>
      <c r="G14" s="9" t="str">
        <f>FIXED(VLOOKUP($A14,'Full Sample-Single Family'!$A:$R,G$1,0),2)</f>
        <v>2,017.57</v>
      </c>
      <c r="H14" s="3" t="str">
        <f>FIXED(VLOOKUP($A14,'Full Sample-Single Family'!$A:$R,H$1,0),2)</f>
        <v>1.18</v>
      </c>
      <c r="I14" s="3" t="str">
        <f>FIXED(VLOOKUP($A14,'Full Sample-Single Family'!$A:$R,I$1,0),2)</f>
        <v>2,016.00</v>
      </c>
      <c r="J14" s="13" t="str">
        <f>FIXED(VLOOKUP($A14,'Full Sample-Single Family'!$A:$R,J$1,0),2)</f>
        <v>2,020.00</v>
      </c>
      <c r="K14" s="9" t="str">
        <f>FIXED(VLOOKUP($A14,'Full Sample-Single Family'!$A:$R,K$1,0),2)</f>
        <v>2,021.04</v>
      </c>
      <c r="L14" s="3" t="str">
        <f>FIXED(VLOOKUP($A14,'Full Sample-Single Family'!$A:$R,L$1,0),2)</f>
        <v>0.83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1-Single Family'!$A:$R,O$1,0),2)</f>
        <v>2,019.24</v>
      </c>
      <c r="P14" s="3" t="str">
        <f>FIXED(VLOOKUP($A14,'Small Sample 1-Single Family'!$A:$R,P$1,0),2)</f>
        <v>2.00</v>
      </c>
      <c r="Q14" s="3" t="str">
        <f>FIXED(VLOOKUP($A14,'Small Sample 1-Single Family'!$A:$R,Q$1,0),2)</f>
        <v>2,016.00</v>
      </c>
      <c r="R14" s="3" t="str">
        <f>FIXED(VLOOKUP($A14,'Small Sample 1-Single Family'!$A:$R,R$1,0),2)</f>
        <v>2,023.00</v>
      </c>
      <c r="S14" s="9" t="str">
        <f>FIXED(VLOOKUP($A14,'Small Sample 1-Single Family'!$A:$R,S$1,0),2)</f>
        <v>2,017.63</v>
      </c>
      <c r="T14" s="3" t="str">
        <f>FIXED(VLOOKUP($A14,'Small Sample 1-Single Family'!$A:$R,T$1,0),2)</f>
        <v>1.19</v>
      </c>
      <c r="U14" s="3" t="str">
        <f>FIXED(VLOOKUP($A14,'Small Sample 1-Single Family'!$A:$R,U$1,0),2)</f>
        <v>2,016.00</v>
      </c>
      <c r="V14" s="13" t="str">
        <f>FIXED(VLOOKUP($A14,'Small Sample 1-Single Family'!$A:$R,V$1,0),2)</f>
        <v>2,020.00</v>
      </c>
      <c r="W14" s="9" t="str">
        <f>FIXED(VLOOKUP($A14,'Small Sample 1-Single Family'!$A:$R,W$1,0),2)</f>
        <v>2,021.06</v>
      </c>
      <c r="X14" s="3" t="str">
        <f>FIXED(VLOOKUP($A14,'Small Sample 1-Single Family'!$A:$R,X$1,0),2)</f>
        <v>0.82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2-Single Family'!$A:$R,AA$1,0),2)</f>
        <v>2,018.82</v>
      </c>
      <c r="AB14" s="3" t="str">
        <f>FIXED(VLOOKUP($A14,'Small Sample 2-Single Family'!$A:$R,AB$1,0),2)</f>
        <v>2.00</v>
      </c>
      <c r="AC14" s="3" t="str">
        <f>FIXED(VLOOKUP($A14,'Small Sample 2-Single Family'!$A:$R,AC$1,0),2)</f>
        <v>2,016.00</v>
      </c>
      <c r="AD14" s="3" t="str">
        <f>FIXED(VLOOKUP($A14,'Small Sample 2-Single Family'!$A:$R,AD$1,0),2)</f>
        <v>2,023.00</v>
      </c>
      <c r="AE14" s="9" t="str">
        <f>FIXED(VLOOKUP($A14,'Small Sample 2-Single Family'!$A:$R,AE$1,0),2)</f>
        <v>2,017.51</v>
      </c>
      <c r="AF14" s="3" t="str">
        <f>FIXED(VLOOKUP($A14,'Small Sample 2-Single Family'!$A:$R,AF$1,0),2)</f>
        <v>1.17</v>
      </c>
      <c r="AG14" s="3" t="str">
        <f>FIXED(VLOOKUP($A14,'Small Sample 2-Single Family'!$A:$R,AG$1,0),2)</f>
        <v>2,016.00</v>
      </c>
      <c r="AH14" s="13" t="str">
        <f>FIXED(VLOOKUP($A14,'Small Sample 2-Single Family'!$A:$R,AH$1,0),2)</f>
        <v>2,020.00</v>
      </c>
      <c r="AI14" s="9" t="str">
        <f>FIXED(VLOOKUP($A14,'Small Sample 2-Single Family'!$A:$R,AI$1,0),2)</f>
        <v>2,021.02</v>
      </c>
      <c r="AJ14" s="3" t="str">
        <f>FIXED(VLOOKUP($A14,'Small Sample 2-Single Family'!$A:$R,AJ$1,0),2)</f>
        <v>0.83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Sample-Single Family'!$A:$R,C$1,0),2)</f>
        <v>2.39</v>
      </c>
      <c r="D15" s="3" t="str">
        <f>FIXED(VLOOKUP($A15,'Full Sample-Single Family'!$A:$R,D$1,0),2)</f>
        <v>0.98</v>
      </c>
      <c r="E15" s="3" t="str">
        <f>FIXED(VLOOKUP($A15,'Full Sample-Single Family'!$A:$R,E$1,0),2)</f>
        <v>0.00</v>
      </c>
      <c r="F15" s="3" t="str">
        <f>FIXED(VLOOKUP($A15,'Full Sample-Single Family'!$A:$R,F$1,0),2)</f>
        <v>17.00</v>
      </c>
      <c r="G15" s="9" t="str">
        <f>FIXED(VLOOKUP($A15,'Full Sample-Single Family'!$A:$R,G$1,0),2)</f>
        <v>2.35</v>
      </c>
      <c r="H15" s="3" t="str">
        <f>FIXED(VLOOKUP($A15,'Full Sample-Single Family'!$A:$R,H$1,0),2)</f>
        <v>0.94</v>
      </c>
      <c r="I15" s="3" t="str">
        <f>FIXED(VLOOKUP($A15,'Full Sample-Single Family'!$A:$R,I$1,0),2)</f>
        <v>0.00</v>
      </c>
      <c r="J15" s="13" t="str">
        <f>FIXED(VLOOKUP($A15,'Full Sample-Single Family'!$A:$R,J$1,0),2)</f>
        <v>17.00</v>
      </c>
      <c r="K15" s="9" t="str">
        <f>FIXED(VLOOKUP($A15,'Full Sample-Single Family'!$A:$R,K$1,0),2)</f>
        <v>2.44</v>
      </c>
      <c r="L15" s="3" t="str">
        <f>FIXED(VLOOKUP($A15,'Full Sample-Single Family'!$A:$R,L$1,0),2)</f>
        <v>1.02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1-Single Family'!$A:$R,O$1,0),2)</f>
        <v>2.40</v>
      </c>
      <c r="P15" s="3" t="str">
        <f>FIXED(VLOOKUP($A15,'Small Sample 1-Single Family'!$A:$R,P$1,0),2)</f>
        <v>0.99</v>
      </c>
      <c r="Q15" s="3" t="str">
        <f>FIXED(VLOOKUP($A15,'Small Sample 1-Single Family'!$A:$R,Q$1,0),2)</f>
        <v>0.00</v>
      </c>
      <c r="R15" s="3" t="str">
        <f>FIXED(VLOOKUP($A15,'Small Sample 1-Single Family'!$A:$R,R$1,0),2)</f>
        <v>17.00</v>
      </c>
      <c r="S15" s="9" t="str">
        <f>FIXED(VLOOKUP($A15,'Small Sample 1-Single Family'!$A:$R,S$1,0),2)</f>
        <v>2.36</v>
      </c>
      <c r="T15" s="3" t="str">
        <f>FIXED(VLOOKUP($A15,'Small Sample 1-Single Family'!$A:$R,T$1,0),2)</f>
        <v>0.95</v>
      </c>
      <c r="U15" s="3" t="str">
        <f>FIXED(VLOOKUP($A15,'Small Sample 1-Single Family'!$A:$R,U$1,0),2)</f>
        <v>0.00</v>
      </c>
      <c r="V15" s="13" t="str">
        <f>FIXED(VLOOKUP($A15,'Small Sample 1-Single Family'!$A:$R,V$1,0),2)</f>
        <v>17.00</v>
      </c>
      <c r="W15" s="9" t="str">
        <f>FIXED(VLOOKUP($A15,'Small Sample 1-Single Family'!$A:$R,W$1,0),2)</f>
        <v>2.45</v>
      </c>
      <c r="X15" s="3" t="str">
        <f>FIXED(VLOOKUP($A15,'Small Sample 1-Single Family'!$A:$R,X$1,0),2)</f>
        <v>1.02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2-Single Family'!$A:$R,AA$1,0),2)</f>
        <v>2.39</v>
      </c>
      <c r="AB15" s="3" t="str">
        <f>FIXED(VLOOKUP($A15,'Small Sample 2-Single Family'!$A:$R,AB$1,0),2)</f>
        <v>0.98</v>
      </c>
      <c r="AC15" s="3" t="str">
        <f>FIXED(VLOOKUP($A15,'Small Sample 2-Single Family'!$A:$R,AC$1,0),2)</f>
        <v>0.00</v>
      </c>
      <c r="AD15" s="3" t="str">
        <f>FIXED(VLOOKUP($A15,'Small Sample 2-Single Family'!$A:$R,AD$1,0),2)</f>
        <v>17.00</v>
      </c>
      <c r="AE15" s="9" t="str">
        <f>FIXED(VLOOKUP($A15,'Small Sample 2-Single Family'!$A:$R,AE$1,0),2)</f>
        <v>2.35</v>
      </c>
      <c r="AF15" s="3" t="str">
        <f>FIXED(VLOOKUP($A15,'Small Sample 2-Single Family'!$A:$R,AF$1,0),2)</f>
        <v>0.94</v>
      </c>
      <c r="AG15" s="3" t="str">
        <f>FIXED(VLOOKUP($A15,'Small Sample 2-Single Family'!$A:$R,AG$1,0),2)</f>
        <v>0.00</v>
      </c>
      <c r="AH15" s="13" t="str">
        <f>FIXED(VLOOKUP($A15,'Small Sample 2-Single Family'!$A:$R,AH$1,0),2)</f>
        <v>17.00</v>
      </c>
      <c r="AI15" s="9" t="str">
        <f>FIXED(VLOOKUP($A15,'Small Sample 2-Single Family'!$A:$R,AI$1,0),2)</f>
        <v>2.45</v>
      </c>
      <c r="AJ15" s="3" t="str">
        <f>FIXED(VLOOKUP($A15,'Small Sample 2-Single Family'!$A:$R,AJ$1,0),2)</f>
        <v>1.04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Sample-Single Family'!$A:$R,C$1,0),2)</f>
        <v>0.39</v>
      </c>
      <c r="D16" s="3" t="str">
        <f>FIXED(VLOOKUP($A16,'Full Sample-Single Family'!$A:$R,D$1,0),2)</f>
        <v>0.53</v>
      </c>
      <c r="E16" s="3" t="str">
        <f>FIXED(VLOOKUP($A16,'Full Sample-Single Family'!$A:$R,E$1,0),2)</f>
        <v>0.00</v>
      </c>
      <c r="F16" s="3" t="str">
        <f>FIXED(VLOOKUP($A16,'Full Sample-Single Family'!$A:$R,F$1,0),2)</f>
        <v>5.00</v>
      </c>
      <c r="G16" s="9" t="str">
        <f>FIXED(VLOOKUP($A16,'Full Sample-Single Family'!$A:$R,G$1,0),2)</f>
        <v>0.40</v>
      </c>
      <c r="H16" s="3" t="str">
        <f>FIXED(VLOOKUP($A16,'Full Sample-Single Family'!$A:$R,H$1,0),2)</f>
        <v>0.52</v>
      </c>
      <c r="I16" s="3" t="str">
        <f>FIXED(VLOOKUP($A16,'Full Sample-Single Family'!$A:$R,I$1,0),2)</f>
        <v>0.00</v>
      </c>
      <c r="J16" s="13" t="str">
        <f>FIXED(VLOOKUP($A16,'Full Sample-Single Family'!$A:$R,J$1,0),2)</f>
        <v>5.00</v>
      </c>
      <c r="K16" s="9" t="str">
        <f>FIXED(VLOOKUP($A16,'Full Sample-Single Family'!$A:$R,K$1,0),2)</f>
        <v>0.39</v>
      </c>
      <c r="L16" s="3" t="str">
        <f>FIXED(VLOOKUP($A16,'Full Sample-Single Family'!$A:$R,L$1,0),2)</f>
        <v>0.53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1-Single Family'!$A:$R,O$1,0),2)</f>
        <v>0.38</v>
      </c>
      <c r="P16" s="3" t="str">
        <f>FIXED(VLOOKUP($A16,'Small Sample 1-Single Family'!$A:$R,P$1,0),2)</f>
        <v>0.53</v>
      </c>
      <c r="Q16" s="3" t="str">
        <f>FIXED(VLOOKUP($A16,'Small Sample 1-Single Family'!$A:$R,Q$1,0),2)</f>
        <v>0.00</v>
      </c>
      <c r="R16" s="3" t="str">
        <f>FIXED(VLOOKUP($A16,'Small Sample 1-Single Family'!$A:$R,R$1,0),2)</f>
        <v>5.00</v>
      </c>
      <c r="S16" s="9" t="str">
        <f>FIXED(VLOOKUP($A16,'Small Sample 1-Single Family'!$A:$R,S$1,0),2)</f>
        <v>0.38</v>
      </c>
      <c r="T16" s="3" t="str">
        <f>FIXED(VLOOKUP($A16,'Small Sample 1-Single Family'!$A:$R,T$1,0),2)</f>
        <v>0.52</v>
      </c>
      <c r="U16" s="3" t="str">
        <f>FIXED(VLOOKUP($A16,'Small Sample 1-Single Family'!$A:$R,U$1,0),2)</f>
        <v>0.00</v>
      </c>
      <c r="V16" s="13" t="str">
        <f>FIXED(VLOOKUP($A16,'Small Sample 1-Single Family'!$A:$R,V$1,0),2)</f>
        <v>5.00</v>
      </c>
      <c r="W16" s="9" t="str">
        <f>FIXED(VLOOKUP($A16,'Small Sample 1-Single Family'!$A:$R,W$1,0),2)</f>
        <v>0.39</v>
      </c>
      <c r="X16" s="3" t="str">
        <f>FIXED(VLOOKUP($A16,'Small Sample 1-Single Family'!$A:$R,X$1,0),2)</f>
        <v>0.53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2-Single Family'!$A:$R,AA$1,0),2)</f>
        <v>0.39</v>
      </c>
      <c r="AB16" s="3" t="str">
        <f>FIXED(VLOOKUP($A16,'Small Sample 2-Single Family'!$A:$R,AB$1,0),2)</f>
        <v>0.53</v>
      </c>
      <c r="AC16" s="3" t="str">
        <f>FIXED(VLOOKUP($A16,'Small Sample 2-Single Family'!$A:$R,AC$1,0),2)</f>
        <v>0.00</v>
      </c>
      <c r="AD16" s="3" t="str">
        <f>FIXED(VLOOKUP($A16,'Small Sample 2-Single Family'!$A:$R,AD$1,0),2)</f>
        <v>5.00</v>
      </c>
      <c r="AE16" s="9" t="str">
        <f>FIXED(VLOOKUP($A16,'Small Sample 2-Single Family'!$A:$R,AE$1,0),2)</f>
        <v>0.39</v>
      </c>
      <c r="AF16" s="3" t="str">
        <f>FIXED(VLOOKUP($A16,'Small Sample 2-Single Family'!$A:$R,AF$1,0),2)</f>
        <v>0.52</v>
      </c>
      <c r="AG16" s="3" t="str">
        <f>FIXED(VLOOKUP($A16,'Small Sample 2-Single Family'!$A:$R,AG$1,0),2)</f>
        <v>0.00</v>
      </c>
      <c r="AH16" s="13" t="str">
        <f>FIXED(VLOOKUP($A16,'Small Sample 2-Single Family'!$A:$R,AH$1,0),2)</f>
        <v>5.00</v>
      </c>
      <c r="AI16" s="9" t="str">
        <f>FIXED(VLOOKUP($A16,'Small Sample 2-Single Family'!$A:$R,AI$1,0),2)</f>
        <v>0.37</v>
      </c>
      <c r="AJ16" s="3" t="str">
        <f>FIXED(VLOOKUP($A16,'Small Sample 2-Single Family'!$A:$R,AJ$1,0),2)</f>
        <v>0.53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Sample-Single Family'!$A:$R,C$1,0),2)</f>
        <v>3.79</v>
      </c>
      <c r="D17" s="3" t="str">
        <f>FIXED(VLOOKUP($A17,'Full Sample-Single Family'!$A:$R,D$1,0),2)</f>
        <v>1.24</v>
      </c>
      <c r="E17" s="3" t="str">
        <f>FIXED(VLOOKUP($A17,'Full Sample-Single Family'!$A:$R,E$1,0),2)</f>
        <v>0.00</v>
      </c>
      <c r="F17" s="3" t="str">
        <f>FIXED(VLOOKUP($A17,'Full Sample-Single Family'!$A:$R,F$1,0),2)</f>
        <v>25.00</v>
      </c>
      <c r="G17" s="9" t="str">
        <f>FIXED(VLOOKUP($A17,'Full Sample-Single Family'!$A:$R,G$1,0),2)</f>
        <v>3.74</v>
      </c>
      <c r="H17" s="3" t="str">
        <f>FIXED(VLOOKUP($A17,'Full Sample-Single Family'!$A:$R,H$1,0),2)</f>
        <v>1.19</v>
      </c>
      <c r="I17" s="3" t="str">
        <f>FIXED(VLOOKUP($A17,'Full Sample-Single Family'!$A:$R,I$1,0),2)</f>
        <v>0.00</v>
      </c>
      <c r="J17" s="13" t="str">
        <f>FIXED(VLOOKUP($A17,'Full Sample-Single Family'!$A:$R,J$1,0),2)</f>
        <v>18.00</v>
      </c>
      <c r="K17" s="9" t="str">
        <f>FIXED(VLOOKUP($A17,'Full Sample-Single Family'!$A:$R,K$1,0),2)</f>
        <v>3.85</v>
      </c>
      <c r="L17" s="3" t="str">
        <f>FIXED(VLOOKUP($A17,'Full Sample-Single Family'!$A:$R,L$1,0),2)</f>
        <v>1.31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1-Single Family'!$A:$R,O$1,0),2)</f>
        <v>3.82</v>
      </c>
      <c r="P17" s="3" t="str">
        <f>FIXED(VLOOKUP($A17,'Small Sample 1-Single Family'!$A:$R,P$1,0),2)</f>
        <v>1.28</v>
      </c>
      <c r="Q17" s="3" t="str">
        <f>FIXED(VLOOKUP($A17,'Small Sample 1-Single Family'!$A:$R,Q$1,0),2)</f>
        <v>0.00</v>
      </c>
      <c r="R17" s="3" t="str">
        <f>FIXED(VLOOKUP($A17,'Small Sample 1-Single Family'!$A:$R,R$1,0),2)</f>
        <v>25.00</v>
      </c>
      <c r="S17" s="9" t="str">
        <f>FIXED(VLOOKUP($A17,'Small Sample 1-Single Family'!$A:$R,S$1,0),2)</f>
        <v>3.77</v>
      </c>
      <c r="T17" s="3" t="str">
        <f>FIXED(VLOOKUP($A17,'Small Sample 1-Single Family'!$A:$R,T$1,0),2)</f>
        <v>1.24</v>
      </c>
      <c r="U17" s="3" t="str">
        <f>FIXED(VLOOKUP($A17,'Small Sample 1-Single Family'!$A:$R,U$1,0),2)</f>
        <v>0.00</v>
      </c>
      <c r="V17" s="13" t="str">
        <f>FIXED(VLOOKUP($A17,'Small Sample 1-Single Family'!$A:$R,V$1,0),2)</f>
        <v>18.00</v>
      </c>
      <c r="W17" s="9" t="str">
        <f>FIXED(VLOOKUP($A17,'Small Sample 1-Single Family'!$A:$R,W$1,0),2)</f>
        <v>3.86</v>
      </c>
      <c r="X17" s="3" t="str">
        <f>FIXED(VLOOKUP($A17,'Small Sample 1-Single Family'!$A:$R,X$1,0),2)</f>
        <v>1.32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2-Single Family'!$A:$R,AA$1,0),2)</f>
        <v>3.80</v>
      </c>
      <c r="AB17" s="3" t="str">
        <f>FIXED(VLOOKUP($A17,'Small Sample 2-Single Family'!$A:$R,AB$1,0),2)</f>
        <v>1.27</v>
      </c>
      <c r="AC17" s="3" t="str">
        <f>FIXED(VLOOKUP($A17,'Small Sample 2-Single Family'!$A:$R,AC$1,0),2)</f>
        <v>0.00</v>
      </c>
      <c r="AD17" s="3" t="str">
        <f>FIXED(VLOOKUP($A17,'Small Sample 2-Single Family'!$A:$R,AD$1,0),2)</f>
        <v>25.00</v>
      </c>
      <c r="AE17" s="9" t="str">
        <f>FIXED(VLOOKUP($A17,'Small Sample 2-Single Family'!$A:$R,AE$1,0),2)</f>
        <v>3.75</v>
      </c>
      <c r="AF17" s="3" t="str">
        <f>FIXED(VLOOKUP($A17,'Small Sample 2-Single Family'!$A:$R,AF$1,0),2)</f>
        <v>1.20</v>
      </c>
      <c r="AG17" s="3" t="str">
        <f>FIXED(VLOOKUP($A17,'Small Sample 2-Single Family'!$A:$R,AG$1,0),2)</f>
        <v>0.00</v>
      </c>
      <c r="AH17" s="13" t="str">
        <f>FIXED(VLOOKUP($A17,'Small Sample 2-Single Family'!$A:$R,AH$1,0),2)</f>
        <v>18.00</v>
      </c>
      <c r="AI17" s="9" t="str">
        <f>FIXED(VLOOKUP($A17,'Small Sample 2-Single Family'!$A:$R,AI$1,0),2)</f>
        <v>3.90</v>
      </c>
      <c r="AJ17" s="3" t="str">
        <f>FIXED(VLOOKUP($A17,'Small Sample 2-Single Family'!$A:$R,AJ$1,0),2)</f>
        <v>1.37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Sample-Single Family'!$A:$R,C$1,0),2)</f>
        <v>0.44</v>
      </c>
      <c r="D18" s="3" t="str">
        <f>FIXED(VLOOKUP($A18,'Full Sample-Single Family'!$A:$R,D$1,0),2)</f>
        <v>0.50</v>
      </c>
      <c r="E18" s="3" t="str">
        <f>FIXED(VLOOKUP($A18,'Full Sample-Single Family'!$A:$R,E$1,0),2)</f>
        <v>0.00</v>
      </c>
      <c r="F18" s="3" t="str">
        <f>FIXED(VLOOKUP($A18,'Full Sample-Single Family'!$A:$R,F$1,0),2)</f>
        <v>1.00</v>
      </c>
      <c r="G18" s="9" t="str">
        <f>FIXED(VLOOKUP($A18,'Full Sample-Single Family'!$A:$R,G$1,0),2)</f>
        <v>0.43</v>
      </c>
      <c r="H18" s="3" t="str">
        <f>FIXED(VLOOKUP($A18,'Full Sample-Single Family'!$A:$R,H$1,0),2)</f>
        <v>0.50</v>
      </c>
      <c r="I18" s="3" t="str">
        <f>FIXED(VLOOKUP($A18,'Full Sample-Single Family'!$A:$R,I$1,0),2)</f>
        <v>0.00</v>
      </c>
      <c r="J18" s="13" t="str">
        <f>FIXED(VLOOKUP($A18,'Full Sample-Single Family'!$A:$R,J$1,0),2)</f>
        <v>1.00</v>
      </c>
      <c r="K18" s="9" t="str">
        <f>FIXED(VLOOKUP($A18,'Full Sample-Single Family'!$A:$R,K$1,0),2)</f>
        <v>0.44</v>
      </c>
      <c r="L18" s="3" t="str">
        <f>FIXED(VLOOKUP($A18,'Full Sample-Single Family'!$A:$R,L$1,0),2)</f>
        <v>0.50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1-Single Family'!$A:$R,O$1,0),2)</f>
        <v>0.45</v>
      </c>
      <c r="P18" s="3" t="str">
        <f>FIXED(VLOOKUP($A18,'Small Sample 1-Single Family'!$A:$R,P$1,0),2)</f>
        <v>0.50</v>
      </c>
      <c r="Q18" s="3" t="str">
        <f>FIXED(VLOOKUP($A18,'Small Sample 1-Single Family'!$A:$R,Q$1,0),2)</f>
        <v>0.00</v>
      </c>
      <c r="R18" s="3" t="str">
        <f>FIXED(VLOOKUP($A18,'Small Sample 1-Single Family'!$A:$R,R$1,0),2)</f>
        <v>1.00</v>
      </c>
      <c r="S18" s="9" t="str">
        <f>FIXED(VLOOKUP($A18,'Small Sample 1-Single Family'!$A:$R,S$1,0),2)</f>
        <v>0.46</v>
      </c>
      <c r="T18" s="3" t="str">
        <f>FIXED(VLOOKUP($A18,'Small Sample 1-Single Family'!$A:$R,T$1,0),2)</f>
        <v>0.50</v>
      </c>
      <c r="U18" s="3" t="str">
        <f>FIXED(VLOOKUP($A18,'Small Sample 1-Single Family'!$A:$R,U$1,0),2)</f>
        <v>0.00</v>
      </c>
      <c r="V18" s="13" t="str">
        <f>FIXED(VLOOKUP($A18,'Small Sample 1-Single Family'!$A:$R,V$1,0),2)</f>
        <v>1.00</v>
      </c>
      <c r="W18" s="9" t="str">
        <f>FIXED(VLOOKUP($A18,'Small Sample 1-Single Family'!$A:$R,W$1,0),2)</f>
        <v>0.44</v>
      </c>
      <c r="X18" s="3" t="str">
        <f>FIXED(VLOOKUP($A18,'Small Sample 1-Single Family'!$A:$R,X$1,0),2)</f>
        <v>0.50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2-Single Family'!$A:$R,AA$1,0),2)</f>
        <v>0.45</v>
      </c>
      <c r="AB18" s="3" t="str">
        <f>FIXED(VLOOKUP($A18,'Small Sample 2-Single Family'!$A:$R,AB$1,0),2)</f>
        <v>0.50</v>
      </c>
      <c r="AC18" s="3" t="str">
        <f>FIXED(VLOOKUP($A18,'Small Sample 2-Single Family'!$A:$R,AC$1,0),2)</f>
        <v>0.00</v>
      </c>
      <c r="AD18" s="3" t="str">
        <f>FIXED(VLOOKUP($A18,'Small Sample 2-Single Family'!$A:$R,AD$1,0),2)</f>
        <v>1.00</v>
      </c>
      <c r="AE18" s="9" t="str">
        <f>FIXED(VLOOKUP($A18,'Small Sample 2-Single Family'!$A:$R,AE$1,0),2)</f>
        <v>0.44</v>
      </c>
      <c r="AF18" s="3" t="str">
        <f>FIXED(VLOOKUP($A18,'Small Sample 2-Single Family'!$A:$R,AF$1,0),2)</f>
        <v>0.50</v>
      </c>
      <c r="AG18" s="3" t="str">
        <f>FIXED(VLOOKUP($A18,'Small Sample 2-Single Family'!$A:$R,AG$1,0),2)</f>
        <v>0.00</v>
      </c>
      <c r="AH18" s="13" t="str">
        <f>FIXED(VLOOKUP($A18,'Small Sample 2-Single Family'!$A:$R,AH$1,0),2)</f>
        <v>1.00</v>
      </c>
      <c r="AI18" s="9" t="str">
        <f>FIXED(VLOOKUP($A18,'Small Sample 2-Single Family'!$A:$R,AI$1,0),2)</f>
        <v>0.47</v>
      </c>
      <c r="AJ18" s="3" t="str">
        <f>FIXED(VLOOKUP($A18,'Small Sample 2-Single Family'!$A:$R,AJ$1,0),2)</f>
        <v>0.50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Sample-Single Family'!$A:$R,C$1,0),2)</f>
        <v>0.51</v>
      </c>
      <c r="D19" s="3" t="str">
        <f>FIXED(VLOOKUP($A19,'Full Sample-Single Family'!$A:$R,D$1,0),2)</f>
        <v>0.50</v>
      </c>
      <c r="E19" s="3" t="str">
        <f>FIXED(VLOOKUP($A19,'Full Sample-Single Family'!$A:$R,E$1,0),2)</f>
        <v>0.00</v>
      </c>
      <c r="F19" s="3" t="str">
        <f>FIXED(VLOOKUP($A19,'Full Sample-Single Family'!$A:$R,F$1,0),2)</f>
        <v>1.00</v>
      </c>
      <c r="G19" s="9" t="str">
        <f>FIXED(VLOOKUP($A19,'Full Sample-Single Family'!$A:$R,G$1,0),2)</f>
        <v>0.52</v>
      </c>
      <c r="H19" s="3" t="str">
        <f>FIXED(VLOOKUP($A19,'Full Sample-Single Family'!$A:$R,H$1,0),2)</f>
        <v>0.50</v>
      </c>
      <c r="I19" s="3" t="str">
        <f>FIXED(VLOOKUP($A19,'Full Sample-Single Family'!$A:$R,I$1,0),2)</f>
        <v>0.00</v>
      </c>
      <c r="J19" s="13" t="str">
        <f>FIXED(VLOOKUP($A19,'Full Sample-Single Family'!$A:$R,J$1,0),2)</f>
        <v>1.00</v>
      </c>
      <c r="K19" s="9" t="str">
        <f>FIXED(VLOOKUP($A19,'Full Sample-Single Family'!$A:$R,K$1,0),2)</f>
        <v>0.51</v>
      </c>
      <c r="L19" s="3" t="str">
        <f>FIXED(VLOOKUP($A19,'Full Sample-Single Family'!$A:$R,L$1,0),2)</f>
        <v>0.50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1-Single Family'!$A:$R,O$1,0),2)</f>
        <v>0.50</v>
      </c>
      <c r="P19" s="3" t="str">
        <f>FIXED(VLOOKUP($A19,'Small Sample 1-Single Family'!$A:$R,P$1,0),2)</f>
        <v>0.50</v>
      </c>
      <c r="Q19" s="3" t="str">
        <f>FIXED(VLOOKUP($A19,'Small Sample 1-Single Family'!$A:$R,Q$1,0),2)</f>
        <v>0.00</v>
      </c>
      <c r="R19" s="3" t="str">
        <f>FIXED(VLOOKUP($A19,'Small Sample 1-Single Family'!$A:$R,R$1,0),2)</f>
        <v>1.00</v>
      </c>
      <c r="S19" s="9" t="str">
        <f>FIXED(VLOOKUP($A19,'Small Sample 1-Single Family'!$A:$R,S$1,0),2)</f>
        <v>0.49</v>
      </c>
      <c r="T19" s="3" t="str">
        <f>FIXED(VLOOKUP($A19,'Small Sample 1-Single Family'!$A:$R,T$1,0),2)</f>
        <v>0.50</v>
      </c>
      <c r="U19" s="3" t="str">
        <f>FIXED(VLOOKUP($A19,'Small Sample 1-Single Family'!$A:$R,U$1,0),2)</f>
        <v>0.00</v>
      </c>
      <c r="V19" s="13" t="str">
        <f>FIXED(VLOOKUP($A19,'Small Sample 1-Single Family'!$A:$R,V$1,0),2)</f>
        <v>1.00</v>
      </c>
      <c r="W19" s="9" t="str">
        <f>FIXED(VLOOKUP($A19,'Small Sample 1-Single Family'!$A:$R,W$1,0),2)</f>
        <v>0.51</v>
      </c>
      <c r="X19" s="3" t="str">
        <f>FIXED(VLOOKUP($A19,'Small Sample 1-Single Family'!$A:$R,X$1,0),2)</f>
        <v>0.50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2-Single Family'!$A:$R,AA$1,0),2)</f>
        <v>0.50</v>
      </c>
      <c r="AB19" s="3" t="str">
        <f>FIXED(VLOOKUP($A19,'Small Sample 2-Single Family'!$A:$R,AB$1,0),2)</f>
        <v>0.50</v>
      </c>
      <c r="AC19" s="3" t="str">
        <f>FIXED(VLOOKUP($A19,'Small Sample 2-Single Family'!$A:$R,AC$1,0),2)</f>
        <v>0.00</v>
      </c>
      <c r="AD19" s="3" t="str">
        <f>FIXED(VLOOKUP($A19,'Small Sample 2-Single Family'!$A:$R,AD$1,0),2)</f>
        <v>1.00</v>
      </c>
      <c r="AE19" s="9" t="str">
        <f>FIXED(VLOOKUP($A19,'Small Sample 2-Single Family'!$A:$R,AE$1,0),2)</f>
        <v>0.51</v>
      </c>
      <c r="AF19" s="3" t="str">
        <f>FIXED(VLOOKUP($A19,'Small Sample 2-Single Family'!$A:$R,AF$1,0),2)</f>
        <v>0.50</v>
      </c>
      <c r="AG19" s="3" t="str">
        <f>FIXED(VLOOKUP($A19,'Small Sample 2-Single Family'!$A:$R,AG$1,0),2)</f>
        <v>0.00</v>
      </c>
      <c r="AH19" s="13" t="str">
        <f>FIXED(VLOOKUP($A19,'Small Sample 2-Single Family'!$A:$R,AH$1,0),2)</f>
        <v>1.00</v>
      </c>
      <c r="AI19" s="9" t="str">
        <f>FIXED(VLOOKUP($A19,'Small Sample 2-Single Family'!$A:$R,AI$1,0),2)</f>
        <v>0.47</v>
      </c>
      <c r="AJ19" s="3" t="str">
        <f>FIXED(VLOOKUP($A19,'Small Sample 2-Single Family'!$A:$R,AJ$1,0),2)</f>
        <v>0.50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Sample-Single Family'!$A:$R,C$1,0),2)</f>
        <v>0.05</v>
      </c>
      <c r="D20" s="3" t="str">
        <f>FIXED(VLOOKUP($A20,'Full Sample-Single Family'!$A:$R,D$1,0),2)</f>
        <v>0.22</v>
      </c>
      <c r="E20" s="3" t="str">
        <f>FIXED(VLOOKUP($A20,'Full Sample-Single Family'!$A:$R,E$1,0),2)</f>
        <v>0.00</v>
      </c>
      <c r="F20" s="3" t="str">
        <f>FIXED(VLOOKUP($A20,'Full Sample-Single Family'!$A:$R,F$1,0),2)</f>
        <v>1.00</v>
      </c>
      <c r="G20" s="9" t="str">
        <f>FIXED(VLOOKUP($A20,'Full Sample-Single Family'!$A:$R,G$1,0),2)</f>
        <v>0.05</v>
      </c>
      <c r="H20" s="3" t="str">
        <f>FIXED(VLOOKUP($A20,'Full Sample-Single Family'!$A:$R,H$1,0),2)</f>
        <v>0.21</v>
      </c>
      <c r="I20" s="3" t="str">
        <f>FIXED(VLOOKUP($A20,'Full Sample-Single Family'!$A:$R,I$1,0),2)</f>
        <v>0.00</v>
      </c>
      <c r="J20" s="13" t="str">
        <f>FIXED(VLOOKUP($A20,'Full Sample-Single Family'!$A:$R,J$1,0),2)</f>
        <v>1.00</v>
      </c>
      <c r="K20" s="9" t="str">
        <f>FIXED(VLOOKUP($A20,'Full Sample-Single Family'!$A:$R,K$1,0),2)</f>
        <v>0.06</v>
      </c>
      <c r="L20" s="3" t="str">
        <f>FIXED(VLOOKUP($A20,'Full Sample-Single Family'!$A:$R,L$1,0),2)</f>
        <v>0.23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1-Single Family'!$A:$R,O$1,0),2)</f>
        <v>0.05</v>
      </c>
      <c r="P20" s="3" t="str">
        <f>FIXED(VLOOKUP($A20,'Small Sample 1-Single Family'!$A:$R,P$1,0),2)</f>
        <v>0.22</v>
      </c>
      <c r="Q20" s="3" t="str">
        <f>FIXED(VLOOKUP($A20,'Small Sample 1-Single Family'!$A:$R,Q$1,0),2)</f>
        <v>0.00</v>
      </c>
      <c r="R20" s="3" t="str">
        <f>FIXED(VLOOKUP($A20,'Small Sample 1-Single Family'!$A:$R,R$1,0),2)</f>
        <v>1.00</v>
      </c>
      <c r="S20" s="9" t="str">
        <f>FIXED(VLOOKUP($A20,'Small Sample 1-Single Family'!$A:$R,S$1,0),2)</f>
        <v>0.05</v>
      </c>
      <c r="T20" s="3" t="str">
        <f>FIXED(VLOOKUP($A20,'Small Sample 1-Single Family'!$A:$R,T$1,0),2)</f>
        <v>0.22</v>
      </c>
      <c r="U20" s="3" t="str">
        <f>FIXED(VLOOKUP($A20,'Small Sample 1-Single Family'!$A:$R,U$1,0),2)</f>
        <v>0.00</v>
      </c>
      <c r="V20" s="13" t="str">
        <f>FIXED(VLOOKUP($A20,'Small Sample 1-Single Family'!$A:$R,V$1,0),2)</f>
        <v>1.00</v>
      </c>
      <c r="W20" s="9" t="str">
        <f>FIXED(VLOOKUP($A20,'Small Sample 1-Single Family'!$A:$R,W$1,0),2)</f>
        <v>0.06</v>
      </c>
      <c r="X20" s="3" t="str">
        <f>FIXED(VLOOKUP($A20,'Small Sample 1-Single Family'!$A:$R,X$1,0),2)</f>
        <v>0.23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2-Single Family'!$A:$R,AA$1,0),2)</f>
        <v>0.05</v>
      </c>
      <c r="AB20" s="3" t="str">
        <f>FIXED(VLOOKUP($A20,'Small Sample 2-Single Family'!$A:$R,AB$1,0),2)</f>
        <v>0.22</v>
      </c>
      <c r="AC20" s="3" t="str">
        <f>FIXED(VLOOKUP($A20,'Small Sample 2-Single Family'!$A:$R,AC$1,0),2)</f>
        <v>0.00</v>
      </c>
      <c r="AD20" s="3" t="str">
        <f>FIXED(VLOOKUP($A20,'Small Sample 2-Single Family'!$A:$R,AD$1,0),2)</f>
        <v>1.00</v>
      </c>
      <c r="AE20" s="9" t="str">
        <f>FIXED(VLOOKUP($A20,'Small Sample 2-Single Family'!$A:$R,AE$1,0),2)</f>
        <v>0.05</v>
      </c>
      <c r="AF20" s="3" t="str">
        <f>FIXED(VLOOKUP($A20,'Small Sample 2-Single Family'!$A:$R,AF$1,0),2)</f>
        <v>0.22</v>
      </c>
      <c r="AG20" s="3" t="str">
        <f>FIXED(VLOOKUP($A20,'Small Sample 2-Single Family'!$A:$R,AG$1,0),2)</f>
        <v>0.00</v>
      </c>
      <c r="AH20" s="13" t="str">
        <f>FIXED(VLOOKUP($A20,'Small Sample 2-Single Family'!$A:$R,AH$1,0),2)</f>
        <v>1.00</v>
      </c>
      <c r="AI20" s="9" t="str">
        <f>FIXED(VLOOKUP($A20,'Small Sample 2-Single Family'!$A:$R,AI$1,0),2)</f>
        <v>0.06</v>
      </c>
      <c r="AJ20" s="3" t="str">
        <f>FIXED(VLOOKUP($A20,'Small Sample 2-Single Family'!$A:$R,AJ$1,0),2)</f>
        <v>0.23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Sample-Single Family'!$A:$R,C$1,0),2)</f>
        <v>2,082.08</v>
      </c>
      <c r="D21" s="3" t="str">
        <f>FIXED(VLOOKUP($A21,'Full Sample-Single Family'!$A:$R,D$1,0),2)</f>
        <v>1,097.71</v>
      </c>
      <c r="E21" s="3" t="str">
        <f>FIXED(VLOOKUP($A21,'Full Sample-Single Family'!$A:$R,E$1,0),2)</f>
        <v>220.00</v>
      </c>
      <c r="F21" s="3" t="str">
        <f>FIXED(VLOOKUP($A21,'Full Sample-Single Family'!$A:$R,F$1,0),2)</f>
        <v>23,350.00</v>
      </c>
      <c r="G21" s="9" t="str">
        <f>FIXED(VLOOKUP($A21,'Full Sample-Single Family'!$A:$R,G$1,0),2)</f>
        <v>2,046.12</v>
      </c>
      <c r="H21" s="3" t="str">
        <f>FIXED(VLOOKUP($A21,'Full Sample-Single Family'!$A:$R,H$1,0),2)</f>
        <v>1,057.17</v>
      </c>
      <c r="I21" s="3" t="str">
        <f>FIXED(VLOOKUP($A21,'Full Sample-Single Family'!$A:$R,I$1,0),2)</f>
        <v>455.00</v>
      </c>
      <c r="J21" s="13" t="str">
        <f>FIXED(VLOOKUP($A21,'Full Sample-Single Family'!$A:$R,J$1,0),2)</f>
        <v>23,350.00</v>
      </c>
      <c r="K21" s="9" t="str">
        <f>FIXED(VLOOKUP($A21,'Full Sample-Single Family'!$A:$R,K$1,0),2)</f>
        <v>2,131.24</v>
      </c>
      <c r="L21" s="3" t="str">
        <f>FIXED(VLOOKUP($A21,'Full Sample-Single Family'!$A:$R,L$1,0),2)</f>
        <v>1,149.04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1-Single Family'!$A:$R,O$1,0),2)</f>
        <v>2,103.60</v>
      </c>
      <c r="P21" s="3" t="str">
        <f>FIXED(VLOOKUP($A21,'Small Sample 1-Single Family'!$A:$R,P$1,0),2)</f>
        <v>1,115.66</v>
      </c>
      <c r="Q21" s="3" t="str">
        <f>FIXED(VLOOKUP($A21,'Small Sample 1-Single Family'!$A:$R,Q$1,0),2)</f>
        <v>220.00</v>
      </c>
      <c r="R21" s="3" t="str">
        <f>FIXED(VLOOKUP($A21,'Small Sample 1-Single Family'!$A:$R,R$1,0),2)</f>
        <v>23,350.00</v>
      </c>
      <c r="S21" s="9" t="str">
        <f>FIXED(VLOOKUP($A21,'Small Sample 1-Single Family'!$A:$R,S$1,0),2)</f>
        <v>2,074.15</v>
      </c>
      <c r="T21" s="3" t="str">
        <f>FIXED(VLOOKUP($A21,'Small Sample 1-Single Family'!$A:$R,T$1,0),2)</f>
        <v>1,081.23</v>
      </c>
      <c r="U21" s="3" t="str">
        <f>FIXED(VLOOKUP($A21,'Small Sample 1-Single Family'!$A:$R,U$1,0),2)</f>
        <v>496.00</v>
      </c>
      <c r="V21" s="13" t="str">
        <f>FIXED(VLOOKUP($A21,'Small Sample 1-Single Family'!$A:$R,V$1,0),2)</f>
        <v>23,350.00</v>
      </c>
      <c r="W21" s="9" t="str">
        <f>FIXED(VLOOKUP($A21,'Small Sample 1-Single Family'!$A:$R,W$1,0),2)</f>
        <v>2,136.97</v>
      </c>
      <c r="X21" s="3" t="str">
        <f>FIXED(VLOOKUP($A21,'Small Sample 1-Single Family'!$A:$R,X$1,0),2)</f>
        <v>1,152.57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2-Single Family'!$A:$R,AA$1,0),2)</f>
        <v>2,096.32</v>
      </c>
      <c r="AB21" s="3" t="str">
        <f>FIXED(VLOOKUP($A21,'Small Sample 2-Single Family'!$A:$R,AB$1,0),2)</f>
        <v>1,112.60</v>
      </c>
      <c r="AC21" s="3" t="str">
        <f>FIXED(VLOOKUP($A21,'Small Sample 2-Single Family'!$A:$R,AC$1,0),2)</f>
        <v>220.00</v>
      </c>
      <c r="AD21" s="3" t="str">
        <f>FIXED(VLOOKUP($A21,'Small Sample 2-Single Family'!$A:$R,AD$1,0),2)</f>
        <v>23,350.00</v>
      </c>
      <c r="AE21" s="9" t="str">
        <f>FIXED(VLOOKUP($A21,'Small Sample 2-Single Family'!$A:$R,AE$1,0),2)</f>
        <v>2,054.82</v>
      </c>
      <c r="AF21" s="3" t="str">
        <f>FIXED(VLOOKUP($A21,'Small Sample 2-Single Family'!$A:$R,AF$1,0),2)</f>
        <v>1,064.22</v>
      </c>
      <c r="AG21" s="3" t="str">
        <f>FIXED(VLOOKUP($A21,'Small Sample 2-Single Family'!$A:$R,AG$1,0),2)</f>
        <v>455.00</v>
      </c>
      <c r="AH21" s="13" t="str">
        <f>FIXED(VLOOKUP($A21,'Small Sample 2-Single Family'!$A:$R,AH$1,0),2)</f>
        <v>23,350.00</v>
      </c>
      <c r="AI21" s="9" t="str">
        <f>FIXED(VLOOKUP($A21,'Small Sample 2-Single Family'!$A:$R,AI$1,0),2)</f>
        <v>2,165.74</v>
      </c>
      <c r="AJ21" s="3" t="str">
        <f>FIXED(VLOOKUP($A21,'Small Sample 2-Single Family'!$A:$R,AJ$1,0),2)</f>
        <v>1,185.97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Sample-Single Family'!$A:$R,C$1,0),2)</f>
        <v>38.74</v>
      </c>
      <c r="D22" s="3" t="str">
        <f>FIXED(VLOOKUP($A22,'Full Sample-Single Family'!$A:$R,D$1,0),2)</f>
        <v>23.16</v>
      </c>
      <c r="E22" s="3" t="str">
        <f>FIXED(VLOOKUP($A22,'Full Sample-Single Family'!$A:$R,E$1,0),2)</f>
        <v>0.00</v>
      </c>
      <c r="F22" s="3" t="str">
        <f>FIXED(VLOOKUP($A22,'Full Sample-Single Family'!$A:$R,F$1,0),2)</f>
        <v>123.00</v>
      </c>
      <c r="G22" s="9" t="str">
        <f>FIXED(VLOOKUP($A22,'Full Sample-Single Family'!$A:$R,G$1,0),2)</f>
        <v>36.60</v>
      </c>
      <c r="H22" s="3" t="str">
        <f>FIXED(VLOOKUP($A22,'Full Sample-Single Family'!$A:$R,H$1,0),2)</f>
        <v>22.89</v>
      </c>
      <c r="I22" s="3" t="str">
        <f>FIXED(VLOOKUP($A22,'Full Sample-Single Family'!$A:$R,I$1,0),2)</f>
        <v>0.00</v>
      </c>
      <c r="J22" s="13" t="str">
        <f>FIXED(VLOOKUP($A22,'Full Sample-Single Family'!$A:$R,J$1,0),2)</f>
        <v>112.00</v>
      </c>
      <c r="K22" s="9" t="str">
        <f>FIXED(VLOOKUP($A22,'Full Sample-Single Family'!$A:$R,K$1,0),2)</f>
        <v>41.66</v>
      </c>
      <c r="L22" s="3" t="str">
        <f>FIXED(VLOOKUP($A22,'Full Sample-Single Family'!$A:$R,L$1,0),2)</f>
        <v>23.21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1-Single Family'!$A:$R,O$1,0),2)</f>
        <v>39.86</v>
      </c>
      <c r="P22" s="3" t="str">
        <f>FIXED(VLOOKUP($A22,'Small Sample 1-Single Family'!$A:$R,P$1,0),2)</f>
        <v>22.98</v>
      </c>
      <c r="Q22" s="3" t="str">
        <f>FIXED(VLOOKUP($A22,'Small Sample 1-Single Family'!$A:$R,Q$1,0),2)</f>
        <v>0.00</v>
      </c>
      <c r="R22" s="3" t="str">
        <f>FIXED(VLOOKUP($A22,'Small Sample 1-Single Family'!$A:$R,R$1,0),2)</f>
        <v>123.00</v>
      </c>
      <c r="S22" s="9" t="str">
        <f>FIXED(VLOOKUP($A22,'Small Sample 1-Single Family'!$A:$R,S$1,0),2)</f>
        <v>38.30</v>
      </c>
      <c r="T22" s="3" t="str">
        <f>FIXED(VLOOKUP($A22,'Small Sample 1-Single Family'!$A:$R,T$1,0),2)</f>
        <v>22.65</v>
      </c>
      <c r="U22" s="3" t="str">
        <f>FIXED(VLOOKUP($A22,'Small Sample 1-Single Family'!$A:$R,U$1,0),2)</f>
        <v>0.00</v>
      </c>
      <c r="V22" s="13" t="str">
        <f>FIXED(VLOOKUP($A22,'Small Sample 1-Single Family'!$A:$R,V$1,0),2)</f>
        <v>112.00</v>
      </c>
      <c r="W22" s="9" t="str">
        <f>FIXED(VLOOKUP($A22,'Small Sample 1-Single Family'!$A:$R,W$1,0),2)</f>
        <v>41.62</v>
      </c>
      <c r="X22" s="3" t="str">
        <f>FIXED(VLOOKUP($A22,'Small Sample 1-Single Family'!$A:$R,X$1,0),2)</f>
        <v>23.21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2-Single Family'!$A:$R,AA$1,0),2)</f>
        <v>39.52</v>
      </c>
      <c r="AB22" s="3" t="str">
        <f>FIXED(VLOOKUP($A22,'Small Sample 2-Single Family'!$A:$R,AB$1,0),2)</f>
        <v>23.13</v>
      </c>
      <c r="AC22" s="3" t="str">
        <f>FIXED(VLOOKUP($A22,'Small Sample 2-Single Family'!$A:$R,AC$1,0),2)</f>
        <v>0.00</v>
      </c>
      <c r="AD22" s="3" t="str">
        <f>FIXED(VLOOKUP($A22,'Small Sample 2-Single Family'!$A:$R,AD$1,0),2)</f>
        <v>123.00</v>
      </c>
      <c r="AE22" s="9" t="str">
        <f>FIXED(VLOOKUP($A22,'Small Sample 2-Single Family'!$A:$R,AE$1,0),2)</f>
        <v>36.92</v>
      </c>
      <c r="AF22" s="3" t="str">
        <f>FIXED(VLOOKUP($A22,'Small Sample 2-Single Family'!$A:$R,AF$1,0),2)</f>
        <v>22.91</v>
      </c>
      <c r="AG22" s="3" t="str">
        <f>FIXED(VLOOKUP($A22,'Small Sample 2-Single Family'!$A:$R,AG$1,0),2)</f>
        <v>0.00</v>
      </c>
      <c r="AH22" s="13" t="str">
        <f>FIXED(VLOOKUP($A22,'Small Sample 2-Single Family'!$A:$R,AH$1,0),2)</f>
        <v>112.00</v>
      </c>
      <c r="AI22" s="9" t="str">
        <f>FIXED(VLOOKUP($A22,'Small Sample 2-Single Family'!$A:$R,AI$1,0),2)</f>
        <v>43.85</v>
      </c>
      <c r="AJ22" s="3" t="str">
        <f>FIXED(VLOOKUP($A22,'Small Sample 2-Single Family'!$A:$R,AJ$1,0),2)</f>
        <v>22.83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Sample-Single Family'!$A:$R,C$1,0),2)</f>
        <v>2.04</v>
      </c>
      <c r="D23" s="3" t="str">
        <f>FIXED(VLOOKUP($A23,'Full Sample-Single Family'!$A:$R,D$1,0),2)</f>
        <v>1.99</v>
      </c>
      <c r="E23" s="3" t="str">
        <f>FIXED(VLOOKUP($A23,'Full Sample-Single Family'!$A:$R,E$1,0),2)</f>
        <v>0.00</v>
      </c>
      <c r="F23" s="3" t="str">
        <f>FIXED(VLOOKUP($A23,'Full Sample-Single Family'!$A:$R,F$1,0),2)</f>
        <v>15.13</v>
      </c>
      <c r="G23" s="9" t="str">
        <f>FIXED(VLOOKUP($A23,'Full Sample-Single Family'!$A:$R,G$1,0),2)</f>
        <v>1.86</v>
      </c>
      <c r="H23" s="3" t="str">
        <f>FIXED(VLOOKUP($A23,'Full Sample-Single Family'!$A:$R,H$1,0),2)</f>
        <v>1.89</v>
      </c>
      <c r="I23" s="3" t="str">
        <f>FIXED(VLOOKUP($A23,'Full Sample-Single Family'!$A:$R,I$1,0),2)</f>
        <v>0.00</v>
      </c>
      <c r="J23" s="13" t="str">
        <f>FIXED(VLOOKUP($A23,'Full Sample-Single Family'!$A:$R,J$1,0),2)</f>
        <v>12.54</v>
      </c>
      <c r="K23" s="9" t="str">
        <f>FIXED(VLOOKUP($A23,'Full Sample-Single Family'!$A:$R,K$1,0),2)</f>
        <v>2.27</v>
      </c>
      <c r="L23" s="3" t="str">
        <f>FIXED(VLOOKUP($A23,'Full Sample-Single Family'!$A:$R,L$1,0),2)</f>
        <v>2.10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1-Single Family'!$A:$R,O$1,0),2)</f>
        <v>2.12</v>
      </c>
      <c r="P23" s="3" t="str">
        <f>FIXED(VLOOKUP($A23,'Small Sample 1-Single Family'!$A:$R,P$1,0),2)</f>
        <v>2.00</v>
      </c>
      <c r="Q23" s="3" t="str">
        <f>FIXED(VLOOKUP($A23,'Small Sample 1-Single Family'!$A:$R,Q$1,0),2)</f>
        <v>0.00</v>
      </c>
      <c r="R23" s="3" t="str">
        <f>FIXED(VLOOKUP($A23,'Small Sample 1-Single Family'!$A:$R,R$1,0),2)</f>
        <v>15.13</v>
      </c>
      <c r="S23" s="9" t="str">
        <f>FIXED(VLOOKUP($A23,'Small Sample 1-Single Family'!$A:$R,S$1,0),2)</f>
        <v>1.98</v>
      </c>
      <c r="T23" s="3" t="str">
        <f>FIXED(VLOOKUP($A23,'Small Sample 1-Single Family'!$A:$R,T$1,0),2)</f>
        <v>1.89</v>
      </c>
      <c r="U23" s="3" t="str">
        <f>FIXED(VLOOKUP($A23,'Small Sample 1-Single Family'!$A:$R,U$1,0),2)</f>
        <v>0.00</v>
      </c>
      <c r="V23" s="13" t="str">
        <f>FIXED(VLOOKUP($A23,'Small Sample 1-Single Family'!$A:$R,V$1,0),2)</f>
        <v>12.54</v>
      </c>
      <c r="W23" s="9" t="str">
        <f>FIXED(VLOOKUP($A23,'Small Sample 1-Single Family'!$A:$R,W$1,0),2)</f>
        <v>2.27</v>
      </c>
      <c r="X23" s="3" t="str">
        <f>FIXED(VLOOKUP($A23,'Small Sample 1-Single Family'!$A:$R,X$1,0),2)</f>
        <v>2.10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2-Single Family'!$A:$R,AA$1,0),2)</f>
        <v>2.10</v>
      </c>
      <c r="AB23" s="3" t="str">
        <f>FIXED(VLOOKUP($A23,'Small Sample 2-Single Family'!$A:$R,AB$1,0),2)</f>
        <v>1.99</v>
      </c>
      <c r="AC23" s="3" t="str">
        <f>FIXED(VLOOKUP($A23,'Small Sample 2-Single Family'!$A:$R,AC$1,0),2)</f>
        <v>0.00</v>
      </c>
      <c r="AD23" s="3" t="str">
        <f>FIXED(VLOOKUP($A23,'Small Sample 2-Single Family'!$A:$R,AD$1,0),2)</f>
        <v>15.13</v>
      </c>
      <c r="AE23" s="9" t="str">
        <f>FIXED(VLOOKUP($A23,'Small Sample 2-Single Family'!$A:$R,AE$1,0),2)</f>
        <v>1.89</v>
      </c>
      <c r="AF23" s="3" t="str">
        <f>FIXED(VLOOKUP($A23,'Small Sample 2-Single Family'!$A:$R,AF$1,0),2)</f>
        <v>1.89</v>
      </c>
      <c r="AG23" s="3" t="str">
        <f>FIXED(VLOOKUP($A23,'Small Sample 2-Single Family'!$A:$R,AG$1,0),2)</f>
        <v>0.00</v>
      </c>
      <c r="AH23" s="13" t="str">
        <f>FIXED(VLOOKUP($A23,'Small Sample 2-Single Family'!$A:$R,AH$1,0),2)</f>
        <v>12.54</v>
      </c>
      <c r="AI23" s="9" t="str">
        <f>FIXED(VLOOKUP($A23,'Small Sample 2-Single Family'!$A:$R,AI$1,0),2)</f>
        <v>2.44</v>
      </c>
      <c r="AJ23" s="3" t="str">
        <f>FIXED(VLOOKUP($A23,'Small Sample 2-Single Family'!$A:$R,AJ$1,0),2)</f>
        <v>2.10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Sample-Single Family'!$A:$R,C$1,0),2)</f>
        <v>0.03</v>
      </c>
      <c r="D24" s="3" t="str">
        <f>FIXED(VLOOKUP($A24,'Full Sample-Single Family'!$A:$R,D$1,0),2)</f>
        <v>0.16</v>
      </c>
      <c r="E24" s="3" t="str">
        <f>FIXED(VLOOKUP($A24,'Full Sample-Single Family'!$A:$R,E$1,0),2)</f>
        <v>0.00</v>
      </c>
      <c r="F24" s="3" t="str">
        <f>FIXED(VLOOKUP($A24,'Full Sample-Single Family'!$A:$R,F$1,0),2)</f>
        <v>1.00</v>
      </c>
      <c r="G24" s="9" t="str">
        <f>FIXED(VLOOKUP($A24,'Full Sample-Single Family'!$A:$R,G$1,0),2)</f>
        <v>0.02</v>
      </c>
      <c r="H24" s="3" t="str">
        <f>FIXED(VLOOKUP($A24,'Full Sample-Single Family'!$A:$R,H$1,0),2)</f>
        <v>0.15</v>
      </c>
      <c r="I24" s="3" t="str">
        <f>FIXED(VLOOKUP($A24,'Full Sample-Single Family'!$A:$R,I$1,0),2)</f>
        <v>0.00</v>
      </c>
      <c r="J24" s="13" t="str">
        <f>FIXED(VLOOKUP($A24,'Full Sample-Single Family'!$A:$R,J$1,0),2)</f>
        <v>1.00</v>
      </c>
      <c r="K24" s="9" t="str">
        <f>FIXED(VLOOKUP($A24,'Full Sample-Single Family'!$A:$R,K$1,0),2)</f>
        <v>0.03</v>
      </c>
      <c r="L24" s="3" t="str">
        <f>FIXED(VLOOKUP($A24,'Full Sample-Single Family'!$A:$R,L$1,0),2)</f>
        <v>0.17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1-Single Family'!$A:$R,O$1,0),2)</f>
        <v>0.03</v>
      </c>
      <c r="P24" s="3" t="str">
        <f>FIXED(VLOOKUP($A24,'Small Sample 1-Single Family'!$A:$R,P$1,0),2)</f>
        <v>0.16</v>
      </c>
      <c r="Q24" s="3" t="str">
        <f>FIXED(VLOOKUP($A24,'Small Sample 1-Single Family'!$A:$R,Q$1,0),2)</f>
        <v>0.00</v>
      </c>
      <c r="R24" s="3" t="str">
        <f>FIXED(VLOOKUP($A24,'Small Sample 1-Single Family'!$A:$R,R$1,0),2)</f>
        <v>1.00</v>
      </c>
      <c r="S24" s="9" t="str">
        <f>FIXED(VLOOKUP($A24,'Small Sample 1-Single Family'!$A:$R,S$1,0),2)</f>
        <v>0.03</v>
      </c>
      <c r="T24" s="3" t="str">
        <f>FIXED(VLOOKUP($A24,'Small Sample 1-Single Family'!$A:$R,T$1,0),2)</f>
        <v>0.16</v>
      </c>
      <c r="U24" s="3" t="str">
        <f>FIXED(VLOOKUP($A24,'Small Sample 1-Single Family'!$A:$R,U$1,0),2)</f>
        <v>0.00</v>
      </c>
      <c r="V24" s="13" t="str">
        <f>FIXED(VLOOKUP($A24,'Small Sample 1-Single Family'!$A:$R,V$1,0),2)</f>
        <v>1.00</v>
      </c>
      <c r="W24" s="9" t="str">
        <f>FIXED(VLOOKUP($A24,'Small Sample 1-Single Family'!$A:$R,W$1,0),2)</f>
        <v>0.03</v>
      </c>
      <c r="X24" s="3" t="str">
        <f>FIXED(VLOOKUP($A24,'Small Sample 1-Single Family'!$A:$R,X$1,0),2)</f>
        <v>0.17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2-Single Family'!$A:$R,AA$1,0),2)</f>
        <v>0.03</v>
      </c>
      <c r="AB24" s="3" t="str">
        <f>FIXED(VLOOKUP($A24,'Small Sample 2-Single Family'!$A:$R,AB$1,0),2)</f>
        <v>0.16</v>
      </c>
      <c r="AC24" s="3" t="str">
        <f>FIXED(VLOOKUP($A24,'Small Sample 2-Single Family'!$A:$R,AC$1,0),2)</f>
        <v>0.00</v>
      </c>
      <c r="AD24" s="3" t="str">
        <f>FIXED(VLOOKUP($A24,'Small Sample 2-Single Family'!$A:$R,AD$1,0),2)</f>
        <v>1.00</v>
      </c>
      <c r="AE24" s="9" t="str">
        <f>FIXED(VLOOKUP($A24,'Small Sample 2-Single Family'!$A:$R,AE$1,0),2)</f>
        <v>0.02</v>
      </c>
      <c r="AF24" s="3" t="str">
        <f>FIXED(VLOOKUP($A24,'Small Sample 2-Single Family'!$A:$R,AF$1,0),2)</f>
        <v>0.15</v>
      </c>
      <c r="AG24" s="3" t="str">
        <f>FIXED(VLOOKUP($A24,'Small Sample 2-Single Family'!$A:$R,AG$1,0),2)</f>
        <v>0.00</v>
      </c>
      <c r="AH24" s="13" t="str">
        <f>FIXED(VLOOKUP($A24,'Small Sample 2-Single Family'!$A:$R,AH$1,0),2)</f>
        <v>1.00</v>
      </c>
      <c r="AI24" s="9" t="str">
        <f>FIXED(VLOOKUP($A24,'Small Sample 2-Single Family'!$A:$R,AI$1,0),2)</f>
        <v>0.03</v>
      </c>
      <c r="AJ24" s="3" t="str">
        <f>FIXED(VLOOKUP($A24,'Small Sample 2-Single Family'!$A:$R,AJ$1,0),2)</f>
        <v>0.18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Sample-Single Family'!$A:$R,C$1,0),2)</f>
        <v>0.22</v>
      </c>
      <c r="D25" s="3" t="str">
        <f>FIXED(VLOOKUP($A25,'Full Sample-Single Family'!$A:$R,D$1,0),2)</f>
        <v>0.41</v>
      </c>
      <c r="E25" s="3" t="str">
        <f>FIXED(VLOOKUP($A25,'Full Sample-Single Family'!$A:$R,E$1,0),2)</f>
        <v>0.00</v>
      </c>
      <c r="F25" s="3" t="str">
        <f>FIXED(VLOOKUP($A25,'Full Sample-Single Family'!$A:$R,F$1,0),2)</f>
        <v>1.00</v>
      </c>
      <c r="G25" s="9" t="str">
        <f>FIXED(VLOOKUP($A25,'Full Sample-Single Family'!$A:$R,G$1,0),2)</f>
        <v>0.21</v>
      </c>
      <c r="H25" s="3" t="str">
        <f>FIXED(VLOOKUP($A25,'Full Sample-Single Family'!$A:$R,H$1,0),2)</f>
        <v>0.41</v>
      </c>
      <c r="I25" s="3" t="str">
        <f>FIXED(VLOOKUP($A25,'Full Sample-Single Family'!$A:$R,I$1,0),2)</f>
        <v>0.00</v>
      </c>
      <c r="J25" s="13" t="str">
        <f>FIXED(VLOOKUP($A25,'Full Sample-Single Family'!$A:$R,J$1,0),2)</f>
        <v>1.00</v>
      </c>
      <c r="K25" s="9" t="str">
        <f>FIXED(VLOOKUP($A25,'Full Sample-Single Family'!$A:$R,K$1,0),2)</f>
        <v>0.22</v>
      </c>
      <c r="L25" s="3" t="str">
        <f>FIXED(VLOOKUP($A25,'Full Sample-Single Family'!$A:$R,L$1,0),2)</f>
        <v>0.42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1-Single Family'!$A:$R,O$1,0),2)</f>
        <v>0.22</v>
      </c>
      <c r="P25" s="3" t="str">
        <f>FIXED(VLOOKUP($A25,'Small Sample 1-Single Family'!$A:$R,P$1,0),2)</f>
        <v>0.42</v>
      </c>
      <c r="Q25" s="3" t="str">
        <f>FIXED(VLOOKUP($A25,'Small Sample 1-Single Family'!$A:$R,Q$1,0),2)</f>
        <v>0.00</v>
      </c>
      <c r="R25" s="3" t="str">
        <f>FIXED(VLOOKUP($A25,'Small Sample 1-Single Family'!$A:$R,R$1,0),2)</f>
        <v>1.00</v>
      </c>
      <c r="S25" s="9" t="str">
        <f>FIXED(VLOOKUP($A25,'Small Sample 1-Single Family'!$A:$R,S$1,0),2)</f>
        <v>0.22</v>
      </c>
      <c r="T25" s="3" t="str">
        <f>FIXED(VLOOKUP($A25,'Small Sample 1-Single Family'!$A:$R,T$1,0),2)</f>
        <v>0.41</v>
      </c>
      <c r="U25" s="3" t="str">
        <f>FIXED(VLOOKUP($A25,'Small Sample 1-Single Family'!$A:$R,U$1,0),2)</f>
        <v>0.00</v>
      </c>
      <c r="V25" s="13" t="str">
        <f>FIXED(VLOOKUP($A25,'Small Sample 1-Single Family'!$A:$R,V$1,0),2)</f>
        <v>1.00</v>
      </c>
      <c r="W25" s="9" t="str">
        <f>FIXED(VLOOKUP($A25,'Small Sample 1-Single Family'!$A:$R,W$1,0),2)</f>
        <v>0.22</v>
      </c>
      <c r="X25" s="3" t="str">
        <f>FIXED(VLOOKUP($A25,'Small Sample 1-Single Family'!$A:$R,X$1,0),2)</f>
        <v>0.42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2-Single Family'!$A:$R,AA$1,0),2)</f>
        <v>0.23</v>
      </c>
      <c r="AB25" s="3" t="str">
        <f>FIXED(VLOOKUP($A25,'Small Sample 2-Single Family'!$A:$R,AB$1,0),2)</f>
        <v>0.42</v>
      </c>
      <c r="AC25" s="3" t="str">
        <f>FIXED(VLOOKUP($A25,'Small Sample 2-Single Family'!$A:$R,AC$1,0),2)</f>
        <v>0.00</v>
      </c>
      <c r="AD25" s="3" t="str">
        <f>FIXED(VLOOKUP($A25,'Small Sample 2-Single Family'!$A:$R,AD$1,0),2)</f>
        <v>1.00</v>
      </c>
      <c r="AE25" s="9" t="str">
        <f>FIXED(VLOOKUP($A25,'Small Sample 2-Single Family'!$A:$R,AE$1,0),2)</f>
        <v>0.22</v>
      </c>
      <c r="AF25" s="3" t="str">
        <f>FIXED(VLOOKUP($A25,'Small Sample 2-Single Family'!$A:$R,AF$1,0),2)</f>
        <v>0.41</v>
      </c>
      <c r="AG25" s="3" t="str">
        <f>FIXED(VLOOKUP($A25,'Small Sample 2-Single Family'!$A:$R,AG$1,0),2)</f>
        <v>0.00</v>
      </c>
      <c r="AH25" s="13" t="str">
        <f>FIXED(VLOOKUP($A25,'Small Sample 2-Single Family'!$A:$R,AH$1,0),2)</f>
        <v>1.00</v>
      </c>
      <c r="AI25" s="9" t="str">
        <f>FIXED(VLOOKUP($A25,'Small Sample 2-Single Family'!$A:$R,AI$1,0),2)</f>
        <v>0.26</v>
      </c>
      <c r="AJ25" s="3" t="str">
        <f>FIXED(VLOOKUP($A25,'Small Sample 2-Single Family'!$A:$R,AJ$1,0),2)</f>
        <v>0.44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Sample-Single Family'!$A:$R,C$1,0),2)</f>
        <v>0.30</v>
      </c>
      <c r="D26" s="3" t="str">
        <f>FIXED(VLOOKUP($A26,'Full Sample-Single Family'!$A:$R,D$1,0),2)</f>
        <v>0.46</v>
      </c>
      <c r="E26" s="3" t="str">
        <f>FIXED(VLOOKUP($A26,'Full Sample-Single Family'!$A:$R,E$1,0),2)</f>
        <v>0.00</v>
      </c>
      <c r="F26" s="3" t="str">
        <f>FIXED(VLOOKUP($A26,'Full Sample-Single Family'!$A:$R,F$1,0),2)</f>
        <v>1.00</v>
      </c>
      <c r="G26" s="9" t="str">
        <f>FIXED(VLOOKUP($A26,'Full Sample-Single Family'!$A:$R,G$1,0),2)</f>
        <v>0.32</v>
      </c>
      <c r="H26" s="3" t="str">
        <f>FIXED(VLOOKUP($A26,'Full Sample-Single Family'!$A:$R,H$1,0),2)</f>
        <v>0.47</v>
      </c>
      <c r="I26" s="3" t="str">
        <f>FIXED(VLOOKUP($A26,'Full Sample-Single Family'!$A:$R,I$1,0),2)</f>
        <v>0.00</v>
      </c>
      <c r="J26" s="13" t="str">
        <f>FIXED(VLOOKUP($A26,'Full Sample-Single Family'!$A:$R,J$1,0),2)</f>
        <v>1.00</v>
      </c>
      <c r="K26" s="9" t="str">
        <f>FIXED(VLOOKUP($A26,'Full Sample-Single Family'!$A:$R,K$1,0),2)</f>
        <v>0.28</v>
      </c>
      <c r="L26" s="3" t="str">
        <f>FIXED(VLOOKUP($A26,'Full Sample-Single Family'!$A:$R,L$1,0),2)</f>
        <v>0.45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1-Single Family'!$A:$R,O$1,0),2)</f>
        <v>0.30</v>
      </c>
      <c r="P26" s="3" t="str">
        <f>FIXED(VLOOKUP($A26,'Small Sample 1-Single Family'!$A:$R,P$1,0),2)</f>
        <v>0.46</v>
      </c>
      <c r="Q26" s="3" t="str">
        <f>FIXED(VLOOKUP($A26,'Small Sample 1-Single Family'!$A:$R,Q$1,0),2)</f>
        <v>0.00</v>
      </c>
      <c r="R26" s="3" t="str">
        <f>FIXED(VLOOKUP($A26,'Small Sample 1-Single Family'!$A:$R,R$1,0),2)</f>
        <v>1.00</v>
      </c>
      <c r="S26" s="9" t="str">
        <f>FIXED(VLOOKUP($A26,'Small Sample 1-Single Family'!$A:$R,S$1,0),2)</f>
        <v>0.31</v>
      </c>
      <c r="T26" s="3" t="str">
        <f>FIXED(VLOOKUP($A26,'Small Sample 1-Single Family'!$A:$R,T$1,0),2)</f>
        <v>0.46</v>
      </c>
      <c r="U26" s="3" t="str">
        <f>FIXED(VLOOKUP($A26,'Small Sample 1-Single Family'!$A:$R,U$1,0),2)</f>
        <v>0.00</v>
      </c>
      <c r="V26" s="13" t="str">
        <f>FIXED(VLOOKUP($A26,'Small Sample 1-Single Family'!$A:$R,V$1,0),2)</f>
        <v>1.00</v>
      </c>
      <c r="W26" s="9" t="str">
        <f>FIXED(VLOOKUP($A26,'Small Sample 1-Single Family'!$A:$R,W$1,0),2)</f>
        <v>0.28</v>
      </c>
      <c r="X26" s="3" t="str">
        <f>FIXED(VLOOKUP($A26,'Small Sample 1-Single Family'!$A:$R,X$1,0),2)</f>
        <v>0.45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2-Single Family'!$A:$R,AA$1,0),2)</f>
        <v>0.29</v>
      </c>
      <c r="AB26" s="3" t="str">
        <f>FIXED(VLOOKUP($A26,'Small Sample 2-Single Family'!$A:$R,AB$1,0),2)</f>
        <v>0.45</v>
      </c>
      <c r="AC26" s="3" t="str">
        <f>FIXED(VLOOKUP($A26,'Small Sample 2-Single Family'!$A:$R,AC$1,0),2)</f>
        <v>0.00</v>
      </c>
      <c r="AD26" s="3" t="str">
        <f>FIXED(VLOOKUP($A26,'Small Sample 2-Single Family'!$A:$R,AD$1,0),2)</f>
        <v>1.00</v>
      </c>
      <c r="AE26" s="9" t="str">
        <f>FIXED(VLOOKUP($A26,'Small Sample 2-Single Family'!$A:$R,AE$1,0),2)</f>
        <v>0.31</v>
      </c>
      <c r="AF26" s="3" t="str">
        <f>FIXED(VLOOKUP($A26,'Small Sample 2-Single Family'!$A:$R,AF$1,0),2)</f>
        <v>0.46</v>
      </c>
      <c r="AG26" s="3" t="str">
        <f>FIXED(VLOOKUP($A26,'Small Sample 2-Single Family'!$A:$R,AG$1,0),2)</f>
        <v>0.00</v>
      </c>
      <c r="AH26" s="13" t="str">
        <f>FIXED(VLOOKUP($A26,'Small Sample 2-Single Family'!$A:$R,AH$1,0),2)</f>
        <v>1.00</v>
      </c>
      <c r="AI26" s="9" t="str">
        <f>FIXED(VLOOKUP($A26,'Small Sample 2-Single Family'!$A:$R,AI$1,0),2)</f>
        <v>0.25</v>
      </c>
      <c r="AJ26" s="3" t="str">
        <f>FIXED(VLOOKUP($A26,'Small Sample 2-Single Family'!$A:$R,AJ$1,0),2)</f>
        <v>0.43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Sample-Single Family'!$A:$R,C$1,0),2)</f>
        <v>0.41</v>
      </c>
      <c r="D27" s="3" t="str">
        <f>FIXED(VLOOKUP($A27,'Full Sample-Single Family'!$A:$R,D$1,0),2)</f>
        <v>0.49</v>
      </c>
      <c r="E27" s="3" t="str">
        <f>FIXED(VLOOKUP($A27,'Full Sample-Single Family'!$A:$R,E$1,0),2)</f>
        <v>0.00</v>
      </c>
      <c r="F27" s="3" t="str">
        <f>FIXED(VLOOKUP($A27,'Full Sample-Single Family'!$A:$R,F$1,0),2)</f>
        <v>1.00</v>
      </c>
      <c r="G27" s="9" t="str">
        <f>FIXED(VLOOKUP($A27,'Full Sample-Single Family'!$A:$R,G$1,0),2)</f>
        <v>0.40</v>
      </c>
      <c r="H27" s="3" t="str">
        <f>FIXED(VLOOKUP($A27,'Full Sample-Single Family'!$A:$R,H$1,0),2)</f>
        <v>0.49</v>
      </c>
      <c r="I27" s="3" t="str">
        <f>FIXED(VLOOKUP($A27,'Full Sample-Single Family'!$A:$R,I$1,0),2)</f>
        <v>0.00</v>
      </c>
      <c r="J27" s="13" t="str">
        <f>FIXED(VLOOKUP($A27,'Full Sample-Single Family'!$A:$R,J$1,0),2)</f>
        <v>1.00</v>
      </c>
      <c r="K27" s="9" t="str">
        <f>FIXED(VLOOKUP($A27,'Full Sample-Single Family'!$A:$R,K$1,0),2)</f>
        <v>0.43</v>
      </c>
      <c r="L27" s="3" t="str">
        <f>FIXED(VLOOKUP($A27,'Full Sample-Single Family'!$A:$R,L$1,0),2)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1-Single Family'!$A:$R,O$1,0),2)</f>
        <v>0.41</v>
      </c>
      <c r="P27" s="3" t="str">
        <f>FIXED(VLOOKUP($A27,'Small Sample 1-Single Family'!$A:$R,P$1,0),2)</f>
        <v>0.49</v>
      </c>
      <c r="Q27" s="3" t="str">
        <f>FIXED(VLOOKUP($A27,'Small Sample 1-Single Family'!$A:$R,Q$1,0),2)</f>
        <v>0.00</v>
      </c>
      <c r="R27" s="3" t="str">
        <f>FIXED(VLOOKUP($A27,'Small Sample 1-Single Family'!$A:$R,R$1,0),2)</f>
        <v>1.00</v>
      </c>
      <c r="S27" s="9" t="str">
        <f>FIXED(VLOOKUP($A27,'Small Sample 1-Single Family'!$A:$R,S$1,0),2)</f>
        <v>0.39</v>
      </c>
      <c r="T27" s="3" t="str">
        <f>FIXED(VLOOKUP($A27,'Small Sample 1-Single Family'!$A:$R,T$1,0),2)</f>
        <v>0.49</v>
      </c>
      <c r="U27" s="3" t="str">
        <f>FIXED(VLOOKUP($A27,'Small Sample 1-Single Family'!$A:$R,U$1,0),2)</f>
        <v>0.00</v>
      </c>
      <c r="V27" s="13" t="str">
        <f>FIXED(VLOOKUP($A27,'Small Sample 1-Single Family'!$A:$R,V$1,0),2)</f>
        <v>1.00</v>
      </c>
      <c r="W27" s="9" t="str">
        <f>FIXED(VLOOKUP($A27,'Small Sample 1-Single Family'!$A:$R,W$1,0),2)</f>
        <v>0.43</v>
      </c>
      <c r="X27" s="3" t="str">
        <f>FIXED(VLOOKUP($A27,'Small Sample 1-Single Family'!$A:$R,X$1,0),2)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2-Single Family'!$A:$R,AA$1,0),2)</f>
        <v>0.40</v>
      </c>
      <c r="AB27" s="3" t="str">
        <f>FIXED(VLOOKUP($A27,'Small Sample 2-Single Family'!$A:$R,AB$1,0),2)</f>
        <v>0.49</v>
      </c>
      <c r="AC27" s="3" t="str">
        <f>FIXED(VLOOKUP($A27,'Small Sample 2-Single Family'!$A:$R,AC$1,0),2)</f>
        <v>0.00</v>
      </c>
      <c r="AD27" s="3" t="str">
        <f>FIXED(VLOOKUP($A27,'Small Sample 2-Single Family'!$A:$R,AD$1,0),2)</f>
        <v>1.00</v>
      </c>
      <c r="AE27" s="9" t="str">
        <f>FIXED(VLOOKUP($A27,'Small Sample 2-Single Family'!$A:$R,AE$1,0),2)</f>
        <v>0.39</v>
      </c>
      <c r="AF27" s="3" t="str">
        <f>FIXED(VLOOKUP($A27,'Small Sample 2-Single Family'!$A:$R,AF$1,0),2)</f>
        <v>0.49</v>
      </c>
      <c r="AG27" s="3" t="str">
        <f>FIXED(VLOOKUP($A27,'Small Sample 2-Single Family'!$A:$R,AG$1,0),2)</f>
        <v>0.00</v>
      </c>
      <c r="AH27" s="13" t="str">
        <f>FIXED(VLOOKUP($A27,'Small Sample 2-Single Family'!$A:$R,AH$1,0),2)</f>
        <v>1.00</v>
      </c>
      <c r="AI27" s="9" t="str">
        <f>FIXED(VLOOKUP($A27,'Small Sample 2-Single Family'!$A:$R,AI$1,0),2)</f>
        <v>0.40</v>
      </c>
      <c r="AJ27" s="3" t="str">
        <f>FIXED(VLOOKUP($A27,'Small Sample 2-Single Family'!$A:$R,AJ$1,0),2)</f>
        <v>0.49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Sample-Single Family'!$A:$R,C$1,0),2)</f>
        <v>0.07</v>
      </c>
      <c r="D28" s="3" t="str">
        <f>FIXED(VLOOKUP($A28,'Full Sample-Single Family'!$A:$R,D$1,0),2)</f>
        <v>0.26</v>
      </c>
      <c r="E28" s="3" t="str">
        <f>FIXED(VLOOKUP($A28,'Full Sample-Single Family'!$A:$R,E$1,0),2)</f>
        <v>0.00</v>
      </c>
      <c r="F28" s="3" t="str">
        <f>FIXED(VLOOKUP($A28,'Full Sample-Single Family'!$A:$R,F$1,0),2)</f>
        <v>1.00</v>
      </c>
      <c r="G28" s="9" t="str">
        <f>FIXED(VLOOKUP($A28,'Full Sample-Single Family'!$A:$R,G$1,0),2)</f>
        <v>0.08</v>
      </c>
      <c r="H28" s="3" t="str">
        <f>FIXED(VLOOKUP($A28,'Full Sample-Single Family'!$A:$R,H$1,0),2)</f>
        <v>0.27</v>
      </c>
      <c r="I28" s="3" t="str">
        <f>FIXED(VLOOKUP($A28,'Full Sample-Single Family'!$A:$R,I$1,0),2)</f>
        <v>0.00</v>
      </c>
      <c r="J28" s="13" t="str">
        <f>FIXED(VLOOKUP($A28,'Full Sample-Single Family'!$A:$R,J$1,0),2)</f>
        <v>1.00</v>
      </c>
      <c r="K28" s="9" t="str">
        <f>FIXED(VLOOKUP($A28,'Full Sample-Single Family'!$A:$R,K$1,0),2)</f>
        <v>0.07</v>
      </c>
      <c r="L28" s="3" t="str">
        <f>FIXED(VLOOKUP($A28,'Full Sample-Single Family'!$A:$R,L$1,0),2)</f>
        <v>0.26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1-Single Family'!$A:$R,O$1,0),2)</f>
        <v>0.07</v>
      </c>
      <c r="P28" s="3" t="str">
        <f>FIXED(VLOOKUP($A28,'Small Sample 1-Single Family'!$A:$R,P$1,0),2)</f>
        <v>0.25</v>
      </c>
      <c r="Q28" s="3" t="str">
        <f>FIXED(VLOOKUP($A28,'Small Sample 1-Single Family'!$A:$R,Q$1,0),2)</f>
        <v>0.00</v>
      </c>
      <c r="R28" s="3" t="str">
        <f>FIXED(VLOOKUP($A28,'Small Sample 1-Single Family'!$A:$R,R$1,0),2)</f>
        <v>1.00</v>
      </c>
      <c r="S28" s="9" t="str">
        <f>FIXED(VLOOKUP($A28,'Small Sample 1-Single Family'!$A:$R,S$1,0),2)</f>
        <v>0.07</v>
      </c>
      <c r="T28" s="3" t="str">
        <f>FIXED(VLOOKUP($A28,'Small Sample 1-Single Family'!$A:$R,T$1,0),2)</f>
        <v>0.26</v>
      </c>
      <c r="U28" s="3" t="str">
        <f>FIXED(VLOOKUP($A28,'Small Sample 1-Single Family'!$A:$R,U$1,0),2)</f>
        <v>0.00</v>
      </c>
      <c r="V28" s="13" t="str">
        <f>FIXED(VLOOKUP($A28,'Small Sample 1-Single Family'!$A:$R,V$1,0),2)</f>
        <v>1.00</v>
      </c>
      <c r="W28" s="9" t="str">
        <f>FIXED(VLOOKUP($A28,'Small Sample 1-Single Family'!$A:$R,W$1,0),2)</f>
        <v>0.06</v>
      </c>
      <c r="X28" s="3" t="str">
        <f>FIXED(VLOOKUP($A28,'Small Sample 1-Single Family'!$A:$R,X$1,0),2)</f>
        <v>0.25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2-Single Family'!$A:$R,AA$1,0),2)</f>
        <v>0.08</v>
      </c>
      <c r="AB28" s="3" t="str">
        <f>FIXED(VLOOKUP($A28,'Small Sample 2-Single Family'!$A:$R,AB$1,0),2)</f>
        <v>0.28</v>
      </c>
      <c r="AC28" s="3" t="str">
        <f>FIXED(VLOOKUP($A28,'Small Sample 2-Single Family'!$A:$R,AC$1,0),2)</f>
        <v>0.00</v>
      </c>
      <c r="AD28" s="3" t="str">
        <f>FIXED(VLOOKUP($A28,'Small Sample 2-Single Family'!$A:$R,AD$1,0),2)</f>
        <v>1.00</v>
      </c>
      <c r="AE28" s="9" t="str">
        <f>FIXED(VLOOKUP($A28,'Small Sample 2-Single Family'!$A:$R,AE$1,0),2)</f>
        <v>0.08</v>
      </c>
      <c r="AF28" s="3" t="str">
        <f>FIXED(VLOOKUP($A28,'Small Sample 2-Single Family'!$A:$R,AF$1,0),2)</f>
        <v>0.27</v>
      </c>
      <c r="AG28" s="3" t="str">
        <f>FIXED(VLOOKUP($A28,'Small Sample 2-Single Family'!$A:$R,AG$1,0),2)</f>
        <v>0.00</v>
      </c>
      <c r="AH28" s="13" t="str">
        <f>FIXED(VLOOKUP($A28,'Small Sample 2-Single Family'!$A:$R,AH$1,0),2)</f>
        <v>1.00</v>
      </c>
      <c r="AI28" s="9" t="str">
        <f>FIXED(VLOOKUP($A28,'Small Sample 2-Single Family'!$A:$R,AI$1,0),2)</f>
        <v>0.09</v>
      </c>
      <c r="AJ28" s="3" t="str">
        <f>FIXED(VLOOKUP($A28,'Small Sample 2-Single Family'!$A:$R,AJ$1,0),2)</f>
        <v>0.29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Sample-Single Family'!$A:$R,C$1,0),2)</f>
        <v>0.05</v>
      </c>
      <c r="D29" s="3" t="str">
        <f>FIXED(VLOOKUP($A29,'Full Sample-Single Family'!$A:$R,D$1,0),2)</f>
        <v>0.21</v>
      </c>
      <c r="E29" s="3" t="str">
        <f>FIXED(VLOOKUP($A29,'Full Sample-Single Family'!$A:$R,E$1,0),2)</f>
        <v>0.00</v>
      </c>
      <c r="F29" s="3" t="str">
        <f>FIXED(VLOOKUP($A29,'Full Sample-Single Family'!$A:$R,F$1,0),2)</f>
        <v>1.00</v>
      </c>
      <c r="G29" s="9" t="str">
        <f>FIXED(VLOOKUP($A29,'Full Sample-Single Family'!$A:$R,G$1,0),2)</f>
        <v>0.04</v>
      </c>
      <c r="H29" s="3" t="str">
        <f>FIXED(VLOOKUP($A29,'Full Sample-Single Family'!$A:$R,H$1,0),2)</f>
        <v>0.20</v>
      </c>
      <c r="I29" s="3" t="str">
        <f>FIXED(VLOOKUP($A29,'Full Sample-Single Family'!$A:$R,I$1,0),2)</f>
        <v>0.00</v>
      </c>
      <c r="J29" s="13" t="str">
        <f>FIXED(VLOOKUP($A29,'Full Sample-Single Family'!$A:$R,J$1,0),2)</f>
        <v>1.00</v>
      </c>
      <c r="K29" s="9" t="str">
        <f>FIXED(VLOOKUP($A29,'Full Sample-Single Family'!$A:$R,K$1,0),2)</f>
        <v>0.05</v>
      </c>
      <c r="L29" s="3" t="str">
        <f>FIXED(VLOOKUP($A29,'Full Sample-Single Family'!$A:$R,L$1,0),2)</f>
        <v>0.21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1-Single Family'!$A:$R,O$1,0),2)</f>
        <v>0.05</v>
      </c>
      <c r="P29" s="3" t="str">
        <f>FIXED(VLOOKUP($A29,'Small Sample 1-Single Family'!$A:$R,P$1,0),2)</f>
        <v>0.21</v>
      </c>
      <c r="Q29" s="3" t="str">
        <f>FIXED(VLOOKUP($A29,'Small Sample 1-Single Family'!$A:$R,Q$1,0),2)</f>
        <v>0.00</v>
      </c>
      <c r="R29" s="3" t="str">
        <f>FIXED(VLOOKUP($A29,'Small Sample 1-Single Family'!$A:$R,R$1,0),2)</f>
        <v>1.00</v>
      </c>
      <c r="S29" s="9" t="str">
        <f>FIXED(VLOOKUP($A29,'Small Sample 1-Single Family'!$A:$R,S$1,0),2)</f>
        <v>0.04</v>
      </c>
      <c r="T29" s="3" t="str">
        <f>FIXED(VLOOKUP($A29,'Small Sample 1-Single Family'!$A:$R,T$1,0),2)</f>
        <v>0.20</v>
      </c>
      <c r="U29" s="3" t="str">
        <f>FIXED(VLOOKUP($A29,'Small Sample 1-Single Family'!$A:$R,U$1,0),2)</f>
        <v>0.00</v>
      </c>
      <c r="V29" s="13" t="str">
        <f>FIXED(VLOOKUP($A29,'Small Sample 1-Single Family'!$A:$R,V$1,0),2)</f>
        <v>1.00</v>
      </c>
      <c r="W29" s="9" t="str">
        <f>FIXED(VLOOKUP($A29,'Small Sample 1-Single Family'!$A:$R,W$1,0),2)</f>
        <v>0.05</v>
      </c>
      <c r="X29" s="3" t="str">
        <f>FIXED(VLOOKUP($A29,'Small Sample 1-Single Family'!$A:$R,X$1,0),2)</f>
        <v>0.21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2-Single Family'!$A:$R,AA$1,0),2)</f>
        <v>0.05</v>
      </c>
      <c r="AB29" s="3" t="str">
        <f>FIXED(VLOOKUP($A29,'Small Sample 2-Single Family'!$A:$R,AB$1,0),2)</f>
        <v>0.21</v>
      </c>
      <c r="AC29" s="3" t="str">
        <f>FIXED(VLOOKUP($A29,'Small Sample 2-Single Family'!$A:$R,AC$1,0),2)</f>
        <v>0.00</v>
      </c>
      <c r="AD29" s="3" t="str">
        <f>FIXED(VLOOKUP($A29,'Small Sample 2-Single Family'!$A:$R,AD$1,0),2)</f>
        <v>1.00</v>
      </c>
      <c r="AE29" s="9" t="str">
        <f>FIXED(VLOOKUP($A29,'Small Sample 2-Single Family'!$A:$R,AE$1,0),2)</f>
        <v>0.04</v>
      </c>
      <c r="AF29" s="3" t="str">
        <f>FIXED(VLOOKUP($A29,'Small Sample 2-Single Family'!$A:$R,AF$1,0),2)</f>
        <v>0.21</v>
      </c>
      <c r="AG29" s="3" t="str">
        <f>FIXED(VLOOKUP($A29,'Small Sample 2-Single Family'!$A:$R,AG$1,0),2)</f>
        <v>0.00</v>
      </c>
      <c r="AH29" s="13" t="str">
        <f>FIXED(VLOOKUP($A29,'Small Sample 2-Single Family'!$A:$R,AH$1,0),2)</f>
        <v>1.00</v>
      </c>
      <c r="AI29" s="9" t="str">
        <f>FIXED(VLOOKUP($A29,'Small Sample 2-Single Family'!$A:$R,AI$1,0),2)</f>
        <v>0.05</v>
      </c>
      <c r="AJ29" s="3" t="str">
        <f>FIXED(VLOOKUP($A29,'Small Sample 2-Single Family'!$A:$R,AJ$1,0),2)</f>
        <v>0.22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Sample-Single Family'!$A:$R,C$1,0),2)</f>
        <v>0.01</v>
      </c>
      <c r="D30" s="3" t="str">
        <f>FIXED(VLOOKUP($A30,'Full Sample-Single Family'!$A:$R,D$1,0),2)</f>
        <v>0.10</v>
      </c>
      <c r="E30" s="3" t="str">
        <f>FIXED(VLOOKUP($A30,'Full Sample-Single Family'!$A:$R,E$1,0),2)</f>
        <v>0.00</v>
      </c>
      <c r="F30" s="3" t="str">
        <f>FIXED(VLOOKUP($A30,'Full Sample-Single Family'!$A:$R,F$1,0),2)</f>
        <v>1.00</v>
      </c>
      <c r="G30" s="9" t="str">
        <f>FIXED(VLOOKUP($A30,'Full Sample-Single Family'!$A:$R,G$1,0),2)</f>
        <v>0.01</v>
      </c>
      <c r="H30" s="3" t="str">
        <f>FIXED(VLOOKUP($A30,'Full Sample-Single Family'!$A:$R,H$1,0),2)</f>
        <v>0.09</v>
      </c>
      <c r="I30" s="3" t="str">
        <f>FIXED(VLOOKUP($A30,'Full Sample-Single Family'!$A:$R,I$1,0),2)</f>
        <v>0.00</v>
      </c>
      <c r="J30" s="13" t="str">
        <f>FIXED(VLOOKUP($A30,'Full Sample-Single Family'!$A:$R,J$1,0),2)</f>
        <v>1.00</v>
      </c>
      <c r="K30" s="9" t="str">
        <f>FIXED(VLOOKUP($A30,'Full Sample-Single Family'!$A:$R,K$1,0),2)</f>
        <v>0.01</v>
      </c>
      <c r="L30" s="3" t="str">
        <f>FIXED(VLOOKUP($A30,'Full Sample-Single Family'!$A:$R,L$1,0),2)</f>
        <v>0.10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1-Single Family'!$A:$R,O$1,0),2)</f>
        <v>0.01</v>
      </c>
      <c r="P30" s="3" t="str">
        <f>FIXED(VLOOKUP($A30,'Small Sample 1-Single Family'!$A:$R,P$1,0),2)</f>
        <v>0.09</v>
      </c>
      <c r="Q30" s="3" t="str">
        <f>FIXED(VLOOKUP($A30,'Small Sample 1-Single Family'!$A:$R,Q$1,0),2)</f>
        <v>0.00</v>
      </c>
      <c r="R30" s="3" t="str">
        <f>FIXED(VLOOKUP($A30,'Small Sample 1-Single Family'!$A:$R,R$1,0),2)</f>
        <v>1.00</v>
      </c>
      <c r="S30" s="9" t="str">
        <f>FIXED(VLOOKUP($A30,'Small Sample 1-Single Family'!$A:$R,S$1,0),2)</f>
        <v>0.01</v>
      </c>
      <c r="T30" s="3" t="str">
        <f>FIXED(VLOOKUP($A30,'Small Sample 1-Single Family'!$A:$R,T$1,0),2)</f>
        <v>0.09</v>
      </c>
      <c r="U30" s="3" t="str">
        <f>FIXED(VLOOKUP($A30,'Small Sample 1-Single Family'!$A:$R,U$1,0),2)</f>
        <v>0.00</v>
      </c>
      <c r="V30" s="13" t="str">
        <f>FIXED(VLOOKUP($A30,'Small Sample 1-Single Family'!$A:$R,V$1,0),2)</f>
        <v>1.00</v>
      </c>
      <c r="W30" s="9" t="str">
        <f>FIXED(VLOOKUP($A30,'Small Sample 1-Single Family'!$A:$R,W$1,0),2)</f>
        <v>0.01</v>
      </c>
      <c r="X30" s="3" t="str">
        <f>FIXED(VLOOKUP($A30,'Small Sample 1-Single Family'!$A:$R,X$1,0),2)</f>
        <v>0.10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2-Single Family'!$A:$R,AA$1,0),2)</f>
        <v>0.01</v>
      </c>
      <c r="AB30" s="3" t="str">
        <f>FIXED(VLOOKUP($A30,'Small Sample 2-Single Family'!$A:$R,AB$1,0),2)</f>
        <v>0.09</v>
      </c>
      <c r="AC30" s="3" t="str">
        <f>FIXED(VLOOKUP($A30,'Small Sample 2-Single Family'!$A:$R,AC$1,0),2)</f>
        <v>0.00</v>
      </c>
      <c r="AD30" s="3" t="str">
        <f>FIXED(VLOOKUP($A30,'Small Sample 2-Single Family'!$A:$R,AD$1,0),2)</f>
        <v>1.00</v>
      </c>
      <c r="AE30" s="9" t="str">
        <f>FIXED(VLOOKUP($A30,'Small Sample 2-Single Family'!$A:$R,AE$1,0),2)</f>
        <v>0.01</v>
      </c>
      <c r="AF30" s="3" t="str">
        <f>FIXED(VLOOKUP($A30,'Small Sample 2-Single Family'!$A:$R,AF$1,0),2)</f>
        <v>0.09</v>
      </c>
      <c r="AG30" s="3" t="str">
        <f>FIXED(VLOOKUP($A30,'Small Sample 2-Single Family'!$A:$R,AG$1,0),2)</f>
        <v>0.00</v>
      </c>
      <c r="AH30" s="13" t="str">
        <f>FIXED(VLOOKUP($A30,'Small Sample 2-Single Family'!$A:$R,AH$1,0),2)</f>
        <v>1.00</v>
      </c>
      <c r="AI30" s="9" t="str">
        <f>FIXED(VLOOKUP($A30,'Small Sample 2-Single Family'!$A:$R,AI$1,0),2)</f>
        <v>0.01</v>
      </c>
      <c r="AJ30" s="3" t="str">
        <f>FIXED(VLOOKUP($A30,'Small Sample 2-Single Family'!$A:$R,AJ$1,0),2)</f>
        <v>0.09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">
        <v>341</v>
      </c>
      <c r="D31" s="3" t="s">
        <v>341</v>
      </c>
      <c r="E31" s="3" t="str">
        <f>FIXED(VLOOKUP($A31,'Full Sample-Single Family'!$A:$R,E$1,0),2)</f>
        <v>0.00</v>
      </c>
      <c r="F31" s="3" t="str">
        <f>FIXED(VLOOKUP($A31,'Full Sample-Single Family'!$A:$R,F$1,0),2)</f>
        <v>0.00</v>
      </c>
      <c r="G31" s="9" t="s">
        <v>341</v>
      </c>
      <c r="H31" s="3" t="s">
        <v>341</v>
      </c>
      <c r="I31" s="3" t="str">
        <f>FIXED(VLOOKUP($A31,'Full Sample-Single Family'!$A:$R,I$1,0),2)</f>
        <v>0.00</v>
      </c>
      <c r="J31" s="13" t="str">
        <f>FIXED(VLOOKUP($A31,'Full Sample-Single Family'!$A:$R,J$1,0),2)</f>
        <v>0.00</v>
      </c>
      <c r="K31" s="9" t="s">
        <v>341</v>
      </c>
      <c r="L31" s="3" t="s">
        <v>341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">
        <v>341</v>
      </c>
      <c r="P31" s="3" t="s">
        <v>341</v>
      </c>
      <c r="Q31" s="3" t="str">
        <f>FIXED(VLOOKUP($A31,'Small Sample 1-Single Family'!$A:$R,Q$1,0),2)</f>
        <v>0.00</v>
      </c>
      <c r="R31" s="3" t="str">
        <f>FIXED(VLOOKUP($A31,'Small Sample 1-Single Family'!$A:$R,R$1,0),2)</f>
        <v>0.00</v>
      </c>
      <c r="S31" s="9" t="s">
        <v>341</v>
      </c>
      <c r="T31" s="3" t="s">
        <v>341</v>
      </c>
      <c r="U31" s="3" t="str">
        <f>FIXED(VLOOKUP($A31,'Small Sample 1-Single Family'!$A:$R,U$1,0),2)</f>
        <v>0.00</v>
      </c>
      <c r="V31" s="13" t="str">
        <f>FIXED(VLOOKUP($A31,'Small Sample 1-Single Family'!$A:$R,V$1,0),2)</f>
        <v>0.00</v>
      </c>
      <c r="W31" s="9" t="s">
        <v>341</v>
      </c>
      <c r="X31" s="3" t="s">
        <v>341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">
        <v>341</v>
      </c>
      <c r="AB31" s="3" t="s">
        <v>341</v>
      </c>
      <c r="AC31" s="3" t="str">
        <f>FIXED(VLOOKUP($A31,'Small Sample 2-Single Family'!$A:$R,AC$1,0),2)</f>
        <v>0.00</v>
      </c>
      <c r="AD31" s="3" t="str">
        <f>FIXED(VLOOKUP($A31,'Small Sample 2-Single Family'!$A:$R,AD$1,0),2)</f>
        <v>0.00</v>
      </c>
      <c r="AE31" s="9" t="s">
        <v>341</v>
      </c>
      <c r="AF31" s="3" t="s">
        <v>341</v>
      </c>
      <c r="AG31" s="3" t="str">
        <f>FIXED(VLOOKUP($A31,'Small Sample 2-Single Family'!$A:$R,AG$1,0),2)</f>
        <v>0.00</v>
      </c>
      <c r="AH31" s="13" t="str">
        <f>FIXED(VLOOKUP($A31,'Small Sample 2-Single Family'!$A:$R,AH$1,0),2)</f>
        <v>0.00</v>
      </c>
      <c r="AI31" s="9" t="s">
        <v>341</v>
      </c>
      <c r="AJ31" s="3" t="s">
        <v>341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">
        <v>341</v>
      </c>
      <c r="D32" s="3" t="s">
        <v>341</v>
      </c>
      <c r="E32" s="3" t="str">
        <f>FIXED(VLOOKUP($A32,'Full Sample-Single Family'!$A:$R,E$1,0),2)</f>
        <v>0.00</v>
      </c>
      <c r="F32" s="3" t="str">
        <f>FIXED(VLOOKUP($A32,'Full Sample-Single Family'!$A:$R,F$1,0),2)</f>
        <v>0.00</v>
      </c>
      <c r="G32" s="9" t="s">
        <v>341</v>
      </c>
      <c r="H32" s="3" t="s">
        <v>341</v>
      </c>
      <c r="I32" s="3" t="str">
        <f>FIXED(VLOOKUP($A32,'Full Sample-Single Family'!$A:$R,I$1,0),2)</f>
        <v>0.00</v>
      </c>
      <c r="J32" s="13" t="str">
        <f>FIXED(VLOOKUP($A32,'Full Sample-Single Family'!$A:$R,J$1,0),2)</f>
        <v>0.00</v>
      </c>
      <c r="K32" s="9" t="s">
        <v>341</v>
      </c>
      <c r="L32" s="3" t="s">
        <v>341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">
        <v>341</v>
      </c>
      <c r="P32" s="3" t="s">
        <v>341</v>
      </c>
      <c r="Q32" s="3" t="str">
        <f>FIXED(VLOOKUP($A32,'Small Sample 1-Single Family'!$A:$R,Q$1,0),2)</f>
        <v>0.00</v>
      </c>
      <c r="R32" s="3" t="str">
        <f>FIXED(VLOOKUP($A32,'Small Sample 1-Single Family'!$A:$R,R$1,0),2)</f>
        <v>0.00</v>
      </c>
      <c r="S32" s="9" t="s">
        <v>341</v>
      </c>
      <c r="T32" s="3" t="s">
        <v>341</v>
      </c>
      <c r="U32" s="3" t="str">
        <f>FIXED(VLOOKUP($A32,'Small Sample 1-Single Family'!$A:$R,U$1,0),2)</f>
        <v>0.00</v>
      </c>
      <c r="V32" s="13" t="str">
        <f>FIXED(VLOOKUP($A32,'Small Sample 1-Single Family'!$A:$R,V$1,0),2)</f>
        <v>0.00</v>
      </c>
      <c r="W32" s="9" t="s">
        <v>341</v>
      </c>
      <c r="X32" s="3" t="s">
        <v>341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">
        <v>341</v>
      </c>
      <c r="AB32" s="3" t="s">
        <v>341</v>
      </c>
      <c r="AC32" s="3" t="str">
        <f>FIXED(VLOOKUP($A32,'Small Sample 2-Single Family'!$A:$R,AC$1,0),2)</f>
        <v>0.00</v>
      </c>
      <c r="AD32" s="3" t="str">
        <f>FIXED(VLOOKUP($A32,'Small Sample 2-Single Family'!$A:$R,AD$1,0),2)</f>
        <v>0.00</v>
      </c>
      <c r="AE32" s="9" t="s">
        <v>341</v>
      </c>
      <c r="AF32" s="3" t="s">
        <v>341</v>
      </c>
      <c r="AG32" s="3" t="str">
        <f>FIXED(VLOOKUP($A32,'Small Sample 2-Single Family'!$A:$R,AG$1,0),2)</f>
        <v>0.00</v>
      </c>
      <c r="AH32" s="13" t="str">
        <f>FIXED(VLOOKUP($A32,'Small Sample 2-Single Family'!$A:$R,AH$1,0),2)</f>
        <v>0.00</v>
      </c>
      <c r="AI32" s="9" t="s">
        <v>341</v>
      </c>
      <c r="AJ32" s="3" t="s">
        <v>341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">
        <v>341</v>
      </c>
      <c r="D33" s="3" t="s">
        <v>341</v>
      </c>
      <c r="E33" s="3" t="str">
        <f>FIXED(VLOOKUP($A33,'Full Sample-Single Family'!$A:$R,E$1,0),2)</f>
        <v>0.00</v>
      </c>
      <c r="F33" s="3" t="str">
        <f>FIXED(VLOOKUP($A33,'Full Sample-Single Family'!$A:$R,F$1,0),2)</f>
        <v>1.00</v>
      </c>
      <c r="G33" s="9" t="s">
        <v>341</v>
      </c>
      <c r="H33" s="3" t="s">
        <v>341</v>
      </c>
      <c r="I33" s="3" t="str">
        <f>FIXED(VLOOKUP($A33,'Full Sample-Single Family'!$A:$R,I$1,0),2)</f>
        <v>0.00</v>
      </c>
      <c r="J33" s="13" t="str">
        <f>FIXED(VLOOKUP($A33,'Full Sample-Single Family'!$A:$R,J$1,0),2)</f>
        <v>1.00</v>
      </c>
      <c r="K33" s="9" t="s">
        <v>341</v>
      </c>
      <c r="L33" s="3" t="s">
        <v>341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341</v>
      </c>
      <c r="P33" s="3" t="s">
        <v>341</v>
      </c>
      <c r="Q33" s="3" t="str">
        <f>FIXED(VLOOKUP($A33,'Small Sample 1-Single Family'!$A:$R,Q$1,0),2)</f>
        <v>0.00</v>
      </c>
      <c r="R33" s="3" t="str">
        <f>FIXED(VLOOKUP($A33,'Small Sample 1-Single Family'!$A:$R,R$1,0),2)</f>
        <v>0.00</v>
      </c>
      <c r="S33" s="9" t="s">
        <v>341</v>
      </c>
      <c r="T33" s="3" t="s">
        <v>341</v>
      </c>
      <c r="U33" s="3" t="str">
        <f>FIXED(VLOOKUP($A33,'Small Sample 1-Single Family'!$A:$R,U$1,0),2)</f>
        <v>0.00</v>
      </c>
      <c r="V33" s="13" t="str">
        <f>FIXED(VLOOKUP($A33,'Small Sample 1-Single Family'!$A:$R,V$1,0),2)</f>
        <v>0.00</v>
      </c>
      <c r="W33" s="9" t="s">
        <v>341</v>
      </c>
      <c r="X33" s="3" t="s">
        <v>341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">
        <v>341</v>
      </c>
      <c r="AB33" s="3" t="s">
        <v>341</v>
      </c>
      <c r="AC33" s="3" t="str">
        <f>FIXED(VLOOKUP($A33,'Small Sample 2-Single Family'!$A:$R,AC$1,0),2)</f>
        <v>0.00</v>
      </c>
      <c r="AD33" s="3" t="str">
        <f>FIXED(VLOOKUP($A33,'Small Sample 2-Single Family'!$A:$R,AD$1,0),2)</f>
        <v>0.00</v>
      </c>
      <c r="AE33" s="9" t="s">
        <v>341</v>
      </c>
      <c r="AF33" s="3" t="s">
        <v>341</v>
      </c>
      <c r="AG33" s="3" t="str">
        <f>FIXED(VLOOKUP($A33,'Small Sample 2-Single Family'!$A:$R,AG$1,0),2)</f>
        <v>0.00</v>
      </c>
      <c r="AH33" s="13" t="str">
        <f>FIXED(VLOOKUP($A33,'Small Sample 2-Single Family'!$A:$R,AH$1,0),2)</f>
        <v>0.00</v>
      </c>
      <c r="AI33" s="9" t="s">
        <v>341</v>
      </c>
      <c r="AJ33" s="3" t="s">
        <v>341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">
        <v>341</v>
      </c>
      <c r="D34" s="3" t="s">
        <v>341</v>
      </c>
      <c r="E34" s="3" t="str">
        <f>FIXED(VLOOKUP($A34,'Full Sample-Single Family'!$A:$R,E$1,0),2)</f>
        <v>0.00</v>
      </c>
      <c r="F34" s="3" t="str">
        <f>FIXED(VLOOKUP($A34,'Full Sample-Single Family'!$A:$R,F$1,0),2)</f>
        <v>0.00</v>
      </c>
      <c r="G34" s="9" t="s">
        <v>341</v>
      </c>
      <c r="H34" s="3" t="s">
        <v>341</v>
      </c>
      <c r="I34" s="3" t="str">
        <f>FIXED(VLOOKUP($A34,'Full Sample-Single Family'!$A:$R,I$1,0),2)</f>
        <v>0.00</v>
      </c>
      <c r="J34" s="13" t="str">
        <f>FIXED(VLOOKUP($A34,'Full Sample-Single Family'!$A:$R,J$1,0),2)</f>
        <v>0.00</v>
      </c>
      <c r="K34" s="9" t="s">
        <v>341</v>
      </c>
      <c r="L34" s="3" t="s">
        <v>341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341</v>
      </c>
      <c r="P34" s="3" t="s">
        <v>341</v>
      </c>
      <c r="Q34" s="3" t="str">
        <f>FIXED(VLOOKUP($A34,'Small Sample 1-Single Family'!$A:$R,Q$1,0),2)</f>
        <v>0.00</v>
      </c>
      <c r="R34" s="3" t="str">
        <f>FIXED(VLOOKUP($A34,'Small Sample 1-Single Family'!$A:$R,R$1,0),2)</f>
        <v>0.00</v>
      </c>
      <c r="S34" s="9" t="s">
        <v>341</v>
      </c>
      <c r="T34" s="3" t="s">
        <v>341</v>
      </c>
      <c r="U34" s="3" t="str">
        <f>FIXED(VLOOKUP($A34,'Small Sample 1-Single Family'!$A:$R,U$1,0),2)</f>
        <v>0.00</v>
      </c>
      <c r="V34" s="13" t="str">
        <f>FIXED(VLOOKUP($A34,'Small Sample 1-Single Family'!$A:$R,V$1,0),2)</f>
        <v>0.00</v>
      </c>
      <c r="W34" s="9" t="s">
        <v>341</v>
      </c>
      <c r="X34" s="3" t="s">
        <v>341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">
        <v>341</v>
      </c>
      <c r="AB34" s="3" t="s">
        <v>341</v>
      </c>
      <c r="AC34" s="3" t="str">
        <f>FIXED(VLOOKUP($A34,'Small Sample 2-Single Family'!$A:$R,AC$1,0),2)</f>
        <v>0.00</v>
      </c>
      <c r="AD34" s="3" t="str">
        <f>FIXED(VLOOKUP($A34,'Small Sample 2-Single Family'!$A:$R,AD$1,0),2)</f>
        <v>0.00</v>
      </c>
      <c r="AE34" s="9" t="s">
        <v>341</v>
      </c>
      <c r="AF34" s="3" t="s">
        <v>341</v>
      </c>
      <c r="AG34" s="3" t="str">
        <f>FIXED(VLOOKUP($A34,'Small Sample 2-Single Family'!$A:$R,AG$1,0),2)</f>
        <v>0.00</v>
      </c>
      <c r="AH34" s="13" t="str">
        <f>FIXED(VLOOKUP($A34,'Small Sample 2-Single Family'!$A:$R,AH$1,0),2)</f>
        <v>0.00</v>
      </c>
      <c r="AI34" s="9" t="s">
        <v>341</v>
      </c>
      <c r="AJ34" s="3" t="s">
        <v>341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Sample-Single Family'!$A:$R,C$1,0),2)</f>
        <v>0.92</v>
      </c>
      <c r="D35" s="3" t="str">
        <f>FIXED(VLOOKUP($A35,'Full Sample-Single Family'!$A:$R,D$1,0),2)</f>
        <v>0.27</v>
      </c>
      <c r="E35" s="3" t="str">
        <f>FIXED(VLOOKUP($A35,'Full Sample-Single Family'!$A:$R,E$1,0),2)</f>
        <v>0.00</v>
      </c>
      <c r="F35" s="3" t="str">
        <f>FIXED(VLOOKUP($A35,'Full Sample-Single Family'!$A:$R,F$1,0),2)</f>
        <v>1.00</v>
      </c>
      <c r="G35" s="9" t="str">
        <f>FIXED(VLOOKUP($A35,'Full Sample-Single Family'!$A:$R,G$1,0),2)</f>
        <v>0.92</v>
      </c>
      <c r="H35" s="3" t="str">
        <f>FIXED(VLOOKUP($A35,'Full Sample-Single Family'!$A:$R,H$1,0),2)</f>
        <v>0.28</v>
      </c>
      <c r="I35" s="3" t="str">
        <f>FIXED(VLOOKUP($A35,'Full Sample-Single Family'!$A:$R,I$1,0),2)</f>
        <v>0.00</v>
      </c>
      <c r="J35" s="13" t="str">
        <f>FIXED(VLOOKUP($A35,'Full Sample-Single Family'!$A:$R,J$1,0),2)</f>
        <v>1.00</v>
      </c>
      <c r="K35" s="9" t="str">
        <f>FIXED(VLOOKUP($A35,'Full Sample-Single Family'!$A:$R,K$1,0),2)</f>
        <v>0.92</v>
      </c>
      <c r="L35" s="3" t="str">
        <f>FIXED(VLOOKUP($A35,'Full Sample-Single Family'!$A:$R,L$1,0),2)</f>
        <v>0.27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1-Single Family'!$A:$R,O$1,0),2)</f>
        <v>0.92</v>
      </c>
      <c r="P35" s="3" t="str">
        <f>FIXED(VLOOKUP($A35,'Small Sample 1-Single Family'!$A:$R,P$1,0),2)</f>
        <v>0.27</v>
      </c>
      <c r="Q35" s="3" t="str">
        <f>FIXED(VLOOKUP($A35,'Small Sample 1-Single Family'!$A:$R,Q$1,0),2)</f>
        <v>0.00</v>
      </c>
      <c r="R35" s="3" t="str">
        <f>FIXED(VLOOKUP($A35,'Small Sample 1-Single Family'!$A:$R,R$1,0),2)</f>
        <v>1.00</v>
      </c>
      <c r="S35" s="9" t="str">
        <f>FIXED(VLOOKUP($A35,'Small Sample 1-Single Family'!$A:$R,S$1,0),2)</f>
        <v>0.92</v>
      </c>
      <c r="T35" s="3" t="str">
        <f>FIXED(VLOOKUP($A35,'Small Sample 1-Single Family'!$A:$R,T$1,0),2)</f>
        <v>0.27</v>
      </c>
      <c r="U35" s="3" t="str">
        <f>FIXED(VLOOKUP($A35,'Small Sample 1-Single Family'!$A:$R,U$1,0),2)</f>
        <v>0.00</v>
      </c>
      <c r="V35" s="13" t="str">
        <f>FIXED(VLOOKUP($A35,'Small Sample 1-Single Family'!$A:$R,V$1,0),2)</f>
        <v>1.00</v>
      </c>
      <c r="W35" s="9" t="str">
        <f>FIXED(VLOOKUP($A35,'Small Sample 1-Single Family'!$A:$R,W$1,0),2)</f>
        <v>0.92</v>
      </c>
      <c r="X35" s="3" t="str">
        <f>FIXED(VLOOKUP($A35,'Small Sample 1-Single Family'!$A:$R,X$1,0),2)</f>
        <v>0.27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2-Single Family'!$A:$R,AA$1,0),2)</f>
        <v>0.92</v>
      </c>
      <c r="AB35" s="3" t="str">
        <f>FIXED(VLOOKUP($A35,'Small Sample 2-Single Family'!$A:$R,AB$1,0),2)</f>
        <v>0.27</v>
      </c>
      <c r="AC35" s="3" t="str">
        <f>FIXED(VLOOKUP($A35,'Small Sample 2-Single Family'!$A:$R,AC$1,0),2)</f>
        <v>0.00</v>
      </c>
      <c r="AD35" s="3" t="str">
        <f>FIXED(VLOOKUP($A35,'Small Sample 2-Single Family'!$A:$R,AD$1,0),2)</f>
        <v>1.00</v>
      </c>
      <c r="AE35" s="9" t="str">
        <f>FIXED(VLOOKUP($A35,'Small Sample 2-Single Family'!$A:$R,AE$1,0),2)</f>
        <v>0.92</v>
      </c>
      <c r="AF35" s="3" t="str">
        <f>FIXED(VLOOKUP($A35,'Small Sample 2-Single Family'!$A:$R,AF$1,0),2)</f>
        <v>0.28</v>
      </c>
      <c r="AG35" s="3" t="str">
        <f>FIXED(VLOOKUP($A35,'Small Sample 2-Single Family'!$A:$R,AG$1,0),2)</f>
        <v>0.00</v>
      </c>
      <c r="AH35" s="13" t="str">
        <f>FIXED(VLOOKUP($A35,'Small Sample 2-Single Family'!$A:$R,AH$1,0),2)</f>
        <v>1.00</v>
      </c>
      <c r="AI35" s="9" t="str">
        <f>FIXED(VLOOKUP($A35,'Small Sample 2-Single Family'!$A:$R,AI$1,0),2)</f>
        <v>0.93</v>
      </c>
      <c r="AJ35" s="3" t="str">
        <f>FIXED(VLOOKUP($A35,'Small Sample 2-Single Family'!$A:$R,AJ$1,0),2)</f>
        <v>0.26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Sample-Single Family'!$A:$R,C$1,0),2)</f>
        <v>0.02</v>
      </c>
      <c r="D36" s="3" t="str">
        <f>FIXED(VLOOKUP($A36,'Full Sample-Single Family'!$A:$R,D$1,0),2)</f>
        <v>0.14</v>
      </c>
      <c r="E36" s="3" t="str">
        <f>FIXED(VLOOKUP($A36,'Full Sample-Single Family'!$A:$R,E$1,0),2)</f>
        <v>0.00</v>
      </c>
      <c r="F36" s="3" t="str">
        <f>FIXED(VLOOKUP($A36,'Full Sample-Single Family'!$A:$R,F$1,0),2)</f>
        <v>1.00</v>
      </c>
      <c r="G36" s="9" t="str">
        <f>FIXED(VLOOKUP($A36,'Full Sample-Single Family'!$A:$R,G$1,0),2)</f>
        <v>0.02</v>
      </c>
      <c r="H36" s="3" t="str">
        <f>FIXED(VLOOKUP($A36,'Full Sample-Single Family'!$A:$R,H$1,0),2)</f>
        <v>0.14</v>
      </c>
      <c r="I36" s="3" t="str">
        <f>FIXED(VLOOKUP($A36,'Full Sample-Single Family'!$A:$R,I$1,0),2)</f>
        <v>0.00</v>
      </c>
      <c r="J36" s="13" t="str">
        <f>FIXED(VLOOKUP($A36,'Full Sample-Single Family'!$A:$R,J$1,0),2)</f>
        <v>1.00</v>
      </c>
      <c r="K36" s="9" t="str">
        <f>FIXED(VLOOKUP($A36,'Full Sample-Single Family'!$A:$R,K$1,0),2)</f>
        <v>0.02</v>
      </c>
      <c r="L36" s="3" t="str">
        <f>FIXED(VLOOKUP($A36,'Full Sample-Single Family'!$A:$R,L$1,0),2)</f>
        <v>0.13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1-Single Family'!$A:$R,O$1,0),2)</f>
        <v>0.02</v>
      </c>
      <c r="P36" s="3" t="str">
        <f>FIXED(VLOOKUP($A36,'Small Sample 1-Single Family'!$A:$R,P$1,0),2)</f>
        <v>0.14</v>
      </c>
      <c r="Q36" s="3" t="str">
        <f>FIXED(VLOOKUP($A36,'Small Sample 1-Single Family'!$A:$R,Q$1,0),2)</f>
        <v>0.00</v>
      </c>
      <c r="R36" s="3" t="str">
        <f>FIXED(VLOOKUP($A36,'Small Sample 1-Single Family'!$A:$R,R$1,0),2)</f>
        <v>1.00</v>
      </c>
      <c r="S36" s="9" t="str">
        <f>FIXED(VLOOKUP($A36,'Small Sample 1-Single Family'!$A:$R,S$1,0),2)</f>
        <v>0.02</v>
      </c>
      <c r="T36" s="3" t="str">
        <f>FIXED(VLOOKUP($A36,'Small Sample 1-Single Family'!$A:$R,T$1,0),2)</f>
        <v>0.14</v>
      </c>
      <c r="U36" s="3" t="str">
        <f>FIXED(VLOOKUP($A36,'Small Sample 1-Single Family'!$A:$R,U$1,0),2)</f>
        <v>0.00</v>
      </c>
      <c r="V36" s="13" t="str">
        <f>FIXED(VLOOKUP($A36,'Small Sample 1-Single Family'!$A:$R,V$1,0),2)</f>
        <v>1.00</v>
      </c>
      <c r="W36" s="9" t="str">
        <f>FIXED(VLOOKUP($A36,'Small Sample 1-Single Family'!$A:$R,W$1,0),2)</f>
        <v>0.02</v>
      </c>
      <c r="X36" s="3" t="str">
        <f>FIXED(VLOOKUP($A36,'Small Sample 1-Single Family'!$A:$R,X$1,0),2)</f>
        <v>0.13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2-Single Family'!$A:$R,AA$1,0),2)</f>
        <v>0.02</v>
      </c>
      <c r="AB36" s="3" t="str">
        <f>FIXED(VLOOKUP($A36,'Small Sample 2-Single Family'!$A:$R,AB$1,0),2)</f>
        <v>0.14</v>
      </c>
      <c r="AC36" s="3" t="str">
        <f>FIXED(VLOOKUP($A36,'Small Sample 2-Single Family'!$A:$R,AC$1,0),2)</f>
        <v>0.00</v>
      </c>
      <c r="AD36" s="3" t="str">
        <f>FIXED(VLOOKUP($A36,'Small Sample 2-Single Family'!$A:$R,AD$1,0),2)</f>
        <v>1.00</v>
      </c>
      <c r="AE36" s="9" t="str">
        <f>FIXED(VLOOKUP($A36,'Small Sample 2-Single Family'!$A:$R,AE$1,0),2)</f>
        <v>0.02</v>
      </c>
      <c r="AF36" s="3" t="str">
        <f>FIXED(VLOOKUP($A36,'Small Sample 2-Single Family'!$A:$R,AF$1,0),2)</f>
        <v>0.14</v>
      </c>
      <c r="AG36" s="3" t="str">
        <f>FIXED(VLOOKUP($A36,'Small Sample 2-Single Family'!$A:$R,AG$1,0),2)</f>
        <v>0.00</v>
      </c>
      <c r="AH36" s="13" t="str">
        <f>FIXED(VLOOKUP($A36,'Small Sample 2-Single Family'!$A:$R,AH$1,0),2)</f>
        <v>1.00</v>
      </c>
      <c r="AI36" s="9" t="str">
        <f>FIXED(VLOOKUP($A36,'Small Sample 2-Single Family'!$A:$R,AI$1,0),2)</f>
        <v>0.02</v>
      </c>
      <c r="AJ36" s="3" t="str">
        <f>FIXED(VLOOKUP($A36,'Small Sample 2-Single Family'!$A:$R,AJ$1,0),2)</f>
        <v>0.14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Sample-Single Family'!$A:$R,C$1,0),2)</f>
        <v>0.04</v>
      </c>
      <c r="D37" s="3" t="str">
        <f>FIXED(VLOOKUP($A37,'Full Sample-Single Family'!$A:$R,D$1,0),2)</f>
        <v>0.19</v>
      </c>
      <c r="E37" s="3" t="str">
        <f>FIXED(VLOOKUP($A37,'Full Sample-Single Family'!$A:$R,E$1,0),2)</f>
        <v>0.00</v>
      </c>
      <c r="F37" s="3" t="str">
        <f>FIXED(VLOOKUP($A37,'Full Sample-Single Family'!$A:$R,F$1,0),2)</f>
        <v>1.00</v>
      </c>
      <c r="G37" s="9" t="str">
        <f>FIXED(VLOOKUP($A37,'Full Sample-Single Family'!$A:$R,G$1,0),2)</f>
        <v>0.03</v>
      </c>
      <c r="H37" s="3" t="str">
        <f>FIXED(VLOOKUP($A37,'Full Sample-Single Family'!$A:$R,H$1,0),2)</f>
        <v>0.18</v>
      </c>
      <c r="I37" s="3" t="str">
        <f>FIXED(VLOOKUP($A37,'Full Sample-Single Family'!$A:$R,I$1,0),2)</f>
        <v>0.00</v>
      </c>
      <c r="J37" s="13" t="str">
        <f>FIXED(VLOOKUP($A37,'Full Sample-Single Family'!$A:$R,J$1,0),2)</f>
        <v>1.00</v>
      </c>
      <c r="K37" s="9" t="str">
        <f>FIXED(VLOOKUP($A37,'Full Sample-Single Family'!$A:$R,K$1,0),2)</f>
        <v>0.05</v>
      </c>
      <c r="L37" s="3" t="str">
        <f>FIXED(VLOOKUP($A37,'Full Sample-Single Family'!$A:$R,L$1,0),2)</f>
        <v>0.21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1-Single Family'!$A:$R,O$1,0),2)</f>
        <v>0.04</v>
      </c>
      <c r="P37" s="3" t="str">
        <f>FIXED(VLOOKUP($A37,'Small Sample 1-Single Family'!$A:$R,P$1,0),2)</f>
        <v>0.20</v>
      </c>
      <c r="Q37" s="3" t="str">
        <f>FIXED(VLOOKUP($A37,'Small Sample 1-Single Family'!$A:$R,Q$1,0),2)</f>
        <v>0.00</v>
      </c>
      <c r="R37" s="3" t="str">
        <f>FIXED(VLOOKUP($A37,'Small Sample 1-Single Family'!$A:$R,R$1,0),2)</f>
        <v>1.00</v>
      </c>
      <c r="S37" s="9" t="str">
        <f>FIXED(VLOOKUP($A37,'Small Sample 1-Single Family'!$A:$R,S$1,0),2)</f>
        <v>0.04</v>
      </c>
      <c r="T37" s="3" t="str">
        <f>FIXED(VLOOKUP($A37,'Small Sample 1-Single Family'!$A:$R,T$1,0),2)</f>
        <v>0.19</v>
      </c>
      <c r="U37" s="3" t="str">
        <f>FIXED(VLOOKUP($A37,'Small Sample 1-Single Family'!$A:$R,U$1,0),2)</f>
        <v>0.00</v>
      </c>
      <c r="V37" s="13" t="str">
        <f>FIXED(VLOOKUP($A37,'Small Sample 1-Single Family'!$A:$R,V$1,0),2)</f>
        <v>1.00</v>
      </c>
      <c r="W37" s="9" t="str">
        <f>FIXED(VLOOKUP($A37,'Small Sample 1-Single Family'!$A:$R,W$1,0),2)</f>
        <v>0.05</v>
      </c>
      <c r="X37" s="3" t="str">
        <f>FIXED(VLOOKUP($A37,'Small Sample 1-Single Family'!$A:$R,X$1,0),2)</f>
        <v>0.21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2-Single Family'!$A:$R,AA$1,0),2)</f>
        <v>0.04</v>
      </c>
      <c r="AB37" s="3" t="str">
        <f>FIXED(VLOOKUP($A37,'Small Sample 2-Single Family'!$A:$R,AB$1,0),2)</f>
        <v>0.20</v>
      </c>
      <c r="AC37" s="3" t="str">
        <f>FIXED(VLOOKUP($A37,'Small Sample 2-Single Family'!$A:$R,AC$1,0),2)</f>
        <v>0.00</v>
      </c>
      <c r="AD37" s="3" t="str">
        <f>FIXED(VLOOKUP($A37,'Small Sample 2-Single Family'!$A:$R,AD$1,0),2)</f>
        <v>1.00</v>
      </c>
      <c r="AE37" s="9" t="str">
        <f>FIXED(VLOOKUP($A37,'Small Sample 2-Single Family'!$A:$R,AE$1,0),2)</f>
        <v>0.03</v>
      </c>
      <c r="AF37" s="3" t="str">
        <f>FIXED(VLOOKUP($A37,'Small Sample 2-Single Family'!$A:$R,AF$1,0),2)</f>
        <v>0.18</v>
      </c>
      <c r="AG37" s="3" t="str">
        <f>FIXED(VLOOKUP($A37,'Small Sample 2-Single Family'!$A:$R,AG$1,0),2)</f>
        <v>0.00</v>
      </c>
      <c r="AH37" s="13" t="str">
        <f>FIXED(VLOOKUP($A37,'Small Sample 2-Single Family'!$A:$R,AH$1,0),2)</f>
        <v>1.00</v>
      </c>
      <c r="AI37" s="9" t="str">
        <f>FIXED(VLOOKUP($A37,'Small Sample 2-Single Family'!$A:$R,AI$1,0),2)</f>
        <v>0.05</v>
      </c>
      <c r="AJ37" s="3" t="str">
        <f>FIXED(VLOOKUP($A37,'Small Sample 2-Single Family'!$A:$R,AJ$1,0),2)</f>
        <v>0.22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">
        <v>341</v>
      </c>
      <c r="D38" s="3" t="s">
        <v>341</v>
      </c>
      <c r="E38" s="3" t="str">
        <f>FIXED(VLOOKUP($A38,'Full Sample-Single Family'!$A:$R,E$1,0),2)</f>
        <v>0.00</v>
      </c>
      <c r="F38" s="3" t="str">
        <f>FIXED(VLOOKUP($A38,'Full Sample-Single Family'!$A:$R,F$1,0),2)</f>
        <v>0.00</v>
      </c>
      <c r="G38" s="9" t="s">
        <v>341</v>
      </c>
      <c r="H38" s="3" t="s">
        <v>341</v>
      </c>
      <c r="I38" s="3" t="str">
        <f>FIXED(VLOOKUP($A38,'Full Sample-Single Family'!$A:$R,I$1,0),2)</f>
        <v>0.00</v>
      </c>
      <c r="J38" s="13" t="str">
        <f>FIXED(VLOOKUP($A38,'Full Sample-Single Family'!$A:$R,J$1,0),2)</f>
        <v>0.00</v>
      </c>
      <c r="K38" s="9" t="s">
        <v>341</v>
      </c>
      <c r="L38" s="3" t="s">
        <v>341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">
        <v>341</v>
      </c>
      <c r="P38" s="3" t="s">
        <v>341</v>
      </c>
      <c r="Q38" s="3" t="str">
        <f>FIXED(VLOOKUP($A38,'Small Sample 1-Single Family'!$A:$R,Q$1,0),2)</f>
        <v>0.00</v>
      </c>
      <c r="R38" s="3" t="str">
        <f>FIXED(VLOOKUP($A38,'Small Sample 1-Single Family'!$A:$R,R$1,0),2)</f>
        <v>0.00</v>
      </c>
      <c r="S38" s="9" t="s">
        <v>341</v>
      </c>
      <c r="T38" s="3" t="s">
        <v>341</v>
      </c>
      <c r="U38" s="3" t="str">
        <f>FIXED(VLOOKUP($A38,'Small Sample 1-Single Family'!$A:$R,U$1,0),2)</f>
        <v>0.00</v>
      </c>
      <c r="V38" s="13" t="str">
        <f>FIXED(VLOOKUP($A38,'Small Sample 1-Single Family'!$A:$R,V$1,0),2)</f>
        <v>0.00</v>
      </c>
      <c r="W38" s="9" t="s">
        <v>341</v>
      </c>
      <c r="X38" s="3" t="s">
        <v>341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">
        <v>341</v>
      </c>
      <c r="AB38" s="3" t="s">
        <v>341</v>
      </c>
      <c r="AC38" s="3" t="str">
        <f>FIXED(VLOOKUP($A38,'Small Sample 2-Single Family'!$A:$R,AC$1,0),2)</f>
        <v>0.00</v>
      </c>
      <c r="AD38" s="3" t="str">
        <f>FIXED(VLOOKUP($A38,'Small Sample 2-Single Family'!$A:$R,AD$1,0),2)</f>
        <v>0.00</v>
      </c>
      <c r="AE38" s="9" t="s">
        <v>341</v>
      </c>
      <c r="AF38" s="3" t="s">
        <v>341</v>
      </c>
      <c r="AG38" s="3" t="str">
        <f>FIXED(VLOOKUP($A38,'Small Sample 2-Single Family'!$A:$R,AG$1,0),2)</f>
        <v>0.00</v>
      </c>
      <c r="AH38" s="13" t="str">
        <f>FIXED(VLOOKUP($A38,'Small Sample 2-Single Family'!$A:$R,AH$1,0),2)</f>
        <v>0.00</v>
      </c>
      <c r="AI38" s="9" t="s">
        <v>341</v>
      </c>
      <c r="AJ38" s="3" t="s">
        <v>341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Sample-Single Family'!$A:$R,C$1,0),2)</f>
        <v>0.87</v>
      </c>
      <c r="D39" s="3" t="str">
        <f>FIXED(VLOOKUP($A39,'Full Sample-Single Family'!$A:$R,D$1,0),2)</f>
        <v>0.33</v>
      </c>
      <c r="E39" s="3" t="str">
        <f>FIXED(VLOOKUP($A39,'Full Sample-Single Family'!$A:$R,E$1,0),2)</f>
        <v>0.00</v>
      </c>
      <c r="F39" s="3" t="str">
        <f>FIXED(VLOOKUP($A39,'Full Sample-Single Family'!$A:$R,F$1,0),2)</f>
        <v>1.00</v>
      </c>
      <c r="G39" s="9" t="str">
        <f>FIXED(VLOOKUP($A39,'Full Sample-Single Family'!$A:$R,G$1,0),2)</f>
        <v>0.87</v>
      </c>
      <c r="H39" s="3" t="str">
        <f>FIXED(VLOOKUP($A39,'Full Sample-Single Family'!$A:$R,H$1,0),2)</f>
        <v>0.34</v>
      </c>
      <c r="I39" s="3" t="str">
        <f>FIXED(VLOOKUP($A39,'Full Sample-Single Family'!$A:$R,I$1,0),2)</f>
        <v>0.00</v>
      </c>
      <c r="J39" s="13" t="str">
        <f>FIXED(VLOOKUP($A39,'Full Sample-Single Family'!$A:$R,J$1,0),2)</f>
        <v>1.00</v>
      </c>
      <c r="K39" s="9" t="str">
        <f>FIXED(VLOOKUP($A39,'Full Sample-Single Family'!$A:$R,K$1,0),2)</f>
        <v>0.88</v>
      </c>
      <c r="L39" s="3" t="str">
        <f>FIXED(VLOOKUP($A39,'Full Sample-Single Family'!$A:$R,L$1,0),2)</f>
        <v>0.33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1-Single Family'!$A:$R,O$1,0),2)</f>
        <v>0.88</v>
      </c>
      <c r="P39" s="3" t="str">
        <f>FIXED(VLOOKUP($A39,'Small Sample 1-Single Family'!$A:$R,P$1,0),2)</f>
        <v>0.32</v>
      </c>
      <c r="Q39" s="3" t="str">
        <f>FIXED(VLOOKUP($A39,'Small Sample 1-Single Family'!$A:$R,Q$1,0),2)</f>
        <v>0.00</v>
      </c>
      <c r="R39" s="3" t="str">
        <f>FIXED(VLOOKUP($A39,'Small Sample 1-Single Family'!$A:$R,R$1,0),2)</f>
        <v>1.00</v>
      </c>
      <c r="S39" s="9" t="str">
        <f>FIXED(VLOOKUP($A39,'Small Sample 1-Single Family'!$A:$R,S$1,0),2)</f>
        <v>0.88</v>
      </c>
      <c r="T39" s="3" t="str">
        <f>FIXED(VLOOKUP($A39,'Small Sample 1-Single Family'!$A:$R,T$1,0),2)</f>
        <v>0.32</v>
      </c>
      <c r="U39" s="3" t="str">
        <f>FIXED(VLOOKUP($A39,'Small Sample 1-Single Family'!$A:$R,U$1,0),2)</f>
        <v>0.00</v>
      </c>
      <c r="V39" s="13" t="str">
        <f>FIXED(VLOOKUP($A39,'Small Sample 1-Single Family'!$A:$R,V$1,0),2)</f>
        <v>1.00</v>
      </c>
      <c r="W39" s="9" t="str">
        <f>FIXED(VLOOKUP($A39,'Small Sample 1-Single Family'!$A:$R,W$1,0),2)</f>
        <v>0.88</v>
      </c>
      <c r="X39" s="3" t="str">
        <f>FIXED(VLOOKUP($A39,'Small Sample 1-Single Family'!$A:$R,X$1,0),2)</f>
        <v>0.33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2-Single Family'!$A:$R,AA$1,0),2)</f>
        <v>0.88</v>
      </c>
      <c r="AB39" s="3" t="str">
        <f>FIXED(VLOOKUP($A39,'Small Sample 2-Single Family'!$A:$R,AB$1,0),2)</f>
        <v>0.32</v>
      </c>
      <c r="AC39" s="3" t="str">
        <f>FIXED(VLOOKUP($A39,'Small Sample 2-Single Family'!$A:$R,AC$1,0),2)</f>
        <v>0.00</v>
      </c>
      <c r="AD39" s="3" t="str">
        <f>FIXED(VLOOKUP($A39,'Small Sample 2-Single Family'!$A:$R,AD$1,0),2)</f>
        <v>1.00</v>
      </c>
      <c r="AE39" s="9" t="str">
        <f>FIXED(VLOOKUP($A39,'Small Sample 2-Single Family'!$A:$R,AE$1,0),2)</f>
        <v>0.87</v>
      </c>
      <c r="AF39" s="3" t="str">
        <f>FIXED(VLOOKUP($A39,'Small Sample 2-Single Family'!$A:$R,AF$1,0),2)</f>
        <v>0.33</v>
      </c>
      <c r="AG39" s="3" t="str">
        <f>FIXED(VLOOKUP($A39,'Small Sample 2-Single Family'!$A:$R,AG$1,0),2)</f>
        <v>0.00</v>
      </c>
      <c r="AH39" s="13" t="str">
        <f>FIXED(VLOOKUP($A39,'Small Sample 2-Single Family'!$A:$R,AH$1,0),2)</f>
        <v>1.00</v>
      </c>
      <c r="AI39" s="9" t="str">
        <f>FIXED(VLOOKUP($A39,'Small Sample 2-Single Family'!$A:$R,AI$1,0),2)</f>
        <v>0.90</v>
      </c>
      <c r="AJ39" s="3" t="str">
        <f>FIXED(VLOOKUP($A39,'Small Sample 2-Single Family'!$A:$R,AJ$1,0),2)</f>
        <v>0.31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Sample-Single Family'!$A:$R,C$1,0),2)</f>
        <v>0.02</v>
      </c>
      <c r="D40" s="3" t="str">
        <f>FIXED(VLOOKUP($A40,'Full Sample-Single Family'!$A:$R,D$1,0),2)</f>
        <v>0.13</v>
      </c>
      <c r="E40" s="3" t="str">
        <f>FIXED(VLOOKUP($A40,'Full Sample-Single Family'!$A:$R,E$1,0),2)</f>
        <v>0.00</v>
      </c>
      <c r="F40" s="3" t="str">
        <f>FIXED(VLOOKUP($A40,'Full Sample-Single Family'!$A:$R,F$1,0),2)</f>
        <v>1.00</v>
      </c>
      <c r="G40" s="9" t="str">
        <f>FIXED(VLOOKUP($A40,'Full Sample-Single Family'!$A:$R,G$1,0),2)</f>
        <v>0.02</v>
      </c>
      <c r="H40" s="3" t="str">
        <f>FIXED(VLOOKUP($A40,'Full Sample-Single Family'!$A:$R,H$1,0),2)</f>
        <v>0.13</v>
      </c>
      <c r="I40" s="3" t="str">
        <f>FIXED(VLOOKUP($A40,'Full Sample-Single Family'!$A:$R,I$1,0),2)</f>
        <v>0.00</v>
      </c>
      <c r="J40" s="13" t="str">
        <f>FIXED(VLOOKUP($A40,'Full Sample-Single Family'!$A:$R,J$1,0),2)</f>
        <v>1.00</v>
      </c>
      <c r="K40" s="9" t="str">
        <f>FIXED(VLOOKUP($A40,'Full Sample-Single Family'!$A:$R,K$1,0),2)</f>
        <v>0.02</v>
      </c>
      <c r="L40" s="3" t="str">
        <f>FIXED(VLOOKUP($A40,'Full Sample-Single Family'!$A:$R,L$1,0),2)</f>
        <v>0.13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1-Single Family'!$A:$R,O$1,0),2)</f>
        <v>0.02</v>
      </c>
      <c r="P40" s="3" t="str">
        <f>FIXED(VLOOKUP($A40,'Small Sample 1-Single Family'!$A:$R,P$1,0),2)</f>
        <v>0.13</v>
      </c>
      <c r="Q40" s="3" t="str">
        <f>FIXED(VLOOKUP($A40,'Small Sample 1-Single Family'!$A:$R,Q$1,0),2)</f>
        <v>0.00</v>
      </c>
      <c r="R40" s="3" t="str">
        <f>FIXED(VLOOKUP($A40,'Small Sample 1-Single Family'!$A:$R,R$1,0),2)</f>
        <v>1.00</v>
      </c>
      <c r="S40" s="9" t="str">
        <f>FIXED(VLOOKUP($A40,'Small Sample 1-Single Family'!$A:$R,S$1,0),2)</f>
        <v>0.02</v>
      </c>
      <c r="T40" s="3" t="str">
        <f>FIXED(VLOOKUP($A40,'Small Sample 1-Single Family'!$A:$R,T$1,0),2)</f>
        <v>0.13</v>
      </c>
      <c r="U40" s="3" t="str">
        <f>FIXED(VLOOKUP($A40,'Small Sample 1-Single Family'!$A:$R,U$1,0),2)</f>
        <v>0.00</v>
      </c>
      <c r="V40" s="13" t="str">
        <f>FIXED(VLOOKUP($A40,'Small Sample 1-Single Family'!$A:$R,V$1,0),2)</f>
        <v>1.00</v>
      </c>
      <c r="W40" s="9" t="str">
        <f>FIXED(VLOOKUP($A40,'Small Sample 1-Single Family'!$A:$R,W$1,0),2)</f>
        <v>0.02</v>
      </c>
      <c r="X40" s="3" t="str">
        <f>FIXED(VLOOKUP($A40,'Small Sample 1-Single Family'!$A:$R,X$1,0),2)</f>
        <v>0.13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2-Single Family'!$A:$R,AA$1,0),2)</f>
        <v>0.02</v>
      </c>
      <c r="AB40" s="3" t="str">
        <f>FIXED(VLOOKUP($A40,'Small Sample 2-Single Family'!$A:$R,AB$1,0),2)</f>
        <v>0.13</v>
      </c>
      <c r="AC40" s="3" t="str">
        <f>FIXED(VLOOKUP($A40,'Small Sample 2-Single Family'!$A:$R,AC$1,0),2)</f>
        <v>0.00</v>
      </c>
      <c r="AD40" s="3" t="str">
        <f>FIXED(VLOOKUP($A40,'Small Sample 2-Single Family'!$A:$R,AD$1,0),2)</f>
        <v>1.00</v>
      </c>
      <c r="AE40" s="9" t="str">
        <f>FIXED(VLOOKUP($A40,'Small Sample 2-Single Family'!$A:$R,AE$1,0),2)</f>
        <v>0.02</v>
      </c>
      <c r="AF40" s="3" t="str">
        <f>FIXED(VLOOKUP($A40,'Small Sample 2-Single Family'!$A:$R,AF$1,0),2)</f>
        <v>0.13</v>
      </c>
      <c r="AG40" s="3" t="str">
        <f>FIXED(VLOOKUP($A40,'Small Sample 2-Single Family'!$A:$R,AG$1,0),2)</f>
        <v>0.00</v>
      </c>
      <c r="AH40" s="13" t="str">
        <f>FIXED(VLOOKUP($A40,'Small Sample 2-Single Family'!$A:$R,AH$1,0),2)</f>
        <v>1.00</v>
      </c>
      <c r="AI40" s="9" t="str">
        <f>FIXED(VLOOKUP($A40,'Small Sample 2-Single Family'!$A:$R,AI$1,0),2)</f>
        <v>0.02</v>
      </c>
      <c r="AJ40" s="3" t="str">
        <f>FIXED(VLOOKUP($A40,'Small Sample 2-Single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23">
        <f>VLOOKUP($A41,'Full Sample-Single Family'!$A:$R,C$1,0)</f>
        <v>1E-4</v>
      </c>
      <c r="D41" s="3" t="str">
        <f>FIXED(VLOOKUP($A41,'Full Sample-Single Family'!$A:$R,D$1,0),2)</f>
        <v>0.01</v>
      </c>
      <c r="E41" s="3" t="str">
        <f>FIXED(VLOOKUP($A41,'Full Sample-Single Family'!$A:$R,E$1,0),2)</f>
        <v>0.00</v>
      </c>
      <c r="F41" s="3" t="str">
        <f>FIXED(VLOOKUP($A41,'Full Sample-Single Family'!$A:$R,F$1,0),2)</f>
        <v>1.00</v>
      </c>
      <c r="G41" s="23">
        <f>VLOOKUP($A41,'Full Sample-Single Family'!$A:$R,G$1,0)</f>
        <v>2.0000000000000001E-4</v>
      </c>
      <c r="H41" s="3" t="str">
        <f>FIXED(VLOOKUP($A41,'Full Sample-Single Family'!$A:$R,H$1,0),2)</f>
        <v>0.01</v>
      </c>
      <c r="I41" s="3" t="str">
        <f>FIXED(VLOOKUP($A41,'Full Sample-Single Family'!$A:$R,I$1,0),2)</f>
        <v>0.00</v>
      </c>
      <c r="J41" s="13" t="str">
        <f>FIXED(VLOOKUP($A41,'Full Sample-Single Family'!$A:$R,J$1,0),2)</f>
        <v>1.00</v>
      </c>
      <c r="K41" s="23">
        <f>VLOOKUP($A41,'Full Sample-Single Family'!$A:$R,K$1,0)</f>
        <v>1E-4</v>
      </c>
      <c r="L41" s="3" t="str">
        <f>FIXED(VLOOKUP($A41,'Full Sample-Single Family'!$A:$R,L$1,0),2)</f>
        <v>0.01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23">
        <f>VLOOKUP($A41,'Small Sample 1-Single Family'!$A:$R,O$1,0)</f>
        <v>2.0000000000000001E-4</v>
      </c>
      <c r="P41" s="3" t="str">
        <f>FIXED(VLOOKUP($A41,'Small Sample 1-Single Family'!$A:$R,P$1,0),2)</f>
        <v>0.01</v>
      </c>
      <c r="Q41" s="3" t="str">
        <f>FIXED(VLOOKUP($A41,'Small Sample 1-Single Family'!$A:$R,Q$1,0),2)</f>
        <v>0.00</v>
      </c>
      <c r="R41" s="3" t="str">
        <f>FIXED(VLOOKUP($A41,'Small Sample 1-Single Family'!$A:$R,R$1,0),2)</f>
        <v>1.00</v>
      </c>
      <c r="S41" s="23">
        <f>VLOOKUP($A41,'Small Sample 1-Single Family'!$A:$R,S$1,0)</f>
        <v>2.0000000000000001E-4</v>
      </c>
      <c r="T41" s="3" t="str">
        <f>FIXED(VLOOKUP($A41,'Small Sample 1-Single Family'!$A:$R,T$1,0),2)</f>
        <v>0.01</v>
      </c>
      <c r="U41" s="3" t="str">
        <f>FIXED(VLOOKUP($A41,'Small Sample 1-Single Family'!$A:$R,U$1,0),2)</f>
        <v>0.00</v>
      </c>
      <c r="V41" s="13" t="str">
        <f>FIXED(VLOOKUP($A41,'Small Sample 1-Single Family'!$A:$R,V$1,0),2)</f>
        <v>1.00</v>
      </c>
      <c r="W41" s="23">
        <f>VLOOKUP($A41,'Small Sample 1-Single Family'!$A:$R,W$1,0)</f>
        <v>1E-4</v>
      </c>
      <c r="X41" s="3" t="str">
        <f>FIXED(VLOOKUP($A41,'Small Sample 1-Single Family'!$A:$R,X$1,0),2)</f>
        <v>0.01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23">
        <f>VLOOKUP($A41,'Small Sample 2-Single Family'!$A:$R,AA$1,0)</f>
        <v>2.0000000000000001E-4</v>
      </c>
      <c r="AB41" s="3" t="str">
        <f>FIXED(VLOOKUP($A41,'Small Sample 2-Single Family'!$A:$R,AB$1,0),2)</f>
        <v>0.01</v>
      </c>
      <c r="AC41" s="3" t="str">
        <f>FIXED(VLOOKUP($A41,'Small Sample 2-Single Family'!$A:$R,AC$1,0),2)</f>
        <v>0.00</v>
      </c>
      <c r="AD41" s="3" t="str">
        <f>FIXED(VLOOKUP($A41,'Small Sample 2-Single Family'!$A:$R,AD$1,0),2)</f>
        <v>1.00</v>
      </c>
      <c r="AE41" s="23">
        <f>VLOOKUP($A41,'Small Sample 2-Single Family'!$A:$R,AE$1,0)</f>
        <v>2.0000000000000001E-4</v>
      </c>
      <c r="AF41" s="3" t="str">
        <f>FIXED(VLOOKUP($A41,'Small Sample 2-Single Family'!$A:$R,AF$1,0),2)</f>
        <v>0.01</v>
      </c>
      <c r="AG41" s="3" t="str">
        <f>FIXED(VLOOKUP($A41,'Small Sample 2-Single Family'!$A:$R,AG$1,0),2)</f>
        <v>0.00</v>
      </c>
      <c r="AH41" s="13" t="str">
        <f>FIXED(VLOOKUP($A41,'Small Sample 2-Single Family'!$A:$R,AH$1,0),2)</f>
        <v>1.00</v>
      </c>
      <c r="AI41" s="23">
        <f>VLOOKUP($A41,'Small Sample 2-Single Family'!$A:$R,AI$1,0)</f>
        <v>1E-4</v>
      </c>
      <c r="AJ41" s="3" t="str">
        <f>FIXED(VLOOKUP($A41,'Small Sample 2-Single Family'!$A:$R,AJ$1,0),2)</f>
        <v>0.01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Sample-Single Family'!$A:$R,C$1,0),2)</f>
        <v>0.08</v>
      </c>
      <c r="D42" s="3" t="str">
        <f>FIXED(VLOOKUP($A42,'Full Sample-Single Family'!$A:$R,D$1,0),2)</f>
        <v>0.27</v>
      </c>
      <c r="E42" s="3" t="str">
        <f>FIXED(VLOOKUP($A42,'Full Sample-Single Family'!$A:$R,E$1,0),2)</f>
        <v>0.00</v>
      </c>
      <c r="F42" s="3" t="str">
        <f>FIXED(VLOOKUP($A42,'Full Sample-Single Family'!$A:$R,F$1,0),2)</f>
        <v>1.00</v>
      </c>
      <c r="G42" s="9" t="str">
        <f>FIXED(VLOOKUP($A42,'Full Sample-Single Family'!$A:$R,G$1,0),2)</f>
        <v>0.08</v>
      </c>
      <c r="H42" s="3" t="str">
        <f>FIXED(VLOOKUP($A42,'Full Sample-Single Family'!$A:$R,H$1,0),2)</f>
        <v>0.27</v>
      </c>
      <c r="I42" s="3" t="str">
        <f>FIXED(VLOOKUP($A42,'Full Sample-Single Family'!$A:$R,I$1,0),2)</f>
        <v>0.00</v>
      </c>
      <c r="J42" s="13" t="str">
        <f>FIXED(VLOOKUP($A42,'Full Sample-Single Family'!$A:$R,J$1,0),2)</f>
        <v>1.00</v>
      </c>
      <c r="K42" s="9" t="str">
        <f>FIXED(VLOOKUP($A42,'Full Sample-Single Family'!$A:$R,K$1,0),2)</f>
        <v>0.07</v>
      </c>
      <c r="L42" s="3" t="str">
        <f>FIXED(VLOOKUP($A42,'Full Sample-Single Family'!$A:$R,L$1,0),2)</f>
        <v>0.26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1-Single Family'!$A:$R,O$1,0),2)</f>
        <v>0.07</v>
      </c>
      <c r="P42" s="3" t="str">
        <f>FIXED(VLOOKUP($A42,'Small Sample 1-Single Family'!$A:$R,P$1,0),2)</f>
        <v>0.25</v>
      </c>
      <c r="Q42" s="3" t="str">
        <f>FIXED(VLOOKUP($A42,'Small Sample 1-Single Family'!$A:$R,Q$1,0),2)</f>
        <v>0.00</v>
      </c>
      <c r="R42" s="3" t="str">
        <f>FIXED(VLOOKUP($A42,'Small Sample 1-Single Family'!$A:$R,R$1,0),2)</f>
        <v>1.00</v>
      </c>
      <c r="S42" s="9" t="str">
        <f>FIXED(VLOOKUP($A42,'Small Sample 1-Single Family'!$A:$R,S$1,0),2)</f>
        <v>0.07</v>
      </c>
      <c r="T42" s="3" t="str">
        <f>FIXED(VLOOKUP($A42,'Small Sample 1-Single Family'!$A:$R,T$1,0),2)</f>
        <v>0.25</v>
      </c>
      <c r="U42" s="3" t="str">
        <f>FIXED(VLOOKUP($A42,'Small Sample 1-Single Family'!$A:$R,U$1,0),2)</f>
        <v>0.00</v>
      </c>
      <c r="V42" s="13" t="str">
        <f>FIXED(VLOOKUP($A42,'Small Sample 1-Single Family'!$A:$R,V$1,0),2)</f>
        <v>1.00</v>
      </c>
      <c r="W42" s="9" t="str">
        <f>FIXED(VLOOKUP($A42,'Small Sample 1-Single Family'!$A:$R,W$1,0),2)</f>
        <v>0.07</v>
      </c>
      <c r="X42" s="3" t="str">
        <f>FIXED(VLOOKUP($A42,'Small Sample 1-Single Family'!$A:$R,X$1,0),2)</f>
        <v>0.26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2-Single Family'!$A:$R,AA$1,0),2)</f>
        <v>0.07</v>
      </c>
      <c r="AB42" s="3" t="str">
        <f>FIXED(VLOOKUP($A42,'Small Sample 2-Single Family'!$A:$R,AB$1,0),2)</f>
        <v>0.26</v>
      </c>
      <c r="AC42" s="3" t="str">
        <f>FIXED(VLOOKUP($A42,'Small Sample 2-Single Family'!$A:$R,AC$1,0),2)</f>
        <v>0.00</v>
      </c>
      <c r="AD42" s="3" t="str">
        <f>FIXED(VLOOKUP($A42,'Small Sample 2-Single Family'!$A:$R,AD$1,0),2)</f>
        <v>1.00</v>
      </c>
      <c r="AE42" s="9" t="str">
        <f>FIXED(VLOOKUP($A42,'Small Sample 2-Single Family'!$A:$R,AE$1,0),2)</f>
        <v>0.08</v>
      </c>
      <c r="AF42" s="3" t="str">
        <f>FIXED(VLOOKUP($A42,'Small Sample 2-Single Family'!$A:$R,AF$1,0),2)</f>
        <v>0.27</v>
      </c>
      <c r="AG42" s="3" t="str">
        <f>FIXED(VLOOKUP($A42,'Small Sample 2-Single Family'!$A:$R,AG$1,0),2)</f>
        <v>0.00</v>
      </c>
      <c r="AH42" s="13" t="str">
        <f>FIXED(VLOOKUP($A42,'Small Sample 2-Single Family'!$A:$R,AH$1,0),2)</f>
        <v>1.00</v>
      </c>
      <c r="AI42" s="9" t="str">
        <f>FIXED(VLOOKUP($A42,'Small Sample 2-Single Family'!$A:$R,AI$1,0),2)</f>
        <v>0.06</v>
      </c>
      <c r="AJ42" s="3" t="str">
        <f>FIXED(VLOOKUP($A42,'Small Sample 2-Single Family'!$A:$R,AJ$1,0),2)</f>
        <v>0.23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Sample-Single Family'!$A:$R,C$1,0),2)</f>
        <v>0.02</v>
      </c>
      <c r="D43" s="3" t="str">
        <f>FIXED(VLOOKUP($A43,'Full Sample-Single Family'!$A:$R,D$1,0),2)</f>
        <v>0.13</v>
      </c>
      <c r="E43" s="3" t="str">
        <f>FIXED(VLOOKUP($A43,'Full Sample-Single Family'!$A:$R,E$1,0),2)</f>
        <v>0.00</v>
      </c>
      <c r="F43" s="3" t="str">
        <f>FIXED(VLOOKUP($A43,'Full Sample-Single Family'!$A:$R,F$1,0),2)</f>
        <v>1.00</v>
      </c>
      <c r="G43" s="9" t="str">
        <f>FIXED(VLOOKUP($A43,'Full Sample-Single Family'!$A:$R,G$1,0),2)</f>
        <v>0.02</v>
      </c>
      <c r="H43" s="3" t="str">
        <f>FIXED(VLOOKUP($A43,'Full Sample-Single Family'!$A:$R,H$1,0),2)</f>
        <v>0.13</v>
      </c>
      <c r="I43" s="3" t="str">
        <f>FIXED(VLOOKUP($A43,'Full Sample-Single Family'!$A:$R,I$1,0),2)</f>
        <v>0.00</v>
      </c>
      <c r="J43" s="13" t="str">
        <f>FIXED(VLOOKUP($A43,'Full Sample-Single Family'!$A:$R,J$1,0),2)</f>
        <v>1.00</v>
      </c>
      <c r="K43" s="9" t="str">
        <f>FIXED(VLOOKUP($A43,'Full Sample-Single Family'!$A:$R,K$1,0),2)</f>
        <v>0.02</v>
      </c>
      <c r="L43" s="3" t="str">
        <f>FIXED(VLOOKUP($A43,'Full Sample-Single Family'!$A:$R,L$1,0),2)</f>
        <v>0.13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1-Single Family'!$A:$R,O$1,0),2)</f>
        <v>0.02</v>
      </c>
      <c r="P43" s="3" t="str">
        <f>FIXED(VLOOKUP($A43,'Small Sample 1-Single Family'!$A:$R,P$1,0),2)</f>
        <v>0.13</v>
      </c>
      <c r="Q43" s="3" t="str">
        <f>FIXED(VLOOKUP($A43,'Small Sample 1-Single Family'!$A:$R,Q$1,0),2)</f>
        <v>0.00</v>
      </c>
      <c r="R43" s="3" t="str">
        <f>FIXED(VLOOKUP($A43,'Small Sample 1-Single Family'!$A:$R,R$1,0),2)</f>
        <v>1.00</v>
      </c>
      <c r="S43" s="9" t="str">
        <f>FIXED(VLOOKUP($A43,'Small Sample 1-Single Family'!$A:$R,S$1,0),2)</f>
        <v>0.02</v>
      </c>
      <c r="T43" s="3" t="str">
        <f>FIXED(VLOOKUP($A43,'Small Sample 1-Single Family'!$A:$R,T$1,0),2)</f>
        <v>0.13</v>
      </c>
      <c r="U43" s="3" t="str">
        <f>FIXED(VLOOKUP($A43,'Small Sample 1-Single Family'!$A:$R,U$1,0),2)</f>
        <v>0.00</v>
      </c>
      <c r="V43" s="13" t="str">
        <f>FIXED(VLOOKUP($A43,'Small Sample 1-Single Family'!$A:$R,V$1,0),2)</f>
        <v>1.00</v>
      </c>
      <c r="W43" s="9" t="str">
        <f>FIXED(VLOOKUP($A43,'Small Sample 1-Single Family'!$A:$R,W$1,0),2)</f>
        <v>0.02</v>
      </c>
      <c r="X43" s="3" t="str">
        <f>FIXED(VLOOKUP($A43,'Small Sample 1-Single Family'!$A:$R,X$1,0),2)</f>
        <v>0.14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2-Single Family'!$A:$R,AA$1,0),2)</f>
        <v>0.02</v>
      </c>
      <c r="AB43" s="3" t="str">
        <f>FIXED(VLOOKUP($A43,'Small Sample 2-Single Family'!$A:$R,AB$1,0),2)</f>
        <v>0.13</v>
      </c>
      <c r="AC43" s="3" t="str">
        <f>FIXED(VLOOKUP($A43,'Small Sample 2-Single Family'!$A:$R,AC$1,0),2)</f>
        <v>0.00</v>
      </c>
      <c r="AD43" s="3" t="str">
        <f>FIXED(VLOOKUP($A43,'Small Sample 2-Single Family'!$A:$R,AD$1,0),2)</f>
        <v>1.00</v>
      </c>
      <c r="AE43" s="9" t="str">
        <f>FIXED(VLOOKUP($A43,'Small Sample 2-Single Family'!$A:$R,AE$1,0),2)</f>
        <v>0.02</v>
      </c>
      <c r="AF43" s="3" t="str">
        <f>FIXED(VLOOKUP($A43,'Small Sample 2-Single Family'!$A:$R,AF$1,0),2)</f>
        <v>0.13</v>
      </c>
      <c r="AG43" s="3" t="str">
        <f>FIXED(VLOOKUP($A43,'Small Sample 2-Single Family'!$A:$R,AG$1,0),2)</f>
        <v>0.00</v>
      </c>
      <c r="AH43" s="13" t="str">
        <f>FIXED(VLOOKUP($A43,'Small Sample 2-Single Family'!$A:$R,AH$1,0),2)</f>
        <v>1.00</v>
      </c>
      <c r="AI43" s="9" t="str">
        <f>FIXED(VLOOKUP($A43,'Small Sample 2-Single Family'!$A:$R,AI$1,0),2)</f>
        <v>0.02</v>
      </c>
      <c r="AJ43" s="3" t="str">
        <f>FIXED(VLOOKUP($A43,'Small Sample 2-Single Family'!$A:$R,AJ$1,0),2)</f>
        <v>0.13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Sample-Single Family'!$A:$R,C$1,0),2)</f>
        <v>0.00</v>
      </c>
      <c r="D44" s="3" t="str">
        <f>FIXED(VLOOKUP($A44,'Full Sample-Single Family'!$A:$R,D$1,0),2)</f>
        <v>0.02</v>
      </c>
      <c r="E44" s="3" t="str">
        <f>FIXED(VLOOKUP($A44,'Full Sample-Single Family'!$A:$R,E$1,0),2)</f>
        <v>0.00</v>
      </c>
      <c r="F44" s="3" t="str">
        <f>FIXED(VLOOKUP($A44,'Full Sample-Single Family'!$A:$R,F$1,0),2)</f>
        <v>1.00</v>
      </c>
      <c r="G44" s="9" t="str">
        <f>FIXED(VLOOKUP($A44,'Full Sample-Single Family'!$A:$R,G$1,0),2)</f>
        <v>0.00</v>
      </c>
      <c r="H44" s="3" t="str">
        <f>FIXED(VLOOKUP($A44,'Full Sample-Single Family'!$A:$R,H$1,0),2)</f>
        <v>0.02</v>
      </c>
      <c r="I44" s="3" t="str">
        <f>FIXED(VLOOKUP($A44,'Full Sample-Single Family'!$A:$R,I$1,0),2)</f>
        <v>0.00</v>
      </c>
      <c r="J44" s="13" t="str">
        <f>FIXED(VLOOKUP($A44,'Full Sample-Single Family'!$A:$R,J$1,0),2)</f>
        <v>1.00</v>
      </c>
      <c r="K44" s="9" t="str">
        <f>FIXED(VLOOKUP($A44,'Full Sample-Single Family'!$A:$R,K$1,0),2)</f>
        <v>0.00</v>
      </c>
      <c r="L44" s="3" t="str">
        <f>FIXED(VLOOKUP($A44,'Full Sample-Single Family'!$A:$R,L$1,0),2)</f>
        <v>0.02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1-Single Family'!$A:$R,O$1,0),2)</f>
        <v>0.00</v>
      </c>
      <c r="P44" s="3" t="str">
        <f>FIXED(VLOOKUP($A44,'Small Sample 1-Single Family'!$A:$R,P$1,0),2)</f>
        <v>0.02</v>
      </c>
      <c r="Q44" s="3" t="str">
        <f>FIXED(VLOOKUP($A44,'Small Sample 1-Single Family'!$A:$R,Q$1,0),2)</f>
        <v>0.00</v>
      </c>
      <c r="R44" s="3" t="str">
        <f>FIXED(VLOOKUP($A44,'Small Sample 1-Single Family'!$A:$R,R$1,0),2)</f>
        <v>1.00</v>
      </c>
      <c r="S44" s="9" t="str">
        <f>FIXED(VLOOKUP($A44,'Small Sample 1-Single Family'!$A:$R,S$1,0),2)</f>
        <v>0.00</v>
      </c>
      <c r="T44" s="3" t="str">
        <f>FIXED(VLOOKUP($A44,'Small Sample 1-Single Family'!$A:$R,T$1,0),2)</f>
        <v>0.02</v>
      </c>
      <c r="U44" s="3" t="str">
        <f>FIXED(VLOOKUP($A44,'Small Sample 1-Single Family'!$A:$R,U$1,0),2)</f>
        <v>0.00</v>
      </c>
      <c r="V44" s="13" t="str">
        <f>FIXED(VLOOKUP($A44,'Small Sample 1-Single Family'!$A:$R,V$1,0),2)</f>
        <v>1.00</v>
      </c>
      <c r="W44" s="9" t="str">
        <f>FIXED(VLOOKUP($A44,'Small Sample 1-Single Family'!$A:$R,W$1,0),2)</f>
        <v>0.00</v>
      </c>
      <c r="X44" s="3" t="str">
        <f>FIXED(VLOOKUP($A44,'Small Sample 1-Single Family'!$A:$R,X$1,0),2)</f>
        <v>0.02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2-Single Family'!$A:$R,AA$1,0),2)</f>
        <v>0.00</v>
      </c>
      <c r="AB44" s="3" t="str">
        <f>FIXED(VLOOKUP($A44,'Small Sample 2-Single Family'!$A:$R,AB$1,0),2)</f>
        <v>0.02</v>
      </c>
      <c r="AC44" s="3" t="str">
        <f>FIXED(VLOOKUP($A44,'Small Sample 2-Single Family'!$A:$R,AC$1,0),2)</f>
        <v>0.00</v>
      </c>
      <c r="AD44" s="3" t="str">
        <f>FIXED(VLOOKUP($A44,'Small Sample 2-Single Family'!$A:$R,AD$1,0),2)</f>
        <v>1.00</v>
      </c>
      <c r="AE44" s="9" t="str">
        <f>FIXED(VLOOKUP($A44,'Small Sample 2-Single Family'!$A:$R,AE$1,0),2)</f>
        <v>0.00</v>
      </c>
      <c r="AF44" s="3" t="str">
        <f>FIXED(VLOOKUP($A44,'Small Sample 2-Single Family'!$A:$R,AF$1,0),2)</f>
        <v>0.02</v>
      </c>
      <c r="AG44" s="3" t="str">
        <f>FIXED(VLOOKUP($A44,'Small Sample 2-Single Family'!$A:$R,AG$1,0),2)</f>
        <v>0.00</v>
      </c>
      <c r="AH44" s="13" t="str">
        <f>FIXED(VLOOKUP($A44,'Small Sample 2-Single Family'!$A:$R,AH$1,0),2)</f>
        <v>1.00</v>
      </c>
      <c r="AI44" s="9" t="str">
        <f>FIXED(VLOOKUP($A44,'Small Sample 2-Single Family'!$A:$R,AI$1,0),2)</f>
        <v>0.00</v>
      </c>
      <c r="AJ44" s="3" t="str">
        <f>FIXED(VLOOKUP($A44,'Small Sample 2-Single Family'!$A:$R,AJ$1,0),2)</f>
        <v>0.02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Sample-Single Family'!$A:$R,C$1,0),2)</f>
        <v>0.01</v>
      </c>
      <c r="D45" s="3" t="str">
        <f>FIXED(VLOOKUP($A45,'Full Sample-Single Family'!$A:$R,D$1,0),2)</f>
        <v>0.12</v>
      </c>
      <c r="E45" s="3" t="str">
        <f>FIXED(VLOOKUP($A45,'Full Sample-Single Family'!$A:$R,E$1,0),2)</f>
        <v>0.00</v>
      </c>
      <c r="F45" s="3" t="str">
        <f>FIXED(VLOOKUP($A45,'Full Sample-Single Family'!$A:$R,F$1,0),2)</f>
        <v>1.00</v>
      </c>
      <c r="G45" s="9" t="str">
        <f>FIXED(VLOOKUP($A45,'Full Sample-Single Family'!$A:$R,G$1,0),2)</f>
        <v>0.01</v>
      </c>
      <c r="H45" s="3" t="str">
        <f>FIXED(VLOOKUP($A45,'Full Sample-Single Family'!$A:$R,H$1,0),2)</f>
        <v>0.12</v>
      </c>
      <c r="I45" s="3" t="str">
        <f>FIXED(VLOOKUP($A45,'Full Sample-Single Family'!$A:$R,I$1,0),2)</f>
        <v>0.00</v>
      </c>
      <c r="J45" s="13" t="str">
        <f>FIXED(VLOOKUP($A45,'Full Sample-Single Family'!$A:$R,J$1,0),2)</f>
        <v>1.00</v>
      </c>
      <c r="K45" s="9" t="str">
        <f>FIXED(VLOOKUP($A45,'Full Sample-Single Family'!$A:$R,K$1,0),2)</f>
        <v>0.01</v>
      </c>
      <c r="L45" s="3" t="str">
        <f>FIXED(VLOOKUP($A45,'Full Sample-Single Family'!$A:$R,L$1,0),2)</f>
        <v>0.12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1-Single Family'!$A:$R,O$1,0),2)</f>
        <v>0.01</v>
      </c>
      <c r="P45" s="3" t="str">
        <f>FIXED(VLOOKUP($A45,'Small Sample 1-Single Family'!$A:$R,P$1,0),2)</f>
        <v>0.12</v>
      </c>
      <c r="Q45" s="3" t="str">
        <f>FIXED(VLOOKUP($A45,'Small Sample 1-Single Family'!$A:$R,Q$1,0),2)</f>
        <v>0.00</v>
      </c>
      <c r="R45" s="3" t="str">
        <f>FIXED(VLOOKUP($A45,'Small Sample 1-Single Family'!$A:$R,R$1,0),2)</f>
        <v>1.00</v>
      </c>
      <c r="S45" s="9" t="str">
        <f>FIXED(VLOOKUP($A45,'Small Sample 1-Single Family'!$A:$R,S$1,0),2)</f>
        <v>0.01</v>
      </c>
      <c r="T45" s="3" t="str">
        <f>FIXED(VLOOKUP($A45,'Small Sample 1-Single Family'!$A:$R,T$1,0),2)</f>
        <v>0.12</v>
      </c>
      <c r="U45" s="3" t="str">
        <f>FIXED(VLOOKUP($A45,'Small Sample 1-Single Family'!$A:$R,U$1,0),2)</f>
        <v>0.00</v>
      </c>
      <c r="V45" s="13" t="str">
        <f>FIXED(VLOOKUP($A45,'Small Sample 1-Single Family'!$A:$R,V$1,0),2)</f>
        <v>1.00</v>
      </c>
      <c r="W45" s="9" t="str">
        <f>FIXED(VLOOKUP($A45,'Small Sample 1-Single Family'!$A:$R,W$1,0),2)</f>
        <v>0.01</v>
      </c>
      <c r="X45" s="3" t="str">
        <f>FIXED(VLOOKUP($A45,'Small Sample 1-Single Family'!$A:$R,X$1,0),2)</f>
        <v>0.12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2-Single Family'!$A:$R,AA$1,0),2)</f>
        <v>0.01</v>
      </c>
      <c r="AB45" s="3" t="str">
        <f>FIXED(VLOOKUP($A45,'Small Sample 2-Single Family'!$A:$R,AB$1,0),2)</f>
        <v>0.12</v>
      </c>
      <c r="AC45" s="3" t="str">
        <f>FIXED(VLOOKUP($A45,'Small Sample 2-Single Family'!$A:$R,AC$1,0),2)</f>
        <v>0.00</v>
      </c>
      <c r="AD45" s="3" t="str">
        <f>FIXED(VLOOKUP($A45,'Small Sample 2-Single Family'!$A:$R,AD$1,0),2)</f>
        <v>1.00</v>
      </c>
      <c r="AE45" s="9" t="str">
        <f>FIXED(VLOOKUP($A45,'Small Sample 2-Single Family'!$A:$R,AE$1,0),2)</f>
        <v>0.01</v>
      </c>
      <c r="AF45" s="3" t="str">
        <f>FIXED(VLOOKUP($A45,'Small Sample 2-Single Family'!$A:$R,AF$1,0),2)</f>
        <v>0.12</v>
      </c>
      <c r="AG45" s="3" t="str">
        <f>FIXED(VLOOKUP($A45,'Small Sample 2-Single Family'!$A:$R,AG$1,0),2)</f>
        <v>0.00</v>
      </c>
      <c r="AH45" s="13" t="str">
        <f>FIXED(VLOOKUP($A45,'Small Sample 2-Single Family'!$A:$R,AH$1,0),2)</f>
        <v>1.00</v>
      </c>
      <c r="AI45" s="9" t="str">
        <f>FIXED(VLOOKUP($A45,'Small Sample 2-Single Family'!$A:$R,AI$1,0),2)</f>
        <v>0.02</v>
      </c>
      <c r="AJ45" s="3" t="str">
        <f>FIXED(VLOOKUP($A45,'Small Sample 2-Single Family'!$A:$R,AJ$1,0),2)</f>
        <v>0.12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Sample-Single Family'!$A:$R,C$1,0),2)</f>
        <v>0.00</v>
      </c>
      <c r="D46" s="3" t="str">
        <f>FIXED(VLOOKUP($A46,'Full Sample-Single Family'!$A:$R,D$1,0),2)</f>
        <v>0.01</v>
      </c>
      <c r="E46" s="3" t="str">
        <f>FIXED(VLOOKUP($A46,'Full Sample-Single Family'!$A:$R,E$1,0),2)</f>
        <v>0.00</v>
      </c>
      <c r="F46" s="3" t="str">
        <f>FIXED(VLOOKUP($A46,'Full Sample-Single Family'!$A:$R,F$1,0),2)</f>
        <v>1.00</v>
      </c>
      <c r="G46" s="9" t="str">
        <f>FIXED(VLOOKUP($A46,'Full Sample-Single Family'!$A:$R,G$1,0),2)</f>
        <v>0.00</v>
      </c>
      <c r="H46" s="3" t="str">
        <f>FIXED(VLOOKUP($A46,'Full Sample-Single Family'!$A:$R,H$1,0),2)</f>
        <v>0.00</v>
      </c>
      <c r="I46" s="3" t="str">
        <f>FIXED(VLOOKUP($A46,'Full Sample-Single Family'!$A:$R,I$1,0),2)</f>
        <v>0.00</v>
      </c>
      <c r="J46" s="13" t="str">
        <f>FIXED(VLOOKUP($A46,'Full Sample-Single Family'!$A:$R,J$1,0),2)</f>
        <v>0.00</v>
      </c>
      <c r="K46" s="9" t="str">
        <f>FIXED(VLOOKUP($A46,'Full Sample-Single Family'!$A:$R,K$1,0),2)</f>
        <v>0.00</v>
      </c>
      <c r="L46" s="3" t="str">
        <f>FIXED(VLOOKUP($A46,'Full Sample-Single Family'!$A:$R,L$1,0),2)</f>
        <v>0.02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1-Single Family'!$A:$R,O$1,0),2)</f>
        <v>0.00</v>
      </c>
      <c r="P46" s="3" t="str">
        <f>FIXED(VLOOKUP($A46,'Small Sample 1-Single Family'!$A:$R,P$1,0),2)</f>
        <v>0.01</v>
      </c>
      <c r="Q46" s="3" t="str">
        <f>FIXED(VLOOKUP($A46,'Small Sample 1-Single Family'!$A:$R,Q$1,0),2)</f>
        <v>0.00</v>
      </c>
      <c r="R46" s="3" t="str">
        <f>FIXED(VLOOKUP($A46,'Small Sample 1-Single Family'!$A:$R,R$1,0),2)</f>
        <v>1.00</v>
      </c>
      <c r="S46" s="9" t="str">
        <f>FIXED(VLOOKUP($A46,'Small Sample 1-Single Family'!$A:$R,S$1,0),2)</f>
        <v>0.00</v>
      </c>
      <c r="T46" s="3" t="str">
        <f>FIXED(VLOOKUP($A46,'Small Sample 1-Single Family'!$A:$R,T$1,0),2)</f>
        <v>0.00</v>
      </c>
      <c r="U46" s="3" t="str">
        <f>FIXED(VLOOKUP($A46,'Small Sample 1-Single Family'!$A:$R,U$1,0),2)</f>
        <v>0.00</v>
      </c>
      <c r="V46" s="13" t="str">
        <f>FIXED(VLOOKUP($A46,'Small Sample 1-Single Family'!$A:$R,V$1,0),2)</f>
        <v>0.00</v>
      </c>
      <c r="W46" s="9" t="str">
        <f>FIXED(VLOOKUP($A46,'Small Sample 1-Single Family'!$A:$R,W$1,0),2)</f>
        <v>0.00</v>
      </c>
      <c r="X46" s="3" t="str">
        <f>FIXED(VLOOKUP($A46,'Small Sample 1-Single Family'!$A:$R,X$1,0),2)</f>
        <v>0.02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2-Single Family'!$A:$R,AA$1,0),2)</f>
        <v>0.00</v>
      </c>
      <c r="AB46" s="3" t="str">
        <f>FIXED(VLOOKUP($A46,'Small Sample 2-Single Family'!$A:$R,AB$1,0),2)</f>
        <v>0.01</v>
      </c>
      <c r="AC46" s="3" t="str">
        <f>FIXED(VLOOKUP($A46,'Small Sample 2-Single Family'!$A:$R,AC$1,0),2)</f>
        <v>0.00</v>
      </c>
      <c r="AD46" s="3" t="str">
        <f>FIXED(VLOOKUP($A46,'Small Sample 2-Single Family'!$A:$R,AD$1,0),2)</f>
        <v>1.00</v>
      </c>
      <c r="AE46" s="9" t="str">
        <f>FIXED(VLOOKUP($A46,'Small Sample 2-Single Family'!$A:$R,AE$1,0),2)</f>
        <v>0.00</v>
      </c>
      <c r="AF46" s="3" t="str">
        <f>FIXED(VLOOKUP($A46,'Small Sample 2-Single Family'!$A:$R,AF$1,0),2)</f>
        <v>0.00</v>
      </c>
      <c r="AG46" s="3" t="str">
        <f>FIXED(VLOOKUP($A46,'Small Sample 2-Single Family'!$A:$R,AG$1,0),2)</f>
        <v>0.00</v>
      </c>
      <c r="AH46" s="13" t="str">
        <f>FIXED(VLOOKUP($A46,'Small Sample 2-Single Family'!$A:$R,AH$1,0),2)</f>
        <v>0.00</v>
      </c>
      <c r="AI46" s="9" t="str">
        <f>FIXED(VLOOKUP($A46,'Small Sample 2-Single Family'!$A:$R,AI$1,0),2)</f>
        <v>0.00</v>
      </c>
      <c r="AJ46" s="3" t="str">
        <f>FIXED(VLOOKUP($A46,'Small Sample 2-Single Family'!$A:$R,AJ$1,0),2)</f>
        <v>0.02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Sample-Single Family'!$A:$R,C$1,0),2)</f>
        <v>24.80</v>
      </c>
      <c r="D47" s="3" t="str">
        <f>FIXED(VLOOKUP($A47,'Full Sample-Single Family'!$A:$R,D$1,0),2)</f>
        <v>52.43</v>
      </c>
      <c r="E47" s="3" t="str">
        <f>FIXED(VLOOKUP($A47,'Full Sample-Single Family'!$A:$R,E$1,0),2)</f>
        <v>0.00</v>
      </c>
      <c r="F47" s="3" t="str">
        <f>FIXED(VLOOKUP($A47,'Full Sample-Single Family'!$A:$R,F$1,0),2)</f>
        <v>667.00</v>
      </c>
      <c r="G47" s="9" t="str">
        <f>FIXED(VLOOKUP($A47,'Full Sample-Single Family'!$A:$R,G$1,0),2)</f>
        <v>24.94</v>
      </c>
      <c r="H47" s="3" t="str">
        <f>FIXED(VLOOKUP($A47,'Full Sample-Single Family'!$A:$R,H$1,0),2)</f>
        <v>50.92</v>
      </c>
      <c r="I47" s="3" t="str">
        <f>FIXED(VLOOKUP($A47,'Full Sample-Single Family'!$A:$R,I$1,0),2)</f>
        <v>0.00</v>
      </c>
      <c r="J47" s="13" t="str">
        <f>FIXED(VLOOKUP($A47,'Full Sample-Single Family'!$A:$R,J$1,0),2)</f>
        <v>667.00</v>
      </c>
      <c r="K47" s="9" t="str">
        <f>FIXED(VLOOKUP($A47,'Full Sample-Single Family'!$A:$R,K$1,0),2)</f>
        <v>24.61</v>
      </c>
      <c r="L47" s="3" t="str">
        <f>FIXED(VLOOKUP($A47,'Full Sample-Single Family'!$A:$R,L$1,0),2)</f>
        <v>54.44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1-Single Family'!$A:$R,O$1,0),2)</f>
        <v>23.51</v>
      </c>
      <c r="P47" s="3" t="str">
        <f>FIXED(VLOOKUP($A47,'Small Sample 1-Single Family'!$A:$R,P$1,0),2)</f>
        <v>52.03</v>
      </c>
      <c r="Q47" s="3" t="str">
        <f>FIXED(VLOOKUP($A47,'Small Sample 1-Single Family'!$A:$R,Q$1,0),2)</f>
        <v>0.00</v>
      </c>
      <c r="R47" s="3" t="str">
        <f>FIXED(VLOOKUP($A47,'Small Sample 1-Single Family'!$A:$R,R$1,0),2)</f>
        <v>667.00</v>
      </c>
      <c r="S47" s="9" t="str">
        <f>FIXED(VLOOKUP($A47,'Small Sample 1-Single Family'!$A:$R,S$1,0),2)</f>
        <v>22.66</v>
      </c>
      <c r="T47" s="3" t="str">
        <f>FIXED(VLOOKUP($A47,'Small Sample 1-Single Family'!$A:$R,T$1,0),2)</f>
        <v>50.05</v>
      </c>
      <c r="U47" s="3" t="str">
        <f>FIXED(VLOOKUP($A47,'Small Sample 1-Single Family'!$A:$R,U$1,0),2)</f>
        <v>0.00</v>
      </c>
      <c r="V47" s="13" t="str">
        <f>FIXED(VLOOKUP($A47,'Small Sample 1-Single Family'!$A:$R,V$1,0),2)</f>
        <v>667.00</v>
      </c>
      <c r="W47" s="9" t="str">
        <f>FIXED(VLOOKUP($A47,'Small Sample 1-Single Family'!$A:$R,W$1,0),2)</f>
        <v>24.46</v>
      </c>
      <c r="X47" s="3" t="str">
        <f>FIXED(VLOOKUP($A47,'Small Sample 1-Single Family'!$A:$R,X$1,0),2)</f>
        <v>54.17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2-Single Family'!$A:$R,AA$1,0),2)</f>
        <v>23.17</v>
      </c>
      <c r="AB47" s="3" t="str">
        <f>FIXED(VLOOKUP($A47,'Small Sample 2-Single Family'!$A:$R,AB$1,0),2)</f>
        <v>51.18</v>
      </c>
      <c r="AC47" s="3" t="str">
        <f>FIXED(VLOOKUP($A47,'Small Sample 2-Single Family'!$A:$R,AC$1,0),2)</f>
        <v>0.00</v>
      </c>
      <c r="AD47" s="3" t="str">
        <f>FIXED(VLOOKUP($A47,'Small Sample 2-Single Family'!$A:$R,AD$1,0),2)</f>
        <v>667.00</v>
      </c>
      <c r="AE47" s="9" t="str">
        <f>FIXED(VLOOKUP($A47,'Small Sample 2-Single Family'!$A:$R,AE$1,0),2)</f>
        <v>24.55</v>
      </c>
      <c r="AF47" s="3" t="str">
        <f>FIXED(VLOOKUP($A47,'Small Sample 2-Single Family'!$A:$R,AF$1,0),2)</f>
        <v>51.04</v>
      </c>
      <c r="AG47" s="3" t="str">
        <f>FIXED(VLOOKUP($A47,'Small Sample 2-Single Family'!$A:$R,AG$1,0),2)</f>
        <v>0.00</v>
      </c>
      <c r="AH47" s="13" t="str">
        <f>FIXED(VLOOKUP($A47,'Small Sample 2-Single Family'!$A:$R,AH$1,0),2)</f>
        <v>667.00</v>
      </c>
      <c r="AI47" s="9" t="str">
        <f>FIXED(VLOOKUP($A47,'Small Sample 2-Single Family'!$A:$R,AI$1,0),2)</f>
        <v>20.85</v>
      </c>
      <c r="AJ47" s="3" t="str">
        <f>FIXED(VLOOKUP($A47,'Small Sample 2-Single Family'!$A:$R,AJ$1,0),2)</f>
        <v>51.35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Sample-Single Family'!$A:$R,C$1,0),2)</f>
        <v>0.00</v>
      </c>
      <c r="D48" s="3" t="str">
        <f>FIXED(VLOOKUP($A48,'Full Sample-Single Family'!$A:$R,D$1,0),2)</f>
        <v>0.06</v>
      </c>
      <c r="E48" s="3" t="str">
        <f>FIXED(VLOOKUP($A48,'Full Sample-Single Family'!$A:$R,E$1,0),2)</f>
        <v>0.00</v>
      </c>
      <c r="F48" s="3" t="str">
        <f>FIXED(VLOOKUP($A48,'Full Sample-Single Family'!$A:$R,F$1,0),2)</f>
        <v>1.00</v>
      </c>
      <c r="G48" s="9" t="str">
        <f>FIXED(VLOOKUP($A48,'Full Sample-Single Family'!$A:$R,G$1,0),2)</f>
        <v>0.00</v>
      </c>
      <c r="H48" s="3" t="str">
        <f>FIXED(VLOOKUP($A48,'Full Sample-Single Family'!$A:$R,H$1,0),2)</f>
        <v>0.07</v>
      </c>
      <c r="I48" s="3" t="str">
        <f>FIXED(VLOOKUP($A48,'Full Sample-Single Family'!$A:$R,I$1,0),2)</f>
        <v>0.00</v>
      </c>
      <c r="J48" s="13" t="str">
        <f>FIXED(VLOOKUP($A48,'Full Sample-Single Family'!$A:$R,J$1,0),2)</f>
        <v>1.00</v>
      </c>
      <c r="K48" s="9" t="str">
        <f>FIXED(VLOOKUP($A48,'Full Sample-Single Family'!$A:$R,K$1,0),2)</f>
        <v>0.00</v>
      </c>
      <c r="L48" s="3" t="str">
        <f>FIXED(VLOOKUP($A48,'Full Sample-Single Family'!$A:$R,L$1,0),2)</f>
        <v>0.06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1-Single Family'!$A:$R,O$1,0),2)</f>
        <v>0.00</v>
      </c>
      <c r="P48" s="3" t="str">
        <f>FIXED(VLOOKUP($A48,'Small Sample 1-Single Family'!$A:$R,P$1,0),2)</f>
        <v>0.06</v>
      </c>
      <c r="Q48" s="3" t="str">
        <f>FIXED(VLOOKUP($A48,'Small Sample 1-Single Family'!$A:$R,Q$1,0),2)</f>
        <v>0.00</v>
      </c>
      <c r="R48" s="3" t="str">
        <f>FIXED(VLOOKUP($A48,'Small Sample 1-Single Family'!$A:$R,R$1,0),2)</f>
        <v>1.00</v>
      </c>
      <c r="S48" s="9" t="str">
        <f>FIXED(VLOOKUP($A48,'Small Sample 1-Single Family'!$A:$R,S$1,0),2)</f>
        <v>0.00</v>
      </c>
      <c r="T48" s="3" t="str">
        <f>FIXED(VLOOKUP($A48,'Small Sample 1-Single Family'!$A:$R,T$1,0),2)</f>
        <v>0.07</v>
      </c>
      <c r="U48" s="3" t="str">
        <f>FIXED(VLOOKUP($A48,'Small Sample 1-Single Family'!$A:$R,U$1,0),2)</f>
        <v>0.00</v>
      </c>
      <c r="V48" s="13" t="str">
        <f>FIXED(VLOOKUP($A48,'Small Sample 1-Single Family'!$A:$R,V$1,0),2)</f>
        <v>1.00</v>
      </c>
      <c r="W48" s="9" t="str">
        <f>FIXED(VLOOKUP($A48,'Small Sample 1-Single Family'!$A:$R,W$1,0),2)</f>
        <v>0.00</v>
      </c>
      <c r="X48" s="3" t="str">
        <f>FIXED(VLOOKUP($A48,'Small Sample 1-Single Family'!$A:$R,X$1,0),2)</f>
        <v>0.06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2-Single Family'!$A:$R,AA$1,0),2)</f>
        <v>0.00</v>
      </c>
      <c r="AB48" s="3" t="str">
        <f>FIXED(VLOOKUP($A48,'Small Sample 2-Single Family'!$A:$R,AB$1,0),2)</f>
        <v>0.07</v>
      </c>
      <c r="AC48" s="3" t="str">
        <f>FIXED(VLOOKUP($A48,'Small Sample 2-Single Family'!$A:$R,AC$1,0),2)</f>
        <v>0.00</v>
      </c>
      <c r="AD48" s="3" t="str">
        <f>FIXED(VLOOKUP($A48,'Small Sample 2-Single Family'!$A:$R,AD$1,0),2)</f>
        <v>1.00</v>
      </c>
      <c r="AE48" s="9" t="str">
        <f>FIXED(VLOOKUP($A48,'Small Sample 2-Single Family'!$A:$R,AE$1,0),2)</f>
        <v>0.00</v>
      </c>
      <c r="AF48" s="3" t="str">
        <f>FIXED(VLOOKUP($A48,'Small Sample 2-Single Family'!$A:$R,AF$1,0),2)</f>
        <v>0.07</v>
      </c>
      <c r="AG48" s="3" t="str">
        <f>FIXED(VLOOKUP($A48,'Small Sample 2-Single Family'!$A:$R,AG$1,0),2)</f>
        <v>0.00</v>
      </c>
      <c r="AH48" s="13" t="str">
        <f>FIXED(VLOOKUP($A48,'Small Sample 2-Single Family'!$A:$R,AH$1,0),2)</f>
        <v>1.00</v>
      </c>
      <c r="AI48" s="9" t="str">
        <f>FIXED(VLOOKUP($A48,'Small Sample 2-Single Family'!$A:$R,AI$1,0),2)</f>
        <v>0.00</v>
      </c>
      <c r="AJ48" s="3" t="str">
        <f>FIXED(VLOOKUP($A48,'Small Sample 2-Single Family'!$A:$R,AJ$1,0),2)</f>
        <v>0.06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73" x14ac:dyDescent="0.25">
      <c r="A49" t="s">
        <v>75</v>
      </c>
      <c r="B49" s="4" t="s">
        <v>151</v>
      </c>
      <c r="C49" s="9" t="str">
        <f>FIXED(VLOOKUP($A49,'Full Sample-Single Family'!$A:$R,C$1,0),2)</f>
        <v>0.03</v>
      </c>
      <c r="D49" s="3" t="str">
        <f>FIXED(VLOOKUP($A49,'Full Sample-Single Family'!$A:$R,D$1,0),2)</f>
        <v>0.18</v>
      </c>
      <c r="E49" s="3" t="str">
        <f>FIXED(VLOOKUP($A49,'Full Sample-Single Family'!$A:$R,E$1,0),2)</f>
        <v>0.00</v>
      </c>
      <c r="F49" s="3" t="str">
        <f>FIXED(VLOOKUP($A49,'Full Sample-Single Family'!$A:$R,F$1,0),2)</f>
        <v>1.00</v>
      </c>
      <c r="G49" s="9" t="str">
        <f>FIXED(VLOOKUP($A49,'Full Sample-Single Family'!$A:$R,G$1,0),2)</f>
        <v>0.04</v>
      </c>
      <c r="H49" s="3" t="str">
        <f>FIXED(VLOOKUP($A49,'Full Sample-Single Family'!$A:$R,H$1,0),2)</f>
        <v>0.19</v>
      </c>
      <c r="I49" s="3" t="str">
        <f>FIXED(VLOOKUP($A49,'Full Sample-Single Family'!$A:$R,I$1,0),2)</f>
        <v>0.00</v>
      </c>
      <c r="J49" s="13" t="str">
        <f>FIXED(VLOOKUP($A49,'Full Sample-Single Family'!$A:$R,J$1,0),2)</f>
        <v>1.00</v>
      </c>
      <c r="K49" s="9" t="str">
        <f>FIXED(VLOOKUP($A49,'Full Sample-Single Family'!$A:$R,K$1,0),2)</f>
        <v>0.03</v>
      </c>
      <c r="L49" s="3" t="str">
        <f>FIXED(VLOOKUP($A49,'Full Sample-Single Family'!$A:$R,L$1,0),2)</f>
        <v>0.16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1-Single Family'!$A:$R,O$1,0),2)</f>
        <v>0.03</v>
      </c>
      <c r="P49" s="3" t="str">
        <f>FIXED(VLOOKUP($A49,'Small Sample 1-Single Family'!$A:$R,P$1,0),2)</f>
        <v>0.18</v>
      </c>
      <c r="Q49" s="3" t="str">
        <f>FIXED(VLOOKUP($A49,'Small Sample 1-Single Family'!$A:$R,Q$1,0),2)</f>
        <v>0.00</v>
      </c>
      <c r="R49" s="3" t="str">
        <f>FIXED(VLOOKUP($A49,'Small Sample 1-Single Family'!$A:$R,R$1,0),2)</f>
        <v>1.00</v>
      </c>
      <c r="S49" s="9" t="str">
        <f>FIXED(VLOOKUP($A49,'Small Sample 1-Single Family'!$A:$R,S$1,0),2)</f>
        <v>0.04</v>
      </c>
      <c r="T49" s="3" t="str">
        <f>FIXED(VLOOKUP($A49,'Small Sample 1-Single Family'!$A:$R,T$1,0),2)</f>
        <v>0.19</v>
      </c>
      <c r="U49" s="3" t="str">
        <f>FIXED(VLOOKUP($A49,'Small Sample 1-Single Family'!$A:$R,U$1,0),2)</f>
        <v>0.00</v>
      </c>
      <c r="V49" s="13" t="str">
        <f>FIXED(VLOOKUP($A49,'Small Sample 1-Single Family'!$A:$R,V$1,0),2)</f>
        <v>1.00</v>
      </c>
      <c r="W49" s="9" t="str">
        <f>FIXED(VLOOKUP($A49,'Small Sample 1-Single Family'!$A:$R,W$1,0),2)</f>
        <v>0.03</v>
      </c>
      <c r="X49" s="3" t="str">
        <f>FIXED(VLOOKUP($A49,'Small Sample 1-Single Family'!$A:$R,X$1,0),2)</f>
        <v>0.16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2-Single Family'!$A:$R,AA$1,0),2)</f>
        <v>0.03</v>
      </c>
      <c r="AB49" s="3" t="str">
        <f>FIXED(VLOOKUP($A49,'Small Sample 2-Single Family'!$A:$R,AB$1,0),2)</f>
        <v>0.18</v>
      </c>
      <c r="AC49" s="3" t="str">
        <f>FIXED(VLOOKUP($A49,'Small Sample 2-Single Family'!$A:$R,AC$1,0),2)</f>
        <v>0.00</v>
      </c>
      <c r="AD49" s="3" t="str">
        <f>FIXED(VLOOKUP($A49,'Small Sample 2-Single Family'!$A:$R,AD$1,0),2)</f>
        <v>1.00</v>
      </c>
      <c r="AE49" s="9" t="str">
        <f>FIXED(VLOOKUP($A49,'Small Sample 2-Single Family'!$A:$R,AE$1,0),2)</f>
        <v>0.04</v>
      </c>
      <c r="AF49" s="3" t="str">
        <f>FIXED(VLOOKUP($A49,'Small Sample 2-Single Family'!$A:$R,AF$1,0),2)</f>
        <v>0.19</v>
      </c>
      <c r="AG49" s="3" t="str">
        <f>FIXED(VLOOKUP($A49,'Small Sample 2-Single Family'!$A:$R,AG$1,0),2)</f>
        <v>0.00</v>
      </c>
      <c r="AH49" s="13" t="str">
        <f>FIXED(VLOOKUP($A49,'Small Sample 2-Single Family'!$A:$R,AH$1,0),2)</f>
        <v>1.00</v>
      </c>
      <c r="AI49" s="9" t="str">
        <f>FIXED(VLOOKUP($A49,'Small Sample 2-Single Family'!$A:$R,AI$1,0),2)</f>
        <v>0.03</v>
      </c>
      <c r="AJ49" s="3" t="str">
        <f>FIXED(VLOOKUP($A49,'Small Sample 2-Single Family'!$A:$R,AJ$1,0),2)</f>
        <v>0.17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73" x14ac:dyDescent="0.25">
      <c r="A50" t="s">
        <v>76</v>
      </c>
      <c r="B50" s="4" t="s">
        <v>152</v>
      </c>
      <c r="C50" s="9" t="str">
        <f>FIXED(VLOOKUP($A50,'Full Sample-Single Family'!$A:$R,C$1,0),2)</f>
        <v>0.51</v>
      </c>
      <c r="D50" s="3" t="str">
        <f>FIXED(VLOOKUP($A50,'Full Sample-Single Family'!$A:$R,D$1,0),2)</f>
        <v>0.50</v>
      </c>
      <c r="E50" s="3" t="str">
        <f>FIXED(VLOOKUP($A50,'Full Sample-Single Family'!$A:$R,E$1,0),2)</f>
        <v>0.00</v>
      </c>
      <c r="F50" s="3" t="str">
        <f>FIXED(VLOOKUP($A50,'Full Sample-Single Family'!$A:$R,F$1,0),2)</f>
        <v>1.00</v>
      </c>
      <c r="G50" s="9" t="str">
        <f>FIXED(VLOOKUP($A50,'Full Sample-Single Family'!$A:$R,G$1,0),2)</f>
        <v>0.54</v>
      </c>
      <c r="H50" s="3" t="str">
        <f>FIXED(VLOOKUP($A50,'Full Sample-Single Family'!$A:$R,H$1,0),2)</f>
        <v>0.50</v>
      </c>
      <c r="I50" s="3" t="str">
        <f>FIXED(VLOOKUP($A50,'Full Sample-Single Family'!$A:$R,I$1,0),2)</f>
        <v>0.00</v>
      </c>
      <c r="J50" s="13" t="str">
        <f>FIXED(VLOOKUP($A50,'Full Sample-Single Family'!$A:$R,J$1,0),2)</f>
        <v>1.00</v>
      </c>
      <c r="K50" s="9" t="str">
        <f>FIXED(VLOOKUP($A50,'Full Sample-Single Family'!$A:$R,K$1,0),2)</f>
        <v>0.47</v>
      </c>
      <c r="L50" s="3" t="str">
        <f>FIXED(VLOOKUP($A50,'Full Sample-Single Family'!$A:$R,L$1,0),2)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1-Single Family'!$A:$R,O$1,0),2)</f>
        <v>0.50</v>
      </c>
      <c r="P50" s="3" t="str">
        <f>FIXED(VLOOKUP($A50,'Small Sample 1-Single Family'!$A:$R,P$1,0),2)</f>
        <v>0.50</v>
      </c>
      <c r="Q50" s="3" t="str">
        <f>FIXED(VLOOKUP($A50,'Small Sample 1-Single Family'!$A:$R,Q$1,0),2)</f>
        <v>0.00</v>
      </c>
      <c r="R50" s="3" t="str">
        <f>FIXED(VLOOKUP($A50,'Small Sample 1-Single Family'!$A:$R,R$1,0),2)</f>
        <v>1.00</v>
      </c>
      <c r="S50" s="9" t="str">
        <f>FIXED(VLOOKUP($A50,'Small Sample 1-Single Family'!$A:$R,S$1,0),2)</f>
        <v>0.53</v>
      </c>
      <c r="T50" s="3" t="str">
        <f>FIXED(VLOOKUP($A50,'Small Sample 1-Single Family'!$A:$R,T$1,0),2)</f>
        <v>0.50</v>
      </c>
      <c r="U50" s="3" t="str">
        <f>FIXED(VLOOKUP($A50,'Small Sample 1-Single Family'!$A:$R,U$1,0),2)</f>
        <v>0.00</v>
      </c>
      <c r="V50" s="13" t="str">
        <f>FIXED(VLOOKUP($A50,'Small Sample 1-Single Family'!$A:$R,V$1,0),2)</f>
        <v>1.00</v>
      </c>
      <c r="W50" s="9" t="str">
        <f>FIXED(VLOOKUP($A50,'Small Sample 1-Single Family'!$A:$R,W$1,0),2)</f>
        <v>0.47</v>
      </c>
      <c r="X50" s="3" t="str">
        <f>FIXED(VLOOKUP($A50,'Small Sample 1-Single Family'!$A:$R,X$1,0),2)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2-Single Family'!$A:$R,AA$1,0),2)</f>
        <v>0.52</v>
      </c>
      <c r="AB50" s="3" t="str">
        <f>FIXED(VLOOKUP($A50,'Small Sample 2-Single Family'!$A:$R,AB$1,0),2)</f>
        <v>0.50</v>
      </c>
      <c r="AC50" s="3" t="str">
        <f>FIXED(VLOOKUP($A50,'Small Sample 2-Single Family'!$A:$R,AC$1,0),2)</f>
        <v>0.00</v>
      </c>
      <c r="AD50" s="3" t="str">
        <f>FIXED(VLOOKUP($A50,'Small Sample 2-Single Family'!$A:$R,AD$1,0),2)</f>
        <v>1.00</v>
      </c>
      <c r="AE50" s="9" t="str">
        <f>FIXED(VLOOKUP($A50,'Small Sample 2-Single Family'!$A:$R,AE$1,0),2)</f>
        <v>0.54</v>
      </c>
      <c r="AF50" s="3" t="str">
        <f>FIXED(VLOOKUP($A50,'Small Sample 2-Single Family'!$A:$R,AF$1,0),2)</f>
        <v>0.50</v>
      </c>
      <c r="AG50" s="3" t="str">
        <f>FIXED(VLOOKUP($A50,'Small Sample 2-Single Family'!$A:$R,AG$1,0),2)</f>
        <v>0.00</v>
      </c>
      <c r="AH50" s="13" t="str">
        <f>FIXED(VLOOKUP($A50,'Small Sample 2-Single Family'!$A:$R,AH$1,0),2)</f>
        <v>1.00</v>
      </c>
      <c r="AI50" s="9" t="str">
        <f>FIXED(VLOOKUP($A50,'Small Sample 2-Single Family'!$A:$R,AI$1,0),2)</f>
        <v>0.47</v>
      </c>
      <c r="AJ50" s="3" t="str">
        <f>FIXED(VLOOKUP($A50,'Small Sample 2-Single Family'!$A:$R,AJ$1,0),2)</f>
        <v>0.50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73" x14ac:dyDescent="0.25">
      <c r="A51" t="s">
        <v>77</v>
      </c>
      <c r="B51" s="4" t="s">
        <v>153</v>
      </c>
      <c r="C51" s="9" t="str">
        <f>FIXED(VLOOKUP($A51,'Full Sample-Single Family'!$A:$R,C$1,0),2)</f>
        <v>0.12</v>
      </c>
      <c r="D51" s="3" t="str">
        <f>FIXED(VLOOKUP($A51,'Full Sample-Single Family'!$A:$R,D$1,0),2)</f>
        <v>0.33</v>
      </c>
      <c r="E51" s="3" t="str">
        <f>FIXED(VLOOKUP($A51,'Full Sample-Single Family'!$A:$R,E$1,0),2)</f>
        <v>0.00</v>
      </c>
      <c r="F51" s="3" t="str">
        <f>FIXED(VLOOKUP($A51,'Full Sample-Single Family'!$A:$R,F$1,0),2)</f>
        <v>1.00</v>
      </c>
      <c r="G51" s="9" t="str">
        <f>FIXED(VLOOKUP($A51,'Full Sample-Single Family'!$A:$R,G$1,0),2)</f>
        <v>0.12</v>
      </c>
      <c r="H51" s="3" t="str">
        <f>FIXED(VLOOKUP($A51,'Full Sample-Single Family'!$A:$R,H$1,0),2)</f>
        <v>0.32</v>
      </c>
      <c r="I51" s="3" t="str">
        <f>FIXED(VLOOKUP($A51,'Full Sample-Single Family'!$A:$R,I$1,0),2)</f>
        <v>0.00</v>
      </c>
      <c r="J51" s="13" t="str">
        <f>FIXED(VLOOKUP($A51,'Full Sample-Single Family'!$A:$R,J$1,0),2)</f>
        <v>1.00</v>
      </c>
      <c r="K51" s="9" t="str">
        <f>FIXED(VLOOKUP($A51,'Full Sample-Single Family'!$A:$R,K$1,0),2)</f>
        <v>0.13</v>
      </c>
      <c r="L51" s="3" t="str">
        <f>FIXED(VLOOKUP($A51,'Full Sample-Single Family'!$A:$R,L$1,0),2)</f>
        <v>0.34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1-Single Family'!$A:$R,O$1,0),2)</f>
        <v>0.12</v>
      </c>
      <c r="P51" s="3" t="str">
        <f>FIXED(VLOOKUP($A51,'Small Sample 1-Single Family'!$A:$R,P$1,0),2)</f>
        <v>0.33</v>
      </c>
      <c r="Q51" s="3" t="str">
        <f>FIXED(VLOOKUP($A51,'Small Sample 1-Single Family'!$A:$R,Q$1,0),2)</f>
        <v>0.00</v>
      </c>
      <c r="R51" s="3" t="str">
        <f>FIXED(VLOOKUP($A51,'Small Sample 1-Single Family'!$A:$R,R$1,0),2)</f>
        <v>1.00</v>
      </c>
      <c r="S51" s="9" t="str">
        <f>FIXED(VLOOKUP($A51,'Small Sample 1-Single Family'!$A:$R,S$1,0),2)</f>
        <v>0.12</v>
      </c>
      <c r="T51" s="3" t="str">
        <f>FIXED(VLOOKUP($A51,'Small Sample 1-Single Family'!$A:$R,T$1,0),2)</f>
        <v>0.32</v>
      </c>
      <c r="U51" s="3" t="str">
        <f>FIXED(VLOOKUP($A51,'Small Sample 1-Single Family'!$A:$R,U$1,0),2)</f>
        <v>0.00</v>
      </c>
      <c r="V51" s="13" t="str">
        <f>FIXED(VLOOKUP($A51,'Small Sample 1-Single Family'!$A:$R,V$1,0),2)</f>
        <v>1.00</v>
      </c>
      <c r="W51" s="9" t="str">
        <f>FIXED(VLOOKUP($A51,'Small Sample 1-Single Family'!$A:$R,W$1,0),2)</f>
        <v>0.13</v>
      </c>
      <c r="X51" s="3" t="str">
        <f>FIXED(VLOOKUP($A51,'Small Sample 1-Single Family'!$A:$R,X$1,0),2)</f>
        <v>0.34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2-Single Family'!$A:$R,AA$1,0),2)</f>
        <v>0.12</v>
      </c>
      <c r="AB51" s="3" t="str">
        <f>FIXED(VLOOKUP($A51,'Small Sample 2-Single Family'!$A:$R,AB$1,0),2)</f>
        <v>0.33</v>
      </c>
      <c r="AC51" s="3" t="str">
        <f>FIXED(VLOOKUP($A51,'Small Sample 2-Single Family'!$A:$R,AC$1,0),2)</f>
        <v>0.00</v>
      </c>
      <c r="AD51" s="3" t="str">
        <f>FIXED(VLOOKUP($A51,'Small Sample 2-Single Family'!$A:$R,AD$1,0),2)</f>
        <v>1.00</v>
      </c>
      <c r="AE51" s="9" t="str">
        <f>FIXED(VLOOKUP($A51,'Small Sample 2-Single Family'!$A:$R,AE$1,0),2)</f>
        <v>0.12</v>
      </c>
      <c r="AF51" s="3" t="str">
        <f>FIXED(VLOOKUP($A51,'Small Sample 2-Single Family'!$A:$R,AF$1,0),2)</f>
        <v>0.32</v>
      </c>
      <c r="AG51" s="3" t="str">
        <f>FIXED(VLOOKUP($A51,'Small Sample 2-Single Family'!$A:$R,AG$1,0),2)</f>
        <v>0.00</v>
      </c>
      <c r="AH51" s="13" t="str">
        <f>FIXED(VLOOKUP($A51,'Small Sample 2-Single Family'!$A:$R,AH$1,0),2)</f>
        <v>1.00</v>
      </c>
      <c r="AI51" s="9" t="str">
        <f>FIXED(VLOOKUP($A51,'Small Sample 2-Single Family'!$A:$R,AI$1,0),2)</f>
        <v>0.13</v>
      </c>
      <c r="AJ51" s="3" t="str">
        <f>FIXED(VLOOKUP($A51,'Small Sample 2-Single Family'!$A:$R,AJ$1,0),2)</f>
        <v>0.33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73" x14ac:dyDescent="0.25">
      <c r="A52" t="s">
        <v>78</v>
      </c>
      <c r="B52" s="4" t="s">
        <v>154</v>
      </c>
      <c r="C52" s="9" t="str">
        <f>FIXED(VLOOKUP($A52,'Full Sample-Single Family'!$A:$R,C$1,0),2)</f>
        <v>0.25</v>
      </c>
      <c r="D52" s="3" t="str">
        <f>FIXED(VLOOKUP($A52,'Full Sample-Single Family'!$A:$R,D$1,0),2)</f>
        <v>0.43</v>
      </c>
      <c r="E52" s="3" t="str">
        <f>FIXED(VLOOKUP($A52,'Full Sample-Single Family'!$A:$R,E$1,0),2)</f>
        <v>0.00</v>
      </c>
      <c r="F52" s="3" t="str">
        <f>FIXED(VLOOKUP($A52,'Full Sample-Single Family'!$A:$R,F$1,0),2)</f>
        <v>1.00</v>
      </c>
      <c r="G52" s="9" t="str">
        <f>FIXED(VLOOKUP($A52,'Full Sample-Single Family'!$A:$R,G$1,0),2)</f>
        <v>0.24</v>
      </c>
      <c r="H52" s="3" t="str">
        <f>FIXED(VLOOKUP($A52,'Full Sample-Single Family'!$A:$R,H$1,0),2)</f>
        <v>0.42</v>
      </c>
      <c r="I52" s="3" t="str">
        <f>FIXED(VLOOKUP($A52,'Full Sample-Single Family'!$A:$R,I$1,0),2)</f>
        <v>0.00</v>
      </c>
      <c r="J52" s="13" t="str">
        <f>FIXED(VLOOKUP($A52,'Full Sample-Single Family'!$A:$R,J$1,0),2)</f>
        <v>1.00</v>
      </c>
      <c r="K52" s="9" t="str">
        <f>FIXED(VLOOKUP($A52,'Full Sample-Single Family'!$A:$R,K$1,0),2)</f>
        <v>0.28</v>
      </c>
      <c r="L52" s="3" t="str">
        <f>FIXED(VLOOKUP($A52,'Full Sample-Single Family'!$A:$R,L$1,0),2)</f>
        <v>0.45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1-Single Family'!$A:$R,O$1,0),2)</f>
        <v>0.26</v>
      </c>
      <c r="P52" s="3" t="str">
        <f>FIXED(VLOOKUP($A52,'Small Sample 1-Single Family'!$A:$R,P$1,0),2)</f>
        <v>0.44</v>
      </c>
      <c r="Q52" s="3" t="str">
        <f>FIXED(VLOOKUP($A52,'Small Sample 1-Single Family'!$A:$R,Q$1,0),2)</f>
        <v>0.00</v>
      </c>
      <c r="R52" s="3" t="str">
        <f>FIXED(VLOOKUP($A52,'Small Sample 1-Single Family'!$A:$R,R$1,0),2)</f>
        <v>1.00</v>
      </c>
      <c r="S52" s="9" t="str">
        <f>FIXED(VLOOKUP($A52,'Small Sample 1-Single Family'!$A:$R,S$1,0),2)</f>
        <v>0.24</v>
      </c>
      <c r="T52" s="3" t="str">
        <f>FIXED(VLOOKUP($A52,'Small Sample 1-Single Family'!$A:$R,T$1,0),2)</f>
        <v>0.43</v>
      </c>
      <c r="U52" s="3" t="str">
        <f>FIXED(VLOOKUP($A52,'Small Sample 1-Single Family'!$A:$R,U$1,0),2)</f>
        <v>0.00</v>
      </c>
      <c r="V52" s="13" t="str">
        <f>FIXED(VLOOKUP($A52,'Small Sample 1-Single Family'!$A:$R,V$1,0),2)</f>
        <v>1.00</v>
      </c>
      <c r="W52" s="9" t="str">
        <f>FIXED(VLOOKUP($A52,'Small Sample 1-Single Family'!$A:$R,W$1,0),2)</f>
        <v>0.28</v>
      </c>
      <c r="X52" s="3" t="str">
        <f>FIXED(VLOOKUP($A52,'Small Sample 1-Single Family'!$A:$R,X$1,0),2)</f>
        <v>0.45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2-Single Family'!$A:$R,AA$1,0),2)</f>
        <v>0.25</v>
      </c>
      <c r="AB52" s="3" t="str">
        <f>FIXED(VLOOKUP($A52,'Small Sample 2-Single Family'!$A:$R,AB$1,0),2)</f>
        <v>0.43</v>
      </c>
      <c r="AC52" s="3" t="str">
        <f>FIXED(VLOOKUP($A52,'Small Sample 2-Single Family'!$A:$R,AC$1,0),2)</f>
        <v>0.00</v>
      </c>
      <c r="AD52" s="3" t="str">
        <f>FIXED(VLOOKUP($A52,'Small Sample 2-Single Family'!$A:$R,AD$1,0),2)</f>
        <v>1.00</v>
      </c>
      <c r="AE52" s="9" t="str">
        <f>FIXED(VLOOKUP($A52,'Small Sample 2-Single Family'!$A:$R,AE$1,0),2)</f>
        <v>0.23</v>
      </c>
      <c r="AF52" s="3" t="str">
        <f>FIXED(VLOOKUP($A52,'Small Sample 2-Single Family'!$A:$R,AF$1,0),2)</f>
        <v>0.42</v>
      </c>
      <c r="AG52" s="3" t="str">
        <f>FIXED(VLOOKUP($A52,'Small Sample 2-Single Family'!$A:$R,AG$1,0),2)</f>
        <v>0.00</v>
      </c>
      <c r="AH52" s="13" t="str">
        <f>FIXED(VLOOKUP($A52,'Small Sample 2-Single Family'!$A:$R,AH$1,0),2)</f>
        <v>1.00</v>
      </c>
      <c r="AI52" s="9" t="str">
        <f>FIXED(VLOOKUP($A52,'Small Sample 2-Single Family'!$A:$R,AI$1,0),2)</f>
        <v>0.27</v>
      </c>
      <c r="AJ52" s="3" t="str">
        <f>FIXED(VLOOKUP($A52,'Small Sample 2-Single Family'!$A:$R,AJ$1,0),2)</f>
        <v>0.44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73" x14ac:dyDescent="0.25">
      <c r="A53" t="s">
        <v>170</v>
      </c>
      <c r="B53" s="4" t="s">
        <v>176</v>
      </c>
      <c r="C53" s="9" t="str">
        <f>FIXED(VLOOKUP($A53,'Full Sample-Single Family'!$A:$R,C$1,0),2)</f>
        <v>0.08</v>
      </c>
      <c r="D53" s="3" t="str">
        <f>FIXED(VLOOKUP($A53,'Full Sample-Single Family'!$A:$R,D$1,0),2)</f>
        <v>0.27</v>
      </c>
      <c r="E53" s="3" t="str">
        <f>FIXED(VLOOKUP($A53,'Full Sample-Single Family'!$A:$R,E$1,0),2)</f>
        <v>0.00</v>
      </c>
      <c r="F53" s="3" t="str">
        <f>FIXED(VLOOKUP($A53,'Full Sample-Single Family'!$A:$R,F$1,0),2)</f>
        <v>1.00</v>
      </c>
      <c r="G53" s="9" t="str">
        <f>FIXED(VLOOKUP($A53,'Full Sample-Single Family'!$A:$R,G$1,0),2)</f>
        <v>0.07</v>
      </c>
      <c r="H53" s="3" t="str">
        <f>FIXED(VLOOKUP($A53,'Full Sample-Single Family'!$A:$R,H$1,0),2)</f>
        <v>0.25</v>
      </c>
      <c r="I53" s="3" t="str">
        <f>FIXED(VLOOKUP($A53,'Full Sample-Single Family'!$A:$R,I$1,0),2)</f>
        <v>0.00</v>
      </c>
      <c r="J53" s="13" t="str">
        <f>FIXED(VLOOKUP($A53,'Full Sample-Single Family'!$A:$R,J$1,0),2)</f>
        <v>1.00</v>
      </c>
      <c r="K53" s="9" t="str">
        <f>FIXED(VLOOKUP($A53,'Full Sample-Single Family'!$A:$R,K$1,0),2)</f>
        <v>0.10</v>
      </c>
      <c r="L53" s="3" t="str">
        <f>FIXED(VLOOKUP($A53,'Full Sample-Single Family'!$A:$R,L$1,0),2)</f>
        <v>0.29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1-Single Family'!$A:$R,O$1,0),2)</f>
        <v>0.08</v>
      </c>
      <c r="P53" s="3" t="str">
        <f>FIXED(VLOOKUP($A53,'Small Sample 1-Single Family'!$A:$R,P$1,0),2)</f>
        <v>0.28</v>
      </c>
      <c r="Q53" s="3" t="str">
        <f>FIXED(VLOOKUP($A53,'Small Sample 1-Single Family'!$A:$R,Q$1,0),2)</f>
        <v>0.00</v>
      </c>
      <c r="R53" s="3" t="str">
        <f>FIXED(VLOOKUP($A53,'Small Sample 1-Single Family'!$A:$R,R$1,0),2)</f>
        <v>1.00</v>
      </c>
      <c r="S53" s="9" t="str">
        <f>FIXED(VLOOKUP($A53,'Small Sample 1-Single Family'!$A:$R,S$1,0),2)</f>
        <v>0.07</v>
      </c>
      <c r="T53" s="3" t="str">
        <f>FIXED(VLOOKUP($A53,'Small Sample 1-Single Family'!$A:$R,T$1,0),2)</f>
        <v>0.26</v>
      </c>
      <c r="U53" s="3" t="str">
        <f>FIXED(VLOOKUP($A53,'Small Sample 1-Single Family'!$A:$R,U$1,0),2)</f>
        <v>0.00</v>
      </c>
      <c r="V53" s="13" t="str">
        <f>FIXED(VLOOKUP($A53,'Small Sample 1-Single Family'!$A:$R,V$1,0),2)</f>
        <v>1.00</v>
      </c>
      <c r="W53" s="9" t="str">
        <f>FIXED(VLOOKUP($A53,'Small Sample 1-Single Family'!$A:$R,W$1,0),2)</f>
        <v>0.10</v>
      </c>
      <c r="X53" s="3" t="str">
        <f>FIXED(VLOOKUP($A53,'Small Sample 1-Single Family'!$A:$R,X$1,0),2)</f>
        <v>0.30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2-Single Family'!$A:$R,AA$1,0),2)</f>
        <v>0.08</v>
      </c>
      <c r="AB53" s="3" t="str">
        <f>FIXED(VLOOKUP($A53,'Small Sample 2-Single Family'!$A:$R,AB$1,0),2)</f>
        <v>0.27</v>
      </c>
      <c r="AC53" s="3" t="str">
        <f>FIXED(VLOOKUP($A53,'Small Sample 2-Single Family'!$A:$R,AC$1,0),2)</f>
        <v>0.00</v>
      </c>
      <c r="AD53" s="3" t="str">
        <f>FIXED(VLOOKUP($A53,'Small Sample 2-Single Family'!$A:$R,AD$1,0),2)</f>
        <v>1.00</v>
      </c>
      <c r="AE53" s="9" t="str">
        <f>FIXED(VLOOKUP($A53,'Small Sample 2-Single Family'!$A:$R,AE$1,0),2)</f>
        <v>0.07</v>
      </c>
      <c r="AF53" s="3" t="str">
        <f>FIXED(VLOOKUP($A53,'Small Sample 2-Single Family'!$A:$R,AF$1,0),2)</f>
        <v>0.25</v>
      </c>
      <c r="AG53" s="3" t="str">
        <f>FIXED(VLOOKUP($A53,'Small Sample 2-Single Family'!$A:$R,AG$1,0),2)</f>
        <v>0.00</v>
      </c>
      <c r="AH53" s="13" t="str">
        <f>FIXED(VLOOKUP($A53,'Small Sample 2-Single Family'!$A:$R,AH$1,0),2)</f>
        <v>1.00</v>
      </c>
      <c r="AI53" s="9" t="str">
        <f>FIXED(VLOOKUP($A53,'Small Sample 2-Single Family'!$A:$R,AI$1,0),2)</f>
        <v>0.10</v>
      </c>
      <c r="AJ53" s="3" t="str">
        <f>FIXED(VLOOKUP($A53,'Small Sample 2-Single Family'!$A:$R,AJ$1,0),2)</f>
        <v>0.30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73" x14ac:dyDescent="0.25">
      <c r="A54" t="s">
        <v>52</v>
      </c>
      <c r="B54" s="4" t="s">
        <v>132</v>
      </c>
      <c r="C54" s="9" t="str">
        <f>FIXED(VLOOKUP($A54,'Full Sample-Single Family'!$A:$R,C$1,0),2)</f>
        <v>0.44</v>
      </c>
      <c r="D54" s="3" t="str">
        <f>FIXED(VLOOKUP($A54,'Full Sample-Single Family'!$A:$R,D$1,0),2)</f>
        <v>0.50</v>
      </c>
      <c r="E54" s="3" t="str">
        <f>FIXED(VLOOKUP($A54,'Full Sample-Single Family'!$A:$R,E$1,0),2)</f>
        <v>0.00</v>
      </c>
      <c r="F54" s="3" t="str">
        <f>FIXED(VLOOKUP($A54,'Full Sample-Single Family'!$A:$R,F$1,0),2)</f>
        <v>1.00</v>
      </c>
      <c r="G54" s="9" t="str">
        <f>FIXED(VLOOKUP($A54,'Full Sample-Single Family'!$A:$R,G$1,0),2)</f>
        <v>0.41</v>
      </c>
      <c r="H54" s="3" t="str">
        <f>FIXED(VLOOKUP($A54,'Full Sample-Single Family'!$A:$R,H$1,0),2)</f>
        <v>0.49</v>
      </c>
      <c r="I54" s="3" t="str">
        <f>FIXED(VLOOKUP($A54,'Full Sample-Single Family'!$A:$R,I$1,0),2)</f>
        <v>0.00</v>
      </c>
      <c r="J54" s="13" t="str">
        <f>FIXED(VLOOKUP($A54,'Full Sample-Single Family'!$A:$R,J$1,0),2)</f>
        <v>1.00</v>
      </c>
      <c r="K54" s="9" t="str">
        <f>FIXED(VLOOKUP($A54,'Full Sample-Single Family'!$A:$R,K$1,0),2)</f>
        <v>0.49</v>
      </c>
      <c r="L54" s="3" t="str">
        <f>FIXED(VLOOKUP($A54,'Full Sample-Single Family'!$A:$R,L$1,0),2)</f>
        <v>0.50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1-Single Family'!$A:$R,O$1,0),2)</f>
        <v>0.45</v>
      </c>
      <c r="P54" s="3" t="str">
        <f>FIXED(VLOOKUP($A54,'Small Sample 1-Single Family'!$A:$R,P$1,0),2)</f>
        <v>0.50</v>
      </c>
      <c r="Q54" s="3" t="str">
        <f>FIXED(VLOOKUP($A54,'Small Sample 1-Single Family'!$A:$R,Q$1,0),2)</f>
        <v>0.00</v>
      </c>
      <c r="R54" s="3" t="str">
        <f>FIXED(VLOOKUP($A54,'Small Sample 1-Single Family'!$A:$R,R$1,0),2)</f>
        <v>1.00</v>
      </c>
      <c r="S54" s="9" t="str">
        <f>FIXED(VLOOKUP($A54,'Small Sample 1-Single Family'!$A:$R,S$1,0),2)</f>
        <v>0.42</v>
      </c>
      <c r="T54" s="3" t="str">
        <f>FIXED(VLOOKUP($A54,'Small Sample 1-Single Family'!$A:$R,T$1,0),2)</f>
        <v>0.49</v>
      </c>
      <c r="U54" s="3" t="str">
        <f>FIXED(VLOOKUP($A54,'Small Sample 1-Single Family'!$A:$R,U$1,0),2)</f>
        <v>0.00</v>
      </c>
      <c r="V54" s="13" t="str">
        <f>FIXED(VLOOKUP($A54,'Small Sample 1-Single Family'!$A:$R,V$1,0),2)</f>
        <v>1.00</v>
      </c>
      <c r="W54" s="9" t="str">
        <f>FIXED(VLOOKUP($A54,'Small Sample 1-Single Family'!$A:$R,W$1,0),2)</f>
        <v>0.49</v>
      </c>
      <c r="X54" s="3" t="str">
        <f>FIXED(VLOOKUP($A54,'Small Sample 1-Single Family'!$A:$R,X$1,0),2)</f>
        <v>0.50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2-Single Family'!$A:$R,AA$1,0),2)</f>
        <v>0.43</v>
      </c>
      <c r="AB54" s="3" t="str">
        <f>FIXED(VLOOKUP($A54,'Small Sample 2-Single Family'!$A:$R,AB$1,0),2)</f>
        <v>0.49</v>
      </c>
      <c r="AC54" s="3" t="str">
        <f>FIXED(VLOOKUP($A54,'Small Sample 2-Single Family'!$A:$R,AC$1,0),2)</f>
        <v>0.00</v>
      </c>
      <c r="AD54" s="3" t="str">
        <f>FIXED(VLOOKUP($A54,'Small Sample 2-Single Family'!$A:$R,AD$1,0),2)</f>
        <v>1.00</v>
      </c>
      <c r="AE54" s="9" t="str">
        <f>FIXED(VLOOKUP($A54,'Small Sample 2-Single Family'!$A:$R,AE$1,0),2)</f>
        <v>0.40</v>
      </c>
      <c r="AF54" s="3" t="str">
        <f>FIXED(VLOOKUP($A54,'Small Sample 2-Single Family'!$A:$R,AF$1,0),2)</f>
        <v>0.49</v>
      </c>
      <c r="AG54" s="3" t="str">
        <f>FIXED(VLOOKUP($A54,'Small Sample 2-Single Family'!$A:$R,AG$1,0),2)</f>
        <v>0.00</v>
      </c>
      <c r="AH54" s="13" t="str">
        <f>FIXED(VLOOKUP($A54,'Small Sample 2-Single Family'!$A:$R,AH$1,0),2)</f>
        <v>1.00</v>
      </c>
      <c r="AI54" s="9" t="str">
        <f>FIXED(VLOOKUP($A54,'Small Sample 2-Single Family'!$A:$R,AI$1,0),2)</f>
        <v>0.47</v>
      </c>
      <c r="AJ54" s="3" t="str">
        <f>FIXED(VLOOKUP($A54,'Small Sample 2-Single Family'!$A:$R,AJ$1,0),2)</f>
        <v>0.50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73" x14ac:dyDescent="0.25">
      <c r="A55" t="s">
        <v>51</v>
      </c>
      <c r="B55" t="s">
        <v>131</v>
      </c>
      <c r="C55" s="9" t="str">
        <f>FIXED(VLOOKUP($A55,'Full Sample-Single Family'!$A:$R,C$1,0),2)</f>
        <v>0.02</v>
      </c>
      <c r="D55" s="3" t="str">
        <f>FIXED(VLOOKUP($A55,'Full Sample-Single Family'!$A:$R,D$1,0),2)</f>
        <v>0.14</v>
      </c>
      <c r="E55" s="3" t="str">
        <f>FIXED(VLOOKUP($A55,'Full Sample-Single Family'!$A:$R,E$1,0),2)</f>
        <v>0.00</v>
      </c>
      <c r="F55" s="3" t="str">
        <f>FIXED(VLOOKUP($A55,'Full Sample-Single Family'!$A:$R,F$1,0),2)</f>
        <v>1.00</v>
      </c>
      <c r="G55" s="9" t="str">
        <f>FIXED(VLOOKUP($A55,'Full Sample-Single Family'!$A:$R,G$1,0),2)</f>
        <v>0.00</v>
      </c>
      <c r="H55" s="3" t="str">
        <f>FIXED(VLOOKUP($A55,'Full Sample-Single Family'!$A:$R,H$1,0),2)</f>
        <v>0.00</v>
      </c>
      <c r="I55" s="3" t="str">
        <f>FIXED(VLOOKUP($A55,'Full Sample-Single Family'!$A:$R,I$1,0),2)</f>
        <v>0.00</v>
      </c>
      <c r="J55" s="13" t="str">
        <f>FIXED(VLOOKUP($A55,'Full Sample-Single Family'!$A:$R,J$1,0),2)</f>
        <v>0.00</v>
      </c>
      <c r="K55" s="9" t="str">
        <f>FIXED(VLOOKUP($A55,'Full Sample-Single Family'!$A:$R,K$1,0),2)</f>
        <v>0.05</v>
      </c>
      <c r="L55" s="3" t="str">
        <f>FIXED(VLOOKUP($A55,'Full Sample-Single Family'!$A:$R,L$1,0),2)</f>
        <v>0.22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1-Single Family'!$A:$R,O$1,0),2)</f>
        <v>0.02</v>
      </c>
      <c r="P55" s="3" t="str">
        <f>FIXED(VLOOKUP($A55,'Small Sample 1-Single Family'!$A:$R,P$1,0),2)</f>
        <v>0.15</v>
      </c>
      <c r="Q55" s="3" t="str">
        <f>FIXED(VLOOKUP($A55,'Small Sample 1-Single Family'!$A:$R,Q$1,0),2)</f>
        <v>0.00</v>
      </c>
      <c r="R55" s="3" t="str">
        <f>FIXED(VLOOKUP($A55,'Small Sample 1-Single Family'!$A:$R,R$1,0),2)</f>
        <v>1.00</v>
      </c>
      <c r="S55" s="9" t="str">
        <f>FIXED(VLOOKUP($A55,'Small Sample 1-Single Family'!$A:$R,S$1,0),2)</f>
        <v>0.00</v>
      </c>
      <c r="T55" s="3" t="str">
        <f>FIXED(VLOOKUP($A55,'Small Sample 1-Single Family'!$A:$R,T$1,0),2)</f>
        <v>0.00</v>
      </c>
      <c r="U55" s="3" t="str">
        <f>FIXED(VLOOKUP($A55,'Small Sample 1-Single Family'!$A:$R,U$1,0),2)</f>
        <v>0.00</v>
      </c>
      <c r="V55" s="13" t="str">
        <f>FIXED(VLOOKUP($A55,'Small Sample 1-Single Family'!$A:$R,V$1,0),2)</f>
        <v>0.00</v>
      </c>
      <c r="W55" s="9" t="str">
        <f>FIXED(VLOOKUP($A55,'Small Sample 1-Single Family'!$A:$R,W$1,0),2)</f>
        <v>0.05</v>
      </c>
      <c r="X55" s="3" t="str">
        <f>FIXED(VLOOKUP($A55,'Small Sample 1-Single Family'!$A:$R,X$1,0),2)</f>
        <v>0.22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2-Single Family'!$A:$R,AA$1,0),2)</f>
        <v>0.02</v>
      </c>
      <c r="AB55" s="3" t="str">
        <f>FIXED(VLOOKUP($A55,'Small Sample 2-Single Family'!$A:$R,AB$1,0),2)</f>
        <v>0.14</v>
      </c>
      <c r="AC55" s="3" t="str">
        <f>FIXED(VLOOKUP($A55,'Small Sample 2-Single Family'!$A:$R,AC$1,0),2)</f>
        <v>0.00</v>
      </c>
      <c r="AD55" s="3" t="str">
        <f>FIXED(VLOOKUP($A55,'Small Sample 2-Single Family'!$A:$R,AD$1,0),2)</f>
        <v>1.00</v>
      </c>
      <c r="AE55" s="9" t="str">
        <f>FIXED(VLOOKUP($A55,'Small Sample 2-Single Family'!$A:$R,AE$1,0),2)</f>
        <v>0.00</v>
      </c>
      <c r="AF55" s="3" t="str">
        <f>FIXED(VLOOKUP($A55,'Small Sample 2-Single Family'!$A:$R,AF$1,0),2)</f>
        <v>0.00</v>
      </c>
      <c r="AG55" s="3" t="str">
        <f>FIXED(VLOOKUP($A55,'Small Sample 2-Single Family'!$A:$R,AG$1,0),2)</f>
        <v>0.00</v>
      </c>
      <c r="AH55" s="13" t="str">
        <f>FIXED(VLOOKUP($A55,'Small Sample 2-Single Family'!$A:$R,AH$1,0),2)</f>
        <v>0.00</v>
      </c>
      <c r="AI55" s="9" t="str">
        <f>FIXED(VLOOKUP($A55,'Small Sample 2-Single Family'!$A:$R,AI$1,0),2)</f>
        <v>0.05</v>
      </c>
      <c r="AJ55" s="3" t="str">
        <f>FIXED(VLOOKUP($A55,'Small Sample 2-Single Family'!$A:$R,AJ$1,0),2)</f>
        <v>0.22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73" x14ac:dyDescent="0.25">
      <c r="A56" t="s">
        <v>38</v>
      </c>
      <c r="B56" t="s">
        <v>185</v>
      </c>
      <c r="C56" s="9" t="str">
        <f>FIXED(VLOOKUP($A56,'Full Sample-Single Family'!$A:$R,C$1,0),2)</f>
        <v>2.50</v>
      </c>
      <c r="D56" s="3" t="str">
        <f>FIXED(VLOOKUP($A56,'Full Sample-Single Family'!$A:$R,D$1,0),2)</f>
        <v>2.58</v>
      </c>
      <c r="E56" s="3" t="str">
        <f>FIXED(VLOOKUP($A56,'Full Sample-Single Family'!$A:$R,E$1,0),2)</f>
        <v>0.00</v>
      </c>
      <c r="F56" s="3" t="str">
        <f>FIXED(VLOOKUP($A56,'Full Sample-Single Family'!$A:$R,F$1,0),2)</f>
        <v>13.55</v>
      </c>
      <c r="G56" s="9" t="str">
        <f>FIXED(VLOOKUP($A56,'Full Sample-Single Family'!$A:$R,G$1,0),2)</f>
        <v>2.56</v>
      </c>
      <c r="H56" s="3" t="str">
        <f>FIXED(VLOOKUP($A56,'Full Sample-Single Family'!$A:$R,H$1,0),2)</f>
        <v>2.62</v>
      </c>
      <c r="I56" s="3" t="str">
        <f>FIXED(VLOOKUP($A56,'Full Sample-Single Family'!$A:$R,I$1,0),2)</f>
        <v>0.00</v>
      </c>
      <c r="J56" s="13" t="str">
        <f>FIXED(VLOOKUP($A56,'Full Sample-Single Family'!$A:$R,J$1,0),2)</f>
        <v>13.55</v>
      </c>
      <c r="K56" s="9" t="str">
        <f>FIXED(VLOOKUP($A56,'Full Sample-Single Family'!$A:$R,K$1,0),2)</f>
        <v>2.42</v>
      </c>
      <c r="L56" s="3" t="str">
        <f>FIXED(VLOOKUP($A56,'Full Sample-Single Family'!$A:$R,L$1,0),2)</f>
        <v>2.52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1-Single Family'!$A:$R,O$1,0),2)</f>
        <v>2.53</v>
      </c>
      <c r="P56" s="3" t="str">
        <f>FIXED(VLOOKUP($A56,'Small Sample 1-Single Family'!$A:$R,P$1,0),2)</f>
        <v>2.61</v>
      </c>
      <c r="Q56" s="3" t="str">
        <f>FIXED(VLOOKUP($A56,'Small Sample 1-Single Family'!$A:$R,Q$1,0),2)</f>
        <v>0.00</v>
      </c>
      <c r="R56" s="3" t="str">
        <f>FIXED(VLOOKUP($A56,'Small Sample 1-Single Family'!$A:$R,R$1,0),2)</f>
        <v>13.55</v>
      </c>
      <c r="S56" s="9" t="str">
        <f>FIXED(VLOOKUP($A56,'Small Sample 1-Single Family'!$A:$R,S$1,0),2)</f>
        <v>2.61</v>
      </c>
      <c r="T56" s="3" t="str">
        <f>FIXED(VLOOKUP($A56,'Small Sample 1-Single Family'!$A:$R,T$1,0),2)</f>
        <v>2.67</v>
      </c>
      <c r="U56" s="3" t="str">
        <f>FIXED(VLOOKUP($A56,'Small Sample 1-Single Family'!$A:$R,U$1,0),2)</f>
        <v>0.00</v>
      </c>
      <c r="V56" s="13" t="str">
        <f>FIXED(VLOOKUP($A56,'Small Sample 1-Single Family'!$A:$R,V$1,0),2)</f>
        <v>13.55</v>
      </c>
      <c r="W56" s="9" t="str">
        <f>FIXED(VLOOKUP($A56,'Small Sample 1-Single Family'!$A:$R,W$1,0),2)</f>
        <v>2.43</v>
      </c>
      <c r="X56" s="3" t="str">
        <f>FIXED(VLOOKUP($A56,'Small Sample 1-Single Family'!$A:$R,X$1,0),2)</f>
        <v>2.54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2-Single Family'!$A:$R,AA$1,0),2)</f>
        <v>2.53</v>
      </c>
      <c r="AB56" s="3" t="str">
        <f>FIXED(VLOOKUP($A56,'Small Sample 2-Single Family'!$A:$R,AB$1,0),2)</f>
        <v>2.61</v>
      </c>
      <c r="AC56" s="3" t="str">
        <f>FIXED(VLOOKUP($A56,'Small Sample 2-Single Family'!$A:$R,AC$1,0),2)</f>
        <v>0.00</v>
      </c>
      <c r="AD56" s="3" t="str">
        <f>FIXED(VLOOKUP($A56,'Small Sample 2-Single Family'!$A:$R,AD$1,0),2)</f>
        <v>13.55</v>
      </c>
      <c r="AE56" s="9" t="str">
        <f>FIXED(VLOOKUP($A56,'Small Sample 2-Single Family'!$A:$R,AE$1,0),2)</f>
        <v>2.57</v>
      </c>
      <c r="AF56" s="3" t="str">
        <f>FIXED(VLOOKUP($A56,'Small Sample 2-Single Family'!$A:$R,AF$1,0),2)</f>
        <v>2.63</v>
      </c>
      <c r="AG56" s="3" t="str">
        <f>FIXED(VLOOKUP($A56,'Small Sample 2-Single Family'!$A:$R,AG$1,0),2)</f>
        <v>0.00</v>
      </c>
      <c r="AH56" s="13" t="str">
        <f>FIXED(VLOOKUP($A56,'Small Sample 2-Single Family'!$A:$R,AH$1,0),2)</f>
        <v>13.55</v>
      </c>
      <c r="AI56" s="9" t="str">
        <f>FIXED(VLOOKUP($A56,'Small Sample 2-Single Family'!$A:$R,AI$1,0),2)</f>
        <v>2.47</v>
      </c>
      <c r="AJ56" s="3" t="str">
        <f>FIXED(VLOOKUP($A56,'Small Sample 2-Single Family'!$A:$R,AJ$1,0),2)</f>
        <v>2.57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73" x14ac:dyDescent="0.25">
      <c r="A57" t="s">
        <v>39</v>
      </c>
      <c r="B57" t="s">
        <v>177</v>
      </c>
      <c r="C57" s="9" t="str">
        <f>FIXED(VLOOKUP($A57,'Full Sample-Single Family'!$A:$R,C$1,0),2)</f>
        <v>0.53</v>
      </c>
      <c r="D57" s="3" t="str">
        <f>FIXED(VLOOKUP($A57,'Full Sample-Single Family'!$A:$R,D$1,0),2)</f>
        <v>0.33</v>
      </c>
      <c r="E57" s="3" t="str">
        <f>FIXED(VLOOKUP($A57,'Full Sample-Single Family'!$A:$R,E$1,0),2)</f>
        <v>0.00</v>
      </c>
      <c r="F57" s="3" t="str">
        <f>FIXED(VLOOKUP($A57,'Full Sample-Single Family'!$A:$R,F$1,0),2)</f>
        <v>3.56</v>
      </c>
      <c r="G57" s="9" t="str">
        <f>FIXED(VLOOKUP($A57,'Full Sample-Single Family'!$A:$R,G$1,0),2)</f>
        <v>0.53</v>
      </c>
      <c r="H57" s="3" t="str">
        <f>FIXED(VLOOKUP($A57,'Full Sample-Single Family'!$A:$R,H$1,0),2)</f>
        <v>0.32</v>
      </c>
      <c r="I57" s="3" t="str">
        <f>FIXED(VLOOKUP($A57,'Full Sample-Single Family'!$A:$R,I$1,0),2)</f>
        <v>0.00</v>
      </c>
      <c r="J57" s="13" t="str">
        <f>FIXED(VLOOKUP($A57,'Full Sample-Single Family'!$A:$R,J$1,0),2)</f>
        <v>3.30</v>
      </c>
      <c r="K57" s="9" t="str">
        <f>FIXED(VLOOKUP($A57,'Full Sample-Single Family'!$A:$R,K$1,0),2)</f>
        <v>0.53</v>
      </c>
      <c r="L57" s="3" t="str">
        <f>FIXED(VLOOKUP($A57,'Full Sample-Single Family'!$A:$R,L$1,0),2)</f>
        <v>0.33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1-Single Family'!$A:$R,O$1,0),2)</f>
        <v>0.53</v>
      </c>
      <c r="P57" s="3" t="str">
        <f>FIXED(VLOOKUP($A57,'Small Sample 1-Single Family'!$A:$R,P$1,0),2)</f>
        <v>0.33</v>
      </c>
      <c r="Q57" s="3" t="str">
        <f>FIXED(VLOOKUP($A57,'Small Sample 1-Single Family'!$A:$R,Q$1,0),2)</f>
        <v>0.00</v>
      </c>
      <c r="R57" s="3" t="str">
        <f>FIXED(VLOOKUP($A57,'Small Sample 1-Single Family'!$A:$R,R$1,0),2)</f>
        <v>3.56</v>
      </c>
      <c r="S57" s="9" t="str">
        <f>FIXED(VLOOKUP($A57,'Small Sample 1-Single Family'!$A:$R,S$1,0),2)</f>
        <v>0.53</v>
      </c>
      <c r="T57" s="3" t="str">
        <f>FIXED(VLOOKUP($A57,'Small Sample 1-Single Family'!$A:$R,T$1,0),2)</f>
        <v>0.32</v>
      </c>
      <c r="U57" s="3" t="str">
        <f>FIXED(VLOOKUP($A57,'Small Sample 1-Single Family'!$A:$R,U$1,0),2)</f>
        <v>0.00</v>
      </c>
      <c r="V57" s="13" t="str">
        <f>FIXED(VLOOKUP($A57,'Small Sample 1-Single Family'!$A:$R,V$1,0),2)</f>
        <v>3.30</v>
      </c>
      <c r="W57" s="9" t="str">
        <f>FIXED(VLOOKUP($A57,'Small Sample 1-Single Family'!$A:$R,W$1,0),2)</f>
        <v>0.53</v>
      </c>
      <c r="X57" s="3" t="str">
        <f>FIXED(VLOOKUP($A57,'Small Sample 1-Single Family'!$A:$R,X$1,0),2)</f>
        <v>0.34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2-Single Family'!$A:$R,AA$1,0),2)</f>
        <v>0.53</v>
      </c>
      <c r="AB57" s="3" t="str">
        <f>FIXED(VLOOKUP($A57,'Small Sample 2-Single Family'!$A:$R,AB$1,0),2)</f>
        <v>0.33</v>
      </c>
      <c r="AC57" s="3" t="str">
        <f>FIXED(VLOOKUP($A57,'Small Sample 2-Single Family'!$A:$R,AC$1,0),2)</f>
        <v>0.00</v>
      </c>
      <c r="AD57" s="3" t="str">
        <f>FIXED(VLOOKUP($A57,'Small Sample 2-Single Family'!$A:$R,AD$1,0),2)</f>
        <v>3.56</v>
      </c>
      <c r="AE57" s="9" t="str">
        <f>FIXED(VLOOKUP($A57,'Small Sample 2-Single Family'!$A:$R,AE$1,0),2)</f>
        <v>0.53</v>
      </c>
      <c r="AF57" s="3" t="str">
        <f>FIXED(VLOOKUP($A57,'Small Sample 2-Single Family'!$A:$R,AF$1,0),2)</f>
        <v>0.33</v>
      </c>
      <c r="AG57" s="3" t="str">
        <f>FIXED(VLOOKUP($A57,'Small Sample 2-Single Family'!$A:$R,AG$1,0),2)</f>
        <v>0.00</v>
      </c>
      <c r="AH57" s="13" t="str">
        <f>FIXED(VLOOKUP($A57,'Small Sample 2-Single Family'!$A:$R,AH$1,0),2)</f>
        <v>3.30</v>
      </c>
      <c r="AI57" s="9" t="str">
        <f>FIXED(VLOOKUP($A57,'Small Sample 2-Single Family'!$A:$R,AI$1,0),2)</f>
        <v>0.52</v>
      </c>
      <c r="AJ57" s="3" t="str">
        <f>FIXED(VLOOKUP($A57,'Small Sample 2-Single Family'!$A:$R,AJ$1,0),2)</f>
        <v>0.34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73" x14ac:dyDescent="0.25">
      <c r="A58" t="s">
        <v>40</v>
      </c>
      <c r="B58" t="s">
        <v>178</v>
      </c>
      <c r="C58" s="9" t="str">
        <f>FIXED(VLOOKUP($A58,'Full Sample-Single Family'!$A:$R,C$1,0),2)</f>
        <v>5.26</v>
      </c>
      <c r="D58" s="3" t="str">
        <f>FIXED(VLOOKUP($A58,'Full Sample-Single Family'!$A:$R,D$1,0),2)</f>
        <v>4.23</v>
      </c>
      <c r="E58" s="3" t="str">
        <f>FIXED(VLOOKUP($A58,'Full Sample-Single Family'!$A:$R,E$1,0),2)</f>
        <v>0.01</v>
      </c>
      <c r="F58" s="3" t="str">
        <f>FIXED(VLOOKUP($A58,'Full Sample-Single Family'!$A:$R,F$1,0),2)</f>
        <v>21.00</v>
      </c>
      <c r="G58" s="9" t="str">
        <f>FIXED(VLOOKUP($A58,'Full Sample-Single Family'!$A:$R,G$1,0),2)</f>
        <v>5.25</v>
      </c>
      <c r="H58" s="3" t="str">
        <f>FIXED(VLOOKUP($A58,'Full Sample-Single Family'!$A:$R,H$1,0),2)</f>
        <v>4.20</v>
      </c>
      <c r="I58" s="3" t="str">
        <f>FIXED(VLOOKUP($A58,'Full Sample-Single Family'!$A:$R,I$1,0),2)</f>
        <v>0.01</v>
      </c>
      <c r="J58" s="13" t="str">
        <f>FIXED(VLOOKUP($A58,'Full Sample-Single Family'!$A:$R,J$1,0),2)</f>
        <v>21.00</v>
      </c>
      <c r="K58" s="9" t="str">
        <f>FIXED(VLOOKUP($A58,'Full Sample-Single Family'!$A:$R,K$1,0),2)</f>
        <v>5.28</v>
      </c>
      <c r="L58" s="3" t="str">
        <f>FIXED(VLOOKUP($A58,'Full Sample-Single Family'!$A:$R,L$1,0),2)</f>
        <v>4.29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1-Single Family'!$A:$R,O$1,0),2)</f>
        <v>5.15</v>
      </c>
      <c r="P58" s="3" t="str">
        <f>FIXED(VLOOKUP($A58,'Small Sample 1-Single Family'!$A:$R,P$1,0),2)</f>
        <v>4.18</v>
      </c>
      <c r="Q58" s="3" t="str">
        <f>FIXED(VLOOKUP($A58,'Small Sample 1-Single Family'!$A:$R,Q$1,0),2)</f>
        <v>0.01</v>
      </c>
      <c r="R58" s="3" t="str">
        <f>FIXED(VLOOKUP($A58,'Small Sample 1-Single Family'!$A:$R,R$1,0),2)</f>
        <v>21.00</v>
      </c>
      <c r="S58" s="9" t="str">
        <f>FIXED(VLOOKUP($A58,'Small Sample 1-Single Family'!$A:$R,S$1,0),2)</f>
        <v>5.05</v>
      </c>
      <c r="T58" s="3" t="str">
        <f>FIXED(VLOOKUP($A58,'Small Sample 1-Single Family'!$A:$R,T$1,0),2)</f>
        <v>4.10</v>
      </c>
      <c r="U58" s="3" t="str">
        <f>FIXED(VLOOKUP($A58,'Small Sample 1-Single Family'!$A:$R,U$1,0),2)</f>
        <v>0.02</v>
      </c>
      <c r="V58" s="13" t="str">
        <f>FIXED(VLOOKUP($A58,'Small Sample 1-Single Family'!$A:$R,V$1,0),2)</f>
        <v>21.00</v>
      </c>
      <c r="W58" s="9" t="str">
        <f>FIXED(VLOOKUP($A58,'Small Sample 1-Single Family'!$A:$R,W$1,0),2)</f>
        <v>5.26</v>
      </c>
      <c r="X58" s="3" t="str">
        <f>FIXED(VLOOKUP($A58,'Small Sample 1-Single Family'!$A:$R,X$1,0),2)</f>
        <v>4.27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2-Single Family'!$A:$R,AA$1,0),2)</f>
        <v>5.15</v>
      </c>
      <c r="AB58" s="3" t="str">
        <f>FIXED(VLOOKUP($A58,'Small Sample 2-Single Family'!$A:$R,AB$1,0),2)</f>
        <v>4.18</v>
      </c>
      <c r="AC58" s="3" t="str">
        <f>FIXED(VLOOKUP($A58,'Small Sample 2-Single Family'!$A:$R,AC$1,0),2)</f>
        <v>0.01</v>
      </c>
      <c r="AD58" s="3" t="str">
        <f>FIXED(VLOOKUP($A58,'Small Sample 2-Single Family'!$A:$R,AD$1,0),2)</f>
        <v>21.00</v>
      </c>
      <c r="AE58" s="9" t="str">
        <f>FIXED(VLOOKUP($A58,'Small Sample 2-Single Family'!$A:$R,AE$1,0),2)</f>
        <v>5.20</v>
      </c>
      <c r="AF58" s="3" t="str">
        <f>FIXED(VLOOKUP($A58,'Small Sample 2-Single Family'!$A:$R,AF$1,0),2)</f>
        <v>4.17</v>
      </c>
      <c r="AG58" s="3" t="str">
        <f>FIXED(VLOOKUP($A58,'Small Sample 2-Single Family'!$A:$R,AG$1,0),2)</f>
        <v>0.01</v>
      </c>
      <c r="AH58" s="13" t="str">
        <f>FIXED(VLOOKUP($A58,'Small Sample 2-Single Family'!$A:$R,AH$1,0),2)</f>
        <v>21.00</v>
      </c>
      <c r="AI58" s="9" t="str">
        <f>FIXED(VLOOKUP($A58,'Small Sample 2-Single Family'!$A:$R,AI$1,0),2)</f>
        <v>5.08</v>
      </c>
      <c r="AJ58" s="3" t="str">
        <f>FIXED(VLOOKUP($A58,'Small Sample 2-Single Family'!$A:$R,AJ$1,0),2)</f>
        <v>4.21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73" x14ac:dyDescent="0.25">
      <c r="A59" t="s">
        <v>41</v>
      </c>
      <c r="B59" t="s">
        <v>179</v>
      </c>
      <c r="C59" s="9" t="str">
        <f>FIXED(VLOOKUP($A59,'Full Sample-Single Family'!$A:$R,C$1,0),2)</f>
        <v>10.82</v>
      </c>
      <c r="D59" s="3" t="str">
        <f>FIXED(VLOOKUP($A59,'Full Sample-Single Family'!$A:$R,D$1,0),2)</f>
        <v>5.60</v>
      </c>
      <c r="E59" s="3" t="str">
        <f>FIXED(VLOOKUP($A59,'Full Sample-Single Family'!$A:$R,E$1,0),2)</f>
        <v>1.27</v>
      </c>
      <c r="F59" s="3" t="str">
        <f>FIXED(VLOOKUP($A59,'Full Sample-Single Family'!$A:$R,F$1,0),2)</f>
        <v>30.99</v>
      </c>
      <c r="G59" s="9" t="str">
        <f>FIXED(VLOOKUP($A59,'Full Sample-Single Family'!$A:$R,G$1,0),2)</f>
        <v>10.76</v>
      </c>
      <c r="H59" s="3" t="str">
        <f>FIXED(VLOOKUP($A59,'Full Sample-Single Family'!$A:$R,H$1,0),2)</f>
        <v>5.60</v>
      </c>
      <c r="I59" s="3" t="str">
        <f>FIXED(VLOOKUP($A59,'Full Sample-Single Family'!$A:$R,I$1,0),2)</f>
        <v>1.27</v>
      </c>
      <c r="J59" s="13" t="str">
        <f>FIXED(VLOOKUP($A59,'Full Sample-Single Family'!$A:$R,J$1,0),2)</f>
        <v>30.00</v>
      </c>
      <c r="K59" s="9" t="str">
        <f>FIXED(VLOOKUP($A59,'Full Sample-Single Family'!$A:$R,K$1,0),2)</f>
        <v>10.92</v>
      </c>
      <c r="L59" s="3" t="str">
        <f>FIXED(VLOOKUP($A59,'Full Sample-Single Family'!$A:$R,L$1,0),2)</f>
        <v>5.59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1-Single Family'!$A:$R,O$1,0),2)</f>
        <v>10.90</v>
      </c>
      <c r="P59" s="3" t="str">
        <f>FIXED(VLOOKUP($A59,'Small Sample 1-Single Family'!$A:$R,P$1,0),2)</f>
        <v>5.59</v>
      </c>
      <c r="Q59" s="3" t="str">
        <f>FIXED(VLOOKUP($A59,'Small Sample 1-Single Family'!$A:$R,Q$1,0),2)</f>
        <v>1.27</v>
      </c>
      <c r="R59" s="3" t="str">
        <f>FIXED(VLOOKUP($A59,'Small Sample 1-Single Family'!$A:$R,R$1,0),2)</f>
        <v>30.99</v>
      </c>
      <c r="S59" s="9" t="str">
        <f>FIXED(VLOOKUP($A59,'Small Sample 1-Single Family'!$A:$R,S$1,0),2)</f>
        <v>10.89</v>
      </c>
      <c r="T59" s="3" t="str">
        <f>FIXED(VLOOKUP($A59,'Small Sample 1-Single Family'!$A:$R,T$1,0),2)</f>
        <v>5.59</v>
      </c>
      <c r="U59" s="3" t="str">
        <f>FIXED(VLOOKUP($A59,'Small Sample 1-Single Family'!$A:$R,U$1,0),2)</f>
        <v>1.30</v>
      </c>
      <c r="V59" s="13" t="str">
        <f>FIXED(VLOOKUP($A59,'Small Sample 1-Single Family'!$A:$R,V$1,0),2)</f>
        <v>30.00</v>
      </c>
      <c r="W59" s="9" t="str">
        <f>FIXED(VLOOKUP($A59,'Small Sample 1-Single Family'!$A:$R,W$1,0),2)</f>
        <v>10.91</v>
      </c>
      <c r="X59" s="3" t="str">
        <f>FIXED(VLOOKUP($A59,'Small Sample 1-Single Family'!$A:$R,X$1,0),2)</f>
        <v>5.60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2-Single Family'!$A:$R,AA$1,0),2)</f>
        <v>10.90</v>
      </c>
      <c r="AB59" s="3" t="str">
        <f>FIXED(VLOOKUP($A59,'Small Sample 2-Single Family'!$A:$R,AB$1,0),2)</f>
        <v>5.59</v>
      </c>
      <c r="AC59" s="3" t="str">
        <f>FIXED(VLOOKUP($A59,'Small Sample 2-Single Family'!$A:$R,AC$1,0),2)</f>
        <v>1.27</v>
      </c>
      <c r="AD59" s="3" t="str">
        <f>FIXED(VLOOKUP($A59,'Small Sample 2-Single Family'!$A:$R,AD$1,0),2)</f>
        <v>30.99</v>
      </c>
      <c r="AE59" s="9" t="str">
        <f>FIXED(VLOOKUP($A59,'Small Sample 2-Single Family'!$A:$R,AE$1,0),2)</f>
        <v>10.79</v>
      </c>
      <c r="AF59" s="3" t="str">
        <f>FIXED(VLOOKUP($A59,'Small Sample 2-Single Family'!$A:$R,AF$1,0),2)</f>
        <v>5.61</v>
      </c>
      <c r="AG59" s="3" t="str">
        <f>FIXED(VLOOKUP($A59,'Small Sample 2-Single Family'!$A:$R,AG$1,0),2)</f>
        <v>1.27</v>
      </c>
      <c r="AH59" s="13" t="str">
        <f>FIXED(VLOOKUP($A59,'Small Sample 2-Single Family'!$A:$R,AH$1,0),2)</f>
        <v>30.00</v>
      </c>
      <c r="AI59" s="9" t="str">
        <f>FIXED(VLOOKUP($A59,'Small Sample 2-Single Family'!$A:$R,AI$1,0),2)</f>
        <v>11.09</v>
      </c>
      <c r="AJ59" s="3" t="str">
        <f>FIXED(VLOOKUP($A59,'Small Sample 2-Single Family'!$A:$R,AJ$1,0),2)</f>
        <v>5.57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73" x14ac:dyDescent="0.25">
      <c r="A60" t="s">
        <v>173</v>
      </c>
      <c r="B60" t="s">
        <v>180</v>
      </c>
      <c r="C60" s="9" t="str">
        <f>FIXED(VLOOKUP($A60,'Full Sample-Single Family'!$A:$R,C$1,0),2)</f>
        <v>1.06</v>
      </c>
      <c r="D60" s="3" t="str">
        <f>FIXED(VLOOKUP($A60,'Full Sample-Single Family'!$A:$R,D$1,0),2)</f>
        <v>0.82</v>
      </c>
      <c r="E60" s="3" t="str">
        <f>FIXED(VLOOKUP($A60,'Full Sample-Single Family'!$A:$R,E$1,0),2)</f>
        <v>0.02</v>
      </c>
      <c r="F60" s="3" t="str">
        <f>FIXED(VLOOKUP($A60,'Full Sample-Single Family'!$A:$R,F$1,0),2)</f>
        <v>7.45</v>
      </c>
      <c r="G60" s="9" t="str">
        <f>FIXED(VLOOKUP($A60,'Full Sample-Single Family'!$A:$R,G$1,0),2)</f>
        <v>1.05</v>
      </c>
      <c r="H60" s="3" t="str">
        <f>FIXED(VLOOKUP($A60,'Full Sample-Single Family'!$A:$R,H$1,0),2)</f>
        <v>0.80</v>
      </c>
      <c r="I60" s="3" t="str">
        <f>FIXED(VLOOKUP($A60,'Full Sample-Single Family'!$A:$R,I$1,0),2)</f>
        <v>0.03</v>
      </c>
      <c r="J60" s="13" t="str">
        <f>FIXED(VLOOKUP($A60,'Full Sample-Single Family'!$A:$R,J$1,0),2)</f>
        <v>7.14</v>
      </c>
      <c r="K60" s="9" t="str">
        <f>FIXED(VLOOKUP($A60,'Full Sample-Single Family'!$A:$R,K$1,0),2)</f>
        <v>1.07</v>
      </c>
      <c r="L60" s="3" t="str">
        <f>FIXED(VLOOKUP($A60,'Full Sample-Single Family'!$A:$R,L$1,0),2)</f>
        <v>0.85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1-Single Family'!$A:$R,O$1,0),2)</f>
        <v>1.04</v>
      </c>
      <c r="P60" s="3" t="str">
        <f>FIXED(VLOOKUP($A60,'Small Sample 1-Single Family'!$A:$R,P$1,0),2)</f>
        <v>0.81</v>
      </c>
      <c r="Q60" s="3" t="str">
        <f>FIXED(VLOOKUP($A60,'Small Sample 1-Single Family'!$A:$R,Q$1,0),2)</f>
        <v>0.02</v>
      </c>
      <c r="R60" s="3" t="str">
        <f>FIXED(VLOOKUP($A60,'Small Sample 1-Single Family'!$A:$R,R$1,0),2)</f>
        <v>7.45</v>
      </c>
      <c r="S60" s="9" t="str">
        <f>FIXED(VLOOKUP($A60,'Small Sample 1-Single Family'!$A:$R,S$1,0),2)</f>
        <v>1.02</v>
      </c>
      <c r="T60" s="3" t="str">
        <f>FIXED(VLOOKUP($A60,'Small Sample 1-Single Family'!$A:$R,T$1,0),2)</f>
        <v>0.77</v>
      </c>
      <c r="U60" s="3" t="str">
        <f>FIXED(VLOOKUP($A60,'Small Sample 1-Single Family'!$A:$R,U$1,0),2)</f>
        <v>0.03</v>
      </c>
      <c r="V60" s="13" t="str">
        <f>FIXED(VLOOKUP($A60,'Small Sample 1-Single Family'!$A:$R,V$1,0),2)</f>
        <v>7.12</v>
      </c>
      <c r="W60" s="9" t="str">
        <f>FIXED(VLOOKUP($A60,'Small Sample 1-Single Family'!$A:$R,W$1,0),2)</f>
        <v>1.06</v>
      </c>
      <c r="X60" s="3" t="str">
        <f>FIXED(VLOOKUP($A60,'Small Sample 1-Single Family'!$A:$R,X$1,0),2)</f>
        <v>0.85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2-Single Family'!$A:$R,AA$1,0),2)</f>
        <v>1.04</v>
      </c>
      <c r="AB60" s="3" t="str">
        <f>FIXED(VLOOKUP($A60,'Small Sample 2-Single Family'!$A:$R,AB$1,0),2)</f>
        <v>0.81</v>
      </c>
      <c r="AC60" s="3" t="str">
        <f>FIXED(VLOOKUP($A60,'Small Sample 2-Single Family'!$A:$R,AC$1,0),2)</f>
        <v>0.02</v>
      </c>
      <c r="AD60" s="3" t="str">
        <f>FIXED(VLOOKUP($A60,'Small Sample 2-Single Family'!$A:$R,AD$1,0),2)</f>
        <v>7.45</v>
      </c>
      <c r="AE60" s="9" t="str">
        <f>FIXED(VLOOKUP($A60,'Small Sample 2-Single Family'!$A:$R,AE$1,0),2)</f>
        <v>1.05</v>
      </c>
      <c r="AF60" s="3" t="str">
        <f>FIXED(VLOOKUP($A60,'Small Sample 2-Single Family'!$A:$R,AF$1,0),2)</f>
        <v>0.80</v>
      </c>
      <c r="AG60" s="3" t="str">
        <f>FIXED(VLOOKUP($A60,'Small Sample 2-Single Family'!$A:$R,AG$1,0),2)</f>
        <v>0.03</v>
      </c>
      <c r="AH60" s="13" t="str">
        <f>FIXED(VLOOKUP($A60,'Small Sample 2-Single Family'!$A:$R,AH$1,0),2)</f>
        <v>7.14</v>
      </c>
      <c r="AI60" s="9" t="str">
        <f>FIXED(VLOOKUP($A60,'Small Sample 2-Single Family'!$A:$R,AI$1,0),2)</f>
        <v>1.04</v>
      </c>
      <c r="AJ60" s="3" t="str">
        <f>FIXED(VLOOKUP($A60,'Small Sample 2-Single Family'!$A:$R,AJ$1,0),2)</f>
        <v>0.83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  <c r="AN60" s="23"/>
      <c r="AO60" s="3"/>
      <c r="AP60" s="3"/>
      <c r="AQ60" s="3"/>
      <c r="AR60" s="23"/>
      <c r="AS60" s="3"/>
      <c r="AT60" s="3"/>
      <c r="AU60" s="13"/>
      <c r="AV60" s="23"/>
      <c r="AW60" s="3"/>
      <c r="AX60" s="3"/>
      <c r="AY60" s="13"/>
      <c r="AZ60" s="23"/>
      <c r="BA60" s="3"/>
      <c r="BB60" s="3"/>
      <c r="BC60" s="3"/>
      <c r="BD60" s="23"/>
      <c r="BE60" s="3"/>
      <c r="BF60" s="3"/>
      <c r="BG60" s="13"/>
      <c r="BH60" s="23"/>
      <c r="BI60" s="3"/>
      <c r="BJ60" s="3"/>
      <c r="BK60" s="3"/>
      <c r="BL60" s="23"/>
      <c r="BM60" s="3"/>
      <c r="BN60" s="3"/>
      <c r="BO60" s="3"/>
      <c r="BP60" s="23"/>
      <c r="BQ60" s="3"/>
      <c r="BR60" s="3"/>
      <c r="BS60" s="13"/>
      <c r="BT60" s="23"/>
      <c r="BU60" s="3"/>
    </row>
    <row r="61" spans="1:73" x14ac:dyDescent="0.25">
      <c r="A61" t="s">
        <v>174</v>
      </c>
      <c r="B61" t="s">
        <v>181</v>
      </c>
      <c r="C61" s="9" t="str">
        <f>FIXED(VLOOKUP($A61,'Full Sample-Single Family'!$A:$R,C$1,0),2)</f>
        <v>2.49</v>
      </c>
      <c r="D61" s="3" t="str">
        <f>FIXED(VLOOKUP($A61,'Full Sample-Single Family'!$A:$R,D$1,0),2)</f>
        <v>1.82</v>
      </c>
      <c r="E61" s="3" t="str">
        <f>FIXED(VLOOKUP($A61,'Full Sample-Single Family'!$A:$R,E$1,0),2)</f>
        <v>0.04</v>
      </c>
      <c r="F61" s="3" t="str">
        <f>FIXED(VLOOKUP($A61,'Full Sample-Single Family'!$A:$R,F$1,0),2)</f>
        <v>17.68</v>
      </c>
      <c r="G61" s="9" t="str">
        <f>FIXED(VLOOKUP($A61,'Full Sample-Single Family'!$A:$R,G$1,0),2)</f>
        <v>2.47</v>
      </c>
      <c r="H61" s="3" t="str">
        <f>FIXED(VLOOKUP($A61,'Full Sample-Single Family'!$A:$R,H$1,0),2)</f>
        <v>1.80</v>
      </c>
      <c r="I61" s="3" t="str">
        <f>FIXED(VLOOKUP($A61,'Full Sample-Single Family'!$A:$R,I$1,0),2)</f>
        <v>0.04</v>
      </c>
      <c r="J61" s="13" t="str">
        <f>FIXED(VLOOKUP($A61,'Full Sample-Single Family'!$A:$R,J$1,0),2)</f>
        <v>17.68</v>
      </c>
      <c r="K61" s="9" t="str">
        <f>FIXED(VLOOKUP($A61,'Full Sample-Single Family'!$A:$R,K$1,0),2)</f>
        <v>2.51</v>
      </c>
      <c r="L61" s="3" t="str">
        <f>FIXED(VLOOKUP($A61,'Full Sample-Single Family'!$A:$R,L$1,0),2)</f>
        <v>1.84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1-Single Family'!$A:$R,O$1,0),2)</f>
        <v>2.48</v>
      </c>
      <c r="P61" s="3" t="str">
        <f>FIXED(VLOOKUP($A61,'Small Sample 1-Single Family'!$A:$R,P$1,0),2)</f>
        <v>1.82</v>
      </c>
      <c r="Q61" s="3" t="str">
        <f>FIXED(VLOOKUP($A61,'Small Sample 1-Single Family'!$A:$R,Q$1,0),2)</f>
        <v>0.04</v>
      </c>
      <c r="R61" s="3" t="str">
        <f>FIXED(VLOOKUP($A61,'Small Sample 1-Single Family'!$A:$R,R$1,0),2)</f>
        <v>17.68</v>
      </c>
      <c r="S61" s="9" t="str">
        <f>FIXED(VLOOKUP($A61,'Small Sample 1-Single Family'!$A:$R,S$1,0),2)</f>
        <v>2.46</v>
      </c>
      <c r="T61" s="3" t="str">
        <f>FIXED(VLOOKUP($A61,'Small Sample 1-Single Family'!$A:$R,T$1,0),2)</f>
        <v>1.80</v>
      </c>
      <c r="U61" s="3" t="str">
        <f>FIXED(VLOOKUP($A61,'Small Sample 1-Single Family'!$A:$R,U$1,0),2)</f>
        <v>0.04</v>
      </c>
      <c r="V61" s="13" t="str">
        <f>FIXED(VLOOKUP($A61,'Small Sample 1-Single Family'!$A:$R,V$1,0),2)</f>
        <v>17.68</v>
      </c>
      <c r="W61" s="9" t="str">
        <f>FIXED(VLOOKUP($A61,'Small Sample 1-Single Family'!$A:$R,W$1,0),2)</f>
        <v>2.51</v>
      </c>
      <c r="X61" s="3" t="str">
        <f>FIXED(VLOOKUP($A61,'Small Sample 1-Single Family'!$A:$R,X$1,0),2)</f>
        <v>1.85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2-Single Family'!$A:$R,AA$1,0),2)</f>
        <v>2.48</v>
      </c>
      <c r="AB61" s="3" t="str">
        <f>FIXED(VLOOKUP($A61,'Small Sample 2-Single Family'!$A:$R,AB$1,0),2)</f>
        <v>1.82</v>
      </c>
      <c r="AC61" s="3" t="str">
        <f>FIXED(VLOOKUP($A61,'Small Sample 2-Single Family'!$A:$R,AC$1,0),2)</f>
        <v>0.04</v>
      </c>
      <c r="AD61" s="3" t="str">
        <f>FIXED(VLOOKUP($A61,'Small Sample 2-Single Family'!$A:$R,AD$1,0),2)</f>
        <v>17.68</v>
      </c>
      <c r="AE61" s="9" t="str">
        <f>FIXED(VLOOKUP($A61,'Small Sample 2-Single Family'!$A:$R,AE$1,0),2)</f>
        <v>2.47</v>
      </c>
      <c r="AF61" s="3" t="str">
        <f>FIXED(VLOOKUP($A61,'Small Sample 2-Single Family'!$A:$R,AF$1,0),2)</f>
        <v>1.80</v>
      </c>
      <c r="AG61" s="3" t="str">
        <f>FIXED(VLOOKUP($A61,'Small Sample 2-Single Family'!$A:$R,AG$1,0),2)</f>
        <v>0.04</v>
      </c>
      <c r="AH61" s="13" t="str">
        <f>FIXED(VLOOKUP($A61,'Small Sample 2-Single Family'!$A:$R,AH$1,0),2)</f>
        <v>17.68</v>
      </c>
      <c r="AI61" s="9" t="str">
        <f>FIXED(VLOOKUP($A61,'Small Sample 2-Single Family'!$A:$R,AI$1,0),2)</f>
        <v>2.51</v>
      </c>
      <c r="AJ61" s="3" t="str">
        <f>FIXED(VLOOKUP($A61,'Small Sample 2-Single Family'!$A:$R,AJ$1,0),2)</f>
        <v>1.87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73" x14ac:dyDescent="0.25">
      <c r="A62" t="s">
        <v>175</v>
      </c>
      <c r="B62" t="s">
        <v>182</v>
      </c>
      <c r="C62" s="9" t="str">
        <f>FIXED(VLOOKUP($A62,'Full Sample-Single Family'!$A:$R,C$1,0),2)</f>
        <v>2.58</v>
      </c>
      <c r="D62" s="3" t="str">
        <f>FIXED(VLOOKUP($A62,'Full Sample-Single Family'!$A:$R,D$1,0),2)</f>
        <v>1.73</v>
      </c>
      <c r="E62" s="3" t="str">
        <f>FIXED(VLOOKUP($A62,'Full Sample-Single Family'!$A:$R,E$1,0),2)</f>
        <v>0.04</v>
      </c>
      <c r="F62" s="3" t="str">
        <f>FIXED(VLOOKUP($A62,'Full Sample-Single Family'!$A:$R,F$1,0),2)</f>
        <v>17.68</v>
      </c>
      <c r="G62" s="9" t="str">
        <f>FIXED(VLOOKUP($A62,'Full Sample-Single Family'!$A:$R,G$1,0),2)</f>
        <v>2.56</v>
      </c>
      <c r="H62" s="3" t="str">
        <f>FIXED(VLOOKUP($A62,'Full Sample-Single Family'!$A:$R,H$1,0),2)</f>
        <v>1.70</v>
      </c>
      <c r="I62" s="3" t="str">
        <f>FIXED(VLOOKUP($A62,'Full Sample-Single Family'!$A:$R,I$1,0),2)</f>
        <v>0.05</v>
      </c>
      <c r="J62" s="13" t="str">
        <f>FIXED(VLOOKUP($A62,'Full Sample-Single Family'!$A:$R,J$1,0),2)</f>
        <v>17.68</v>
      </c>
      <c r="K62" s="9" t="str">
        <f>FIXED(VLOOKUP($A62,'Full Sample-Single Family'!$A:$R,K$1,0),2)</f>
        <v>2.61</v>
      </c>
      <c r="L62" s="3" t="str">
        <f>FIXED(VLOOKUP($A62,'Full Sample-Single Family'!$A:$R,L$1,0),2)</f>
        <v>1.76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1-Single Family'!$A:$R,O$1,0),2)</f>
        <v>2.57</v>
      </c>
      <c r="P62" s="3" t="str">
        <f>FIXED(VLOOKUP($A62,'Small Sample 1-Single Family'!$A:$R,P$1,0),2)</f>
        <v>1.74</v>
      </c>
      <c r="Q62" s="3" t="str">
        <f>FIXED(VLOOKUP($A62,'Small Sample 1-Single Family'!$A:$R,Q$1,0),2)</f>
        <v>0.04</v>
      </c>
      <c r="R62" s="3" t="str">
        <f>FIXED(VLOOKUP($A62,'Small Sample 1-Single Family'!$A:$R,R$1,0),2)</f>
        <v>17.68</v>
      </c>
      <c r="S62" s="9" t="str">
        <f>FIXED(VLOOKUP($A62,'Small Sample 1-Single Family'!$A:$R,S$1,0),2)</f>
        <v>2.53</v>
      </c>
      <c r="T62" s="3" t="str">
        <f>FIXED(VLOOKUP($A62,'Small Sample 1-Single Family'!$A:$R,T$1,0),2)</f>
        <v>1.70</v>
      </c>
      <c r="U62" s="3" t="str">
        <f>FIXED(VLOOKUP($A62,'Small Sample 1-Single Family'!$A:$R,U$1,0),2)</f>
        <v>0.05</v>
      </c>
      <c r="V62" s="13" t="str">
        <f>FIXED(VLOOKUP($A62,'Small Sample 1-Single Family'!$A:$R,V$1,0),2)</f>
        <v>17.68</v>
      </c>
      <c r="W62" s="9" t="str">
        <f>FIXED(VLOOKUP($A62,'Small Sample 1-Single Family'!$A:$R,W$1,0),2)</f>
        <v>2.62</v>
      </c>
      <c r="X62" s="3" t="str">
        <f>FIXED(VLOOKUP($A62,'Small Sample 1-Single Family'!$A:$R,X$1,0),2)</f>
        <v>1.77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2-Single Family'!$A:$R,AA$1,0),2)</f>
        <v>2.57</v>
      </c>
      <c r="AB62" s="3" t="str">
        <f>FIXED(VLOOKUP($A62,'Small Sample 2-Single Family'!$A:$R,AB$1,0),2)</f>
        <v>1.74</v>
      </c>
      <c r="AC62" s="3" t="str">
        <f>FIXED(VLOOKUP($A62,'Small Sample 2-Single Family'!$A:$R,AC$1,0),2)</f>
        <v>0.04</v>
      </c>
      <c r="AD62" s="3" t="str">
        <f>FIXED(VLOOKUP($A62,'Small Sample 2-Single Family'!$A:$R,AD$1,0),2)</f>
        <v>17.68</v>
      </c>
      <c r="AE62" s="9" t="str">
        <f>FIXED(VLOOKUP($A62,'Small Sample 2-Single Family'!$A:$R,AE$1,0),2)</f>
        <v>2.55</v>
      </c>
      <c r="AF62" s="3" t="str">
        <f>FIXED(VLOOKUP($A62,'Small Sample 2-Single Family'!$A:$R,AF$1,0),2)</f>
        <v>1.70</v>
      </c>
      <c r="AG62" s="3" t="str">
        <f>FIXED(VLOOKUP($A62,'Small Sample 2-Single Family'!$A:$R,AG$1,0),2)</f>
        <v>0.05</v>
      </c>
      <c r="AH62" s="13" t="str">
        <f>FIXED(VLOOKUP($A62,'Small Sample 2-Single Family'!$A:$R,AH$1,0),2)</f>
        <v>17.68</v>
      </c>
      <c r="AI62" s="9" t="str">
        <f>FIXED(VLOOKUP($A62,'Small Sample 2-Single Family'!$A:$R,AI$1,0),2)</f>
        <v>2.60</v>
      </c>
      <c r="AJ62" s="3" t="str">
        <f>FIXED(VLOOKUP($A62,'Small Sample 2-Single Family'!$A:$R,AJ$1,0),2)</f>
        <v>1.80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73" x14ac:dyDescent="0.25">
      <c r="A63" t="s">
        <v>53</v>
      </c>
      <c r="B63" t="s">
        <v>183</v>
      </c>
      <c r="C63" s="9" t="str">
        <f>FIXED(VLOOKUP($A63,'Full Sample-Single Family'!$A:$R,C$1,0),2)</f>
        <v>2,363,464.00</v>
      </c>
      <c r="D63" s="3" t="str">
        <f>FIXED(VLOOKUP($A63,'Full Sample-Single Family'!$A:$R,D$1,0),2)</f>
        <v>7,871.59</v>
      </c>
      <c r="E63" s="3" t="str">
        <f>FIXED(VLOOKUP($A63,'Full Sample-Single Family'!$A:$R,E$1,0),2)</f>
        <v>2,350,907.00</v>
      </c>
      <c r="F63" s="3" t="str">
        <f>FIXED(VLOOKUP($A63,'Full Sample-Single Family'!$A:$R,F$1,0),2)</f>
        <v>2,399,920.00</v>
      </c>
      <c r="G63" s="9" t="str">
        <f>FIXED(VLOOKUP($A63,'Full Sample-Single Family'!$A:$R,G$1,0),2)</f>
        <v>2,363,453.00</v>
      </c>
      <c r="H63" s="3" t="str">
        <f>FIXED(VLOOKUP($A63,'Full Sample-Single Family'!$A:$R,H$1,0),2)</f>
        <v>7,712.52</v>
      </c>
      <c r="I63" s="3" t="str">
        <f>FIXED(VLOOKUP($A63,'Full Sample-Single Family'!$A:$R,I$1,0),2)</f>
        <v>2,350,907.00</v>
      </c>
      <c r="J63" s="13" t="str">
        <f>FIXED(VLOOKUP($A63,'Full Sample-Single Family'!$A:$R,J$1,0),2)</f>
        <v>2,399,920.00</v>
      </c>
      <c r="K63" s="9" t="str">
        <f>FIXED(VLOOKUP($A63,'Full Sample-Single Family'!$A:$R,K$1,0),2)</f>
        <v>2,363,480.00</v>
      </c>
      <c r="L63" s="3" t="str">
        <f>FIXED(VLOOKUP($A63,'Full Sample-Single Family'!$A:$R,L$1,0),2)</f>
        <v>8,084.35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1-Single Family'!$A:$R,O$1,0),2)</f>
        <v>2,363,533.00</v>
      </c>
      <c r="P63" s="3" t="str">
        <f>FIXED(VLOOKUP($A63,'Small Sample 1-Single Family'!$A:$R,P$1,0),2)</f>
        <v>7,931.25</v>
      </c>
      <c r="Q63" s="3" t="str">
        <f>FIXED(VLOOKUP($A63,'Small Sample 1-Single Family'!$A:$R,Q$1,0),2)</f>
        <v>2,350,907.00</v>
      </c>
      <c r="R63" s="3" t="str">
        <f>FIXED(VLOOKUP($A63,'Small Sample 1-Single Family'!$A:$R,R$1,0),2)</f>
        <v>2,399,920.00</v>
      </c>
      <c r="S63" s="9" t="str">
        <f>FIXED(VLOOKUP($A63,'Small Sample 1-Single Family'!$A:$R,S$1,0),2)</f>
        <v>2,363,561.00</v>
      </c>
      <c r="T63" s="3" t="str">
        <f>FIXED(VLOOKUP($A63,'Small Sample 1-Single Family'!$A:$R,T$1,0),2)</f>
        <v>7,779.77</v>
      </c>
      <c r="U63" s="3" t="str">
        <f>FIXED(VLOOKUP($A63,'Small Sample 1-Single Family'!$A:$R,U$1,0),2)</f>
        <v>2,350,907.00</v>
      </c>
      <c r="V63" s="13" t="str">
        <f>FIXED(VLOOKUP($A63,'Small Sample 1-Single Family'!$A:$R,V$1,0),2)</f>
        <v>2,399,920.00</v>
      </c>
      <c r="W63" s="9" t="str">
        <f>FIXED(VLOOKUP($A63,'Small Sample 1-Single Family'!$A:$R,W$1,0),2)</f>
        <v>2,363,502.00</v>
      </c>
      <c r="X63" s="3" t="str">
        <f>FIXED(VLOOKUP($A63,'Small Sample 1-Single Family'!$A:$R,X$1,0),2)</f>
        <v>8,099.74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2-Single Family'!$A:$R,AA$1,0),2)</f>
        <v>2,363,532.00</v>
      </c>
      <c r="AB63" s="3" t="str">
        <f>FIXED(VLOOKUP($A63,'Small Sample 2-Single Family'!$A:$R,AB$1,0),2)</f>
        <v>7,931.56</v>
      </c>
      <c r="AC63" s="3" t="str">
        <f>FIXED(VLOOKUP($A63,'Small Sample 2-Single Family'!$A:$R,AC$1,0),2)</f>
        <v>2,350,907.00</v>
      </c>
      <c r="AD63" s="3" t="str">
        <f>FIXED(VLOOKUP($A63,'Small Sample 2-Single Family'!$A:$R,AD$1,0),2)</f>
        <v>2,399,920.00</v>
      </c>
      <c r="AE63" s="9" t="str">
        <f>FIXED(VLOOKUP($A63,'Small Sample 2-Single Family'!$A:$R,AE$1,0),2)</f>
        <v>2,363,476.00</v>
      </c>
      <c r="AF63" s="3" t="str">
        <f>FIXED(VLOOKUP($A63,'Small Sample 2-Single Family'!$A:$R,AF$1,0),2)</f>
        <v>7,746.39</v>
      </c>
      <c r="AG63" s="3" t="str">
        <f>FIXED(VLOOKUP($A63,'Small Sample 2-Single Family'!$A:$R,AG$1,0),2)</f>
        <v>2,350,907.00</v>
      </c>
      <c r="AH63" s="13" t="str">
        <f>FIXED(VLOOKUP($A63,'Small Sample 2-Single Family'!$A:$R,AH$1,0),2)</f>
        <v>2,399,920.00</v>
      </c>
      <c r="AI63" s="9" t="str">
        <f>FIXED(VLOOKUP($A63,'Small Sample 2-Single Family'!$A:$R,AI$1,0),2)</f>
        <v>2,363,627.00</v>
      </c>
      <c r="AJ63" s="3" t="str">
        <f>FIXED(VLOOKUP($A63,'Small Sample 2-Single Family'!$A:$R,AJ$1,0),2)</f>
        <v>8,231.71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73" x14ac:dyDescent="0.25">
      <c r="A64" t="s">
        <v>54</v>
      </c>
      <c r="B64" t="s">
        <v>184</v>
      </c>
      <c r="C64" s="9" t="str">
        <f>FIXED(VLOOKUP($A64,'Full Sample-Single Family'!$A:$R,C$1,0),2)</f>
        <v>610,987.80</v>
      </c>
      <c r="D64" s="3" t="str">
        <f>FIXED(VLOOKUP($A64,'Full Sample-Single Family'!$A:$R,D$1,0),2)</f>
        <v>14,874.76</v>
      </c>
      <c r="E64" s="3" t="str">
        <f>FIXED(VLOOKUP($A64,'Full Sample-Single Family'!$A:$R,E$1,0),2)</f>
        <v>579,824.20</v>
      </c>
      <c r="F64" s="3" t="str">
        <f>FIXED(VLOOKUP($A64,'Full Sample-Single Family'!$A:$R,F$1,0),2)</f>
        <v>638,667.70</v>
      </c>
      <c r="G64" s="9" t="str">
        <f>FIXED(VLOOKUP($A64,'Full Sample-Single Family'!$A:$R,G$1,0),2)</f>
        <v>610,588.00</v>
      </c>
      <c r="H64" s="3" t="str">
        <f>FIXED(VLOOKUP($A64,'Full Sample-Single Family'!$A:$R,H$1,0),2)</f>
        <v>14,741.05</v>
      </c>
      <c r="I64" s="3" t="str">
        <f>FIXED(VLOOKUP($A64,'Full Sample-Single Family'!$A:$R,I$1,0),2)</f>
        <v>579,824.20</v>
      </c>
      <c r="J64" s="13" t="str">
        <f>FIXED(VLOOKUP($A64,'Full Sample-Single Family'!$A:$R,J$1,0),2)</f>
        <v>638,667.70</v>
      </c>
      <c r="K64" s="9" t="str">
        <f>FIXED(VLOOKUP($A64,'Full Sample-Single Family'!$A:$R,K$1,0),2)</f>
        <v>611,534.40</v>
      </c>
      <c r="L64" s="3" t="str">
        <f>FIXED(VLOOKUP($A64,'Full Sample-Single Family'!$A:$R,L$1,0),2)</f>
        <v>15,039.19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1-Single Family'!$A:$R,O$1,0),2)</f>
        <v>611,464.80</v>
      </c>
      <c r="P64" s="3" t="str">
        <f>FIXED(VLOOKUP($A64,'Small Sample 1-Single Family'!$A:$R,P$1,0),2)</f>
        <v>14,765.70</v>
      </c>
      <c r="Q64" s="3" t="str">
        <f>FIXED(VLOOKUP($A64,'Small Sample 1-Single Family'!$A:$R,Q$1,0),2)</f>
        <v>579,824.20</v>
      </c>
      <c r="R64" s="3" t="str">
        <f>FIXED(VLOOKUP($A64,'Small Sample 1-Single Family'!$A:$R,R$1,0),2)</f>
        <v>638,667.70</v>
      </c>
      <c r="S64" s="9" t="str">
        <f>FIXED(VLOOKUP($A64,'Small Sample 1-Single Family'!$A:$R,S$1,0),2)</f>
        <v>611,415.20</v>
      </c>
      <c r="T64" s="3" t="str">
        <f>FIXED(VLOOKUP($A64,'Small Sample 1-Single Family'!$A:$R,T$1,0),2)</f>
        <v>14,568.25</v>
      </c>
      <c r="U64" s="3" t="str">
        <f>FIXED(VLOOKUP($A64,'Small Sample 1-Single Family'!$A:$R,U$1,0),2)</f>
        <v>579,824.20</v>
      </c>
      <c r="V64" s="13" t="str">
        <f>FIXED(VLOOKUP($A64,'Small Sample 1-Single Family'!$A:$R,V$1,0),2)</f>
        <v>638,667.70</v>
      </c>
      <c r="W64" s="9" t="str">
        <f>FIXED(VLOOKUP($A64,'Small Sample 1-Single Family'!$A:$R,W$1,0),2)</f>
        <v>611,521.00</v>
      </c>
      <c r="X64" s="3" t="str">
        <f>FIXED(VLOOKUP($A64,'Small Sample 1-Single Family'!$A:$R,X$1,0),2)</f>
        <v>14,986.84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2-Single Family'!$A:$R,AA$1,0),2)</f>
        <v>611,466.00</v>
      </c>
      <c r="AB64" s="3" t="str">
        <f>FIXED(VLOOKUP($A64,'Small Sample 2-Single Family'!$A:$R,AB$1,0),2)</f>
        <v>14,767.20</v>
      </c>
      <c r="AC64" s="3" t="str">
        <f>FIXED(VLOOKUP($A64,'Small Sample 2-Single Family'!$A:$R,AC$1,0),2)</f>
        <v>579,824.20</v>
      </c>
      <c r="AD64" s="3" t="str">
        <f>FIXED(VLOOKUP($A64,'Small Sample 2-Single Family'!$A:$R,AD$1,0),2)</f>
        <v>638,667.70</v>
      </c>
      <c r="AE64" s="9" t="str">
        <f>FIXED(VLOOKUP($A64,'Small Sample 2-Single Family'!$A:$R,AE$1,0),2)</f>
        <v>610,824.40</v>
      </c>
      <c r="AF64" s="3" t="str">
        <f>FIXED(VLOOKUP($A64,'Small Sample 2-Single Family'!$A:$R,AF$1,0),2)</f>
        <v>14,701.56</v>
      </c>
      <c r="AG64" s="3" t="str">
        <f>FIXED(VLOOKUP($A64,'Small Sample 2-Single Family'!$A:$R,AG$1,0),2)</f>
        <v>579,824.20</v>
      </c>
      <c r="AH64" s="13" t="str">
        <f>FIXED(VLOOKUP($A64,'Small Sample 2-Single Family'!$A:$R,AH$1,0),2)</f>
        <v>638,667.70</v>
      </c>
      <c r="AI64" s="9" t="str">
        <f>FIXED(VLOOKUP($A64,'Small Sample 2-Single Family'!$A:$R,AI$1,0),2)</f>
        <v>612,539.30</v>
      </c>
      <c r="AJ64" s="3" t="str">
        <f>FIXED(VLOOKUP($A64,'Small Sample 2-Single Family'!$A:$R,AJ$1,0),2)</f>
        <v>14,815.36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Sample-Single Family'!$A:$R,C$1,0),2)</f>
        <v>0.03</v>
      </c>
      <c r="D65" s="3" t="str">
        <f>FIXED(VLOOKUP($A65,'Full Sample-Single Family'!$A:$R,D$1,0),2)</f>
        <v>0.18</v>
      </c>
      <c r="E65" s="3" t="str">
        <f>FIXED(VLOOKUP($A65,'Full Sample-Single Family'!$A:$R,E$1,0),2)</f>
        <v>0.00</v>
      </c>
      <c r="F65" s="3" t="str">
        <f>FIXED(VLOOKUP($A65,'Full Sample-Single Family'!$A:$R,F$1,0),2)</f>
        <v>1.00</v>
      </c>
      <c r="G65" s="9" t="str">
        <f>FIXED(VLOOKUP($A65,'Full Sample-Single Family'!$A:$R,G$1,0),2)</f>
        <v>0.03</v>
      </c>
      <c r="H65" s="3" t="str">
        <f>FIXED(VLOOKUP($A65,'Full Sample-Single Family'!$A:$R,H$1,0),2)</f>
        <v>0.17</v>
      </c>
      <c r="I65" s="3" t="str">
        <f>FIXED(VLOOKUP($A65,'Full Sample-Single Family'!$A:$R,I$1,0),2)</f>
        <v>0.00</v>
      </c>
      <c r="J65" s="13" t="str">
        <f>FIXED(VLOOKUP($A65,'Full Sample-Single Family'!$A:$R,J$1,0),2)</f>
        <v>1.00</v>
      </c>
      <c r="K65" s="9" t="str">
        <f>FIXED(VLOOKUP($A65,'Full Sample-Single Family'!$A:$R,K$1,0),2)</f>
        <v>0.04</v>
      </c>
      <c r="L65" s="3" t="str">
        <f>FIXED(VLOOKUP($A65,'Full Sample-Single Family'!$A:$R,L$1,0),2)</f>
        <v>0.19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1-Single Family'!$A:$R,O$1,0),2)</f>
        <v>0.03</v>
      </c>
      <c r="P65" s="3" t="str">
        <f>FIXED(VLOOKUP($A65,'Small Sample 1-Single Family'!$A:$R,P$1,0),2)</f>
        <v>0.18</v>
      </c>
      <c r="Q65" s="3" t="str">
        <f>FIXED(VLOOKUP($A65,'Small Sample 1-Single Family'!$A:$R,Q$1,0),2)</f>
        <v>0.00</v>
      </c>
      <c r="R65" s="3" t="str">
        <f>FIXED(VLOOKUP($A65,'Small Sample 1-Single Family'!$A:$R,R$1,0),2)</f>
        <v>1.00</v>
      </c>
      <c r="S65" s="9" t="str">
        <f>FIXED(VLOOKUP($A65,'Small Sample 1-Single Family'!$A:$R,S$1,0),2)</f>
        <v>0.03</v>
      </c>
      <c r="T65" s="3" t="str">
        <f>FIXED(VLOOKUP($A65,'Small Sample 1-Single Family'!$A:$R,T$1,0),2)</f>
        <v>0.17</v>
      </c>
      <c r="U65" s="3" t="str">
        <f>FIXED(VLOOKUP($A65,'Small Sample 1-Single Family'!$A:$R,U$1,0),2)</f>
        <v>0.00</v>
      </c>
      <c r="V65" s="13" t="str">
        <f>FIXED(VLOOKUP($A65,'Small Sample 1-Single Family'!$A:$R,V$1,0),2)</f>
        <v>1.00</v>
      </c>
      <c r="W65" s="9" t="str">
        <f>FIXED(VLOOKUP($A65,'Small Sample 1-Single Family'!$A:$R,W$1,0),2)</f>
        <v>0.04</v>
      </c>
      <c r="X65" s="3" t="str">
        <f>FIXED(VLOOKUP($A65,'Small Sample 1-Single Family'!$A:$R,X$1,0),2)</f>
        <v>0.18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2-Single Family'!$A:$R,AA$1,0),2)</f>
        <v>0.03</v>
      </c>
      <c r="AB65" s="3" t="str">
        <f>FIXED(VLOOKUP($A65,'Small Sample 2-Single Family'!$A:$R,AB$1,0),2)</f>
        <v>0.18</v>
      </c>
      <c r="AC65" s="3" t="str">
        <f>FIXED(VLOOKUP($A65,'Small Sample 2-Single Family'!$A:$R,AC$1,0),2)</f>
        <v>0.00</v>
      </c>
      <c r="AD65" s="3" t="str">
        <f>FIXED(VLOOKUP($A65,'Small Sample 2-Single Family'!$A:$R,AD$1,0),2)</f>
        <v>1.00</v>
      </c>
      <c r="AE65" s="9" t="str">
        <f>FIXED(VLOOKUP($A65,'Small Sample 2-Single Family'!$A:$R,AE$1,0),2)</f>
        <v>0.03</v>
      </c>
      <c r="AF65" s="3" t="str">
        <f>FIXED(VLOOKUP($A65,'Small Sample 2-Single Family'!$A:$R,AF$1,0),2)</f>
        <v>0.17</v>
      </c>
      <c r="AG65" s="3" t="str">
        <f>FIXED(VLOOKUP($A65,'Small Sample 2-Single Family'!$A:$R,AG$1,0),2)</f>
        <v>0.00</v>
      </c>
      <c r="AH65" s="13" t="str">
        <f>FIXED(VLOOKUP($A65,'Small Sample 2-Single Family'!$A:$R,AH$1,0),2)</f>
        <v>1.00</v>
      </c>
      <c r="AI65" s="9" t="str">
        <f>FIXED(VLOOKUP($A65,'Small Sample 2-Single Family'!$A:$R,AI$1,0),2)</f>
        <v>0.04</v>
      </c>
      <c r="AJ65" s="3" t="str">
        <f>FIXED(VLOOKUP($A65,'Small Sample 2-Single Family'!$A:$R,AJ$1,0),2)</f>
        <v>0.19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23">
        <f>VLOOKUP($A66,'Full Sample-Single Family'!$A:$R,C$1,0)</f>
        <v>2.9999999999999997E-4</v>
      </c>
      <c r="D66" s="3" t="str">
        <f>FIXED(VLOOKUP($A66,'Full Sample-Single Family'!$A:$R,D$1,0),2)</f>
        <v>0.02</v>
      </c>
      <c r="E66" s="3" t="str">
        <f>FIXED(VLOOKUP($A66,'Full Sample-Single Family'!$A:$R,E$1,0),2)</f>
        <v>0.00</v>
      </c>
      <c r="F66" s="3" t="str">
        <f>FIXED(VLOOKUP($A66,'Full Sample-Single Family'!$A:$R,F$1,0),2)</f>
        <v>1.00</v>
      </c>
      <c r="G66" s="23">
        <f>VLOOKUP($A66,'Full Sample-Single Family'!$A:$R,G$1,0)</f>
        <v>5.0000000000000001E-4</v>
      </c>
      <c r="H66" s="3" t="str">
        <f>FIXED(VLOOKUP($A66,'Full Sample-Single Family'!$A:$R,H$1,0),2)</f>
        <v>0.02</v>
      </c>
      <c r="I66" s="3" t="str">
        <f>FIXED(VLOOKUP($A66,'Full Sample-Single Family'!$A:$R,I$1,0),2)</f>
        <v>0.00</v>
      </c>
      <c r="J66" s="13" t="str">
        <f>FIXED(VLOOKUP($A66,'Full Sample-Single Family'!$A:$R,J$1,0),2)</f>
        <v>1.00</v>
      </c>
      <c r="K66" s="23">
        <f>VLOOKUP($A66,'Full Sample-Single Family'!$A:$R,K$1,0)</f>
        <v>1E-4</v>
      </c>
      <c r="L66" s="3" t="str">
        <f>FIXED(VLOOKUP($A66,'Full Sample-Single Family'!$A:$R,L$1,0),2)</f>
        <v>0.01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23">
        <f>VLOOKUP($A66,'Small Sample 1-Single Family'!$A:$R,O$1,0)</f>
        <v>4.0000000000000002E-4</v>
      </c>
      <c r="P66" s="3" t="str">
        <f>FIXED(VLOOKUP($A66,'Small Sample 1-Single Family'!$A:$R,P$1,0),2)</f>
        <v>0.02</v>
      </c>
      <c r="Q66" s="3" t="str">
        <f>FIXED(VLOOKUP($A66,'Small Sample 1-Single Family'!$A:$R,Q$1,0),2)</f>
        <v>0.00</v>
      </c>
      <c r="R66" s="3" t="str">
        <f>FIXED(VLOOKUP($A66,'Small Sample 1-Single Family'!$A:$R,R$1,0),2)</f>
        <v>1.00</v>
      </c>
      <c r="S66" s="23">
        <f>VLOOKUP($A66,'Small Sample 1-Single Family'!$A:$R,S$1,0)</f>
        <v>1E-3</v>
      </c>
      <c r="T66" s="3" t="str">
        <f>FIXED(VLOOKUP($A66,'Small Sample 1-Single Family'!$A:$R,T$1,0),2)</f>
        <v>0.02</v>
      </c>
      <c r="U66" s="3" t="str">
        <f>FIXED(VLOOKUP($A66,'Small Sample 1-Single Family'!$A:$R,U$1,0),2)</f>
        <v>0.00</v>
      </c>
      <c r="V66" s="13" t="str">
        <f>FIXED(VLOOKUP($A66,'Small Sample 1-Single Family'!$A:$R,V$1,0),2)</f>
        <v>1.00</v>
      </c>
      <c r="W66" s="23">
        <f>VLOOKUP($A66,'Small Sample 1-Single Family'!$A:$R,W$1,0)</f>
        <v>1E-4</v>
      </c>
      <c r="X66" s="3" t="str">
        <f>FIXED(VLOOKUP($A66,'Small Sample 1-Single Family'!$A:$R,X$1,0),2)</f>
        <v>0.01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23">
        <f>VLOOKUP($A66,'Small Sample 2-Single Family'!$A:$R,AA$1,0)</f>
        <v>4.0000000000000002E-4</v>
      </c>
      <c r="AB66" s="3" t="str">
        <f>FIXED(VLOOKUP($A66,'Small Sample 2-Single Family'!$A:$R,AB$1,0),2)</f>
        <v>0.02</v>
      </c>
      <c r="AC66" s="3" t="str">
        <f>FIXED(VLOOKUP($A66,'Small Sample 2-Single Family'!$A:$R,AC$1,0),2)</f>
        <v>0.00</v>
      </c>
      <c r="AD66" s="3" t="str">
        <f>FIXED(VLOOKUP($A66,'Small Sample 2-Single Family'!$A:$R,AD$1,0),2)</f>
        <v>1.00</v>
      </c>
      <c r="AE66" s="23">
        <f>VLOOKUP($A66,'Small Sample 2-Single Family'!$A:$R,AE$1,0)</f>
        <v>5.0000000000000001E-4</v>
      </c>
      <c r="AF66" s="3" t="str">
        <f>FIXED(VLOOKUP($A66,'Small Sample 2-Single Family'!$A:$R,AF$1,0),2)</f>
        <v>0.02</v>
      </c>
      <c r="AG66" s="3" t="str">
        <f>FIXED(VLOOKUP($A66,'Small Sample 2-Single Family'!$A:$R,AG$1,0),2)</f>
        <v>0.00</v>
      </c>
      <c r="AH66" s="13" t="str">
        <f>FIXED(VLOOKUP($A66,'Small Sample 2-Single Family'!$A:$R,AH$1,0),2)</f>
        <v>1.00</v>
      </c>
      <c r="AI66" s="23">
        <f>VLOOKUP($A66,'Small Sample 2-Single Family'!$A:$R,AI$1,0)</f>
        <v>1E-4</v>
      </c>
      <c r="AJ66" s="3" t="str">
        <f>FIXED(VLOOKUP($A66,'Small Sample 2-Single Family'!$A:$R,AJ$1,0),2)</f>
        <v>0.01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23">
        <f>VLOOKUP($A67,'Full Sample-Single Family'!$A:$R,C$1,0)</f>
        <v>3.0000000000000001E-3</v>
      </c>
      <c r="D67" s="3" t="str">
        <f>FIXED(VLOOKUP($A67,'Full Sample-Single Family'!$A:$R,D$1,0),2)</f>
        <v>0.06</v>
      </c>
      <c r="E67" s="3" t="str">
        <f>FIXED(VLOOKUP($A67,'Full Sample-Single Family'!$A:$R,E$1,0),2)</f>
        <v>0.00</v>
      </c>
      <c r="F67" s="3" t="str">
        <f>FIXED(VLOOKUP($A67,'Full Sample-Single Family'!$A:$R,F$1,0),2)</f>
        <v>1.00</v>
      </c>
      <c r="G67" s="23">
        <f>VLOOKUP($A67,'Full Sample-Single Family'!$A:$R,G$1,0)</f>
        <v>3.0000000000000001E-3</v>
      </c>
      <c r="H67" s="3" t="str">
        <f>FIXED(VLOOKUP($A67,'Full Sample-Single Family'!$A:$R,H$1,0),2)</f>
        <v>0.06</v>
      </c>
      <c r="I67" s="3" t="str">
        <f>FIXED(VLOOKUP($A67,'Full Sample-Single Family'!$A:$R,I$1,0),2)</f>
        <v>0.00</v>
      </c>
      <c r="J67" s="13" t="str">
        <f>FIXED(VLOOKUP($A67,'Full Sample-Single Family'!$A:$R,J$1,0),2)</f>
        <v>1.00</v>
      </c>
      <c r="K67" s="23">
        <f>VLOOKUP($A67,'Full Sample-Single Family'!$A:$R,K$1,0)</f>
        <v>4.0000000000000001E-3</v>
      </c>
      <c r="L67" s="3" t="str">
        <f>FIXED(VLOOKUP($A67,'Full Sample-Single Family'!$A:$R,L$1,0),2)</f>
        <v>0.06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23">
        <f>VLOOKUP($A67,'Small Sample 1-Single Family'!$A:$R,O$1,0)</f>
        <v>3.0000000000000001E-3</v>
      </c>
      <c r="P67" s="3" t="str">
        <f>FIXED(VLOOKUP($A67,'Small Sample 1-Single Family'!$A:$R,P$1,0),2)</f>
        <v>0.06</v>
      </c>
      <c r="Q67" s="3" t="str">
        <f>FIXED(VLOOKUP($A67,'Small Sample 1-Single Family'!$A:$R,Q$1,0),2)</f>
        <v>0.00</v>
      </c>
      <c r="R67" s="3" t="str">
        <f>FIXED(VLOOKUP($A67,'Small Sample 1-Single Family'!$A:$R,R$1,0),2)</f>
        <v>1.00</v>
      </c>
      <c r="S67" s="23">
        <f>VLOOKUP($A67,'Small Sample 1-Single Family'!$A:$R,S$1,0)</f>
        <v>3.0000000000000001E-3</v>
      </c>
      <c r="T67" s="3" t="str">
        <f>FIXED(VLOOKUP($A67,'Small Sample 1-Single Family'!$A:$R,T$1,0),2)</f>
        <v>0.05</v>
      </c>
      <c r="U67" s="3" t="str">
        <f>FIXED(VLOOKUP($A67,'Small Sample 1-Single Family'!$A:$R,U$1,0),2)</f>
        <v>0.00</v>
      </c>
      <c r="V67" s="13" t="str">
        <f>FIXED(VLOOKUP($A67,'Small Sample 1-Single Family'!$A:$R,V$1,0),2)</f>
        <v>1.00</v>
      </c>
      <c r="W67" s="23">
        <f>VLOOKUP($A67,'Small Sample 1-Single Family'!$A:$R,W$1,0)</f>
        <v>4.0000000000000001E-3</v>
      </c>
      <c r="X67" s="3" t="str">
        <f>FIXED(VLOOKUP($A67,'Small Sample 1-Single Family'!$A:$R,X$1,0),2)</f>
        <v>0.06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23">
        <f>VLOOKUP($A67,'Small Sample 2-Single Family'!$A:$R,AA$1,0)</f>
        <v>3.0000000000000001E-3</v>
      </c>
      <c r="AB67" s="3" t="str">
        <f>FIXED(VLOOKUP($A67,'Small Sample 2-Single Family'!$A:$R,AB$1,0),2)</f>
        <v>0.06</v>
      </c>
      <c r="AC67" s="3" t="str">
        <f>FIXED(VLOOKUP($A67,'Small Sample 2-Single Family'!$A:$R,AC$1,0),2)</f>
        <v>0.00</v>
      </c>
      <c r="AD67" s="3" t="str">
        <f>FIXED(VLOOKUP($A67,'Small Sample 2-Single Family'!$A:$R,AD$1,0),2)</f>
        <v>1.00</v>
      </c>
      <c r="AE67" s="23">
        <f>VLOOKUP($A67,'Small Sample 2-Single Family'!$A:$R,AE$1,0)</f>
        <v>3.0000000000000001E-3</v>
      </c>
      <c r="AF67" s="3" t="str">
        <f>FIXED(VLOOKUP($A67,'Small Sample 2-Single Family'!$A:$R,AF$1,0),2)</f>
        <v>0.06</v>
      </c>
      <c r="AG67" s="3" t="str">
        <f>FIXED(VLOOKUP($A67,'Small Sample 2-Single Family'!$A:$R,AG$1,0),2)</f>
        <v>0.00</v>
      </c>
      <c r="AH67" s="13" t="str">
        <f>FIXED(VLOOKUP($A67,'Small Sample 2-Single Family'!$A:$R,AH$1,0),2)</f>
        <v>1.00</v>
      </c>
      <c r="AI67" s="23">
        <f>VLOOKUP($A67,'Small Sample 2-Single Family'!$A:$R,AI$1,0)</f>
        <v>3.0000000000000001E-3</v>
      </c>
      <c r="AJ67" s="3" t="str">
        <f>FIXED(VLOOKUP($A67,'Small Sample 2-Single Family'!$A:$R,AJ$1,0),2)</f>
        <v>0.05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23">
        <f>VLOOKUP($A68,'Full Sample-Single Family'!$A:$R,C$1,0)</f>
        <v>4.0000000000000001E-3</v>
      </c>
      <c r="D68" s="3" t="str">
        <f>FIXED(VLOOKUP($A68,'Full Sample-Single Family'!$A:$R,D$1,0),2)</f>
        <v>0.06</v>
      </c>
      <c r="E68" s="3" t="str">
        <f>FIXED(VLOOKUP($A68,'Full Sample-Single Family'!$A:$R,E$1,0),2)</f>
        <v>0.00</v>
      </c>
      <c r="F68" s="3" t="str">
        <f>FIXED(VLOOKUP($A68,'Full Sample-Single Family'!$A:$R,F$1,0),2)</f>
        <v>1.00</v>
      </c>
      <c r="G68" s="23">
        <f>VLOOKUP($A68,'Full Sample-Single Family'!$A:$R,G$1,0)</f>
        <v>4.0000000000000001E-3</v>
      </c>
      <c r="H68" s="3" t="str">
        <f>FIXED(VLOOKUP($A68,'Full Sample-Single Family'!$A:$R,H$1,0),2)</f>
        <v>0.06</v>
      </c>
      <c r="I68" s="3" t="str">
        <f>FIXED(VLOOKUP($A68,'Full Sample-Single Family'!$A:$R,I$1,0),2)</f>
        <v>0.00</v>
      </c>
      <c r="J68" s="13" t="str">
        <f>FIXED(VLOOKUP($A68,'Full Sample-Single Family'!$A:$R,J$1,0),2)</f>
        <v>1.00</v>
      </c>
      <c r="K68" s="23">
        <f>VLOOKUP($A68,'Full Sample-Single Family'!$A:$R,K$1,0)</f>
        <v>4.0000000000000001E-3</v>
      </c>
      <c r="L68" s="3" t="str">
        <f>FIXED(VLOOKUP($A68,'Full Sample-Single Family'!$A:$R,L$1,0),2)</f>
        <v>0.06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23">
        <f>VLOOKUP($A68,'Small Sample 1-Single Family'!$A:$R,O$1,0)</f>
        <v>4.0000000000000001E-3</v>
      </c>
      <c r="P68" s="3" t="str">
        <f>FIXED(VLOOKUP($A68,'Small Sample 1-Single Family'!$A:$R,P$1,0),2)</f>
        <v>0.06</v>
      </c>
      <c r="Q68" s="3" t="str">
        <f>FIXED(VLOOKUP($A68,'Small Sample 1-Single Family'!$A:$R,Q$1,0),2)</f>
        <v>0.00</v>
      </c>
      <c r="R68" s="3" t="str">
        <f>FIXED(VLOOKUP($A68,'Small Sample 1-Single Family'!$A:$R,R$1,0),2)</f>
        <v>1.00</v>
      </c>
      <c r="S68" s="23">
        <f>VLOOKUP($A68,'Small Sample 1-Single Family'!$A:$R,S$1,0)</f>
        <v>4.0000000000000001E-3</v>
      </c>
      <c r="T68" s="3" t="str">
        <f>FIXED(VLOOKUP($A68,'Small Sample 1-Single Family'!$A:$R,T$1,0),2)</f>
        <v>0.06</v>
      </c>
      <c r="U68" s="3" t="str">
        <f>FIXED(VLOOKUP($A68,'Small Sample 1-Single Family'!$A:$R,U$1,0),2)</f>
        <v>0.00</v>
      </c>
      <c r="V68" s="13" t="str">
        <f>FIXED(VLOOKUP($A68,'Small Sample 1-Single Family'!$A:$R,V$1,0),2)</f>
        <v>1.00</v>
      </c>
      <c r="W68" s="23">
        <f>VLOOKUP($A68,'Small Sample 1-Single Family'!$A:$R,W$1,0)</f>
        <v>4.0000000000000001E-3</v>
      </c>
      <c r="X68" s="3" t="str">
        <f>FIXED(VLOOKUP($A68,'Small Sample 1-Single Family'!$A:$R,X$1,0),2)</f>
        <v>0.06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23">
        <f>VLOOKUP($A68,'Small Sample 2-Single Family'!$A:$R,AA$1,0)</f>
        <v>4.0000000000000001E-3</v>
      </c>
      <c r="AB68" s="3" t="str">
        <f>FIXED(VLOOKUP($A68,'Small Sample 2-Single Family'!$A:$R,AB$1,0),2)</f>
        <v>0.06</v>
      </c>
      <c r="AC68" s="3" t="str">
        <f>FIXED(VLOOKUP($A68,'Small Sample 2-Single Family'!$A:$R,AC$1,0),2)</f>
        <v>0.00</v>
      </c>
      <c r="AD68" s="3" t="str">
        <f>FIXED(VLOOKUP($A68,'Small Sample 2-Single Family'!$A:$R,AD$1,0),2)</f>
        <v>1.00</v>
      </c>
      <c r="AE68" s="23">
        <f>VLOOKUP($A68,'Small Sample 2-Single Family'!$A:$R,AE$1,0)</f>
        <v>4.0000000000000001E-3</v>
      </c>
      <c r="AF68" s="3" t="str">
        <f>FIXED(VLOOKUP($A68,'Small Sample 2-Single Family'!$A:$R,AF$1,0),2)</f>
        <v>0.06</v>
      </c>
      <c r="AG68" s="3" t="str">
        <f>FIXED(VLOOKUP($A68,'Small Sample 2-Single Family'!$A:$R,AG$1,0),2)</f>
        <v>0.00</v>
      </c>
      <c r="AH68" s="13" t="str">
        <f>FIXED(VLOOKUP($A68,'Small Sample 2-Single Family'!$A:$R,AH$1,0),2)</f>
        <v>1.00</v>
      </c>
      <c r="AI68" s="23">
        <f>VLOOKUP($A68,'Small Sample 2-Single Family'!$A:$R,AI$1,0)</f>
        <v>4.0000000000000001E-3</v>
      </c>
      <c r="AJ68" s="3" t="str">
        <f>FIXED(VLOOKUP($A68,'Small Sample 2-Single Family'!$A:$R,AJ$1,0),2)</f>
        <v>0.06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Sample-Single Family'!$A:$R,C$1,0),2)</f>
        <v>0.55</v>
      </c>
      <c r="D69" s="3" t="str">
        <f>FIXED(VLOOKUP($A69,'Full Sample-Single Family'!$A:$R,D$1,0),2)</f>
        <v>0.50</v>
      </c>
      <c r="E69" s="3" t="str">
        <f>FIXED(VLOOKUP($A69,'Full Sample-Single Family'!$A:$R,E$1,0),2)</f>
        <v>0.00</v>
      </c>
      <c r="F69" s="3" t="str">
        <f>FIXED(VLOOKUP($A69,'Full Sample-Single Family'!$A:$R,F$1,0),2)</f>
        <v>1.00</v>
      </c>
      <c r="G69" s="9" t="str">
        <f>FIXED(VLOOKUP($A69,'Full Sample-Single Family'!$A:$R,G$1,0),2)</f>
        <v>0.56</v>
      </c>
      <c r="H69" s="3" t="str">
        <f>FIXED(VLOOKUP($A69,'Full Sample-Single Family'!$A:$R,H$1,0),2)</f>
        <v>0.50</v>
      </c>
      <c r="I69" s="3" t="str">
        <f>FIXED(VLOOKUP($A69,'Full Sample-Single Family'!$A:$R,I$1,0),2)</f>
        <v>0.00</v>
      </c>
      <c r="J69" s="13" t="str">
        <f>FIXED(VLOOKUP($A69,'Full Sample-Single Family'!$A:$R,J$1,0),2)</f>
        <v>1.00</v>
      </c>
      <c r="K69" s="9" t="str">
        <f>FIXED(VLOOKUP($A69,'Full Sample-Single Family'!$A:$R,K$1,0),2)</f>
        <v>0.53</v>
      </c>
      <c r="L69" s="3" t="str">
        <f>FIXED(VLOOKUP($A69,'Full Sample-Single Family'!$A:$R,L$1,0),2)</f>
        <v>0.50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1-Single Family'!$A:$R,O$1,0),2)</f>
        <v>0.54</v>
      </c>
      <c r="P69" s="3" t="str">
        <f>FIXED(VLOOKUP($A69,'Small Sample 1-Single Family'!$A:$R,P$1,0),2)</f>
        <v>0.50</v>
      </c>
      <c r="Q69" s="3" t="str">
        <f>FIXED(VLOOKUP($A69,'Small Sample 1-Single Family'!$A:$R,Q$1,0),2)</f>
        <v>0.00</v>
      </c>
      <c r="R69" s="3" t="str">
        <f>FIXED(VLOOKUP($A69,'Small Sample 1-Single Family'!$A:$R,R$1,0),2)</f>
        <v>1.00</v>
      </c>
      <c r="S69" s="9" t="str">
        <f>FIXED(VLOOKUP($A69,'Small Sample 1-Single Family'!$A:$R,S$1,0),2)</f>
        <v>0.55</v>
      </c>
      <c r="T69" s="3" t="str">
        <f>FIXED(VLOOKUP($A69,'Small Sample 1-Single Family'!$A:$R,T$1,0),2)</f>
        <v>0.50</v>
      </c>
      <c r="U69" s="3" t="str">
        <f>FIXED(VLOOKUP($A69,'Small Sample 1-Single Family'!$A:$R,U$1,0),2)</f>
        <v>0.00</v>
      </c>
      <c r="V69" s="13" t="str">
        <f>FIXED(VLOOKUP($A69,'Small Sample 1-Single Family'!$A:$R,V$1,0),2)</f>
        <v>1.00</v>
      </c>
      <c r="W69" s="9" t="str">
        <f>FIXED(VLOOKUP($A69,'Small Sample 1-Single Family'!$A:$R,W$1,0),2)</f>
        <v>0.53</v>
      </c>
      <c r="X69" s="3" t="str">
        <f>FIXED(VLOOKUP($A69,'Small Sample 1-Single Family'!$A:$R,X$1,0),2)</f>
        <v>0.50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2-Single Family'!$A:$R,AA$1,0),2)</f>
        <v>0.54</v>
      </c>
      <c r="AB69" s="3" t="str">
        <f>FIXED(VLOOKUP($A69,'Small Sample 2-Single Family'!$A:$R,AB$1,0),2)</f>
        <v>0.50</v>
      </c>
      <c r="AC69" s="3" t="str">
        <f>FIXED(VLOOKUP($A69,'Small Sample 2-Single Family'!$A:$R,AC$1,0),2)</f>
        <v>0.00</v>
      </c>
      <c r="AD69" s="3" t="str">
        <f>FIXED(VLOOKUP($A69,'Small Sample 2-Single Family'!$A:$R,AD$1,0),2)</f>
        <v>1.00</v>
      </c>
      <c r="AE69" s="9" t="str">
        <f>FIXED(VLOOKUP($A69,'Small Sample 2-Single Family'!$A:$R,AE$1,0),2)</f>
        <v>0.56</v>
      </c>
      <c r="AF69" s="3" t="str">
        <f>FIXED(VLOOKUP($A69,'Small Sample 2-Single Family'!$A:$R,AF$1,0),2)</f>
        <v>0.50</v>
      </c>
      <c r="AG69" s="3" t="str">
        <f>FIXED(VLOOKUP($A69,'Small Sample 2-Single Family'!$A:$R,AG$1,0),2)</f>
        <v>0.00</v>
      </c>
      <c r="AH69" s="13" t="str">
        <f>FIXED(VLOOKUP($A69,'Small Sample 2-Single Family'!$A:$R,AH$1,0),2)</f>
        <v>1.00</v>
      </c>
      <c r="AI69" s="9" t="str">
        <f>FIXED(VLOOKUP($A69,'Small Sample 2-Single Family'!$A:$R,AI$1,0),2)</f>
        <v>0.50</v>
      </c>
      <c r="AJ69" s="3" t="str">
        <f>FIXED(VLOOKUP($A69,'Small Sample 2-Single Family'!$A:$R,AJ$1,0),2)</f>
        <v>0.50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Sample-Single Family'!$A:$R,C$1,0),2)</f>
        <v>0.01</v>
      </c>
      <c r="D70" s="3" t="str">
        <f>FIXED(VLOOKUP($A70,'Full Sample-Single Family'!$A:$R,D$1,0),2)</f>
        <v>0.09</v>
      </c>
      <c r="E70" s="3" t="str">
        <f>FIXED(VLOOKUP($A70,'Full Sample-Single Family'!$A:$R,E$1,0),2)</f>
        <v>0.00</v>
      </c>
      <c r="F70" s="3" t="str">
        <f>FIXED(VLOOKUP($A70,'Full Sample-Single Family'!$A:$R,F$1,0),2)</f>
        <v>1.00</v>
      </c>
      <c r="G70" s="9" t="str">
        <f>FIXED(VLOOKUP($A70,'Full Sample-Single Family'!$A:$R,G$1,0),2)</f>
        <v>0.01</v>
      </c>
      <c r="H70" s="3" t="str">
        <f>FIXED(VLOOKUP($A70,'Full Sample-Single Family'!$A:$R,H$1,0),2)</f>
        <v>0.08</v>
      </c>
      <c r="I70" s="3" t="str">
        <f>FIXED(VLOOKUP($A70,'Full Sample-Single Family'!$A:$R,I$1,0),2)</f>
        <v>0.00</v>
      </c>
      <c r="J70" s="13" t="str">
        <f>FIXED(VLOOKUP($A70,'Full Sample-Single Family'!$A:$R,J$1,0),2)</f>
        <v>1.00</v>
      </c>
      <c r="K70" s="9" t="str">
        <f>FIXED(VLOOKUP($A70,'Full Sample-Single Family'!$A:$R,K$1,0),2)</f>
        <v>0.01</v>
      </c>
      <c r="L70" s="3" t="str">
        <f>FIXED(VLOOKUP($A70,'Full Sample-Single Family'!$A:$R,L$1,0),2)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1-Single Family'!$A:$R,O$1,0),2)</f>
        <v>0.01</v>
      </c>
      <c r="P70" s="3" t="str">
        <f>FIXED(VLOOKUP($A70,'Small Sample 1-Single Family'!$A:$R,P$1,0),2)</f>
        <v>0.09</v>
      </c>
      <c r="Q70" s="3" t="str">
        <f>FIXED(VLOOKUP($A70,'Small Sample 1-Single Family'!$A:$R,Q$1,0),2)</f>
        <v>0.00</v>
      </c>
      <c r="R70" s="3" t="str">
        <f>FIXED(VLOOKUP($A70,'Small Sample 1-Single Family'!$A:$R,R$1,0),2)</f>
        <v>1.00</v>
      </c>
      <c r="S70" s="9" t="str">
        <f>FIXED(VLOOKUP($A70,'Small Sample 1-Single Family'!$A:$R,S$1,0),2)</f>
        <v>0.01</v>
      </c>
      <c r="T70" s="3" t="str">
        <f>FIXED(VLOOKUP($A70,'Small Sample 1-Single Family'!$A:$R,T$1,0),2)</f>
        <v>0.08</v>
      </c>
      <c r="U70" s="3" t="str">
        <f>FIXED(VLOOKUP($A70,'Small Sample 1-Single Family'!$A:$R,U$1,0),2)</f>
        <v>0.00</v>
      </c>
      <c r="V70" s="13" t="str">
        <f>FIXED(VLOOKUP($A70,'Small Sample 1-Single Family'!$A:$R,V$1,0),2)</f>
        <v>1.00</v>
      </c>
      <c r="W70" s="9" t="str">
        <f>FIXED(VLOOKUP($A70,'Small Sample 1-Single Family'!$A:$R,W$1,0),2)</f>
        <v>0.01</v>
      </c>
      <c r="X70" s="3" t="str">
        <f>FIXED(VLOOKUP($A70,'Small Sample 1-Single Family'!$A:$R,X$1,0),2)</f>
        <v>0.10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2-Single Family'!$A:$R,AA$1,0),2)</f>
        <v>0.01</v>
      </c>
      <c r="AB70" s="3" t="str">
        <f>FIXED(VLOOKUP($A70,'Small Sample 2-Single Family'!$A:$R,AB$1,0),2)</f>
        <v>0.09</v>
      </c>
      <c r="AC70" s="3" t="str">
        <f>FIXED(VLOOKUP($A70,'Small Sample 2-Single Family'!$A:$R,AC$1,0),2)</f>
        <v>0.00</v>
      </c>
      <c r="AD70" s="3" t="str">
        <f>FIXED(VLOOKUP($A70,'Small Sample 2-Single Family'!$A:$R,AD$1,0),2)</f>
        <v>1.00</v>
      </c>
      <c r="AE70" s="9" t="str">
        <f>FIXED(VLOOKUP($A70,'Small Sample 2-Single Family'!$A:$R,AE$1,0),2)</f>
        <v>0.01</v>
      </c>
      <c r="AF70" s="3" t="str">
        <f>FIXED(VLOOKUP($A70,'Small Sample 2-Single Family'!$A:$R,AF$1,0),2)</f>
        <v>0.08</v>
      </c>
      <c r="AG70" s="3" t="str">
        <f>FIXED(VLOOKUP($A70,'Small Sample 2-Single Family'!$A:$R,AG$1,0),2)</f>
        <v>0.00</v>
      </c>
      <c r="AH70" s="13" t="str">
        <f>FIXED(VLOOKUP($A70,'Small Sample 2-Single Family'!$A:$R,AH$1,0),2)</f>
        <v>1.00</v>
      </c>
      <c r="AI70" s="9" t="str">
        <f>FIXED(VLOOKUP($A70,'Small Sample 2-Single Family'!$A:$R,AI$1,0),2)</f>
        <v>0.01</v>
      </c>
      <c r="AJ70" s="3" t="str">
        <f>FIXED(VLOOKUP($A70,'Small Sample 2-Single Family'!$A:$R,AJ$1,0),2)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Sample-Single Family'!$A:$R,C$1,0),2)</f>
        <v>0.40</v>
      </c>
      <c r="D71" s="3" t="str">
        <f>FIXED(VLOOKUP($A71,'Full Sample-Single Family'!$A:$R,D$1,0),2)</f>
        <v>0.49</v>
      </c>
      <c r="E71" s="3" t="str">
        <f>FIXED(VLOOKUP($A71,'Full Sample-Single Family'!$A:$R,E$1,0),2)</f>
        <v>0.00</v>
      </c>
      <c r="F71" s="3" t="str">
        <f>FIXED(VLOOKUP($A71,'Full Sample-Single Family'!$A:$R,F$1,0),2)</f>
        <v>1.00</v>
      </c>
      <c r="G71" s="9" t="str">
        <f>FIXED(VLOOKUP($A71,'Full Sample-Single Family'!$A:$R,G$1,0),2)</f>
        <v>0.39</v>
      </c>
      <c r="H71" s="3" t="str">
        <f>FIXED(VLOOKUP($A71,'Full Sample-Single Family'!$A:$R,H$1,0),2)</f>
        <v>0.49</v>
      </c>
      <c r="I71" s="3" t="str">
        <f>FIXED(VLOOKUP($A71,'Full Sample-Single Family'!$A:$R,I$1,0),2)</f>
        <v>0.00</v>
      </c>
      <c r="J71" s="13" t="str">
        <f>FIXED(VLOOKUP($A71,'Full Sample-Single Family'!$A:$R,J$1,0),2)</f>
        <v>1.00</v>
      </c>
      <c r="K71" s="9" t="str">
        <f>FIXED(VLOOKUP($A71,'Full Sample-Single Family'!$A:$R,K$1,0),2)</f>
        <v>0.42</v>
      </c>
      <c r="L71" s="3" t="str">
        <f>FIXED(VLOOKUP($A71,'Full Sample-Single Family'!$A:$R,L$1,0),2)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1-Single Family'!$A:$R,O$1,0),2)</f>
        <v>0.42</v>
      </c>
      <c r="P71" s="3" t="str">
        <f>FIXED(VLOOKUP($A71,'Small Sample 1-Single Family'!$A:$R,P$1,0),2)</f>
        <v>0.49</v>
      </c>
      <c r="Q71" s="3" t="str">
        <f>FIXED(VLOOKUP($A71,'Small Sample 1-Single Family'!$A:$R,Q$1,0),2)</f>
        <v>0.00</v>
      </c>
      <c r="R71" s="3" t="str">
        <f>FIXED(VLOOKUP($A71,'Small Sample 1-Single Family'!$A:$R,R$1,0),2)</f>
        <v>1.00</v>
      </c>
      <c r="S71" s="9" t="str">
        <f>FIXED(VLOOKUP($A71,'Small Sample 1-Single Family'!$A:$R,S$1,0),2)</f>
        <v>0.41</v>
      </c>
      <c r="T71" s="3" t="str">
        <f>FIXED(VLOOKUP($A71,'Small Sample 1-Single Family'!$A:$R,T$1,0),2)</f>
        <v>0.49</v>
      </c>
      <c r="U71" s="3" t="str">
        <f>FIXED(VLOOKUP($A71,'Small Sample 1-Single Family'!$A:$R,U$1,0),2)</f>
        <v>0.00</v>
      </c>
      <c r="V71" s="13" t="str">
        <f>FIXED(VLOOKUP($A71,'Small Sample 1-Single Family'!$A:$R,V$1,0),2)</f>
        <v>1.00</v>
      </c>
      <c r="W71" s="9" t="str">
        <f>FIXED(VLOOKUP($A71,'Small Sample 1-Single Family'!$A:$R,W$1,0),2)</f>
        <v>0.42</v>
      </c>
      <c r="X71" s="3" t="str">
        <f>FIXED(VLOOKUP($A71,'Small Sample 1-Single Family'!$A:$R,X$1,0),2)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2-Single Family'!$A:$R,AA$1,0),2)</f>
        <v>0.42</v>
      </c>
      <c r="AB71" s="3" t="str">
        <f>FIXED(VLOOKUP($A71,'Small Sample 2-Single Family'!$A:$R,AB$1,0),2)</f>
        <v>0.49</v>
      </c>
      <c r="AC71" s="3" t="str">
        <f>FIXED(VLOOKUP($A71,'Small Sample 2-Single Family'!$A:$R,AC$1,0),2)</f>
        <v>0.00</v>
      </c>
      <c r="AD71" s="3" t="str">
        <f>FIXED(VLOOKUP($A71,'Small Sample 2-Single Family'!$A:$R,AD$1,0),2)</f>
        <v>1.00</v>
      </c>
      <c r="AE71" s="9" t="str">
        <f>FIXED(VLOOKUP($A71,'Small Sample 2-Single Family'!$A:$R,AE$1,0),2)</f>
        <v>0.40</v>
      </c>
      <c r="AF71" s="3" t="str">
        <f>FIXED(VLOOKUP($A71,'Small Sample 2-Single Family'!$A:$R,AF$1,0),2)</f>
        <v>0.49</v>
      </c>
      <c r="AG71" s="3" t="str">
        <f>FIXED(VLOOKUP($A71,'Small Sample 2-Single Family'!$A:$R,AG$1,0),2)</f>
        <v>0.00</v>
      </c>
      <c r="AH71" s="13" t="str">
        <f>FIXED(VLOOKUP($A71,'Small Sample 2-Single Family'!$A:$R,AH$1,0),2)</f>
        <v>1.00</v>
      </c>
      <c r="AI71" s="9" t="str">
        <f>FIXED(VLOOKUP($A71,'Small Sample 2-Single Family'!$A:$R,AI$1,0),2)</f>
        <v>0.45</v>
      </c>
      <c r="AJ71" s="3" t="str">
        <f>FIXED(VLOOKUP($A71,'Small Sample 2-Single Family'!$A:$R,AJ$1,0),2)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Sample-Single Family'!$A:$R,C$1,0),2)</f>
        <v>0.21</v>
      </c>
      <c r="D72" s="3" t="str">
        <f>FIXED(VLOOKUP($A72,'Full Sample-Single Family'!$A:$R,D$1,0),2)</f>
        <v>0.16</v>
      </c>
      <c r="E72" s="3" t="str">
        <f>FIXED(VLOOKUP($A72,'Full Sample-Single Family'!$A:$R,E$1,0),2)</f>
        <v>0.00</v>
      </c>
      <c r="F72" s="3" t="str">
        <f>FIXED(VLOOKUP($A72,'Full Sample-Single Family'!$A:$R,F$1,0),2)</f>
        <v>0.85</v>
      </c>
      <c r="G72" s="9" t="str">
        <f>FIXED(VLOOKUP($A72,'Full Sample-Single Family'!$A:$R,G$1,0),2)</f>
        <v>0.21</v>
      </c>
      <c r="H72" s="3" t="str">
        <f>FIXED(VLOOKUP($A72,'Full Sample-Single Family'!$A:$R,H$1,0),2)</f>
        <v>0.15</v>
      </c>
      <c r="I72" s="3" t="str">
        <f>FIXED(VLOOKUP($A72,'Full Sample-Single Family'!$A:$R,I$1,0),2)</f>
        <v>0.00</v>
      </c>
      <c r="J72" s="13" t="str">
        <f>FIXED(VLOOKUP($A72,'Full Sample-Single Family'!$A:$R,J$1,0),2)</f>
        <v>0.85</v>
      </c>
      <c r="K72" s="9" t="str">
        <f>FIXED(VLOOKUP($A72,'Full Sample-Single Family'!$A:$R,K$1,0),2)</f>
        <v>0.22</v>
      </c>
      <c r="L72" s="3" t="str">
        <f>FIXED(VLOOKUP($A72,'Full Sample-Single Family'!$A:$R,L$1,0),2)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1-Single Family'!$A:$R,O$1,0),2)</f>
        <v>0.21</v>
      </c>
      <c r="P72" s="3" t="str">
        <f>FIXED(VLOOKUP($A72,'Small Sample 1-Single Family'!$A:$R,P$1,0),2)</f>
        <v>0.16</v>
      </c>
      <c r="Q72" s="3" t="str">
        <f>FIXED(VLOOKUP($A72,'Small Sample 1-Single Family'!$A:$R,Q$1,0),2)</f>
        <v>0.00</v>
      </c>
      <c r="R72" s="3" t="str">
        <f>FIXED(VLOOKUP($A72,'Small Sample 1-Single Family'!$A:$R,R$1,0),2)</f>
        <v>0.85</v>
      </c>
      <c r="S72" s="9" t="str">
        <f>FIXED(VLOOKUP($A72,'Small Sample 1-Single Family'!$A:$R,S$1,0),2)</f>
        <v>0.20</v>
      </c>
      <c r="T72" s="3" t="str">
        <f>FIXED(VLOOKUP($A72,'Small Sample 1-Single Family'!$A:$R,T$1,0),2)</f>
        <v>0.15</v>
      </c>
      <c r="U72" s="3" t="str">
        <f>FIXED(VLOOKUP($A72,'Small Sample 1-Single Family'!$A:$R,U$1,0),2)</f>
        <v>0.00</v>
      </c>
      <c r="V72" s="13" t="str">
        <f>FIXED(VLOOKUP($A72,'Small Sample 1-Single Family'!$A:$R,V$1,0),2)</f>
        <v>0.85</v>
      </c>
      <c r="W72" s="9" t="str">
        <f>FIXED(VLOOKUP($A72,'Small Sample 1-Single Family'!$A:$R,W$1,0),2)</f>
        <v>0.22</v>
      </c>
      <c r="X72" s="3" t="str">
        <f>FIXED(VLOOKUP($A72,'Small Sample 1-Single Family'!$A:$R,X$1,0),2)</f>
        <v>0.16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2-Single Family'!$A:$R,AA$1,0),2)</f>
        <v>0.21</v>
      </c>
      <c r="AB72" s="3" t="str">
        <f>FIXED(VLOOKUP($A72,'Small Sample 2-Single Family'!$A:$R,AB$1,0),2)</f>
        <v>0.16</v>
      </c>
      <c r="AC72" s="3" t="str">
        <f>FIXED(VLOOKUP($A72,'Small Sample 2-Single Family'!$A:$R,AC$1,0),2)</f>
        <v>0.00</v>
      </c>
      <c r="AD72" s="3" t="str">
        <f>FIXED(VLOOKUP($A72,'Small Sample 2-Single Family'!$A:$R,AD$1,0),2)</f>
        <v>0.85</v>
      </c>
      <c r="AE72" s="9" t="str">
        <f>FIXED(VLOOKUP($A72,'Small Sample 2-Single Family'!$A:$R,AE$1,0),2)</f>
        <v>0.21</v>
      </c>
      <c r="AF72" s="3" t="str">
        <f>FIXED(VLOOKUP($A72,'Small Sample 2-Single Family'!$A:$R,AF$1,0),2)</f>
        <v>0.15</v>
      </c>
      <c r="AG72" s="3" t="str">
        <f>FIXED(VLOOKUP($A72,'Small Sample 2-Single Family'!$A:$R,AG$1,0),2)</f>
        <v>0.00</v>
      </c>
      <c r="AH72" s="13" t="str">
        <f>FIXED(VLOOKUP($A72,'Small Sample 2-Single Family'!$A:$R,AH$1,0),2)</f>
        <v>0.85</v>
      </c>
      <c r="AI72" s="9" t="str">
        <f>FIXED(VLOOKUP($A72,'Small Sample 2-Single Family'!$A:$R,AI$1,0),2)</f>
        <v>0.21</v>
      </c>
      <c r="AJ72" s="3" t="str">
        <f>FIXED(VLOOKUP($A72,'Small Sample 2-Single Family'!$A:$R,AJ$1,0),2)</f>
        <v>0.17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Sample-Single Family'!$A:$R,C$1,0),2)</f>
        <v>0.02</v>
      </c>
      <c r="D73" s="3" t="str">
        <f>FIXED(VLOOKUP($A73,'Full Sample-Single Family'!$A:$R,D$1,0),2)</f>
        <v>0.03</v>
      </c>
      <c r="E73" s="3" t="str">
        <f>FIXED(VLOOKUP($A73,'Full Sample-Single Family'!$A:$R,E$1,0),2)</f>
        <v>0.00</v>
      </c>
      <c r="F73" s="3" t="str">
        <f>FIXED(VLOOKUP($A73,'Full Sample-Single Family'!$A:$R,F$1,0),2)</f>
        <v>0.26</v>
      </c>
      <c r="G73" s="9" t="str">
        <f>FIXED(VLOOKUP($A73,'Full Sample-Single Family'!$A:$R,G$1,0),2)</f>
        <v>0.02</v>
      </c>
      <c r="H73" s="3" t="str">
        <f>FIXED(VLOOKUP($A73,'Full Sample-Single Family'!$A:$R,H$1,0),2)</f>
        <v>0.03</v>
      </c>
      <c r="I73" s="3" t="str">
        <f>FIXED(VLOOKUP($A73,'Full Sample-Single Family'!$A:$R,I$1,0),2)</f>
        <v>0.00</v>
      </c>
      <c r="J73" s="13" t="str">
        <f>FIXED(VLOOKUP($A73,'Full Sample-Single Family'!$A:$R,J$1,0),2)</f>
        <v>0.26</v>
      </c>
      <c r="K73" s="9" t="str">
        <f>FIXED(VLOOKUP($A73,'Full Sample-Single Family'!$A:$R,K$1,0),2)</f>
        <v>0.02</v>
      </c>
      <c r="L73" s="3" t="str">
        <f>FIXED(VLOOKUP($A73,'Full Sample-Single Family'!$A:$R,L$1,0),2)</f>
        <v>0.03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1-Single Family'!$A:$R,O$1,0),2)</f>
        <v>0.02</v>
      </c>
      <c r="P73" s="3" t="str">
        <f>FIXED(VLOOKUP($A73,'Small Sample 1-Single Family'!$A:$R,P$1,0),2)</f>
        <v>0.03</v>
      </c>
      <c r="Q73" s="3" t="str">
        <f>FIXED(VLOOKUP($A73,'Small Sample 1-Single Family'!$A:$R,Q$1,0),2)</f>
        <v>0.00</v>
      </c>
      <c r="R73" s="3" t="str">
        <f>FIXED(VLOOKUP($A73,'Small Sample 1-Single Family'!$A:$R,R$1,0),2)</f>
        <v>0.26</v>
      </c>
      <c r="S73" s="9" t="str">
        <f>FIXED(VLOOKUP($A73,'Small Sample 1-Single Family'!$A:$R,S$1,0),2)</f>
        <v>0.02</v>
      </c>
      <c r="T73" s="3" t="str">
        <f>FIXED(VLOOKUP($A73,'Small Sample 1-Single Family'!$A:$R,T$1,0),2)</f>
        <v>0.03</v>
      </c>
      <c r="U73" s="3" t="str">
        <f>FIXED(VLOOKUP($A73,'Small Sample 1-Single Family'!$A:$R,U$1,0),2)</f>
        <v>0.00</v>
      </c>
      <c r="V73" s="13" t="str">
        <f>FIXED(VLOOKUP($A73,'Small Sample 1-Single Family'!$A:$R,V$1,0),2)</f>
        <v>0.26</v>
      </c>
      <c r="W73" s="9" t="str">
        <f>FIXED(VLOOKUP($A73,'Small Sample 1-Single Family'!$A:$R,W$1,0),2)</f>
        <v>0.02</v>
      </c>
      <c r="X73" s="3" t="str">
        <f>FIXED(VLOOKUP($A73,'Small Sample 1-Single Family'!$A:$R,X$1,0),2)</f>
        <v>0.03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2-Single Family'!$A:$R,AA$1,0),2)</f>
        <v>0.02</v>
      </c>
      <c r="AB73" s="3" t="str">
        <f>FIXED(VLOOKUP($A73,'Small Sample 2-Single Family'!$A:$R,AB$1,0),2)</f>
        <v>0.03</v>
      </c>
      <c r="AC73" s="3" t="str">
        <f>FIXED(VLOOKUP($A73,'Small Sample 2-Single Family'!$A:$R,AC$1,0),2)</f>
        <v>0.00</v>
      </c>
      <c r="AD73" s="3" t="str">
        <f>FIXED(VLOOKUP($A73,'Small Sample 2-Single Family'!$A:$R,AD$1,0),2)</f>
        <v>0.26</v>
      </c>
      <c r="AE73" s="9" t="str">
        <f>FIXED(VLOOKUP($A73,'Small Sample 2-Single Family'!$A:$R,AE$1,0),2)</f>
        <v>0.02</v>
      </c>
      <c r="AF73" s="3" t="str">
        <f>FIXED(VLOOKUP($A73,'Small Sample 2-Single Family'!$A:$R,AF$1,0),2)</f>
        <v>0.03</v>
      </c>
      <c r="AG73" s="3" t="str">
        <f>FIXED(VLOOKUP($A73,'Small Sample 2-Single Family'!$A:$R,AG$1,0),2)</f>
        <v>0.00</v>
      </c>
      <c r="AH73" s="13" t="str">
        <f>FIXED(VLOOKUP($A73,'Small Sample 2-Single Family'!$A:$R,AH$1,0),2)</f>
        <v>0.26</v>
      </c>
      <c r="AI73" s="9" t="str">
        <f>FIXED(VLOOKUP($A73,'Small Sample 2-Single Family'!$A:$R,AI$1,0),2)</f>
        <v>0.02</v>
      </c>
      <c r="AJ73" s="3" t="str">
        <f>FIXED(VLOOKUP($A73,'Small Sample 2-Single Family'!$A:$R,AJ$1,0),2)</f>
        <v>0.03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Sample-Single Family'!$A:$R,C$1,0),2)</f>
        <v>0.42</v>
      </c>
      <c r="D74" s="3" t="str">
        <f>FIXED(VLOOKUP($A74,'Full Sample-Single Family'!$A:$R,D$1,0),2)</f>
        <v>0.20</v>
      </c>
      <c r="E74" s="3" t="str">
        <f>FIXED(VLOOKUP($A74,'Full Sample-Single Family'!$A:$R,E$1,0),2)</f>
        <v>0.00</v>
      </c>
      <c r="F74" s="3" t="str">
        <f>FIXED(VLOOKUP($A74,'Full Sample-Single Family'!$A:$R,F$1,0),2)</f>
        <v>0.96</v>
      </c>
      <c r="G74" s="9" t="str">
        <f>FIXED(VLOOKUP($A74,'Full Sample-Single Family'!$A:$R,G$1,0),2)</f>
        <v>0.42</v>
      </c>
      <c r="H74" s="3" t="str">
        <f>FIXED(VLOOKUP($A74,'Full Sample-Single Family'!$A:$R,H$1,0),2)</f>
        <v>0.20</v>
      </c>
      <c r="I74" s="3" t="str">
        <f>FIXED(VLOOKUP($A74,'Full Sample-Single Family'!$A:$R,I$1,0),2)</f>
        <v>0.00</v>
      </c>
      <c r="J74" s="13" t="str">
        <f>FIXED(VLOOKUP($A74,'Full Sample-Single Family'!$A:$R,J$1,0),2)</f>
        <v>0.96</v>
      </c>
      <c r="K74" s="9" t="str">
        <f>FIXED(VLOOKUP($A74,'Full Sample-Single Family'!$A:$R,K$1,0),2)</f>
        <v>0.41</v>
      </c>
      <c r="L74" s="3" t="str">
        <f>FIXED(VLOOKUP($A74,'Full Sample-Single Family'!$A:$R,L$1,0),2)</f>
        <v>0.20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1-Single Family'!$A:$R,O$1,0),2)</f>
        <v>0.42</v>
      </c>
      <c r="P74" s="3" t="str">
        <f>FIXED(VLOOKUP($A74,'Small Sample 1-Single Family'!$A:$R,P$1,0),2)</f>
        <v>0.20</v>
      </c>
      <c r="Q74" s="3" t="str">
        <f>FIXED(VLOOKUP($A74,'Small Sample 1-Single Family'!$A:$R,Q$1,0),2)</f>
        <v>0.00</v>
      </c>
      <c r="R74" s="3" t="str">
        <f>FIXED(VLOOKUP($A74,'Small Sample 1-Single Family'!$A:$R,R$1,0),2)</f>
        <v>0.96</v>
      </c>
      <c r="S74" s="9" t="str">
        <f>FIXED(VLOOKUP($A74,'Small Sample 1-Single Family'!$A:$R,S$1,0),2)</f>
        <v>0.43</v>
      </c>
      <c r="T74" s="3" t="str">
        <f>FIXED(VLOOKUP($A74,'Small Sample 1-Single Family'!$A:$R,T$1,0),2)</f>
        <v>0.20</v>
      </c>
      <c r="U74" s="3" t="str">
        <f>FIXED(VLOOKUP($A74,'Small Sample 1-Single Family'!$A:$R,U$1,0),2)</f>
        <v>0.00</v>
      </c>
      <c r="V74" s="13" t="str">
        <f>FIXED(VLOOKUP($A74,'Small Sample 1-Single Family'!$A:$R,V$1,0),2)</f>
        <v>0.96</v>
      </c>
      <c r="W74" s="9" t="str">
        <f>FIXED(VLOOKUP($A74,'Small Sample 1-Single Family'!$A:$R,W$1,0),2)</f>
        <v>0.41</v>
      </c>
      <c r="X74" s="3" t="str">
        <f>FIXED(VLOOKUP($A74,'Small Sample 1-Single Family'!$A:$R,X$1,0),2)</f>
        <v>0.20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2-Single Family'!$A:$R,AA$1,0),2)</f>
        <v>0.42</v>
      </c>
      <c r="AB74" s="3" t="str">
        <f>FIXED(VLOOKUP($A74,'Small Sample 2-Single Family'!$A:$R,AB$1,0),2)</f>
        <v>0.20</v>
      </c>
      <c r="AC74" s="3" t="str">
        <f>FIXED(VLOOKUP($A74,'Small Sample 2-Single Family'!$A:$R,AC$1,0),2)</f>
        <v>0.00</v>
      </c>
      <c r="AD74" s="3" t="str">
        <f>FIXED(VLOOKUP($A74,'Small Sample 2-Single Family'!$A:$R,AD$1,0),2)</f>
        <v>0.96</v>
      </c>
      <c r="AE74" s="9" t="str">
        <f>FIXED(VLOOKUP($A74,'Small Sample 2-Single Family'!$A:$R,AE$1,0),2)</f>
        <v>0.42</v>
      </c>
      <c r="AF74" s="3" t="str">
        <f>FIXED(VLOOKUP($A74,'Small Sample 2-Single Family'!$A:$R,AF$1,0),2)</f>
        <v>0.20</v>
      </c>
      <c r="AG74" s="3" t="str">
        <f>FIXED(VLOOKUP($A74,'Small Sample 2-Single Family'!$A:$R,AG$1,0),2)</f>
        <v>0.00</v>
      </c>
      <c r="AH74" s="13" t="str">
        <f>FIXED(VLOOKUP($A74,'Small Sample 2-Single Family'!$A:$R,AH$1,0),2)</f>
        <v>0.96</v>
      </c>
      <c r="AI74" s="9" t="str">
        <f>FIXED(VLOOKUP($A74,'Small Sample 2-Single Family'!$A:$R,AI$1,0),2)</f>
        <v>0.42</v>
      </c>
      <c r="AJ74" s="3" t="str">
        <f>FIXED(VLOOKUP($A74,'Small Sample 2-Single Family'!$A:$R,AJ$1,0),2)</f>
        <v>0.20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Sample-Single Family'!$A:$R,C$1,0),2)</f>
        <v>0.08</v>
      </c>
      <c r="D75" s="3" t="str">
        <f>FIXED(VLOOKUP($A75,'Full Sample-Single Family'!$A:$R,D$1,0),2)</f>
        <v>0.12</v>
      </c>
      <c r="E75" s="3" t="str">
        <f>FIXED(VLOOKUP($A75,'Full Sample-Single Family'!$A:$R,E$1,0),2)</f>
        <v>0.00</v>
      </c>
      <c r="F75" s="3" t="str">
        <f>FIXED(VLOOKUP($A75,'Full Sample-Single Family'!$A:$R,F$1,0),2)</f>
        <v>0.70</v>
      </c>
      <c r="G75" s="9" t="str">
        <f>FIXED(VLOOKUP($A75,'Full Sample-Single Family'!$A:$R,G$1,0),2)</f>
        <v>0.08</v>
      </c>
      <c r="H75" s="3" t="str">
        <f>FIXED(VLOOKUP($A75,'Full Sample-Single Family'!$A:$R,H$1,0),2)</f>
        <v>0.12</v>
      </c>
      <c r="I75" s="3" t="str">
        <f>FIXED(VLOOKUP($A75,'Full Sample-Single Family'!$A:$R,I$1,0),2)</f>
        <v>0.00</v>
      </c>
      <c r="J75" s="13" t="str">
        <f>FIXED(VLOOKUP($A75,'Full Sample-Single Family'!$A:$R,J$1,0),2)</f>
        <v>0.70</v>
      </c>
      <c r="K75" s="9" t="str">
        <f>FIXED(VLOOKUP($A75,'Full Sample-Single Family'!$A:$R,K$1,0),2)</f>
        <v>0.08</v>
      </c>
      <c r="L75" s="3" t="str">
        <f>FIXED(VLOOKUP($A75,'Full Sample-Single Family'!$A:$R,L$1,0),2)</f>
        <v>0.12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1-Single Family'!$A:$R,O$1,0),2)</f>
        <v>0.08</v>
      </c>
      <c r="P75" s="3" t="str">
        <f>FIXED(VLOOKUP($A75,'Small Sample 1-Single Family'!$A:$R,P$1,0),2)</f>
        <v>0.11</v>
      </c>
      <c r="Q75" s="3" t="str">
        <f>FIXED(VLOOKUP($A75,'Small Sample 1-Single Family'!$A:$R,Q$1,0),2)</f>
        <v>0.00</v>
      </c>
      <c r="R75" s="3" t="str">
        <f>FIXED(VLOOKUP($A75,'Small Sample 1-Single Family'!$A:$R,R$1,0),2)</f>
        <v>0.70</v>
      </c>
      <c r="S75" s="9" t="str">
        <f>FIXED(VLOOKUP($A75,'Small Sample 1-Single Family'!$A:$R,S$1,0),2)</f>
        <v>0.08</v>
      </c>
      <c r="T75" s="3" t="str">
        <f>FIXED(VLOOKUP($A75,'Small Sample 1-Single Family'!$A:$R,T$1,0),2)</f>
        <v>0.11</v>
      </c>
      <c r="U75" s="3" t="str">
        <f>FIXED(VLOOKUP($A75,'Small Sample 1-Single Family'!$A:$R,U$1,0),2)</f>
        <v>0.00</v>
      </c>
      <c r="V75" s="13" t="str">
        <f>FIXED(VLOOKUP($A75,'Small Sample 1-Single Family'!$A:$R,V$1,0),2)</f>
        <v>0.70</v>
      </c>
      <c r="W75" s="9" t="str">
        <f>FIXED(VLOOKUP($A75,'Small Sample 1-Single Family'!$A:$R,W$1,0),2)</f>
        <v>0.08</v>
      </c>
      <c r="X75" s="3" t="str">
        <f>FIXED(VLOOKUP($A75,'Small Sample 1-Single Family'!$A:$R,X$1,0),2)</f>
        <v>0.12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2-Single Family'!$A:$R,AA$1,0),2)</f>
        <v>0.08</v>
      </c>
      <c r="AB75" s="3" t="str">
        <f>FIXED(VLOOKUP($A75,'Small Sample 2-Single Family'!$A:$R,AB$1,0),2)</f>
        <v>0.11</v>
      </c>
      <c r="AC75" s="3" t="str">
        <f>FIXED(VLOOKUP($A75,'Small Sample 2-Single Family'!$A:$R,AC$1,0),2)</f>
        <v>0.00</v>
      </c>
      <c r="AD75" s="3" t="str">
        <f>FIXED(VLOOKUP($A75,'Small Sample 2-Single Family'!$A:$R,AD$1,0),2)</f>
        <v>0.70</v>
      </c>
      <c r="AE75" s="9" t="str">
        <f>FIXED(VLOOKUP($A75,'Small Sample 2-Single Family'!$A:$R,AE$1,0),2)</f>
        <v>0.08</v>
      </c>
      <c r="AF75" s="3" t="str">
        <f>FIXED(VLOOKUP($A75,'Small Sample 2-Single Family'!$A:$R,AF$1,0),2)</f>
        <v>0.11</v>
      </c>
      <c r="AG75" s="3" t="str">
        <f>FIXED(VLOOKUP($A75,'Small Sample 2-Single Family'!$A:$R,AG$1,0),2)</f>
        <v>0.00</v>
      </c>
      <c r="AH75" s="13" t="str">
        <f>FIXED(VLOOKUP($A75,'Small Sample 2-Single Family'!$A:$R,AH$1,0),2)</f>
        <v>0.70</v>
      </c>
      <c r="AI75" s="9" t="str">
        <f>FIXED(VLOOKUP($A75,'Small Sample 2-Single Family'!$A:$R,AI$1,0),2)</f>
        <v>0.08</v>
      </c>
      <c r="AJ75" s="3" t="str">
        <f>FIXED(VLOOKUP($A75,'Small Sample 2-Single Family'!$A:$R,AJ$1,0),2)</f>
        <v>0.12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Sample-Single Family'!$A:$R,C$1,0),2)</f>
        <v>0.94</v>
      </c>
      <c r="D76" s="3" t="str">
        <f>FIXED(VLOOKUP($A76,'Full Sample-Single Family'!$A:$R,D$1,0),2)</f>
        <v>0.09</v>
      </c>
      <c r="E76" s="3" t="str">
        <f>FIXED(VLOOKUP($A76,'Full Sample-Single Family'!$A:$R,E$1,0),2)</f>
        <v>0.00</v>
      </c>
      <c r="F76" s="3" t="str">
        <f>FIXED(VLOOKUP($A76,'Full Sample-Single Family'!$A:$R,F$1,0),2)</f>
        <v>1.00</v>
      </c>
      <c r="G76" s="9" t="str">
        <f>FIXED(VLOOKUP($A76,'Full Sample-Single Family'!$A:$R,G$1,0),2)</f>
        <v>0.94</v>
      </c>
      <c r="H76" s="3" t="str">
        <f>FIXED(VLOOKUP($A76,'Full Sample-Single Family'!$A:$R,H$1,0),2)</f>
        <v>0.09</v>
      </c>
      <c r="I76" s="3" t="str">
        <f>FIXED(VLOOKUP($A76,'Full Sample-Single Family'!$A:$R,I$1,0),2)</f>
        <v>0.00</v>
      </c>
      <c r="J76" s="13" t="str">
        <f>FIXED(VLOOKUP($A76,'Full Sample-Single Family'!$A:$R,J$1,0),2)</f>
        <v>1.00</v>
      </c>
      <c r="K76" s="9" t="str">
        <f>FIXED(VLOOKUP($A76,'Full Sample-Single Family'!$A:$R,K$1,0),2)</f>
        <v>0.93</v>
      </c>
      <c r="L76" s="3" t="str">
        <f>FIXED(VLOOKUP($A76,'Full Sample-Single Family'!$A:$R,L$1,0),2)</f>
        <v>0.09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1-Single Family'!$A:$R,O$1,0),2)</f>
        <v>0.94</v>
      </c>
      <c r="P76" s="3" t="str">
        <f>FIXED(VLOOKUP($A76,'Small Sample 1-Single Family'!$A:$R,P$1,0),2)</f>
        <v>0.09</v>
      </c>
      <c r="Q76" s="3" t="str">
        <f>FIXED(VLOOKUP($A76,'Small Sample 1-Single Family'!$A:$R,Q$1,0),2)</f>
        <v>0.00</v>
      </c>
      <c r="R76" s="3" t="str">
        <f>FIXED(VLOOKUP($A76,'Small Sample 1-Single Family'!$A:$R,R$1,0),2)</f>
        <v>1.00</v>
      </c>
      <c r="S76" s="9" t="str">
        <f>FIXED(VLOOKUP($A76,'Small Sample 1-Single Family'!$A:$R,S$1,0),2)</f>
        <v>0.94</v>
      </c>
      <c r="T76" s="3" t="str">
        <f>FIXED(VLOOKUP($A76,'Small Sample 1-Single Family'!$A:$R,T$1,0),2)</f>
        <v>0.09</v>
      </c>
      <c r="U76" s="3" t="str">
        <f>FIXED(VLOOKUP($A76,'Small Sample 1-Single Family'!$A:$R,U$1,0),2)</f>
        <v>0.00</v>
      </c>
      <c r="V76" s="13" t="str">
        <f>FIXED(VLOOKUP($A76,'Small Sample 1-Single Family'!$A:$R,V$1,0),2)</f>
        <v>1.00</v>
      </c>
      <c r="W76" s="9" t="str">
        <f>FIXED(VLOOKUP($A76,'Small Sample 1-Single Family'!$A:$R,W$1,0),2)</f>
        <v>0.93</v>
      </c>
      <c r="X76" s="3" t="str">
        <f>FIXED(VLOOKUP($A76,'Small Sample 1-Single Family'!$A:$R,X$1,0),2)</f>
        <v>0.09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2-Single Family'!$A:$R,AA$1,0),2)</f>
        <v>0.94</v>
      </c>
      <c r="AB76" s="3" t="str">
        <f>FIXED(VLOOKUP($A76,'Small Sample 2-Single Family'!$A:$R,AB$1,0),2)</f>
        <v>0.09</v>
      </c>
      <c r="AC76" s="3" t="str">
        <f>FIXED(VLOOKUP($A76,'Small Sample 2-Single Family'!$A:$R,AC$1,0),2)</f>
        <v>0.00</v>
      </c>
      <c r="AD76" s="3" t="str">
        <f>FIXED(VLOOKUP($A76,'Small Sample 2-Single Family'!$A:$R,AD$1,0),2)</f>
        <v>1.00</v>
      </c>
      <c r="AE76" s="9" t="str">
        <f>FIXED(VLOOKUP($A76,'Small Sample 2-Single Family'!$A:$R,AE$1,0),2)</f>
        <v>0.94</v>
      </c>
      <c r="AF76" s="3" t="str">
        <f>FIXED(VLOOKUP($A76,'Small Sample 2-Single Family'!$A:$R,AF$1,0),2)</f>
        <v>0.09</v>
      </c>
      <c r="AG76" s="3" t="str">
        <f>FIXED(VLOOKUP($A76,'Small Sample 2-Single Family'!$A:$R,AG$1,0),2)</f>
        <v>0.00</v>
      </c>
      <c r="AH76" s="13" t="str">
        <f>FIXED(VLOOKUP($A76,'Small Sample 2-Single Family'!$A:$R,AH$1,0),2)</f>
        <v>1.00</v>
      </c>
      <c r="AI76" s="9" t="str">
        <f>FIXED(VLOOKUP($A76,'Small Sample 2-Single Family'!$A:$R,AI$1,0),2)</f>
        <v>0.93</v>
      </c>
      <c r="AJ76" s="3" t="str">
        <f>FIXED(VLOOKUP($A76,'Small Sample 2-Single Family'!$A:$R,AJ$1,0),2)</f>
        <v>0.09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Sample-Single Family'!$A:$R,C$1,0),2)</f>
        <v>0.06</v>
      </c>
      <c r="D77" s="3" t="str">
        <f>FIXED(VLOOKUP($A77,'Full Sample-Single Family'!$A:$R,D$1,0),2)</f>
        <v>0.08</v>
      </c>
      <c r="E77" s="3" t="str">
        <f>FIXED(VLOOKUP($A77,'Full Sample-Single Family'!$A:$R,E$1,0),2)</f>
        <v>0.00</v>
      </c>
      <c r="F77" s="3" t="str">
        <f>FIXED(VLOOKUP($A77,'Full Sample-Single Family'!$A:$R,F$1,0),2)</f>
        <v>0.70</v>
      </c>
      <c r="G77" s="9" t="str">
        <f>FIXED(VLOOKUP($A77,'Full Sample-Single Family'!$A:$R,G$1,0),2)</f>
        <v>0.06</v>
      </c>
      <c r="H77" s="3" t="str">
        <f>FIXED(VLOOKUP($A77,'Full Sample-Single Family'!$A:$R,H$1,0),2)</f>
        <v>0.08</v>
      </c>
      <c r="I77" s="3" t="str">
        <f>FIXED(VLOOKUP($A77,'Full Sample-Single Family'!$A:$R,I$1,0),2)</f>
        <v>0.00</v>
      </c>
      <c r="J77" s="13" t="str">
        <f>FIXED(VLOOKUP($A77,'Full Sample-Single Family'!$A:$R,J$1,0),2)</f>
        <v>0.70</v>
      </c>
      <c r="K77" s="9" t="str">
        <f>FIXED(VLOOKUP($A77,'Full Sample-Single Family'!$A:$R,K$1,0),2)</f>
        <v>0.06</v>
      </c>
      <c r="L77" s="3" t="str">
        <f>FIXED(VLOOKUP($A77,'Full Sample-Single Family'!$A:$R,L$1,0),2)</f>
        <v>0.09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1-Single Family'!$A:$R,O$1,0),2)</f>
        <v>0.06</v>
      </c>
      <c r="P77" s="3" t="str">
        <f>FIXED(VLOOKUP($A77,'Small Sample 1-Single Family'!$A:$R,P$1,0),2)</f>
        <v>0.08</v>
      </c>
      <c r="Q77" s="3" t="str">
        <f>FIXED(VLOOKUP($A77,'Small Sample 1-Single Family'!$A:$R,Q$1,0),2)</f>
        <v>0.00</v>
      </c>
      <c r="R77" s="3" t="str">
        <f>FIXED(VLOOKUP($A77,'Small Sample 1-Single Family'!$A:$R,R$1,0),2)</f>
        <v>0.70</v>
      </c>
      <c r="S77" s="9" t="str">
        <f>FIXED(VLOOKUP($A77,'Small Sample 1-Single Family'!$A:$R,S$1,0),2)</f>
        <v>0.06</v>
      </c>
      <c r="T77" s="3" t="str">
        <f>FIXED(VLOOKUP($A77,'Small Sample 1-Single Family'!$A:$R,T$1,0),2)</f>
        <v>0.08</v>
      </c>
      <c r="U77" s="3" t="str">
        <f>FIXED(VLOOKUP($A77,'Small Sample 1-Single Family'!$A:$R,U$1,0),2)</f>
        <v>0.00</v>
      </c>
      <c r="V77" s="13" t="str">
        <f>FIXED(VLOOKUP($A77,'Small Sample 1-Single Family'!$A:$R,V$1,0),2)</f>
        <v>0.70</v>
      </c>
      <c r="W77" s="9" t="str">
        <f>FIXED(VLOOKUP($A77,'Small Sample 1-Single Family'!$A:$R,W$1,0),2)</f>
        <v>0.06</v>
      </c>
      <c r="X77" s="3" t="str">
        <f>FIXED(VLOOKUP($A77,'Small Sample 1-Single Family'!$A:$R,X$1,0),2)</f>
        <v>0.09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2-Single Family'!$A:$R,AA$1,0),2)</f>
        <v>0.06</v>
      </c>
      <c r="AB77" s="3" t="str">
        <f>FIXED(VLOOKUP($A77,'Small Sample 2-Single Family'!$A:$R,AB$1,0),2)</f>
        <v>0.08</v>
      </c>
      <c r="AC77" s="3" t="str">
        <f>FIXED(VLOOKUP($A77,'Small Sample 2-Single Family'!$A:$R,AC$1,0),2)</f>
        <v>0.00</v>
      </c>
      <c r="AD77" s="3" t="str">
        <f>FIXED(VLOOKUP($A77,'Small Sample 2-Single Family'!$A:$R,AD$1,0),2)</f>
        <v>0.70</v>
      </c>
      <c r="AE77" s="9" t="str">
        <f>FIXED(VLOOKUP($A77,'Small Sample 2-Single Family'!$A:$R,AE$1,0),2)</f>
        <v>0.06</v>
      </c>
      <c r="AF77" s="3" t="str">
        <f>FIXED(VLOOKUP($A77,'Small Sample 2-Single Family'!$A:$R,AF$1,0),2)</f>
        <v>0.08</v>
      </c>
      <c r="AG77" s="3" t="str">
        <f>FIXED(VLOOKUP($A77,'Small Sample 2-Single Family'!$A:$R,AG$1,0),2)</f>
        <v>0.00</v>
      </c>
      <c r="AH77" s="13" t="str">
        <f>FIXED(VLOOKUP($A77,'Small Sample 2-Single Family'!$A:$R,AH$1,0),2)</f>
        <v>0.70</v>
      </c>
      <c r="AI77" s="9" t="str">
        <f>FIXED(VLOOKUP($A77,'Small Sample 2-Single Family'!$A:$R,AI$1,0),2)</f>
        <v>0.07</v>
      </c>
      <c r="AJ77" s="3" t="str">
        <f>FIXED(VLOOKUP($A77,'Small Sample 2-Single Family'!$A:$R,AJ$1,0),2)</f>
        <v>0.09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Sample-Single Family'!$A:$R,C$1,0),2)</f>
        <v>0.77</v>
      </c>
      <c r="D78" s="3" t="str">
        <f>FIXED(VLOOKUP($A78,'Full Sample-Single Family'!$A:$R,D$1,0),2)</f>
        <v>0.17</v>
      </c>
      <c r="E78" s="3" t="str">
        <f>FIXED(VLOOKUP($A78,'Full Sample-Single Family'!$A:$R,E$1,0),2)</f>
        <v>0.00</v>
      </c>
      <c r="F78" s="3" t="str">
        <f>FIXED(VLOOKUP($A78,'Full Sample-Single Family'!$A:$R,F$1,0),2)</f>
        <v>1.00</v>
      </c>
      <c r="G78" s="9" t="str">
        <f>FIXED(VLOOKUP($A78,'Full Sample-Single Family'!$A:$R,G$1,0),2)</f>
        <v>0.77</v>
      </c>
      <c r="H78" s="3" t="str">
        <f>FIXED(VLOOKUP($A78,'Full Sample-Single Family'!$A:$R,H$1,0),2)</f>
        <v>0.17</v>
      </c>
      <c r="I78" s="3" t="str">
        <f>FIXED(VLOOKUP($A78,'Full Sample-Single Family'!$A:$R,I$1,0),2)</f>
        <v>0.00</v>
      </c>
      <c r="J78" s="13" t="str">
        <f>FIXED(VLOOKUP($A78,'Full Sample-Single Family'!$A:$R,J$1,0),2)</f>
        <v>1.00</v>
      </c>
      <c r="K78" s="9" t="str">
        <f>FIXED(VLOOKUP($A78,'Full Sample-Single Family'!$A:$R,K$1,0),2)</f>
        <v>0.76</v>
      </c>
      <c r="L78" s="3" t="str">
        <f>FIXED(VLOOKUP($A78,'Full Sample-Single Family'!$A:$R,L$1,0),2)</f>
        <v>0.17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1-Single Family'!$A:$R,O$1,0),2)</f>
        <v>0.77</v>
      </c>
      <c r="P78" s="3" t="str">
        <f>FIXED(VLOOKUP($A78,'Small Sample 1-Single Family'!$A:$R,P$1,0),2)</f>
        <v>0.17</v>
      </c>
      <c r="Q78" s="3" t="str">
        <f>FIXED(VLOOKUP($A78,'Small Sample 1-Single Family'!$A:$R,Q$1,0),2)</f>
        <v>0.00</v>
      </c>
      <c r="R78" s="3" t="str">
        <f>FIXED(VLOOKUP($A78,'Small Sample 1-Single Family'!$A:$R,R$1,0),2)</f>
        <v>1.00</v>
      </c>
      <c r="S78" s="9" t="str">
        <f>FIXED(VLOOKUP($A78,'Small Sample 1-Single Family'!$A:$R,S$1,0),2)</f>
        <v>0.77</v>
      </c>
      <c r="T78" s="3" t="str">
        <f>FIXED(VLOOKUP($A78,'Small Sample 1-Single Family'!$A:$R,T$1,0),2)</f>
        <v>0.17</v>
      </c>
      <c r="U78" s="3" t="str">
        <f>FIXED(VLOOKUP($A78,'Small Sample 1-Single Family'!$A:$R,U$1,0),2)</f>
        <v>0.00</v>
      </c>
      <c r="V78" s="13" t="str">
        <f>FIXED(VLOOKUP($A78,'Small Sample 1-Single Family'!$A:$R,V$1,0),2)</f>
        <v>1.00</v>
      </c>
      <c r="W78" s="9" t="str">
        <f>FIXED(VLOOKUP($A78,'Small Sample 1-Single Family'!$A:$R,W$1,0),2)</f>
        <v>0.76</v>
      </c>
      <c r="X78" s="3" t="str">
        <f>FIXED(VLOOKUP($A78,'Small Sample 1-Single Family'!$A:$R,X$1,0),2)</f>
        <v>0.17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2-Single Family'!$A:$R,AA$1,0),2)</f>
        <v>0.77</v>
      </c>
      <c r="AB78" s="3" t="str">
        <f>FIXED(VLOOKUP($A78,'Small Sample 2-Single Family'!$A:$R,AB$1,0),2)</f>
        <v>0.17</v>
      </c>
      <c r="AC78" s="3" t="str">
        <f>FIXED(VLOOKUP($A78,'Small Sample 2-Single Family'!$A:$R,AC$1,0),2)</f>
        <v>0.00</v>
      </c>
      <c r="AD78" s="3" t="str">
        <f>FIXED(VLOOKUP($A78,'Small Sample 2-Single Family'!$A:$R,AD$1,0),2)</f>
        <v>1.00</v>
      </c>
      <c r="AE78" s="9" t="str">
        <f>FIXED(VLOOKUP($A78,'Small Sample 2-Single Family'!$A:$R,AE$1,0),2)</f>
        <v>0.77</v>
      </c>
      <c r="AF78" s="3" t="str">
        <f>FIXED(VLOOKUP($A78,'Small Sample 2-Single Family'!$A:$R,AF$1,0),2)</f>
        <v>0.17</v>
      </c>
      <c r="AG78" s="3" t="str">
        <f>FIXED(VLOOKUP($A78,'Small Sample 2-Single Family'!$A:$R,AG$1,0),2)</f>
        <v>0.00</v>
      </c>
      <c r="AH78" s="13" t="str">
        <f>FIXED(VLOOKUP($A78,'Small Sample 2-Single Family'!$A:$R,AH$1,0),2)</f>
        <v>1.00</v>
      </c>
      <c r="AI78" s="9" t="str">
        <f>FIXED(VLOOKUP($A78,'Small Sample 2-Single Family'!$A:$R,AI$1,0),2)</f>
        <v>0.76</v>
      </c>
      <c r="AJ78" s="3" t="str">
        <f>FIXED(VLOOKUP($A78,'Small Sample 2-Single Family'!$A:$R,AJ$1,0),2)</f>
        <v>0.18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Sample-Single Family'!$A:$R,C$1,0),2)</f>
        <v>0.23</v>
      </c>
      <c r="D79" s="3" t="str">
        <f>FIXED(VLOOKUP($A79,'Full Sample-Single Family'!$A:$R,D$1,0),2)</f>
        <v>0.17</v>
      </c>
      <c r="E79" s="3" t="str">
        <f>FIXED(VLOOKUP($A79,'Full Sample-Single Family'!$A:$R,E$1,0),2)</f>
        <v>0.00</v>
      </c>
      <c r="F79" s="3" t="str">
        <f>FIXED(VLOOKUP($A79,'Full Sample-Single Family'!$A:$R,F$1,0),2)</f>
        <v>1.00</v>
      </c>
      <c r="G79" s="9" t="str">
        <f>FIXED(VLOOKUP($A79,'Full Sample-Single Family'!$A:$R,G$1,0),2)</f>
        <v>0.23</v>
      </c>
      <c r="H79" s="3" t="str">
        <f>FIXED(VLOOKUP($A79,'Full Sample-Single Family'!$A:$R,H$1,0),2)</f>
        <v>0.16</v>
      </c>
      <c r="I79" s="3" t="str">
        <f>FIXED(VLOOKUP($A79,'Full Sample-Single Family'!$A:$R,I$1,0),2)</f>
        <v>0.00</v>
      </c>
      <c r="J79" s="13" t="str">
        <f>FIXED(VLOOKUP($A79,'Full Sample-Single Family'!$A:$R,J$1,0),2)</f>
        <v>0.99</v>
      </c>
      <c r="K79" s="9" t="str">
        <f>FIXED(VLOOKUP($A79,'Full Sample-Single Family'!$A:$R,K$1,0),2)</f>
        <v>0.24</v>
      </c>
      <c r="L79" s="3" t="str">
        <f>FIXED(VLOOKUP($A79,'Full Sample-Single Family'!$A:$R,L$1,0),2)</f>
        <v>0.17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1-Single Family'!$A:$R,O$1,0),2)</f>
        <v>0.23</v>
      </c>
      <c r="P79" s="3" t="str">
        <f>FIXED(VLOOKUP($A79,'Small Sample 1-Single Family'!$A:$R,P$1,0),2)</f>
        <v>0.17</v>
      </c>
      <c r="Q79" s="3" t="str">
        <f>FIXED(VLOOKUP($A79,'Small Sample 1-Single Family'!$A:$R,Q$1,0),2)</f>
        <v>0.00</v>
      </c>
      <c r="R79" s="3" t="str">
        <f>FIXED(VLOOKUP($A79,'Small Sample 1-Single Family'!$A:$R,R$1,0),2)</f>
        <v>1.00</v>
      </c>
      <c r="S79" s="9" t="str">
        <f>FIXED(VLOOKUP($A79,'Small Sample 1-Single Family'!$A:$R,S$1,0),2)</f>
        <v>0.23</v>
      </c>
      <c r="T79" s="3" t="str">
        <f>FIXED(VLOOKUP($A79,'Small Sample 1-Single Family'!$A:$R,T$1,0),2)</f>
        <v>0.17</v>
      </c>
      <c r="U79" s="3" t="str">
        <f>FIXED(VLOOKUP($A79,'Small Sample 1-Single Family'!$A:$R,U$1,0),2)</f>
        <v>0.00</v>
      </c>
      <c r="V79" s="13" t="str">
        <f>FIXED(VLOOKUP($A79,'Small Sample 1-Single Family'!$A:$R,V$1,0),2)</f>
        <v>0.99</v>
      </c>
      <c r="W79" s="9" t="str">
        <f>FIXED(VLOOKUP($A79,'Small Sample 1-Single Family'!$A:$R,W$1,0),2)</f>
        <v>0.24</v>
      </c>
      <c r="X79" s="3" t="str">
        <f>FIXED(VLOOKUP($A79,'Small Sample 1-Single Family'!$A:$R,X$1,0),2)</f>
        <v>0.17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2-Single Family'!$A:$R,AA$1,0),2)</f>
        <v>0.23</v>
      </c>
      <c r="AB79" s="3" t="str">
        <f>FIXED(VLOOKUP($A79,'Small Sample 2-Single Family'!$A:$R,AB$1,0),2)</f>
        <v>0.17</v>
      </c>
      <c r="AC79" s="3" t="str">
        <f>FIXED(VLOOKUP($A79,'Small Sample 2-Single Family'!$A:$R,AC$1,0),2)</f>
        <v>0.00</v>
      </c>
      <c r="AD79" s="3" t="str">
        <f>FIXED(VLOOKUP($A79,'Small Sample 2-Single Family'!$A:$R,AD$1,0),2)</f>
        <v>1.00</v>
      </c>
      <c r="AE79" s="9" t="str">
        <f>FIXED(VLOOKUP($A79,'Small Sample 2-Single Family'!$A:$R,AE$1,0),2)</f>
        <v>0.23</v>
      </c>
      <c r="AF79" s="3" t="str">
        <f>FIXED(VLOOKUP($A79,'Small Sample 2-Single Family'!$A:$R,AF$1,0),2)</f>
        <v>0.16</v>
      </c>
      <c r="AG79" s="3" t="str">
        <f>FIXED(VLOOKUP($A79,'Small Sample 2-Single Family'!$A:$R,AG$1,0),2)</f>
        <v>0.00</v>
      </c>
      <c r="AH79" s="13" t="str">
        <f>FIXED(VLOOKUP($A79,'Small Sample 2-Single Family'!$A:$R,AH$1,0),2)</f>
        <v>0.99</v>
      </c>
      <c r="AI79" s="9" t="str">
        <f>FIXED(VLOOKUP($A79,'Small Sample 2-Single Family'!$A:$R,AI$1,0),2)</f>
        <v>0.24</v>
      </c>
      <c r="AJ79" s="3" t="str">
        <f>FIXED(VLOOKUP($A79,'Small Sample 2-Single Family'!$A:$R,AJ$1,0),2)</f>
        <v>0.17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27">
        <f>'Full Sample-Single Family'!B3</f>
        <v>22964</v>
      </c>
      <c r="D81" s="28"/>
      <c r="E81" s="28"/>
      <c r="F81" s="28"/>
      <c r="G81" s="27">
        <f>'Full Sample-Single Family'!H3</f>
        <v>13262</v>
      </c>
      <c r="H81" s="28"/>
      <c r="I81" s="28"/>
      <c r="J81" s="29"/>
      <c r="K81" s="27">
        <f>'Full Sample-Single Family'!N3</f>
        <v>9702</v>
      </c>
      <c r="L81" s="28"/>
      <c r="M81" s="28"/>
      <c r="N81" s="29"/>
      <c r="O81" s="27">
        <f>'Small Sample 1-Single Family'!B3</f>
        <v>19915</v>
      </c>
      <c r="P81" s="28"/>
      <c r="Q81" s="28"/>
      <c r="R81" s="28"/>
      <c r="S81" s="27">
        <f>'Small Sample 1-Single Family'!H3</f>
        <v>10578</v>
      </c>
      <c r="T81" s="28"/>
      <c r="U81" s="28"/>
      <c r="V81" s="29"/>
      <c r="W81" s="27">
        <f>'Small Sample 1-Single Family'!N3</f>
        <v>9337</v>
      </c>
      <c r="X81" s="28"/>
      <c r="Y81" s="28"/>
      <c r="Z81" s="28"/>
      <c r="AA81" s="27">
        <f>'Small Sample 2-Single Family'!B3</f>
        <v>19906</v>
      </c>
      <c r="AB81" s="28"/>
      <c r="AC81" s="28"/>
      <c r="AD81" s="28"/>
      <c r="AE81" s="27">
        <f>'Small Sample 2-Single Family'!H3</f>
        <v>12459</v>
      </c>
      <c r="AF81" s="28"/>
      <c r="AG81" s="28"/>
      <c r="AH81" s="29"/>
      <c r="AI81" s="27">
        <f>'Small Sample 2-Single Family'!N3</f>
        <v>7447</v>
      </c>
      <c r="AJ81" s="28"/>
      <c r="AK81" s="28"/>
      <c r="AL81" s="28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Sample-Single Family'!$A:$R,C$1,0),2)</f>
        <v>329.73</v>
      </c>
      <c r="D85" s="3" t="str">
        <f>FIXED(VLOOKUP($A85,'Full Sample-Single Family'!$A:$R,D$1,0),2)</f>
        <v>232.82</v>
      </c>
      <c r="E85" s="3" t="str">
        <f>FIXED(VLOOKUP($A85,'Full Sample-Single Family'!$A:$R,E$1,0),2)</f>
        <v>0.00</v>
      </c>
      <c r="F85" s="3" t="str">
        <f>FIXED(VLOOKUP($A85,'Full Sample-Single Family'!$A:$R,F$1,0),2)</f>
        <v>5,000.00</v>
      </c>
      <c r="G85" s="3" t="str">
        <f>FIXED(VLOOKUP($A85,'Full Sample-Single Family'!$A:$R,G$1,0),2)</f>
        <v>329.00</v>
      </c>
      <c r="H85" s="3" t="str">
        <f>FIXED(VLOOKUP($A85,'Full Sample-Single Family'!$A:$R,H$1,0),2)</f>
        <v>232.93</v>
      </c>
      <c r="I85" s="3" t="str">
        <f>FIXED(VLOOKUP($A85,'Full Sample-Single Family'!$A:$R,I$1,0),2)</f>
        <v>0.00</v>
      </c>
      <c r="J85" s="3" t="str">
        <f>FIXED(VLOOKUP($A85,'Full Sample-Single Family'!$A:$R,J$1,0),2)</f>
        <v>5,000.00</v>
      </c>
      <c r="K85" s="3" t="str">
        <f>FIXED(VLOOKUP($A85,'Full Sample-Single Family'!$A:$R,K$1,0),2)</f>
        <v>330.73</v>
      </c>
      <c r="L85" s="3" t="str">
        <f>FIXED(VLOOKUP($A85,'Full Sample-Single Family'!$A:$R,L$1,0),2)</f>
        <v>232.69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1-Single Family'!$A:$R,O$1,0),2)</f>
        <v>331.67</v>
      </c>
      <c r="P85" s="3" t="str">
        <f>FIXED(VLOOKUP($A85,'Small Sample 1-Single Family'!$A:$R,P$1,0),2)</f>
        <v>231.55</v>
      </c>
      <c r="Q85" s="3" t="str">
        <f>FIXED(VLOOKUP($A85,'Small Sample 1-Single Family'!$A:$R,Q$1,0),2)</f>
        <v>0.00</v>
      </c>
      <c r="R85" s="3" t="str">
        <f>FIXED(VLOOKUP($A85,'Small Sample 1-Single Family'!$A:$R,R$1,0),2)</f>
        <v>4,444.00</v>
      </c>
      <c r="S85" s="3" t="str">
        <f>FIXED(VLOOKUP($A85,'Small Sample 1-Single Family'!$A:$R,S$1,0),2)</f>
        <v>331.94</v>
      </c>
      <c r="T85" s="3" t="str">
        <f>FIXED(VLOOKUP($A85,'Small Sample 1-Single Family'!$A:$R,T$1,0),2)</f>
        <v>230.23</v>
      </c>
      <c r="U85" s="3" t="str">
        <f>FIXED(VLOOKUP($A85,'Small Sample 1-Single Family'!$A:$R,U$1,0),2)</f>
        <v>0.00</v>
      </c>
      <c r="V85" s="3" t="str">
        <f>FIXED(VLOOKUP($A85,'Small Sample 1-Single Family'!$A:$R,V$1,0),2)</f>
        <v>4,444.00</v>
      </c>
      <c r="W85" s="3" t="str">
        <f>FIXED(VLOOKUP($A85,'Small Sample 1-Single Family'!$A:$R,W$1,0),2)</f>
        <v>331.36</v>
      </c>
      <c r="X85" s="3" t="str">
        <f>FIXED(VLOOKUP($A85,'Small Sample 1-Single Family'!$A:$R,X$1,0),2)</f>
        <v>233.04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2-Single Family'!$A:$R,AA$1,0),2)</f>
        <v>331.62</v>
      </c>
      <c r="AB85" s="3" t="str">
        <f>FIXED(VLOOKUP($A85,'Small Sample 2-Single Family'!$A:$R,AB$1,0),2)</f>
        <v>233.68</v>
      </c>
      <c r="AC85" s="3" t="str">
        <f>FIXED(VLOOKUP($A85,'Small Sample 2-Single Family'!$A:$R,AC$1,0),2)</f>
        <v>0.00</v>
      </c>
      <c r="AD85" s="3" t="str">
        <f>FIXED(VLOOKUP($A85,'Small Sample 2-Single Family'!$A:$R,AD$1,0),2)</f>
        <v>5,000.00</v>
      </c>
      <c r="AE85" s="3" t="str">
        <f>FIXED(VLOOKUP($A85,'Small Sample 2-Single Family'!$A:$R,AE$1,0),2)</f>
        <v>330.21</v>
      </c>
      <c r="AF85" s="3" t="str">
        <f>FIXED(VLOOKUP($A85,'Small Sample 2-Single Family'!$A:$R,AF$1,0),2)</f>
        <v>233.03</v>
      </c>
      <c r="AG85" s="3" t="str">
        <f>FIXED(VLOOKUP($A85,'Small Sample 2-Single Family'!$A:$R,AG$1,0),2)</f>
        <v>0.00</v>
      </c>
      <c r="AH85" s="3" t="str">
        <f>FIXED(VLOOKUP($A85,'Small Sample 2-Single Family'!$A:$R,AH$1,0),2)</f>
        <v>5,000.00</v>
      </c>
      <c r="AI85" s="3" t="str">
        <f>FIXED(VLOOKUP($A85,'Small Sample 2-Single Family'!$A:$R,AI$1,0),2)</f>
        <v>333.97</v>
      </c>
      <c r="AJ85" s="3" t="str">
        <f>FIXED(VLOOKUP($A85,'Small Sample 2-Single Family'!$A:$R,AJ$1,0),2)</f>
        <v>234.75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Sample-Single Family'!$A:$R,C$1,0),2)</f>
        <v>1.00</v>
      </c>
      <c r="D86" s="3" t="str">
        <f>FIXED(VLOOKUP($A86,'Full Sample-Single Family'!$A:$R,D$1,0),2)</f>
        <v>0.02</v>
      </c>
      <c r="E86" s="3" t="str">
        <f>FIXED(VLOOKUP($A86,'Full Sample-Single Family'!$A:$R,E$1,0),2)</f>
        <v>0.00</v>
      </c>
      <c r="F86" s="3" t="str">
        <f>FIXED(VLOOKUP($A86,'Full Sample-Single Family'!$A:$R,F$1,0),2)</f>
        <v>1.00</v>
      </c>
      <c r="G86" s="3" t="str">
        <f>FIXED(VLOOKUP($A86,'Full Sample-Single Family'!$A:$R,G$1,0),2)</f>
        <v>1.00</v>
      </c>
      <c r="H86" s="3" t="str">
        <f>FIXED(VLOOKUP($A86,'Full Sample-Single Family'!$A:$R,H$1,0),2)</f>
        <v>0.02</v>
      </c>
      <c r="I86" s="3" t="str">
        <f>FIXED(VLOOKUP($A86,'Full Sample-Single Family'!$A:$R,I$1,0),2)</f>
        <v>0.00</v>
      </c>
      <c r="J86" s="3" t="str">
        <f>FIXED(VLOOKUP($A86,'Full Sample-Single Family'!$A:$R,J$1,0),2)</f>
        <v>1.00</v>
      </c>
      <c r="K86" s="3" t="str">
        <f>FIXED(VLOOKUP($A86,'Full Sample-Single Family'!$A:$R,K$1,0),2)</f>
        <v>1.00</v>
      </c>
      <c r="L86" s="3" t="str">
        <f>FIXED(VLOOKUP($A86,'Full Sample-Single Family'!$A:$R,L$1,0),2)</f>
        <v>0.01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1-Single Family'!$A:$R,O$1,0),2)</f>
        <v>1.00</v>
      </c>
      <c r="P86" s="3" t="str">
        <f>FIXED(VLOOKUP($A86,'Small Sample 1-Single Family'!$A:$R,P$1,0),2)</f>
        <v>0.00</v>
      </c>
      <c r="Q86" s="3" t="str">
        <f>FIXED(VLOOKUP($A86,'Small Sample 1-Single Family'!$A:$R,Q$1,0),2)</f>
        <v>1.00</v>
      </c>
      <c r="R86" s="3" t="str">
        <f>FIXED(VLOOKUP($A86,'Small Sample 1-Single Family'!$A:$R,R$1,0),2)</f>
        <v>1.00</v>
      </c>
      <c r="S86" s="3" t="str">
        <f>FIXED(VLOOKUP($A86,'Small Sample 1-Single Family'!$A:$R,S$1,0),2)</f>
        <v>1.00</v>
      </c>
      <c r="T86" s="3" t="str">
        <f>FIXED(VLOOKUP($A86,'Small Sample 1-Single Family'!$A:$R,T$1,0),2)</f>
        <v>0.00</v>
      </c>
      <c r="U86" s="3" t="str">
        <f>FIXED(VLOOKUP($A86,'Small Sample 1-Single Family'!$A:$R,U$1,0),2)</f>
        <v>1.00</v>
      </c>
      <c r="V86" s="3" t="str">
        <f>FIXED(VLOOKUP($A86,'Small Sample 1-Single Family'!$A:$R,V$1,0),2)</f>
        <v>1.00</v>
      </c>
      <c r="W86" s="3" t="str">
        <f>FIXED(VLOOKUP($A86,'Small Sample 1-Single Family'!$A:$R,W$1,0),2)</f>
        <v>1.00</v>
      </c>
      <c r="X86" s="3" t="str">
        <f>FIXED(VLOOKUP($A86,'Small Sample 1-Single Family'!$A:$R,X$1,0),2)</f>
        <v>0.00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2-Single Family'!$A:$R,AA$1,0),2)</f>
        <v>1.00</v>
      </c>
      <c r="AB86" s="3" t="str">
        <f>FIXED(VLOOKUP($A86,'Small Sample 2-Single Family'!$A:$R,AB$1,0),2)</f>
        <v>0.00</v>
      </c>
      <c r="AC86" s="3" t="str">
        <f>FIXED(VLOOKUP($A86,'Small Sample 2-Single Family'!$A:$R,AC$1,0),2)</f>
        <v>1.00</v>
      </c>
      <c r="AD86" s="3" t="str">
        <f>FIXED(VLOOKUP($A86,'Small Sample 2-Single Family'!$A:$R,AD$1,0),2)</f>
        <v>1.00</v>
      </c>
      <c r="AE86" s="3" t="str">
        <f>FIXED(VLOOKUP($A86,'Small Sample 2-Single Family'!$A:$R,AE$1,0),2)</f>
        <v>1.00</v>
      </c>
      <c r="AF86" s="3" t="str">
        <f>FIXED(VLOOKUP($A86,'Small Sample 2-Single Family'!$A:$R,AF$1,0),2)</f>
        <v>0.00</v>
      </c>
      <c r="AG86" s="3" t="str">
        <f>FIXED(VLOOKUP($A86,'Small Sample 2-Single Family'!$A:$R,AG$1,0),2)</f>
        <v>1.00</v>
      </c>
      <c r="AH86" s="3" t="str">
        <f>FIXED(VLOOKUP($A86,'Small Sample 2-Single Family'!$A:$R,AH$1,0),2)</f>
        <v>1.00</v>
      </c>
      <c r="AI86" s="3" t="str">
        <f>FIXED(VLOOKUP($A86,'Small Sample 2-Single Family'!$A:$R,AI$1,0),2)</f>
        <v>1.00</v>
      </c>
      <c r="AJ86" s="3" t="str">
        <f>FIXED(VLOOKUP($A86,'Small Sample 2-Single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Sample-Single Family'!$A:$R,C$1,0),2)</f>
        <v>4.94</v>
      </c>
      <c r="D87" s="3" t="str">
        <f>FIXED(VLOOKUP($A87,'Full Sample-Single Family'!$A:$R,D$1,0),2)</f>
        <v>12.61</v>
      </c>
      <c r="E87" s="3" t="str">
        <f>FIXED(VLOOKUP($A87,'Full Sample-Single Family'!$A:$R,E$1,0),2)</f>
        <v>0.00</v>
      </c>
      <c r="F87" s="3" t="str">
        <f>FIXED(VLOOKUP($A87,'Full Sample-Single Family'!$A:$R,F$1,0),2)</f>
        <v>94.00</v>
      </c>
      <c r="G87" s="3" t="str">
        <f>FIXED(VLOOKUP($A87,'Full Sample-Single Family'!$A:$R,G$1,0),2)</f>
        <v>4.54</v>
      </c>
      <c r="H87" s="3" t="str">
        <f>FIXED(VLOOKUP($A87,'Full Sample-Single Family'!$A:$R,H$1,0),2)</f>
        <v>12.06</v>
      </c>
      <c r="I87" s="3" t="str">
        <f>FIXED(VLOOKUP($A87,'Full Sample-Single Family'!$A:$R,I$1,0),2)</f>
        <v>0.00</v>
      </c>
      <c r="J87" s="3" t="str">
        <f>FIXED(VLOOKUP($A87,'Full Sample-Single Family'!$A:$R,J$1,0),2)</f>
        <v>88.00</v>
      </c>
      <c r="K87" s="3" t="str">
        <f>FIXED(VLOOKUP($A87,'Full Sample-Single Family'!$A:$R,K$1,0),2)</f>
        <v>5.50</v>
      </c>
      <c r="L87" s="3" t="str">
        <f>FIXED(VLOOKUP($A87,'Full Sample-Single Family'!$A:$R,L$1,0),2)</f>
        <v>13.30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1-Single Family'!$A:$R,O$1,0),2)</f>
        <v>5.17</v>
      </c>
      <c r="P87" s="3" t="str">
        <f>FIXED(VLOOKUP($A87,'Small Sample 1-Single Family'!$A:$R,P$1,0),2)</f>
        <v>12.86</v>
      </c>
      <c r="Q87" s="3" t="str">
        <f>FIXED(VLOOKUP($A87,'Small Sample 1-Single Family'!$A:$R,Q$1,0),2)</f>
        <v>0.00</v>
      </c>
      <c r="R87" s="3" t="str">
        <f>FIXED(VLOOKUP($A87,'Small Sample 1-Single Family'!$A:$R,R$1,0),2)</f>
        <v>94.00</v>
      </c>
      <c r="S87" s="3" t="str">
        <f>FIXED(VLOOKUP($A87,'Small Sample 1-Single Family'!$A:$R,S$1,0),2)</f>
        <v>4.88</v>
      </c>
      <c r="T87" s="3" t="str">
        <f>FIXED(VLOOKUP($A87,'Small Sample 1-Single Family'!$A:$R,T$1,0),2)</f>
        <v>12.48</v>
      </c>
      <c r="U87" s="3" t="str">
        <f>FIXED(VLOOKUP($A87,'Small Sample 1-Single Family'!$A:$R,U$1,0),2)</f>
        <v>0.00</v>
      </c>
      <c r="V87" s="3" t="str">
        <f>FIXED(VLOOKUP($A87,'Small Sample 1-Single Family'!$A:$R,V$1,0),2)</f>
        <v>88.00</v>
      </c>
      <c r="W87" s="3" t="str">
        <f>FIXED(VLOOKUP($A87,'Small Sample 1-Single Family'!$A:$R,W$1,0),2)</f>
        <v>5.50</v>
      </c>
      <c r="X87" s="3" t="str">
        <f>FIXED(VLOOKUP($A87,'Small Sample 1-Single Family'!$A:$R,X$1,0),2)</f>
        <v>13.26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2-Single Family'!$A:$R,AA$1,0),2)</f>
        <v>5.30</v>
      </c>
      <c r="AB87" s="3" t="str">
        <f>FIXED(VLOOKUP($A87,'Small Sample 2-Single Family'!$A:$R,AB$1,0),2)</f>
        <v>13.15</v>
      </c>
      <c r="AC87" s="3" t="str">
        <f>FIXED(VLOOKUP($A87,'Small Sample 2-Single Family'!$A:$R,AC$1,0),2)</f>
        <v>0.00</v>
      </c>
      <c r="AD87" s="3" t="str">
        <f>FIXED(VLOOKUP($A87,'Small Sample 2-Single Family'!$A:$R,AD$1,0),2)</f>
        <v>94.00</v>
      </c>
      <c r="AE87" s="3" t="str">
        <f>FIXED(VLOOKUP($A87,'Small Sample 2-Single Family'!$A:$R,AE$1,0),2)</f>
        <v>4.70</v>
      </c>
      <c r="AF87" s="3" t="str">
        <f>FIXED(VLOOKUP($A87,'Small Sample 2-Single Family'!$A:$R,AF$1,0),2)</f>
        <v>12.29</v>
      </c>
      <c r="AG87" s="3" t="str">
        <f>FIXED(VLOOKUP($A87,'Small Sample 2-Single Family'!$A:$R,AG$1,0),2)</f>
        <v>0.00</v>
      </c>
      <c r="AH87" s="3" t="str">
        <f>FIXED(VLOOKUP($A87,'Small Sample 2-Single Family'!$A:$R,AH$1,0),2)</f>
        <v>88.00</v>
      </c>
      <c r="AI87" s="3" t="str">
        <f>FIXED(VLOOKUP($A87,'Small Sample 2-Single Family'!$A:$R,AI$1,0),2)</f>
        <v>6.31</v>
      </c>
      <c r="AJ87" s="3" t="str">
        <f>FIXED(VLOOKUP($A87,'Small Sample 2-Single Family'!$A:$R,AJ$1,0),2)</f>
        <v>14.43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Sample-Single Family'!$A:$R,C$1,0),2)</f>
        <v>0.95</v>
      </c>
      <c r="D88" s="3" t="str">
        <f>FIXED(VLOOKUP($A88,'Full Sample-Single Family'!$A:$R,D$1,0),2)</f>
        <v>3.57</v>
      </c>
      <c r="E88" s="3" t="str">
        <f>FIXED(VLOOKUP($A88,'Full Sample-Single Family'!$A:$R,E$1,0),2)</f>
        <v>0.02</v>
      </c>
      <c r="F88" s="3" t="str">
        <f>FIXED(VLOOKUP($A88,'Full Sample-Single Family'!$A:$R,F$1,0),2)</f>
        <v>128.92</v>
      </c>
      <c r="G88" s="3" t="str">
        <f>FIXED(VLOOKUP($A88,'Full Sample-Single Family'!$A:$R,G$1,0),2)</f>
        <v>0.97</v>
      </c>
      <c r="H88" s="3" t="str">
        <f>FIXED(VLOOKUP($A88,'Full Sample-Single Family'!$A:$R,H$1,0),2)</f>
        <v>3.51</v>
      </c>
      <c r="I88" s="3" t="str">
        <f>FIXED(VLOOKUP($A88,'Full Sample-Single Family'!$A:$R,I$1,0),2)</f>
        <v>0.02</v>
      </c>
      <c r="J88" s="3" t="str">
        <f>FIXED(VLOOKUP($A88,'Full Sample-Single Family'!$A:$R,J$1,0),2)</f>
        <v>128.92</v>
      </c>
      <c r="K88" s="3" t="str">
        <f>FIXED(VLOOKUP($A88,'Full Sample-Single Family'!$A:$R,K$1,0),2)</f>
        <v>0.92</v>
      </c>
      <c r="L88" s="3" t="str">
        <f>FIXED(VLOOKUP($A88,'Full Sample-Single Family'!$A:$R,L$1,0),2)</f>
        <v>3.66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1-Single Family'!$A:$R,O$1,0),2)</f>
        <v>0.89</v>
      </c>
      <c r="P88" s="3" t="str">
        <f>FIXED(VLOOKUP($A88,'Small Sample 1-Single Family'!$A:$R,P$1,0),2)</f>
        <v>3.53</v>
      </c>
      <c r="Q88" s="3" t="str">
        <f>FIXED(VLOOKUP($A88,'Small Sample 1-Single Family'!$A:$R,Q$1,0),2)</f>
        <v>0.02</v>
      </c>
      <c r="R88" s="3" t="str">
        <f>FIXED(VLOOKUP($A88,'Small Sample 1-Single Family'!$A:$R,R$1,0),2)</f>
        <v>128.92</v>
      </c>
      <c r="S88" s="3" t="str">
        <f>FIXED(VLOOKUP($A88,'Small Sample 1-Single Family'!$A:$R,S$1,0),2)</f>
        <v>0.86</v>
      </c>
      <c r="T88" s="3" t="str">
        <f>FIXED(VLOOKUP($A88,'Small Sample 1-Single Family'!$A:$R,T$1,0),2)</f>
        <v>3.43</v>
      </c>
      <c r="U88" s="3" t="str">
        <f>FIXED(VLOOKUP($A88,'Small Sample 1-Single Family'!$A:$R,U$1,0),2)</f>
        <v>0.03</v>
      </c>
      <c r="V88" s="3" t="str">
        <f>FIXED(VLOOKUP($A88,'Small Sample 1-Single Family'!$A:$R,V$1,0),2)</f>
        <v>128.92</v>
      </c>
      <c r="W88" s="3" t="str">
        <f>FIXED(VLOOKUP($A88,'Small Sample 1-Single Family'!$A:$R,W$1,0),2)</f>
        <v>0.92</v>
      </c>
      <c r="X88" s="3" t="str">
        <f>FIXED(VLOOKUP($A88,'Small Sample 1-Single Family'!$A:$R,X$1,0),2)</f>
        <v>3.64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2-Single Family'!$A:$R,AA$1,0),2)</f>
        <v>0.89</v>
      </c>
      <c r="AB88" s="3" t="str">
        <f>FIXED(VLOOKUP($A88,'Small Sample 2-Single Family'!$A:$R,AB$1,0),2)</f>
        <v>3.53</v>
      </c>
      <c r="AC88" s="3" t="str">
        <f>FIXED(VLOOKUP($A88,'Small Sample 2-Single Family'!$A:$R,AC$1,0),2)</f>
        <v>0.02</v>
      </c>
      <c r="AD88" s="3" t="str">
        <f>FIXED(VLOOKUP($A88,'Small Sample 2-Single Family'!$A:$R,AD$1,0),2)</f>
        <v>128.92</v>
      </c>
      <c r="AE88" s="3" t="str">
        <f>FIXED(VLOOKUP($A88,'Small Sample 2-Single Family'!$A:$R,AE$1,0),2)</f>
        <v>0.96</v>
      </c>
      <c r="AF88" s="3" t="str">
        <f>FIXED(VLOOKUP($A88,'Small Sample 2-Single Family'!$A:$R,AF$1,0),2)</f>
        <v>3.51</v>
      </c>
      <c r="AG88" s="3" t="str">
        <f>FIXED(VLOOKUP($A88,'Small Sample 2-Single Family'!$A:$R,AG$1,0),2)</f>
        <v>0.02</v>
      </c>
      <c r="AH88" s="3" t="str">
        <f>FIXED(VLOOKUP($A88,'Small Sample 2-Single Family'!$A:$R,AH$1,0),2)</f>
        <v>128.92</v>
      </c>
      <c r="AI88" s="3" t="str">
        <f>FIXED(VLOOKUP($A88,'Small Sample 2-Single Family'!$A:$R,AI$1,0),2)</f>
        <v>0.77</v>
      </c>
      <c r="AJ88" s="3" t="str">
        <f>FIXED(VLOOKUP($A88,'Small Sample 2-Single Family'!$A:$R,AJ$1,0),2)</f>
        <v>3.56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Sample-Single Family'!$A:$R,C$1,0),2)</f>
        <v>289.69</v>
      </c>
      <c r="D89" s="3" t="str">
        <f>FIXED(VLOOKUP($A89,'Full Sample-Single Family'!$A:$R,D$1,0),2)</f>
        <v>542.78</v>
      </c>
      <c r="E89" s="3" t="str">
        <f>FIXED(VLOOKUP($A89,'Full Sample-Single Family'!$A:$R,E$1,0),2)</f>
        <v>0.00</v>
      </c>
      <c r="F89" s="3" t="str">
        <f>FIXED(VLOOKUP($A89,'Full Sample-Single Family'!$A:$R,F$1,0),2)</f>
        <v>4,021.00</v>
      </c>
      <c r="G89" s="3" t="str">
        <f>FIXED(VLOOKUP($A89,'Full Sample-Single Family'!$A:$R,G$1,0),2)</f>
        <v>0.00</v>
      </c>
      <c r="H89" s="3" t="str">
        <f>FIXED(VLOOKUP($A89,'Full Sample-Single Family'!$A:$R,H$1,0),2)</f>
        <v>0.00</v>
      </c>
      <c r="I89" s="3" t="str">
        <f>FIXED(VLOOKUP($A89,'Full Sample-Single Family'!$A:$R,I$1,0),2)</f>
        <v>0.00</v>
      </c>
      <c r="J89" s="3" t="str">
        <f>FIXED(VLOOKUP($A89,'Full Sample-Single Family'!$A:$R,J$1,0),2)</f>
        <v>0.00</v>
      </c>
      <c r="K89" s="3" t="str">
        <f>FIXED(VLOOKUP($A89,'Full Sample-Single Family'!$A:$R,K$1,0),2)</f>
        <v>289.69</v>
      </c>
      <c r="L89" s="3" t="str">
        <f>FIXED(VLOOKUP($A89,'Full Sample-Single Family'!$A:$R,L$1,0),2)</f>
        <v>542.78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1-Single Family'!$A:$R,O$1,0),2)</f>
        <v>295.14</v>
      </c>
      <c r="P89" s="3" t="str">
        <f>FIXED(VLOOKUP($A89,'Small Sample 1-Single Family'!$A:$R,P$1,0),2)</f>
        <v>549.64</v>
      </c>
      <c r="Q89" s="3" t="str">
        <f>FIXED(VLOOKUP($A89,'Small Sample 1-Single Family'!$A:$R,Q$1,0),2)</f>
        <v>0.00</v>
      </c>
      <c r="R89" s="3" t="str">
        <f>FIXED(VLOOKUP($A89,'Small Sample 1-Single Family'!$A:$R,R$1,0),2)</f>
        <v>4,021.00</v>
      </c>
      <c r="S89" s="3" t="str">
        <f>FIXED(VLOOKUP($A89,'Small Sample 1-Single Family'!$A:$R,S$1,0),2)</f>
        <v>0.00</v>
      </c>
      <c r="T89" s="3" t="str">
        <f>FIXED(VLOOKUP($A89,'Small Sample 1-Single Family'!$A:$R,T$1,0),2)</f>
        <v>0.00</v>
      </c>
      <c r="U89" s="3" t="str">
        <f>FIXED(VLOOKUP($A89,'Small Sample 1-Single Family'!$A:$R,U$1,0),2)</f>
        <v>0.00</v>
      </c>
      <c r="V89" s="3" t="str">
        <f>FIXED(VLOOKUP($A89,'Small Sample 1-Single Family'!$A:$R,V$1,0),2)</f>
        <v>0.00</v>
      </c>
      <c r="W89" s="3" t="str">
        <f>FIXED(VLOOKUP($A89,'Small Sample 1-Single Family'!$A:$R,W$1,0),2)</f>
        <v>295.14</v>
      </c>
      <c r="X89" s="3" t="str">
        <f>FIXED(VLOOKUP($A89,'Small Sample 1-Single Family'!$A:$R,X$1,0),2)</f>
        <v>549.64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2-Single Family'!$A:$R,AA$1,0),2)</f>
        <v>287.46</v>
      </c>
      <c r="AB89" s="3" t="str">
        <f>FIXED(VLOOKUP($A89,'Small Sample 2-Single Family'!$A:$R,AB$1,0),2)</f>
        <v>542.77</v>
      </c>
      <c r="AC89" s="3" t="str">
        <f>FIXED(VLOOKUP($A89,'Small Sample 2-Single Family'!$A:$R,AC$1,0),2)</f>
        <v>0.00</v>
      </c>
      <c r="AD89" s="3" t="str">
        <f>FIXED(VLOOKUP($A89,'Small Sample 2-Single Family'!$A:$R,AD$1,0),2)</f>
        <v>4,021.00</v>
      </c>
      <c r="AE89" s="3" t="str">
        <f>FIXED(VLOOKUP($A89,'Small Sample 2-Single Family'!$A:$R,AE$1,0),2)</f>
        <v>0.00</v>
      </c>
      <c r="AF89" s="3" t="str">
        <f>FIXED(VLOOKUP($A89,'Small Sample 2-Single Family'!$A:$R,AF$1,0),2)</f>
        <v>0.00</v>
      </c>
      <c r="AG89" s="3" t="str">
        <f>FIXED(VLOOKUP($A89,'Small Sample 2-Single Family'!$A:$R,AG$1,0),2)</f>
        <v>0.00</v>
      </c>
      <c r="AH89" s="3" t="str">
        <f>FIXED(VLOOKUP($A89,'Small Sample 2-Single Family'!$A:$R,AH$1,0),2)</f>
        <v>0.00</v>
      </c>
      <c r="AI89" s="3" t="str">
        <f>FIXED(VLOOKUP($A89,'Small Sample 2-Single Family'!$A:$R,AI$1,0),2)</f>
        <v>287.46</v>
      </c>
      <c r="AJ89" s="3" t="str">
        <f>FIXED(VLOOKUP($A89,'Small Sample 2-Single Family'!$A:$R,AJ$1,0),2)</f>
        <v>542.77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Sample-Single Family'!$A:$R,C$1,0),2)</f>
        <v>#N/A</v>
      </c>
      <c r="D90" s="3" t="e">
        <f>FIXED(VLOOKUP($A90,'Full Sample-Single Family'!$A:$R,D$1,0),2)</f>
        <v>#N/A</v>
      </c>
      <c r="E90" s="3" t="e">
        <f>FIXED(VLOOKUP($A90,'Full Sample-Single Family'!$A:$R,E$1,0),2)</f>
        <v>#N/A</v>
      </c>
      <c r="F90" s="3" t="e">
        <f>FIXED(VLOOKUP($A90,'Full Sample-Single Family'!$A:$R,F$1,0),2)</f>
        <v>#N/A</v>
      </c>
      <c r="G90" s="3" t="e">
        <f>FIXED(VLOOKUP($A90,'Full Sample-Single Family'!$A:$R,G$1,0),2)</f>
        <v>#N/A</v>
      </c>
      <c r="H90" s="3" t="e">
        <f>FIXED(VLOOKUP($A90,'Full Sample-Single Family'!$A:$R,H$1,0),2)</f>
        <v>#N/A</v>
      </c>
      <c r="I90" s="3" t="e">
        <f>FIXED(VLOOKUP($A90,'Full Sample-Single Family'!$A:$R,I$1,0),2)</f>
        <v>#N/A</v>
      </c>
      <c r="J90" s="3" t="e">
        <f>FIXED(VLOOKUP($A90,'Full Sample-Single Family'!$A:$R,J$1,0),2)</f>
        <v>#N/A</v>
      </c>
      <c r="K90" s="3" t="e">
        <f>FIXED(VLOOKUP($A90,'Full Sample-Single Family'!$A:$R,K$1,0),2)</f>
        <v>#N/A</v>
      </c>
      <c r="L90" s="3" t="e">
        <f>FIXED(VLOOKUP($A90,'Full Sample-Single Family'!$A:$R,L$1,0),2)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1-Single Family'!$A:$R,O$1,0),2)</f>
        <v>#N/A</v>
      </c>
      <c r="P90" s="3" t="e">
        <f>FIXED(VLOOKUP($A90,'Small Sample 1-Single Family'!$A:$R,P$1,0),2)</f>
        <v>#N/A</v>
      </c>
      <c r="Q90" s="3" t="e">
        <f>FIXED(VLOOKUP($A90,'Small Sample 1-Single Family'!$A:$R,Q$1,0),2)</f>
        <v>#N/A</v>
      </c>
      <c r="R90" s="3" t="e">
        <f>FIXED(VLOOKUP($A90,'Small Sample 1-Single Family'!$A:$R,R$1,0),2)</f>
        <v>#N/A</v>
      </c>
      <c r="S90" s="3" t="e">
        <f>FIXED(VLOOKUP($A90,'Small Sample 1-Single Family'!$A:$R,S$1,0),2)</f>
        <v>#N/A</v>
      </c>
      <c r="T90" s="3" t="e">
        <f>FIXED(VLOOKUP($A90,'Small Sample 1-Single Family'!$A:$R,T$1,0),2)</f>
        <v>#N/A</v>
      </c>
      <c r="U90" s="3" t="e">
        <f>FIXED(VLOOKUP($A90,'Small Sample 1-Single Family'!$A:$R,U$1,0),2)</f>
        <v>#N/A</v>
      </c>
      <c r="V90" s="3" t="e">
        <f>FIXED(VLOOKUP($A90,'Small Sample 1-Single Family'!$A:$R,V$1,0),2)</f>
        <v>#N/A</v>
      </c>
      <c r="W90" s="3" t="e">
        <f>FIXED(VLOOKUP($A90,'Small Sample 1-Single Family'!$A:$R,W$1,0),2)</f>
        <v>#N/A</v>
      </c>
      <c r="X90" s="3" t="e">
        <f>FIXED(VLOOKUP($A90,'Small Sample 1-Single Family'!$A:$R,X$1,0),2)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2-Single Family'!$A:$R,AA$1,0),2)</f>
        <v>#N/A</v>
      </c>
      <c r="AB90" s="3" t="e">
        <f>FIXED(VLOOKUP($A90,'Small Sample 2-Single Family'!$A:$R,AB$1,0),2)</f>
        <v>#N/A</v>
      </c>
      <c r="AC90" s="3" t="e">
        <f>FIXED(VLOOKUP($A90,'Small Sample 2-Single Family'!$A:$R,AC$1,0),2)</f>
        <v>#N/A</v>
      </c>
      <c r="AD90" s="3" t="e">
        <f>FIXED(VLOOKUP($A90,'Small Sample 2-Single Family'!$A:$R,AD$1,0),2)</f>
        <v>#N/A</v>
      </c>
      <c r="AE90" s="3" t="e">
        <f>FIXED(VLOOKUP($A90,'Small Sample 2-Single Family'!$A:$R,AE$1,0),2)</f>
        <v>#N/A</v>
      </c>
      <c r="AF90" s="3" t="e">
        <f>FIXED(VLOOKUP($A90,'Small Sample 2-Single Family'!$A:$R,AF$1,0),2)</f>
        <v>#N/A</v>
      </c>
      <c r="AG90" s="3" t="e">
        <f>FIXED(VLOOKUP($A90,'Small Sample 2-Single Family'!$A:$R,AG$1,0),2)</f>
        <v>#N/A</v>
      </c>
      <c r="AH90" s="3" t="e">
        <f>FIXED(VLOOKUP($A90,'Small Sample 2-Single Family'!$A:$R,AH$1,0),2)</f>
        <v>#N/A</v>
      </c>
      <c r="AI90" s="3" t="e">
        <f>FIXED(VLOOKUP($A90,'Small Sample 2-Single Family'!$A:$R,AI$1,0),2)</f>
        <v>#N/A</v>
      </c>
      <c r="AJ90" s="3" t="e">
        <f>FIXED(VLOOKUP($A90,'Small Sample 2-Single Family'!$A:$R,AJ$1,0),2)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Sample-Single Family'!$A:$R,C$1,0),2)</f>
        <v>0.00</v>
      </c>
      <c r="D91" s="3" t="str">
        <f>FIXED(VLOOKUP($A91,'Full Sample-Single Family'!$A:$R,D$1,0),2)</f>
        <v>0.00</v>
      </c>
      <c r="E91" s="3" t="str">
        <f>FIXED(VLOOKUP($A91,'Full Sample-Single Family'!$A:$R,E$1,0),2)</f>
        <v>0.00</v>
      </c>
      <c r="F91" s="3" t="str">
        <f>FIXED(VLOOKUP($A91,'Full Sample-Single Family'!$A:$R,F$1,0),2)</f>
        <v>0.00</v>
      </c>
      <c r="G91" s="3" t="str">
        <f>FIXED(VLOOKUP($A91,'Full Sample-Single Family'!$A:$R,G$1,0),2)</f>
        <v>0.00</v>
      </c>
      <c r="H91" s="3" t="str">
        <f>FIXED(VLOOKUP($A91,'Full Sample-Single Family'!$A:$R,H$1,0),2)</f>
        <v>0.00</v>
      </c>
      <c r="I91" s="3" t="str">
        <f>FIXED(VLOOKUP($A91,'Full Sample-Single Family'!$A:$R,I$1,0),2)</f>
        <v>0.00</v>
      </c>
      <c r="J91" s="3" t="str">
        <f>FIXED(VLOOKUP($A91,'Full Sample-Single Family'!$A:$R,J$1,0),2)</f>
        <v>0.00</v>
      </c>
      <c r="K91" s="3" t="str">
        <f>FIXED(VLOOKUP($A91,'Full Sample-Single Family'!$A:$R,K$1,0),2)</f>
        <v>0.00</v>
      </c>
      <c r="L91" s="3" t="str">
        <f>FIXED(VLOOKUP($A91,'Full Sample-Single Family'!$A:$R,L$1,0),2)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1-Single Family'!$A:$R,O$1,0),2)</f>
        <v>0.00</v>
      </c>
      <c r="P91" s="3" t="str">
        <f>FIXED(VLOOKUP($A91,'Small Sample 1-Single Family'!$A:$R,P$1,0),2)</f>
        <v>0.00</v>
      </c>
      <c r="Q91" s="3" t="str">
        <f>FIXED(VLOOKUP($A91,'Small Sample 1-Single Family'!$A:$R,Q$1,0),2)</f>
        <v>0.00</v>
      </c>
      <c r="R91" s="3" t="str">
        <f>FIXED(VLOOKUP($A91,'Small Sample 1-Single Family'!$A:$R,R$1,0),2)</f>
        <v>0.00</v>
      </c>
      <c r="S91" s="3" t="str">
        <f>FIXED(VLOOKUP($A91,'Small Sample 1-Single Family'!$A:$R,S$1,0),2)</f>
        <v>0.00</v>
      </c>
      <c r="T91" s="3" t="str">
        <f>FIXED(VLOOKUP($A91,'Small Sample 1-Single Family'!$A:$R,T$1,0),2)</f>
        <v>0.00</v>
      </c>
      <c r="U91" s="3" t="str">
        <f>FIXED(VLOOKUP($A91,'Small Sample 1-Single Family'!$A:$R,U$1,0),2)</f>
        <v>0.00</v>
      </c>
      <c r="V91" s="3" t="str">
        <f>FIXED(VLOOKUP($A91,'Small Sample 1-Single Family'!$A:$R,V$1,0),2)</f>
        <v>0.00</v>
      </c>
      <c r="W91" s="3" t="str">
        <f>FIXED(VLOOKUP($A91,'Small Sample 1-Single Family'!$A:$R,W$1,0),2)</f>
        <v>0.00</v>
      </c>
      <c r="X91" s="3" t="str">
        <f>FIXED(VLOOKUP($A91,'Small Sample 1-Single Family'!$A:$R,X$1,0),2)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2-Single Family'!$A:$R,AA$1,0),2)</f>
        <v>0.00</v>
      </c>
      <c r="AB91" s="3" t="str">
        <f>FIXED(VLOOKUP($A91,'Small Sample 2-Single Family'!$A:$R,AB$1,0),2)</f>
        <v>0.00</v>
      </c>
      <c r="AC91" s="3" t="str">
        <f>FIXED(VLOOKUP($A91,'Small Sample 2-Single Family'!$A:$R,AC$1,0),2)</f>
        <v>0.00</v>
      </c>
      <c r="AD91" s="3" t="str">
        <f>FIXED(VLOOKUP($A91,'Small Sample 2-Single Family'!$A:$R,AD$1,0),2)</f>
        <v>0.00</v>
      </c>
      <c r="AE91" s="3" t="str">
        <f>FIXED(VLOOKUP($A91,'Small Sample 2-Single Family'!$A:$R,AE$1,0),2)</f>
        <v>0.00</v>
      </c>
      <c r="AF91" s="3" t="str">
        <f>FIXED(VLOOKUP($A91,'Small Sample 2-Single Family'!$A:$R,AF$1,0),2)</f>
        <v>0.00</v>
      </c>
      <c r="AG91" s="3" t="str">
        <f>FIXED(VLOOKUP($A91,'Small Sample 2-Single Family'!$A:$R,AG$1,0),2)</f>
        <v>0.00</v>
      </c>
      <c r="AH91" s="3" t="str">
        <f>FIXED(VLOOKUP($A91,'Small Sample 2-Single Family'!$A:$R,AH$1,0),2)</f>
        <v>0.00</v>
      </c>
      <c r="AI91" s="3" t="str">
        <f>FIXED(VLOOKUP($A91,'Small Sample 2-Single Family'!$A:$R,AI$1,0),2)</f>
        <v>0.00</v>
      </c>
      <c r="AJ91" s="3" t="str">
        <f>FIXED(VLOOKUP($A91,'Small Sample 2-Single Family'!$A:$R,AJ$1,0),2)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Sample-Single Family'!$A:$R,C$1,0),2)</f>
        <v>1.00</v>
      </c>
      <c r="D92" s="3" t="str">
        <f>FIXED(VLOOKUP($A92,'Full Sample-Single Family'!$A:$R,D$1,0),2)</f>
        <v>0.00</v>
      </c>
      <c r="E92" s="3" t="str">
        <f>FIXED(VLOOKUP($A92,'Full Sample-Single Family'!$A:$R,E$1,0),2)</f>
        <v>1.00</v>
      </c>
      <c r="F92" s="3" t="str">
        <f>FIXED(VLOOKUP($A92,'Full Sample-Single Family'!$A:$R,F$1,0),2)</f>
        <v>1.00</v>
      </c>
      <c r="G92" s="3" t="str">
        <f>FIXED(VLOOKUP($A92,'Full Sample-Single Family'!$A:$R,G$1,0),2)</f>
        <v>1.00</v>
      </c>
      <c r="H92" s="3" t="str">
        <f>FIXED(VLOOKUP($A92,'Full Sample-Single Family'!$A:$R,H$1,0),2)</f>
        <v>0.00</v>
      </c>
      <c r="I92" s="3" t="str">
        <f>FIXED(VLOOKUP($A92,'Full Sample-Single Family'!$A:$R,I$1,0),2)</f>
        <v>1.00</v>
      </c>
      <c r="J92" s="3" t="str">
        <f>FIXED(VLOOKUP($A92,'Full Sample-Single Family'!$A:$R,J$1,0),2)</f>
        <v>1.00</v>
      </c>
      <c r="K92" s="3" t="str">
        <f>FIXED(VLOOKUP($A92,'Full Sample-Single Family'!$A:$R,K$1,0),2)</f>
        <v>1.00</v>
      </c>
      <c r="L92" s="3" t="str">
        <f>FIXED(VLOOKUP($A92,'Full Sample-Single Family'!$A:$R,L$1,0),2)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1-Single Family'!$A:$R,O$1,0),2)</f>
        <v>1.00</v>
      </c>
      <c r="P92" s="3" t="str">
        <f>FIXED(VLOOKUP($A92,'Small Sample 1-Single Family'!$A:$R,P$1,0),2)</f>
        <v>0.00</v>
      </c>
      <c r="Q92" s="3" t="str">
        <f>FIXED(VLOOKUP($A92,'Small Sample 1-Single Family'!$A:$R,Q$1,0),2)</f>
        <v>1.00</v>
      </c>
      <c r="R92" s="3" t="str">
        <f>FIXED(VLOOKUP($A92,'Small Sample 1-Single Family'!$A:$R,R$1,0),2)</f>
        <v>1.00</v>
      </c>
      <c r="S92" s="3" t="str">
        <f>FIXED(VLOOKUP($A92,'Small Sample 1-Single Family'!$A:$R,S$1,0),2)</f>
        <v>1.00</v>
      </c>
      <c r="T92" s="3" t="str">
        <f>FIXED(VLOOKUP($A92,'Small Sample 1-Single Family'!$A:$R,T$1,0),2)</f>
        <v>0.00</v>
      </c>
      <c r="U92" s="3" t="str">
        <f>FIXED(VLOOKUP($A92,'Small Sample 1-Single Family'!$A:$R,U$1,0),2)</f>
        <v>1.00</v>
      </c>
      <c r="V92" s="3" t="str">
        <f>FIXED(VLOOKUP($A92,'Small Sample 1-Single Family'!$A:$R,V$1,0),2)</f>
        <v>1.00</v>
      </c>
      <c r="W92" s="3" t="str">
        <f>FIXED(VLOOKUP($A92,'Small Sample 1-Single Family'!$A:$R,W$1,0),2)</f>
        <v>1.00</v>
      </c>
      <c r="X92" s="3" t="str">
        <f>FIXED(VLOOKUP($A92,'Small Sample 1-Single Family'!$A:$R,X$1,0),2)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2-Single Family'!$A:$R,AA$1,0),2)</f>
        <v>1.00</v>
      </c>
      <c r="AB92" s="3" t="str">
        <f>FIXED(VLOOKUP($A92,'Small Sample 2-Single Family'!$A:$R,AB$1,0),2)</f>
        <v>0.00</v>
      </c>
      <c r="AC92" s="3" t="str">
        <f>FIXED(VLOOKUP($A92,'Small Sample 2-Single Family'!$A:$R,AC$1,0),2)</f>
        <v>1.00</v>
      </c>
      <c r="AD92" s="3" t="str">
        <f>FIXED(VLOOKUP($A92,'Small Sample 2-Single Family'!$A:$R,AD$1,0),2)</f>
        <v>1.00</v>
      </c>
      <c r="AE92" s="3" t="str">
        <f>FIXED(VLOOKUP($A92,'Small Sample 2-Single Family'!$A:$R,AE$1,0),2)</f>
        <v>1.00</v>
      </c>
      <c r="AF92" s="3" t="str">
        <f>FIXED(VLOOKUP($A92,'Small Sample 2-Single Family'!$A:$R,AF$1,0),2)</f>
        <v>0.00</v>
      </c>
      <c r="AG92" s="3" t="str">
        <f>FIXED(VLOOKUP($A92,'Small Sample 2-Single Family'!$A:$R,AG$1,0),2)</f>
        <v>1.00</v>
      </c>
      <c r="AH92" s="3" t="str">
        <f>FIXED(VLOOKUP($A92,'Small Sample 2-Single Family'!$A:$R,AH$1,0),2)</f>
        <v>1.00</v>
      </c>
      <c r="AI92" s="3" t="str">
        <f>FIXED(VLOOKUP($A92,'Small Sample 2-Single Family'!$A:$R,AI$1,0),2)</f>
        <v>1.00</v>
      </c>
      <c r="AJ92" s="3" t="str">
        <f>FIXED(VLOOKUP($A92,'Small Sample 2-Single Family'!$A:$R,AJ$1,0),2)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81:F81"/>
    <mergeCell ref="G81:J81"/>
    <mergeCell ref="K81:N81"/>
    <mergeCell ref="O81:R81"/>
    <mergeCell ref="S81:V81"/>
    <mergeCell ref="AA81:AD81"/>
    <mergeCell ref="AE81:AH81"/>
    <mergeCell ref="AI81:AL81"/>
    <mergeCell ref="W5:Z5"/>
    <mergeCell ref="AA5:AD5"/>
    <mergeCell ref="AE5:AH5"/>
    <mergeCell ref="AI5:AL5"/>
    <mergeCell ref="W81:Z81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888C-54D3-4166-BA42-B3B1DDE06C4C}">
  <sheetPr codeName="Sheet11"/>
  <dimension ref="A2:H195"/>
  <sheetViews>
    <sheetView workbookViewId="0">
      <selection sqref="A1:A1048576"/>
    </sheetView>
  </sheetViews>
  <sheetFormatPr defaultRowHeight="15" x14ac:dyDescent="0.25"/>
  <cols>
    <col min="2" max="3" width="27.5703125" bestFit="1" customWidth="1"/>
    <col min="4" max="4" width="28.5703125" bestFit="1" customWidth="1"/>
    <col min="5" max="5" width="30.7109375" bestFit="1" customWidth="1"/>
    <col min="6" max="8" width="31.7109375" bestFit="1" customWidth="1"/>
  </cols>
  <sheetData>
    <row r="2" spans="1:8" x14ac:dyDescent="0.25">
      <c r="B2" t="s">
        <v>193</v>
      </c>
      <c r="C2" t="s">
        <v>193</v>
      </c>
      <c r="D2" t="s">
        <v>327</v>
      </c>
      <c r="E2" t="s">
        <v>353</v>
      </c>
      <c r="F2" t="s">
        <v>194</v>
      </c>
      <c r="G2" t="s">
        <v>194</v>
      </c>
      <c r="H2" t="s">
        <v>194</v>
      </c>
    </row>
    <row r="3" spans="1:8" x14ac:dyDescent="0.25">
      <c r="E3" t="s">
        <v>328</v>
      </c>
      <c r="F3" t="s">
        <v>329</v>
      </c>
    </row>
    <row r="4" spans="1:8" x14ac:dyDescent="0.25">
      <c r="C4" t="s">
        <v>197</v>
      </c>
      <c r="D4" t="s">
        <v>332</v>
      </c>
      <c r="E4" t="s">
        <v>354</v>
      </c>
      <c r="F4" t="s">
        <v>196</v>
      </c>
      <c r="G4" t="s">
        <v>196</v>
      </c>
      <c r="H4" t="s">
        <v>196</v>
      </c>
    </row>
    <row r="5" spans="1:8" x14ac:dyDescent="0.25">
      <c r="E5" t="s">
        <v>330</v>
      </c>
      <c r="F5" t="s">
        <v>331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453</v>
      </c>
      <c r="C7" t="s">
        <v>354</v>
      </c>
      <c r="D7" t="s">
        <v>332</v>
      </c>
      <c r="E7" t="s">
        <v>354</v>
      </c>
      <c r="F7" t="s">
        <v>196</v>
      </c>
      <c r="G7" t="s">
        <v>196</v>
      </c>
      <c r="H7" t="s">
        <v>196</v>
      </c>
    </row>
    <row r="8" spans="1:8" x14ac:dyDescent="0.25">
      <c r="A8">
        <v>1</v>
      </c>
      <c r="B8" t="s">
        <v>11</v>
      </c>
      <c r="C8" t="s">
        <v>355</v>
      </c>
      <c r="D8" t="s">
        <v>356</v>
      </c>
      <c r="E8">
        <v>1.4999999999999999E-2</v>
      </c>
      <c r="F8" t="s">
        <v>357</v>
      </c>
      <c r="G8" t="s">
        <v>198</v>
      </c>
      <c r="H8" t="s">
        <v>358</v>
      </c>
    </row>
    <row r="9" spans="1:8" x14ac:dyDescent="0.25">
      <c r="A9">
        <v>2</v>
      </c>
      <c r="C9">
        <v>-5.0000000000000001E-3</v>
      </c>
      <c r="D9">
        <v>-2.1000000000000001E-2</v>
      </c>
      <c r="E9">
        <v>-1.2999999999999999E-2</v>
      </c>
      <c r="F9">
        <v>-1.0999999999999999E-2</v>
      </c>
      <c r="G9">
        <v>-0.01</v>
      </c>
      <c r="H9">
        <v>-8.9999999999999993E-3</v>
      </c>
    </row>
    <row r="11" spans="1:8" x14ac:dyDescent="0.25">
      <c r="A11">
        <f>A9+1</f>
        <v>3</v>
      </c>
      <c r="B11" t="s">
        <v>16</v>
      </c>
      <c r="D11" t="s">
        <v>334</v>
      </c>
      <c r="E11" t="s">
        <v>266</v>
      </c>
      <c r="F11" t="s">
        <v>231</v>
      </c>
      <c r="G11" t="s">
        <v>266</v>
      </c>
      <c r="H11" t="s">
        <v>266</v>
      </c>
    </row>
    <row r="12" spans="1:8" x14ac:dyDescent="0.25">
      <c r="A12">
        <f>A11+1</f>
        <v>4</v>
      </c>
      <c r="D12">
        <v>-5.0000000000000002E-5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1:8" x14ac:dyDescent="0.25">
      <c r="A14">
        <f>A12+1</f>
        <v>5</v>
      </c>
      <c r="B14" t="s">
        <v>200</v>
      </c>
      <c r="D14" t="s">
        <v>359</v>
      </c>
      <c r="E14" t="s">
        <v>245</v>
      </c>
      <c r="F14" t="s">
        <v>454</v>
      </c>
      <c r="G14" t="s">
        <v>361</v>
      </c>
      <c r="H14" t="s">
        <v>377</v>
      </c>
    </row>
    <row r="15" spans="1:8" x14ac:dyDescent="0.25">
      <c r="A15">
        <f>A14+1</f>
        <v>6</v>
      </c>
      <c r="D15">
        <v>-0.01</v>
      </c>
      <c r="E15">
        <v>-6.0000000000000001E-3</v>
      </c>
      <c r="F15">
        <v>-5.0000000000000001E-3</v>
      </c>
      <c r="G15">
        <v>-5.0000000000000001E-3</v>
      </c>
      <c r="H15">
        <v>-4.0000000000000001E-3</v>
      </c>
    </row>
    <row r="17" spans="1:8" x14ac:dyDescent="0.25">
      <c r="A17">
        <f t="shared" ref="A17" si="0">A15+1</f>
        <v>7</v>
      </c>
      <c r="B17" t="s">
        <v>203</v>
      </c>
      <c r="D17" t="s">
        <v>212</v>
      </c>
      <c r="E17" t="s">
        <v>362</v>
      </c>
      <c r="F17" t="s">
        <v>204</v>
      </c>
      <c r="G17" t="s">
        <v>455</v>
      </c>
      <c r="H17" t="s">
        <v>201</v>
      </c>
    </row>
    <row r="18" spans="1:8" x14ac:dyDescent="0.25">
      <c r="A18">
        <f t="shared" ref="A18" si="1">A17+1</f>
        <v>8</v>
      </c>
      <c r="D18">
        <v>-0.01</v>
      </c>
      <c r="E18">
        <v>-6.0000000000000001E-3</v>
      </c>
      <c r="F18">
        <v>-5.0000000000000001E-3</v>
      </c>
      <c r="G18">
        <v>-5.0000000000000001E-3</v>
      </c>
      <c r="H18">
        <v>-4.0000000000000001E-3</v>
      </c>
    </row>
    <row r="20" spans="1:8" x14ac:dyDescent="0.25">
      <c r="A20">
        <f t="shared" ref="A20" si="2">A18+1</f>
        <v>9</v>
      </c>
      <c r="B20" t="s">
        <v>207</v>
      </c>
      <c r="D20" t="s">
        <v>333</v>
      </c>
      <c r="E20" t="s">
        <v>364</v>
      </c>
      <c r="F20" t="s">
        <v>205</v>
      </c>
      <c r="G20" t="s">
        <v>360</v>
      </c>
      <c r="H20" t="s">
        <v>454</v>
      </c>
    </row>
    <row r="21" spans="1:8" x14ac:dyDescent="0.25">
      <c r="A21">
        <f t="shared" ref="A21" si="3">A20+1</f>
        <v>10</v>
      </c>
      <c r="D21">
        <v>-0.01</v>
      </c>
      <c r="E21">
        <v>-6.0000000000000001E-3</v>
      </c>
      <c r="F21">
        <v>-5.0000000000000001E-3</v>
      </c>
      <c r="G21">
        <v>-5.0000000000000001E-3</v>
      </c>
      <c r="H21">
        <v>-4.0000000000000001E-3</v>
      </c>
    </row>
    <row r="23" spans="1:8" x14ac:dyDescent="0.25">
      <c r="A23">
        <f t="shared" ref="A23" si="4">A21+1</f>
        <v>11</v>
      </c>
      <c r="B23" t="s">
        <v>210</v>
      </c>
      <c r="D23" t="s">
        <v>260</v>
      </c>
      <c r="E23">
        <v>1.9E-2</v>
      </c>
      <c r="F23">
        <v>7.0000000000000001E-3</v>
      </c>
      <c r="G23" t="s">
        <v>358</v>
      </c>
      <c r="H23" t="s">
        <v>198</v>
      </c>
    </row>
    <row r="24" spans="1:8" x14ac:dyDescent="0.25">
      <c r="A24">
        <f t="shared" ref="A24" si="5">A23+1</f>
        <v>12</v>
      </c>
      <c r="D24">
        <v>-2.1000000000000001E-2</v>
      </c>
      <c r="E24">
        <v>-1.2999999999999999E-2</v>
      </c>
      <c r="F24">
        <v>-1.0999999999999999E-2</v>
      </c>
      <c r="G24">
        <v>-0.01</v>
      </c>
      <c r="H24">
        <v>-8.9999999999999993E-3</v>
      </c>
    </row>
    <row r="26" spans="1:8" x14ac:dyDescent="0.25">
      <c r="A26">
        <f t="shared" ref="A26" si="6">A24+1</f>
        <v>13</v>
      </c>
      <c r="B26" t="s">
        <v>211</v>
      </c>
      <c r="D26" t="s">
        <v>365</v>
      </c>
      <c r="E26" t="s">
        <v>221</v>
      </c>
      <c r="F26" t="s">
        <v>456</v>
      </c>
      <c r="G26" t="s">
        <v>457</v>
      </c>
      <c r="H26" t="s">
        <v>223</v>
      </c>
    </row>
    <row r="27" spans="1:8" x14ac:dyDescent="0.25">
      <c r="A27">
        <f t="shared" ref="A27" si="7">A26+1</f>
        <v>14</v>
      </c>
      <c r="D27">
        <v>-2.3E-2</v>
      </c>
      <c r="E27">
        <v>-1.4E-2</v>
      </c>
      <c r="F27">
        <v>-1.2E-2</v>
      </c>
      <c r="G27">
        <v>-1.0999999999999999E-2</v>
      </c>
      <c r="H27">
        <v>-0.01</v>
      </c>
    </row>
    <row r="29" spans="1:8" x14ac:dyDescent="0.25">
      <c r="A29">
        <f t="shared" ref="A29" si="8">A27+1</f>
        <v>15</v>
      </c>
      <c r="B29" t="s">
        <v>214</v>
      </c>
      <c r="D29" t="s">
        <v>366</v>
      </c>
      <c r="E29" t="s">
        <v>367</v>
      </c>
      <c r="F29" t="s">
        <v>218</v>
      </c>
      <c r="G29" t="s">
        <v>458</v>
      </c>
      <c r="H29" t="s">
        <v>459</v>
      </c>
    </row>
    <row r="30" spans="1:8" x14ac:dyDescent="0.25">
      <c r="A30">
        <f t="shared" ref="A30" si="9">A29+1</f>
        <v>16</v>
      </c>
      <c r="D30">
        <v>-2.3E-2</v>
      </c>
      <c r="E30">
        <v>-1.4E-2</v>
      </c>
      <c r="F30">
        <v>-1.2E-2</v>
      </c>
      <c r="G30">
        <v>-1.0999999999999999E-2</v>
      </c>
      <c r="H30">
        <v>-0.01</v>
      </c>
    </row>
    <row r="32" spans="1:8" x14ac:dyDescent="0.25">
      <c r="A32">
        <f t="shared" ref="A32" si="10">A30+1</f>
        <v>17</v>
      </c>
      <c r="B32" t="s">
        <v>219</v>
      </c>
      <c r="D32" t="s">
        <v>369</v>
      </c>
      <c r="E32" t="s">
        <v>370</v>
      </c>
      <c r="F32" t="s">
        <v>371</v>
      </c>
      <c r="G32" t="s">
        <v>372</v>
      </c>
      <c r="H32" t="s">
        <v>215</v>
      </c>
    </row>
    <row r="33" spans="1:8" x14ac:dyDescent="0.25">
      <c r="A33">
        <f t="shared" ref="A33" si="11">A32+1</f>
        <v>18</v>
      </c>
      <c r="D33">
        <v>-3.9E-2</v>
      </c>
      <c r="E33">
        <v>-2.4E-2</v>
      </c>
      <c r="F33">
        <v>-2.1000000000000001E-2</v>
      </c>
      <c r="G33">
        <v>-1.7999999999999999E-2</v>
      </c>
      <c r="H33">
        <v>-1.7000000000000001E-2</v>
      </c>
    </row>
    <row r="35" spans="1:8" x14ac:dyDescent="0.25">
      <c r="A35">
        <f t="shared" ref="A35" si="12">A33+1</f>
        <v>19</v>
      </c>
      <c r="B35" t="s">
        <v>15</v>
      </c>
      <c r="E35" t="s">
        <v>373</v>
      </c>
      <c r="F35" t="s">
        <v>460</v>
      </c>
      <c r="G35" t="s">
        <v>269</v>
      </c>
      <c r="H35" t="s">
        <v>202</v>
      </c>
    </row>
    <row r="36" spans="1:8" x14ac:dyDescent="0.25">
      <c r="A36">
        <f t="shared" ref="A36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375</v>
      </c>
      <c r="F38" t="s">
        <v>375</v>
      </c>
      <c r="G38" t="s">
        <v>213</v>
      </c>
      <c r="H38" t="s">
        <v>242</v>
      </c>
    </row>
    <row r="39" spans="1:8" x14ac:dyDescent="0.25">
      <c r="A39">
        <f t="shared" ref="A39" si="15">A38+1</f>
        <v>22</v>
      </c>
      <c r="E39">
        <v>-4.0000000000000001E-3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376</v>
      </c>
      <c r="F41" t="s">
        <v>377</v>
      </c>
      <c r="G41" t="s">
        <v>224</v>
      </c>
      <c r="H41" t="s">
        <v>260</v>
      </c>
    </row>
    <row r="42" spans="1:8" x14ac:dyDescent="0.25">
      <c r="A42">
        <f t="shared" ref="A42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378</v>
      </c>
      <c r="F44" t="s">
        <v>388</v>
      </c>
      <c r="G44" t="s">
        <v>461</v>
      </c>
      <c r="H44" t="s">
        <v>462</v>
      </c>
    </row>
    <row r="45" spans="1:8" x14ac:dyDescent="0.25">
      <c r="A45">
        <f t="shared" ref="A45" si="19">A44+1</f>
        <v>26</v>
      </c>
      <c r="E45">
        <v>-4.0000000000000001E-3</v>
      </c>
      <c r="F45">
        <v>-4.0000000000000001E-3</v>
      </c>
      <c r="G45">
        <v>-3.0000000000000001E-3</v>
      </c>
      <c r="H45">
        <v>-3.0000000000000001E-3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379</v>
      </c>
      <c r="F47" t="s">
        <v>463</v>
      </c>
      <c r="G47" t="s">
        <v>244</v>
      </c>
      <c r="H47" t="s">
        <v>464</v>
      </c>
    </row>
    <row r="48" spans="1:8" x14ac:dyDescent="0.25">
      <c r="A48">
        <f t="shared" ref="A48" si="21">A47+1</f>
        <v>28</v>
      </c>
      <c r="E48">
        <v>-4.0000000000000001E-3</v>
      </c>
      <c r="F48">
        <v>-5.0000000000000001E-3</v>
      </c>
      <c r="G48">
        <v>-4.0000000000000001E-3</v>
      </c>
      <c r="H48">
        <v>-4.0000000000000001E-3</v>
      </c>
    </row>
    <row r="50" spans="1:8" x14ac:dyDescent="0.25">
      <c r="A50">
        <f t="shared" ref="A50" si="22">A48+1</f>
        <v>29</v>
      </c>
      <c r="B50" t="s">
        <v>18</v>
      </c>
      <c r="E50" t="s">
        <v>230</v>
      </c>
      <c r="F50" t="s">
        <v>230</v>
      </c>
      <c r="G50" t="s">
        <v>231</v>
      </c>
      <c r="H50" t="s">
        <v>231</v>
      </c>
    </row>
    <row r="51" spans="1:8" x14ac:dyDescent="0.25">
      <c r="A51">
        <f t="shared" ref="A51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380</v>
      </c>
      <c r="F53" t="s">
        <v>267</v>
      </c>
      <c r="G53" t="s">
        <v>381</v>
      </c>
      <c r="H53" t="s">
        <v>381</v>
      </c>
    </row>
    <row r="54" spans="1:8" x14ac:dyDescent="0.25">
      <c r="A54">
        <f t="shared" ref="A54" si="25">A53+1</f>
        <v>32</v>
      </c>
      <c r="E54">
        <v>-2.9999999999999997E-4</v>
      </c>
      <c r="F54">
        <v>-2.9999999999999997E-4</v>
      </c>
      <c r="G54">
        <v>-2.0000000000000001E-4</v>
      </c>
      <c r="H54">
        <v>-2.0000000000000001E-4</v>
      </c>
    </row>
    <row r="56" spans="1:8" x14ac:dyDescent="0.25">
      <c r="A56">
        <f t="shared" ref="A56" si="26">A54+1</f>
        <v>33</v>
      </c>
      <c r="B56" t="s">
        <v>34</v>
      </c>
      <c r="E56" t="s">
        <v>382</v>
      </c>
      <c r="F56" t="s">
        <v>465</v>
      </c>
      <c r="G56" t="s">
        <v>466</v>
      </c>
      <c r="H56" t="s">
        <v>465</v>
      </c>
    </row>
    <row r="57" spans="1:8" x14ac:dyDescent="0.25">
      <c r="A57">
        <f t="shared" ref="A57" si="27">A56+1</f>
        <v>34</v>
      </c>
      <c r="E57">
        <v>-3.0000000000000001E-3</v>
      </c>
      <c r="F57">
        <v>-3.0000000000000001E-3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>
        <v>-2E-3</v>
      </c>
      <c r="F59" t="s">
        <v>467</v>
      </c>
      <c r="G59" t="s">
        <v>244</v>
      </c>
      <c r="H59" t="s">
        <v>229</v>
      </c>
    </row>
    <row r="60" spans="1:8" x14ac:dyDescent="0.25">
      <c r="A60">
        <f t="shared" ref="A60" si="29">A59+1</f>
        <v>36</v>
      </c>
      <c r="E60">
        <v>-1.4E-2</v>
      </c>
      <c r="F60">
        <v>-1.2999999999999999E-2</v>
      </c>
      <c r="G60">
        <v>-1.0999999999999999E-2</v>
      </c>
      <c r="H60">
        <v>-0.01</v>
      </c>
    </row>
    <row r="62" spans="1:8" x14ac:dyDescent="0.25">
      <c r="A62">
        <f t="shared" ref="A62" si="30">A60+1</f>
        <v>37</v>
      </c>
      <c r="B62" t="s">
        <v>236</v>
      </c>
      <c r="E62" t="s">
        <v>385</v>
      </c>
      <c r="F62" t="s">
        <v>237</v>
      </c>
      <c r="G62" t="s">
        <v>238</v>
      </c>
      <c r="H62" t="s">
        <v>468</v>
      </c>
    </row>
    <row r="63" spans="1:8" x14ac:dyDescent="0.25">
      <c r="A63">
        <f t="shared" ref="A63" si="31">A62+1</f>
        <v>38</v>
      </c>
      <c r="E63">
        <v>-5.0000000000000001E-3</v>
      </c>
      <c r="F63">
        <v>-4.0000000000000001E-3</v>
      </c>
      <c r="G63">
        <v>-4.0000000000000001E-3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469</v>
      </c>
      <c r="C65" t="s">
        <v>470</v>
      </c>
      <c r="E65" t="s">
        <v>241</v>
      </c>
      <c r="F65" t="s">
        <v>212</v>
      </c>
      <c r="G65" t="s">
        <v>224</v>
      </c>
      <c r="H65" t="s">
        <v>455</v>
      </c>
    </row>
    <row r="66" spans="1:8" x14ac:dyDescent="0.25">
      <c r="A66">
        <f t="shared" ref="A66" si="33">A65+1</f>
        <v>40</v>
      </c>
      <c r="E66">
        <v>-4.0000000000000001E-3</v>
      </c>
      <c r="F66">
        <v>-4.0000000000000001E-3</v>
      </c>
      <c r="G66">
        <v>-3.0000000000000001E-3</v>
      </c>
      <c r="H66">
        <v>-3.0000000000000001E-3</v>
      </c>
    </row>
    <row r="68" spans="1:8" x14ac:dyDescent="0.25">
      <c r="A68">
        <f t="shared" ref="A68" si="34">A66+1</f>
        <v>41</v>
      </c>
      <c r="B68" t="s">
        <v>243</v>
      </c>
      <c r="E68" t="s">
        <v>386</v>
      </c>
      <c r="F68" t="s">
        <v>247</v>
      </c>
      <c r="G68" t="s">
        <v>249</v>
      </c>
      <c r="H68" t="s">
        <v>235</v>
      </c>
    </row>
    <row r="69" spans="1:8" x14ac:dyDescent="0.25">
      <c r="A69">
        <f t="shared" ref="A69" si="35">A68+1</f>
        <v>42</v>
      </c>
      <c r="E69">
        <v>-8.0000000000000002E-3</v>
      </c>
      <c r="F69">
        <v>-7.0000000000000001E-3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454</v>
      </c>
      <c r="G71" t="s">
        <v>396</v>
      </c>
      <c r="H71" t="s">
        <v>396</v>
      </c>
    </row>
    <row r="72" spans="1:8" x14ac:dyDescent="0.25">
      <c r="A72">
        <f t="shared" ref="A72" si="37">A71+1</f>
        <v>44</v>
      </c>
      <c r="F72">
        <v>-8.0000000000000002E-3</v>
      </c>
      <c r="G72">
        <v>-7.0000000000000001E-3</v>
      </c>
      <c r="H72">
        <v>-6.0000000000000001E-3</v>
      </c>
    </row>
    <row r="74" spans="1:8" x14ac:dyDescent="0.25">
      <c r="A74">
        <f t="shared" ref="A74" si="38">A72+1</f>
        <v>45</v>
      </c>
      <c r="B74" t="s">
        <v>23</v>
      </c>
      <c r="F74" t="s">
        <v>471</v>
      </c>
      <c r="G74" t="s">
        <v>472</v>
      </c>
      <c r="H74" t="s">
        <v>473</v>
      </c>
    </row>
    <row r="75" spans="1:8" x14ac:dyDescent="0.25">
      <c r="A75">
        <f t="shared" ref="A75" si="39">A74+1</f>
        <v>46</v>
      </c>
      <c r="F75">
        <v>-1.6E-2</v>
      </c>
      <c r="G75">
        <v>-1.4E-2</v>
      </c>
      <c r="H75">
        <v>-1.2999999999999999E-2</v>
      </c>
    </row>
    <row r="77" spans="1:8" x14ac:dyDescent="0.25">
      <c r="A77">
        <f t="shared" ref="A77" si="40">A75+1</f>
        <v>47</v>
      </c>
      <c r="B77" t="s">
        <v>24</v>
      </c>
      <c r="F77" t="s">
        <v>474</v>
      </c>
      <c r="G77" t="s">
        <v>475</v>
      </c>
      <c r="H77" t="s">
        <v>388</v>
      </c>
    </row>
    <row r="78" spans="1:8" x14ac:dyDescent="0.25">
      <c r="A78">
        <f t="shared" ref="A78" si="41">A77+1</f>
        <v>48</v>
      </c>
      <c r="F78">
        <v>-7.0000000000000001E-3</v>
      </c>
      <c r="G78">
        <v>-6.0000000000000001E-3</v>
      </c>
      <c r="H78">
        <v>-5.0000000000000001E-3</v>
      </c>
    </row>
    <row r="80" spans="1:8" x14ac:dyDescent="0.25">
      <c r="A80">
        <f t="shared" ref="A80" si="42">A78+1</f>
        <v>49</v>
      </c>
      <c r="B80" t="s">
        <v>25</v>
      </c>
      <c r="F80">
        <v>8.9999999999999993E-3</v>
      </c>
      <c r="G80" t="s">
        <v>232</v>
      </c>
      <c r="H80" t="s">
        <v>476</v>
      </c>
    </row>
    <row r="81" spans="1:8" x14ac:dyDescent="0.25">
      <c r="A81">
        <f t="shared" ref="A81" si="43">A80+1</f>
        <v>50</v>
      </c>
      <c r="F81">
        <v>-8.0000000000000002E-3</v>
      </c>
      <c r="G81">
        <v>-7.0000000000000001E-3</v>
      </c>
      <c r="H81">
        <v>-6.0000000000000001E-3</v>
      </c>
    </row>
    <row r="83" spans="1:8" x14ac:dyDescent="0.25">
      <c r="A83">
        <f t="shared" ref="A83" si="44">A81+1</f>
        <v>51</v>
      </c>
      <c r="B83" t="s">
        <v>26</v>
      </c>
      <c r="F83">
        <v>-8.0000000000000002E-3</v>
      </c>
      <c r="G83" t="s">
        <v>477</v>
      </c>
      <c r="H83">
        <v>-8.0000000000000002E-3</v>
      </c>
    </row>
    <row r="84" spans="1:8" x14ac:dyDescent="0.25">
      <c r="A84">
        <f t="shared" ref="A84" si="45">A83+1</f>
        <v>52</v>
      </c>
      <c r="F84">
        <v>-6.0000000000000001E-3</v>
      </c>
      <c r="G84">
        <v>-5.0000000000000001E-3</v>
      </c>
      <c r="H84">
        <v>-5.0000000000000001E-3</v>
      </c>
    </row>
    <row r="86" spans="1:8" x14ac:dyDescent="0.25">
      <c r="A86">
        <f t="shared" ref="A86" si="46">A84+1</f>
        <v>53</v>
      </c>
      <c r="B86" t="s">
        <v>27</v>
      </c>
      <c r="F86" t="s">
        <v>254</v>
      </c>
      <c r="G86" t="s">
        <v>478</v>
      </c>
      <c r="H86" t="s">
        <v>479</v>
      </c>
    </row>
    <row r="87" spans="1:8" x14ac:dyDescent="0.25">
      <c r="A87">
        <f t="shared" ref="A87" si="47">A86+1</f>
        <v>54</v>
      </c>
      <c r="F87">
        <v>-0.01</v>
      </c>
      <c r="G87">
        <v>-8.9999999999999993E-3</v>
      </c>
      <c r="H87">
        <v>-8.0000000000000002E-3</v>
      </c>
    </row>
    <row r="89" spans="1:8" x14ac:dyDescent="0.25">
      <c r="A89">
        <f t="shared" ref="A89" si="48">A87+1</f>
        <v>55</v>
      </c>
      <c r="B89" t="s">
        <v>29</v>
      </c>
      <c r="F89">
        <v>-1.7000000000000001E-2</v>
      </c>
      <c r="G89">
        <v>1.4E-2</v>
      </c>
      <c r="H89" t="s">
        <v>480</v>
      </c>
    </row>
    <row r="90" spans="1:8" x14ac:dyDescent="0.25">
      <c r="A90">
        <f t="shared" ref="A90" si="49">A89+1</f>
        <v>56</v>
      </c>
      <c r="F90">
        <v>-1.6E-2</v>
      </c>
      <c r="G90">
        <v>-1.4E-2</v>
      </c>
      <c r="H90">
        <v>-1.2999999999999999E-2</v>
      </c>
    </row>
    <row r="92" spans="1:8" x14ac:dyDescent="0.25">
      <c r="A92">
        <f t="shared" ref="A92" si="50">A90+1</f>
        <v>57</v>
      </c>
      <c r="B92" t="s">
        <v>31</v>
      </c>
      <c r="F92" t="s">
        <v>481</v>
      </c>
      <c r="G92" t="s">
        <v>383</v>
      </c>
      <c r="H92" t="s">
        <v>476</v>
      </c>
    </row>
    <row r="93" spans="1:8" x14ac:dyDescent="0.25">
      <c r="A93">
        <f t="shared" ref="A93" si="51">A92+1</f>
        <v>58</v>
      </c>
      <c r="F93">
        <v>-7.0000000000000001E-3</v>
      </c>
      <c r="G93">
        <v>-6.0000000000000001E-3</v>
      </c>
      <c r="H93">
        <v>-6.0000000000000001E-3</v>
      </c>
    </row>
    <row r="95" spans="1:8" x14ac:dyDescent="0.25">
      <c r="A95">
        <f t="shared" ref="A95" si="52">A93+1</f>
        <v>59</v>
      </c>
      <c r="B95" t="s">
        <v>28</v>
      </c>
      <c r="F95" t="s">
        <v>234</v>
      </c>
      <c r="G95" t="s">
        <v>382</v>
      </c>
      <c r="H95" t="s">
        <v>482</v>
      </c>
    </row>
    <row r="96" spans="1:8" x14ac:dyDescent="0.25">
      <c r="A96">
        <f t="shared" ref="A96" si="53">A95+1</f>
        <v>60</v>
      </c>
      <c r="F96">
        <v>-6.0000000000000001E-3</v>
      </c>
      <c r="G96">
        <v>-6.0000000000000001E-3</v>
      </c>
      <c r="H96">
        <v>-5.0000000000000001E-3</v>
      </c>
    </row>
    <row r="98" spans="1:8" x14ac:dyDescent="0.25">
      <c r="A98">
        <f t="shared" ref="A98" si="54">A96+1</f>
        <v>61</v>
      </c>
      <c r="B98" t="s">
        <v>250</v>
      </c>
      <c r="F98">
        <v>-0.01</v>
      </c>
      <c r="G98" t="s">
        <v>472</v>
      </c>
      <c r="H98">
        <v>1.0999999999999999E-2</v>
      </c>
    </row>
    <row r="99" spans="1:8" x14ac:dyDescent="0.25">
      <c r="A99">
        <f t="shared" ref="A99" si="55">A98+1</f>
        <v>62</v>
      </c>
      <c r="F99">
        <v>-1.4999999999999999E-2</v>
      </c>
      <c r="G99">
        <v>-1.4E-2</v>
      </c>
      <c r="H99">
        <v>-1.2999999999999999E-2</v>
      </c>
    </row>
    <row r="101" spans="1:8" x14ac:dyDescent="0.25">
      <c r="A101">
        <f t="shared" ref="A101" si="56">A99+1</f>
        <v>63</v>
      </c>
      <c r="B101" t="s">
        <v>251</v>
      </c>
      <c r="F101">
        <v>-2.9999999999999997E-4</v>
      </c>
      <c r="G101" t="s">
        <v>258</v>
      </c>
      <c r="H101" t="s">
        <v>272</v>
      </c>
    </row>
    <row r="102" spans="1:8" x14ac:dyDescent="0.25">
      <c r="A102">
        <f t="shared" ref="A102" si="57">A101+1</f>
        <v>64</v>
      </c>
      <c r="F102">
        <v>-0.01</v>
      </c>
      <c r="G102">
        <v>-8.9999999999999993E-3</v>
      </c>
      <c r="H102">
        <v>-8.9999999999999993E-3</v>
      </c>
    </row>
    <row r="104" spans="1:8" x14ac:dyDescent="0.25">
      <c r="A104">
        <f t="shared" ref="A104" si="58">A102+1</f>
        <v>65</v>
      </c>
      <c r="B104" t="s">
        <v>253</v>
      </c>
      <c r="F104" t="s">
        <v>255</v>
      </c>
      <c r="G104" t="s">
        <v>483</v>
      </c>
      <c r="H104" t="s">
        <v>249</v>
      </c>
    </row>
    <row r="105" spans="1:8" x14ac:dyDescent="0.25">
      <c r="A105">
        <f t="shared" ref="A105" si="59">A104+1</f>
        <v>66</v>
      </c>
      <c r="F105">
        <v>-5.0000000000000001E-3</v>
      </c>
      <c r="G105">
        <v>-4.0000000000000001E-3</v>
      </c>
      <c r="H105">
        <v>-4.0000000000000001E-3</v>
      </c>
    </row>
    <row r="107" spans="1:8" x14ac:dyDescent="0.25">
      <c r="A107">
        <f t="shared" ref="A107" si="60">A105+1</f>
        <v>67</v>
      </c>
      <c r="B107" t="s">
        <v>256</v>
      </c>
      <c r="F107" t="s">
        <v>484</v>
      </c>
      <c r="G107" t="s">
        <v>252</v>
      </c>
      <c r="H107" t="s">
        <v>387</v>
      </c>
    </row>
    <row r="108" spans="1:8" x14ac:dyDescent="0.25">
      <c r="A108">
        <f t="shared" ref="A108" si="61">A107+1</f>
        <v>68</v>
      </c>
      <c r="F108">
        <v>-6.0000000000000001E-3</v>
      </c>
      <c r="G108">
        <v>-5.0000000000000001E-3</v>
      </c>
      <c r="H108">
        <v>-5.0000000000000001E-3</v>
      </c>
    </row>
    <row r="110" spans="1:8" x14ac:dyDescent="0.25">
      <c r="A110">
        <f t="shared" ref="A110" si="62">A108+1</f>
        <v>69</v>
      </c>
      <c r="B110" t="s">
        <v>257</v>
      </c>
      <c r="F110" t="s">
        <v>199</v>
      </c>
      <c r="G110">
        <v>8.9999999999999993E-3</v>
      </c>
      <c r="H110" t="s">
        <v>242</v>
      </c>
    </row>
    <row r="111" spans="1:8" x14ac:dyDescent="0.25">
      <c r="A111">
        <f t="shared" ref="A111" si="63">A110+1</f>
        <v>70</v>
      </c>
      <c r="F111">
        <v>-0.01</v>
      </c>
      <c r="G111">
        <v>-8.9999999999999993E-3</v>
      </c>
      <c r="H111">
        <v>-8.0000000000000002E-3</v>
      </c>
    </row>
    <row r="113" spans="1:8" x14ac:dyDescent="0.25">
      <c r="A113">
        <f t="shared" ref="A113" si="64">A111+1</f>
        <v>71</v>
      </c>
      <c r="B113" t="s">
        <v>259</v>
      </c>
      <c r="F113" t="s">
        <v>233</v>
      </c>
      <c r="G113" t="s">
        <v>220</v>
      </c>
      <c r="H113" t="s">
        <v>268</v>
      </c>
    </row>
    <row r="114" spans="1:8" x14ac:dyDescent="0.25">
      <c r="A114">
        <f t="shared" ref="A114" si="65">A113+1</f>
        <v>72</v>
      </c>
      <c r="F114">
        <v>-7.0000000000000001E-3</v>
      </c>
      <c r="G114">
        <v>-7.0000000000000001E-3</v>
      </c>
      <c r="H114">
        <v>-6.0000000000000001E-3</v>
      </c>
    </row>
    <row r="116" spans="1:8" x14ac:dyDescent="0.25">
      <c r="A116">
        <f t="shared" ref="A116" si="66">A114+1</f>
        <v>73</v>
      </c>
      <c r="B116" t="s">
        <v>261</v>
      </c>
      <c r="F116" t="s">
        <v>485</v>
      </c>
      <c r="G116" t="s">
        <v>486</v>
      </c>
      <c r="H116" t="s">
        <v>487</v>
      </c>
    </row>
    <row r="117" spans="1:8" x14ac:dyDescent="0.25">
      <c r="A117">
        <f t="shared" ref="A117" si="67">A116+1</f>
        <v>74</v>
      </c>
      <c r="F117">
        <v>-1.2E-2</v>
      </c>
      <c r="G117">
        <v>-0.01</v>
      </c>
      <c r="H117">
        <v>-1.0999999999999999E-2</v>
      </c>
    </row>
    <row r="119" spans="1:8" x14ac:dyDescent="0.25">
      <c r="A119">
        <f t="shared" ref="A119" si="68">A117+1</f>
        <v>75</v>
      </c>
      <c r="B119" t="s">
        <v>166</v>
      </c>
      <c r="F119" t="s">
        <v>390</v>
      </c>
      <c r="G119" t="s">
        <v>262</v>
      </c>
      <c r="H119" t="s">
        <v>263</v>
      </c>
    </row>
    <row r="120" spans="1:8" x14ac:dyDescent="0.25">
      <c r="A120">
        <f t="shared" ref="A120" si="69">A119+1</f>
        <v>76</v>
      </c>
      <c r="F120">
        <v>-8.0000000000000002E-3</v>
      </c>
      <c r="G120">
        <v>-7.0000000000000001E-3</v>
      </c>
      <c r="H120">
        <v>-7.0000000000000001E-3</v>
      </c>
    </row>
    <row r="122" spans="1:8" x14ac:dyDescent="0.25">
      <c r="A122">
        <f t="shared" ref="A122" si="70">A120+1</f>
        <v>77</v>
      </c>
      <c r="B122" t="s">
        <v>167</v>
      </c>
      <c r="F122" t="s">
        <v>391</v>
      </c>
      <c r="G122" t="s">
        <v>488</v>
      </c>
      <c r="H122" t="s">
        <v>264</v>
      </c>
    </row>
    <row r="123" spans="1:8" x14ac:dyDescent="0.25">
      <c r="A123">
        <f t="shared" ref="A123" si="71">A122+1</f>
        <v>78</v>
      </c>
      <c r="F123">
        <v>-8.9999999999999993E-3</v>
      </c>
      <c r="G123">
        <v>-8.0000000000000002E-3</v>
      </c>
      <c r="H123">
        <v>-7.0000000000000001E-3</v>
      </c>
    </row>
    <row r="125" spans="1:8" x14ac:dyDescent="0.25">
      <c r="A125">
        <f t="shared" ref="A125" si="72">A123+1</f>
        <v>79</v>
      </c>
      <c r="B125" t="s">
        <v>168</v>
      </c>
      <c r="F125" t="s">
        <v>489</v>
      </c>
      <c r="G125" t="s">
        <v>490</v>
      </c>
      <c r="H125" t="s">
        <v>392</v>
      </c>
    </row>
    <row r="126" spans="1:8" x14ac:dyDescent="0.25">
      <c r="A126">
        <f t="shared" ref="A126" si="73">A125+1</f>
        <v>80</v>
      </c>
      <c r="F126">
        <v>-1.0999999999999999E-2</v>
      </c>
      <c r="G126">
        <v>-8.9999999999999993E-3</v>
      </c>
      <c r="H126">
        <v>-8.9999999999999993E-3</v>
      </c>
    </row>
    <row r="128" spans="1:8" x14ac:dyDescent="0.25">
      <c r="A128">
        <f t="shared" ref="A128" si="74">A126+1</f>
        <v>81</v>
      </c>
      <c r="B128" t="s">
        <v>169</v>
      </c>
      <c r="F128" t="s">
        <v>491</v>
      </c>
      <c r="G128" t="s">
        <v>492</v>
      </c>
      <c r="H128" t="s">
        <v>493</v>
      </c>
    </row>
    <row r="129" spans="1:8" x14ac:dyDescent="0.25">
      <c r="A129">
        <f t="shared" ref="A129" si="75">A128+1</f>
        <v>82</v>
      </c>
      <c r="F129">
        <v>-0.01</v>
      </c>
      <c r="G129">
        <v>-8.9999999999999993E-3</v>
      </c>
      <c r="H129">
        <v>-8.0000000000000002E-3</v>
      </c>
    </row>
    <row r="131" spans="1:8" x14ac:dyDescent="0.25">
      <c r="A131">
        <f t="shared" ref="A131" si="76">A129+1</f>
        <v>83</v>
      </c>
      <c r="B131" t="s">
        <v>170</v>
      </c>
      <c r="F131" t="s">
        <v>494</v>
      </c>
      <c r="G131" t="s">
        <v>495</v>
      </c>
      <c r="H131" t="s">
        <v>496</v>
      </c>
    </row>
    <row r="132" spans="1:8" x14ac:dyDescent="0.25">
      <c r="A132">
        <f t="shared" ref="A132" si="77">A131+1</f>
        <v>84</v>
      </c>
      <c r="F132">
        <v>-1.2E-2</v>
      </c>
      <c r="G132">
        <v>-1.0999999999999999E-2</v>
      </c>
      <c r="H132">
        <v>-0.01</v>
      </c>
    </row>
    <row r="134" spans="1:8" x14ac:dyDescent="0.25">
      <c r="A134">
        <f t="shared" ref="A134" si="78">A132+1</f>
        <v>85</v>
      </c>
      <c r="B134" t="s">
        <v>50</v>
      </c>
      <c r="F134" t="s">
        <v>265</v>
      </c>
      <c r="G134" t="s">
        <v>266</v>
      </c>
      <c r="H134">
        <v>0</v>
      </c>
    </row>
    <row r="135" spans="1:8" x14ac:dyDescent="0.25">
      <c r="A135">
        <f t="shared" ref="A135" si="79">A134+1</f>
        <v>86</v>
      </c>
      <c r="F135">
        <v>-3.0000000000000001E-5</v>
      </c>
      <c r="G135">
        <v>-3.0000000000000001E-5</v>
      </c>
      <c r="H135">
        <v>-3.0000000000000001E-5</v>
      </c>
    </row>
    <row r="137" spans="1:8" x14ac:dyDescent="0.25">
      <c r="A137">
        <f t="shared" ref="A137" si="80">A135+1</f>
        <v>87</v>
      </c>
      <c r="B137" t="s">
        <v>52</v>
      </c>
      <c r="F137" t="s">
        <v>270</v>
      </c>
      <c r="G137">
        <v>-1E-3</v>
      </c>
      <c r="H137" t="s">
        <v>393</v>
      </c>
    </row>
    <row r="138" spans="1:8" x14ac:dyDescent="0.25">
      <c r="A138">
        <f t="shared" ref="A138" si="81">A137+1</f>
        <v>88</v>
      </c>
      <c r="F138">
        <v>-3.0000000000000001E-3</v>
      </c>
      <c r="G138">
        <v>-3.0000000000000001E-3</v>
      </c>
      <c r="H138">
        <v>-3.0000000000000001E-3</v>
      </c>
    </row>
    <row r="140" spans="1:8" x14ac:dyDescent="0.25">
      <c r="A140">
        <f t="shared" ref="A140" si="82">A138+1</f>
        <v>89</v>
      </c>
      <c r="B140" t="s">
        <v>51</v>
      </c>
      <c r="F140" t="s">
        <v>278</v>
      </c>
      <c r="G140" t="s">
        <v>208</v>
      </c>
      <c r="H140" t="s">
        <v>394</v>
      </c>
    </row>
    <row r="141" spans="1:8" x14ac:dyDescent="0.25">
      <c r="A141">
        <f t="shared" ref="A141" si="83">A140+1</f>
        <v>90</v>
      </c>
      <c r="F141">
        <v>-1E-3</v>
      </c>
      <c r="G141">
        <v>-1E-3</v>
      </c>
      <c r="H141">
        <v>-1E-3</v>
      </c>
    </row>
    <row r="143" spans="1:8" x14ac:dyDescent="0.25">
      <c r="A143">
        <f t="shared" ref="A143" si="84">A141+1</f>
        <v>91</v>
      </c>
      <c r="B143" t="s">
        <v>164</v>
      </c>
      <c r="G143" t="s">
        <v>273</v>
      </c>
      <c r="H143" t="s">
        <v>395</v>
      </c>
    </row>
    <row r="144" spans="1:8" x14ac:dyDescent="0.25">
      <c r="A144">
        <f t="shared" ref="A144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39</v>
      </c>
      <c r="G146" t="s">
        <v>229</v>
      </c>
      <c r="H146" t="s">
        <v>235</v>
      </c>
    </row>
    <row r="147" spans="1:8" x14ac:dyDescent="0.25">
      <c r="A147">
        <f t="shared" ref="A147" si="87">A146+1</f>
        <v>94</v>
      </c>
      <c r="G147">
        <v>-4.0000000000000001E-3</v>
      </c>
      <c r="H147">
        <v>-4.0000000000000001E-3</v>
      </c>
    </row>
    <row r="149" spans="1:8" x14ac:dyDescent="0.25">
      <c r="A149">
        <f t="shared" ref="A149" si="88">A147+1</f>
        <v>95</v>
      </c>
      <c r="B149" t="s">
        <v>40</v>
      </c>
      <c r="G149" t="s">
        <v>274</v>
      </c>
      <c r="H149" t="s">
        <v>273</v>
      </c>
    </row>
    <row r="150" spans="1:8" x14ac:dyDescent="0.25">
      <c r="A150">
        <f t="shared" ref="A150" si="89">A149+1</f>
        <v>96</v>
      </c>
      <c r="G150">
        <v>-1E-3</v>
      </c>
      <c r="H150">
        <v>-1E-3</v>
      </c>
    </row>
    <row r="152" spans="1:8" x14ac:dyDescent="0.25">
      <c r="A152">
        <f t="shared" ref="A152" si="90">A150+1</f>
        <v>97</v>
      </c>
      <c r="B152" t="s">
        <v>41</v>
      </c>
      <c r="G152" t="s">
        <v>395</v>
      </c>
      <c r="H152" t="s">
        <v>271</v>
      </c>
    </row>
    <row r="153" spans="1:8" x14ac:dyDescent="0.25">
      <c r="A153">
        <f t="shared" ref="A153" si="91">A152+1</f>
        <v>98</v>
      </c>
      <c r="G153">
        <v>-5.0000000000000001E-4</v>
      </c>
      <c r="H153">
        <v>-5.0000000000000001E-4</v>
      </c>
    </row>
    <row r="155" spans="1:8" x14ac:dyDescent="0.25">
      <c r="A155">
        <f t="shared" ref="A155" si="92">A153+1</f>
        <v>99</v>
      </c>
      <c r="B155" t="s">
        <v>173</v>
      </c>
      <c r="G155">
        <v>-4.0000000000000002E-4</v>
      </c>
      <c r="H155" t="s">
        <v>276</v>
      </c>
    </row>
    <row r="156" spans="1:8" x14ac:dyDescent="0.25">
      <c r="A156">
        <f t="shared" ref="A156" si="93">A155+1</f>
        <v>100</v>
      </c>
      <c r="G156">
        <v>-2.9999999999999997E-4</v>
      </c>
      <c r="H156">
        <v>-2.9999999999999997E-4</v>
      </c>
    </row>
    <row r="158" spans="1:8" x14ac:dyDescent="0.25">
      <c r="A158">
        <f t="shared" ref="A158" si="94">A156+1</f>
        <v>101</v>
      </c>
      <c r="B158" t="s">
        <v>174</v>
      </c>
      <c r="G158" t="s">
        <v>202</v>
      </c>
      <c r="H158" t="s">
        <v>497</v>
      </c>
    </row>
    <row r="159" spans="1:8" x14ac:dyDescent="0.25">
      <c r="A159">
        <f t="shared" ref="A159" si="95">A158+1</f>
        <v>102</v>
      </c>
      <c r="G159">
        <v>-1E-3</v>
      </c>
      <c r="H159">
        <v>-1E-3</v>
      </c>
    </row>
    <row r="161" spans="1:8" x14ac:dyDescent="0.25">
      <c r="A161">
        <f t="shared" ref="A161" si="96">A159+1</f>
        <v>103</v>
      </c>
      <c r="B161" t="s">
        <v>175</v>
      </c>
      <c r="G161" t="s">
        <v>397</v>
      </c>
      <c r="H161" t="s">
        <v>398</v>
      </c>
    </row>
    <row r="162" spans="1:8" x14ac:dyDescent="0.25">
      <c r="A162">
        <f t="shared" ref="A162" si="97">A161+1</f>
        <v>104</v>
      </c>
      <c r="G162">
        <v>-1E-3</v>
      </c>
      <c r="H162">
        <v>-1E-3</v>
      </c>
    </row>
    <row r="164" spans="1:8" x14ac:dyDescent="0.25">
      <c r="A164">
        <f t="shared" ref="A164" si="98">A162+1</f>
        <v>105</v>
      </c>
      <c r="B164" t="s">
        <v>53</v>
      </c>
      <c r="G164" t="s">
        <v>281</v>
      </c>
      <c r="H164" t="s">
        <v>281</v>
      </c>
    </row>
    <row r="165" spans="1:8" x14ac:dyDescent="0.25">
      <c r="A165">
        <f t="shared" ref="A165" si="99">A164+1</f>
        <v>106</v>
      </c>
      <c r="G165">
        <v>0</v>
      </c>
      <c r="H165">
        <v>0</v>
      </c>
    </row>
    <row r="167" spans="1:8" x14ac:dyDescent="0.25">
      <c r="A167">
        <f t="shared" ref="A167" si="100">A165+1</f>
        <v>107</v>
      </c>
      <c r="B167" t="s">
        <v>54</v>
      </c>
      <c r="G167" t="s">
        <v>280</v>
      </c>
      <c r="H167" t="s">
        <v>280</v>
      </c>
    </row>
    <row r="168" spans="1:8" x14ac:dyDescent="0.25">
      <c r="A168">
        <f t="shared" ref="A168" si="101">A167+1</f>
        <v>108</v>
      </c>
      <c r="G168">
        <v>0</v>
      </c>
      <c r="H168">
        <v>0</v>
      </c>
    </row>
    <row r="170" spans="1:8" x14ac:dyDescent="0.25">
      <c r="A170">
        <f t="shared" ref="A170" si="102">A168+1</f>
        <v>109</v>
      </c>
      <c r="B170" t="s">
        <v>43</v>
      </c>
      <c r="H170" t="s">
        <v>498</v>
      </c>
    </row>
    <row r="171" spans="1:8" x14ac:dyDescent="0.25">
      <c r="A171">
        <f t="shared" ref="A171" si="103">A170+1</f>
        <v>110</v>
      </c>
      <c r="H171">
        <v>-3.7999999999999999E-2</v>
      </c>
    </row>
    <row r="173" spans="1:8" x14ac:dyDescent="0.25">
      <c r="A173">
        <f t="shared" ref="A173" si="104">A171+1</f>
        <v>111</v>
      </c>
      <c r="B173" t="s">
        <v>44</v>
      </c>
      <c r="H173" t="s">
        <v>499</v>
      </c>
    </row>
    <row r="174" spans="1:8" x14ac:dyDescent="0.25">
      <c r="A174">
        <f t="shared" ref="A174" si="105">A173+1</f>
        <v>112</v>
      </c>
      <c r="H174">
        <v>-8.0000000000000002E-3</v>
      </c>
    </row>
    <row r="176" spans="1:8" x14ac:dyDescent="0.25">
      <c r="A176">
        <f t="shared" ref="A176" si="106">A174+1</f>
        <v>113</v>
      </c>
      <c r="B176" t="s">
        <v>45</v>
      </c>
      <c r="H176" t="s">
        <v>500</v>
      </c>
    </row>
    <row r="177" spans="1:8" x14ac:dyDescent="0.25">
      <c r="A177">
        <f t="shared" ref="A177" si="107">A176+1</f>
        <v>114</v>
      </c>
      <c r="H177">
        <v>-1.4999999999999999E-2</v>
      </c>
    </row>
    <row r="179" spans="1:8" x14ac:dyDescent="0.25">
      <c r="A179">
        <f t="shared" ref="A179" si="108">A177+1</f>
        <v>115</v>
      </c>
      <c r="B179" t="s">
        <v>48</v>
      </c>
      <c r="H179" t="s">
        <v>501</v>
      </c>
    </row>
    <row r="180" spans="1:8" x14ac:dyDescent="0.25">
      <c r="A180">
        <f t="shared" ref="A180" si="109">A179+1</f>
        <v>116</v>
      </c>
      <c r="H180">
        <v>-7.0000000000000001E-3</v>
      </c>
    </row>
    <row r="182" spans="1:8" x14ac:dyDescent="0.25">
      <c r="A182">
        <f t="shared" ref="A182" si="110">A180+1</f>
        <v>117</v>
      </c>
      <c r="B182" t="s">
        <v>46</v>
      </c>
      <c r="H182" t="s">
        <v>502</v>
      </c>
    </row>
    <row r="183" spans="1:8" x14ac:dyDescent="0.25">
      <c r="A183">
        <f t="shared" ref="A183" si="111">A182+1</f>
        <v>118</v>
      </c>
      <c r="H183">
        <v>-1.0999999999999999E-2</v>
      </c>
    </row>
    <row r="185" spans="1:8" x14ac:dyDescent="0.25">
      <c r="A185">
        <f t="shared" ref="A185" si="112">A183+1</f>
        <v>119</v>
      </c>
      <c r="B185" t="s">
        <v>282</v>
      </c>
      <c r="C185" t="s">
        <v>399</v>
      </c>
      <c r="D185" t="s">
        <v>400</v>
      </c>
      <c r="E185" t="s">
        <v>401</v>
      </c>
      <c r="F185" t="s">
        <v>503</v>
      </c>
      <c r="G185" t="s">
        <v>504</v>
      </c>
      <c r="H185" t="s">
        <v>505</v>
      </c>
    </row>
    <row r="186" spans="1:8" x14ac:dyDescent="0.25">
      <c r="A186">
        <f t="shared" ref="A186" si="113">A185+1</f>
        <v>120</v>
      </c>
      <c r="C186">
        <v>-3.0000000000000001E-3</v>
      </c>
      <c r="D186">
        <v>-8.0000000000000002E-3</v>
      </c>
      <c r="E186">
        <v>-8.9999999999999993E-3</v>
      </c>
      <c r="F186">
        <v>-1.4E-2</v>
      </c>
      <c r="G186">
        <v>-0.82499999999999996</v>
      </c>
      <c r="H186">
        <v>-0.79300000000000004</v>
      </c>
    </row>
    <row r="188" spans="1:8" x14ac:dyDescent="0.25">
      <c r="B188" t="s">
        <v>453</v>
      </c>
      <c r="C188" t="s">
        <v>354</v>
      </c>
      <c r="D188" t="s">
        <v>332</v>
      </c>
      <c r="E188" t="s">
        <v>354</v>
      </c>
      <c r="F188" t="s">
        <v>196</v>
      </c>
      <c r="G188" t="s">
        <v>196</v>
      </c>
      <c r="H188" t="s">
        <v>196</v>
      </c>
    </row>
    <row r="189" spans="1:8" x14ac:dyDescent="0.25">
      <c r="A189">
        <v>123</v>
      </c>
      <c r="B189" t="s">
        <v>187</v>
      </c>
      <c r="C189" s="1">
        <v>50625</v>
      </c>
      <c r="D189" s="1">
        <v>50625</v>
      </c>
      <c r="E189" s="1">
        <v>50625</v>
      </c>
      <c r="F189" s="1">
        <v>50625</v>
      </c>
      <c r="G189" s="1">
        <v>50625</v>
      </c>
      <c r="H189" s="1">
        <v>50625</v>
      </c>
    </row>
    <row r="190" spans="1:8" x14ac:dyDescent="0.25">
      <c r="A190">
        <v>124</v>
      </c>
      <c r="B190" t="s">
        <v>283</v>
      </c>
      <c r="C190">
        <v>4.0000000000000001E-3</v>
      </c>
      <c r="D190">
        <v>1.7000000000000001E-2</v>
      </c>
      <c r="E190">
        <v>0.63700000000000001</v>
      </c>
      <c r="F190">
        <v>0.72199999999999998</v>
      </c>
      <c r="G190">
        <v>0.79</v>
      </c>
      <c r="H190">
        <v>0.81399999999999995</v>
      </c>
    </row>
    <row r="191" spans="1:8" x14ac:dyDescent="0.25">
      <c r="A191">
        <v>125</v>
      </c>
      <c r="B191" t="s">
        <v>284</v>
      </c>
      <c r="C191">
        <v>4.0000000000000001E-3</v>
      </c>
      <c r="D191">
        <v>1.7000000000000001E-2</v>
      </c>
      <c r="E191">
        <v>0.63700000000000001</v>
      </c>
      <c r="F191">
        <v>0.72199999999999998</v>
      </c>
      <c r="G191">
        <v>0.79</v>
      </c>
      <c r="H191">
        <v>0.81399999999999995</v>
      </c>
    </row>
    <row r="192" spans="1:8" x14ac:dyDescent="0.25">
      <c r="A192">
        <v>126</v>
      </c>
      <c r="B192" t="s">
        <v>285</v>
      </c>
      <c r="C192" t="s">
        <v>402</v>
      </c>
      <c r="D192" t="s">
        <v>403</v>
      </c>
      <c r="E192" t="s">
        <v>404</v>
      </c>
      <c r="F192" t="s">
        <v>506</v>
      </c>
      <c r="G192" t="s">
        <v>507</v>
      </c>
      <c r="H192" t="s">
        <v>508</v>
      </c>
    </row>
    <row r="193" spans="1:8" x14ac:dyDescent="0.25">
      <c r="A193">
        <v>127</v>
      </c>
      <c r="B193" t="s">
        <v>286</v>
      </c>
      <c r="C193" t="s">
        <v>405</v>
      </c>
      <c r="D193" t="s">
        <v>406</v>
      </c>
      <c r="E193" t="s">
        <v>407</v>
      </c>
      <c r="F193" t="s">
        <v>509</v>
      </c>
      <c r="G193" t="s">
        <v>510</v>
      </c>
      <c r="H193" t="s">
        <v>511</v>
      </c>
    </row>
    <row r="194" spans="1:8" x14ac:dyDescent="0.25">
      <c r="B194" t="s">
        <v>512</v>
      </c>
      <c r="C194" t="s">
        <v>353</v>
      </c>
      <c r="D194" t="s">
        <v>327</v>
      </c>
      <c r="E194" t="s">
        <v>353</v>
      </c>
      <c r="F194" t="s">
        <v>194</v>
      </c>
      <c r="G194" t="s">
        <v>194</v>
      </c>
      <c r="H194" t="s">
        <v>194</v>
      </c>
    </row>
    <row r="195" spans="1:8" x14ac:dyDescent="0.25">
      <c r="B195" t="s">
        <v>287</v>
      </c>
      <c r="H195" t="s">
        <v>288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132F7-0D2C-4E94-8ED8-7608F2029554}">
  <dimension ref="A1:AG61"/>
  <sheetViews>
    <sheetView topLeftCell="A49" workbookViewId="0">
      <selection activeCell="A62" sqref="A62"/>
    </sheetView>
  </sheetViews>
  <sheetFormatPr defaultColWidth="11.42578125"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-3.92914926055137</v>
      </c>
      <c r="D2">
        <v>13.9085173219619</v>
      </c>
      <c r="E2">
        <v>-0.28249950513036598</v>
      </c>
      <c r="F2">
        <v>0.78227014650243898</v>
      </c>
      <c r="G2">
        <v>-7.0959053978904896</v>
      </c>
      <c r="H2">
        <v>16.949423118447498</v>
      </c>
      <c r="I2">
        <v>-0.41865173512409598</v>
      </c>
      <c r="J2">
        <v>0.68340298377116404</v>
      </c>
      <c r="K2">
        <v>12.564256747219501</v>
      </c>
      <c r="L2">
        <v>0.106380101078412</v>
      </c>
      <c r="M2">
        <v>118.10720820765501</v>
      </c>
      <c r="N2">
        <v>1.5719033705822E-13</v>
      </c>
      <c r="O2">
        <v>12.983450665118999</v>
      </c>
      <c r="P2">
        <v>0.133444224575691</v>
      </c>
      <c r="Q2">
        <v>97.294961294893895</v>
      </c>
      <c r="R2">
        <v>6.4061249659731703E-24</v>
      </c>
      <c r="S2">
        <v>13.4154169851349</v>
      </c>
      <c r="T2">
        <v>4.77670139989049E-2</v>
      </c>
      <c r="U2">
        <v>280.851069850052</v>
      </c>
      <c r="V2">
        <v>3.6234732361149801E-29</v>
      </c>
      <c r="W2">
        <v>13.521464716208</v>
      </c>
      <c r="X2">
        <v>6.0141964766136299E-2</v>
      </c>
      <c r="Y2">
        <v>224.82578959278399</v>
      </c>
      <c r="Z2">
        <v>7.9929300068766404E-28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2.1049630536555699E-2</v>
      </c>
      <c r="D3">
        <v>9.3044312951670299E-3</v>
      </c>
      <c r="E3">
        <v>2.2623231736355001</v>
      </c>
      <c r="F3">
        <v>3.9894993864243999E-2</v>
      </c>
      <c r="G3">
        <v>1.9132371579903499E-2</v>
      </c>
      <c r="H3">
        <v>1.12780246081002E-2</v>
      </c>
      <c r="I3">
        <v>1.6964293167228901</v>
      </c>
      <c r="J3">
        <v>0.111644520600594</v>
      </c>
      <c r="K3">
        <v>2.16457927353845E-2</v>
      </c>
      <c r="L3">
        <v>1.11023770802651E-2</v>
      </c>
      <c r="M3">
        <v>1.94965389653903</v>
      </c>
      <c r="N3">
        <v>7.1280236343755798E-2</v>
      </c>
      <c r="O3">
        <v>1.47517269161338E-2</v>
      </c>
      <c r="P3">
        <v>1.12684001778345E-2</v>
      </c>
      <c r="Q3">
        <v>1.3091234499419999</v>
      </c>
      <c r="R3">
        <v>0.21132426140183699</v>
      </c>
      <c r="S3">
        <v>3.7644574425248802E-2</v>
      </c>
      <c r="T3">
        <v>2.3249924154927E-2</v>
      </c>
      <c r="U3">
        <v>1.61912676249618</v>
      </c>
      <c r="V3">
        <v>0.12745447338987201</v>
      </c>
      <c r="W3">
        <v>7.21134992724978E-2</v>
      </c>
      <c r="X3">
        <v>2.4369062071639601E-2</v>
      </c>
      <c r="Y3">
        <v>2.9592234227357701</v>
      </c>
      <c r="Z3">
        <v>9.5291020525468794E-3</v>
      </c>
      <c r="AB3" t="str">
        <f t="shared" ref="AB3:AB60" si="0">IF(F3&lt;0.01,"***",IF(F3&lt;0.05,"**",IF(F3&lt;0.1,"*","")))</f>
        <v>**</v>
      </c>
      <c r="AC3" t="str">
        <f t="shared" ref="AC3:AC60" si="1">IF(J3&lt;0.01,"***",IF(J3&lt;0.05,"**",IF(J3&lt;0.1,"*","")))</f>
        <v/>
      </c>
      <c r="AD3" t="str">
        <f t="shared" ref="AD3:AD60" si="2">IF(N3&lt;0.01,"***",IF(N3&lt;0.05,"**",IF(N3&lt;0.1,"*","")))</f>
        <v>*</v>
      </c>
      <c r="AE3" t="str">
        <f t="shared" ref="AE3:AE60" si="3">IF(R3&lt;0.01,"***",IF(R3&lt;0.05,"**",IF(R3&lt;0.1,"*","")))</f>
        <v/>
      </c>
      <c r="AF3" t="str">
        <f t="shared" ref="AF3:AF60" si="4">IF(V3&lt;0.01,"***",IF(V3&lt;0.05,"**",IF(V3&lt;0.1,"*","")))</f>
        <v/>
      </c>
      <c r="AG3" t="str">
        <f t="shared" ref="AG3:AG60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4.81103819675565E-5</v>
      </c>
      <c r="D4">
        <v>7.3034682540221803E-5</v>
      </c>
      <c r="E4">
        <v>0.65873336193473697</v>
      </c>
      <c r="F4">
        <v>0.52411549944608105</v>
      </c>
      <c r="G4">
        <v>9.0338253071679906E-5</v>
      </c>
      <c r="H4">
        <v>7.2533385035511604E-5</v>
      </c>
      <c r="I4">
        <v>1.24547135126054</v>
      </c>
      <c r="J4">
        <v>0.23959433801255101</v>
      </c>
      <c r="K4">
        <v>1.4395993017608799E-4</v>
      </c>
      <c r="L4">
        <v>1.11145104238623E-4</v>
      </c>
      <c r="M4">
        <v>1.2952431073078501</v>
      </c>
      <c r="N4">
        <v>0.222474538596862</v>
      </c>
      <c r="O4">
        <v>1.11371496421769E-4</v>
      </c>
      <c r="P4">
        <v>1.6030519454829099E-4</v>
      </c>
      <c r="Q4">
        <v>0.69474664707898004</v>
      </c>
      <c r="R4">
        <v>0.50218538920605704</v>
      </c>
      <c r="S4">
        <v>1.01208937615819E-3</v>
      </c>
      <c r="T4">
        <v>2.7970659910450299E-4</v>
      </c>
      <c r="U4">
        <v>3.61839648902976</v>
      </c>
      <c r="V4">
        <v>4.3708648498301996E-3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4.5738611944033301E-2</v>
      </c>
      <c r="D5">
        <v>1.5884688152838899E-2</v>
      </c>
      <c r="E5">
        <v>2.87941516408423</v>
      </c>
      <c r="F5">
        <v>1.14162060011229E-2</v>
      </c>
      <c r="G5">
        <v>4.3761279678969901E-2</v>
      </c>
      <c r="H5">
        <v>1.48021357641E-2</v>
      </c>
      <c r="I5">
        <v>2.9564165858487201</v>
      </c>
      <c r="J5">
        <v>9.7671345598524893E-3</v>
      </c>
      <c r="K5">
        <v>3.8063823551010102E-2</v>
      </c>
      <c r="L5">
        <v>1.8061770764111799E-2</v>
      </c>
      <c r="M5">
        <v>2.10742479506172</v>
      </c>
      <c r="N5">
        <v>5.2242955895822098E-2</v>
      </c>
      <c r="O5">
        <v>4.2495374170255201E-2</v>
      </c>
      <c r="P5">
        <v>2.2205428161898501E-2</v>
      </c>
      <c r="Q5">
        <v>1.9137381121599599</v>
      </c>
      <c r="R5">
        <v>7.4843887526040501E-2</v>
      </c>
      <c r="S5">
        <v>8.0125979128833305E-2</v>
      </c>
      <c r="T5">
        <v>2.96577802832034E-2</v>
      </c>
      <c r="U5">
        <v>2.7016849664306299</v>
      </c>
      <c r="V5">
        <v>1.6367760270571199E-2</v>
      </c>
      <c r="AB5" t="str">
        <f t="shared" si="0"/>
        <v>**</v>
      </c>
      <c r="AC5" t="str">
        <f t="shared" si="1"/>
        <v>***</v>
      </c>
      <c r="AD5" t="str">
        <f t="shared" si="2"/>
        <v>*</v>
      </c>
      <c r="AE5" t="str">
        <f t="shared" si="3"/>
        <v>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5.1775746835337901E-2</v>
      </c>
      <c r="D6">
        <v>1.55030124867814E-2</v>
      </c>
      <c r="E6">
        <v>3.3397216753508099</v>
      </c>
      <c r="F6">
        <v>4.5264652950195803E-3</v>
      </c>
      <c r="G6">
        <v>5.0750608907632097E-2</v>
      </c>
      <c r="H6">
        <v>1.5858331746620099E-2</v>
      </c>
      <c r="I6">
        <v>3.20024891133008</v>
      </c>
      <c r="J6">
        <v>6.0169432488091099E-3</v>
      </c>
      <c r="K6">
        <v>4.0569718736642703E-2</v>
      </c>
      <c r="L6">
        <v>1.8123191516290001E-2</v>
      </c>
      <c r="M6">
        <v>2.23855266883742</v>
      </c>
      <c r="N6">
        <v>4.0913250181345701E-2</v>
      </c>
      <c r="O6">
        <v>4.2640006161357998E-2</v>
      </c>
      <c r="P6">
        <v>1.98933088360175E-2</v>
      </c>
      <c r="Q6">
        <v>2.1434345846055001</v>
      </c>
      <c r="R6">
        <v>4.9041484565946897E-2</v>
      </c>
      <c r="S6">
        <v>7.0817164496871796E-2</v>
      </c>
      <c r="T6">
        <v>1.76524003398193E-2</v>
      </c>
      <c r="U6">
        <v>4.0117583520427198</v>
      </c>
      <c r="V6">
        <v>1.15342057788702E-3</v>
      </c>
      <c r="AB6" t="str">
        <f t="shared" si="0"/>
        <v>***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3.8280648375948197E-2</v>
      </c>
      <c r="D7">
        <v>1.6185595585027301E-2</v>
      </c>
      <c r="E7">
        <v>2.36510594712747</v>
      </c>
      <c r="F7">
        <v>3.1756111008446199E-2</v>
      </c>
      <c r="G7">
        <v>3.62655153160222E-2</v>
      </c>
      <c r="H7">
        <v>1.48112351708967E-2</v>
      </c>
      <c r="I7">
        <v>2.44851390836613</v>
      </c>
      <c r="J7">
        <v>2.6964455874021898E-2</v>
      </c>
      <c r="K7">
        <v>2.4785287797914599E-2</v>
      </c>
      <c r="L7">
        <v>1.6157952128581999E-2</v>
      </c>
      <c r="M7">
        <v>1.5339374445893801</v>
      </c>
      <c r="N7">
        <v>0.14563869303378801</v>
      </c>
      <c r="O7">
        <v>3.2433436347861298E-2</v>
      </c>
      <c r="P7">
        <v>1.8448087262831599E-2</v>
      </c>
      <c r="Q7">
        <v>1.7580920930055799</v>
      </c>
      <c r="R7">
        <v>9.8892546199424905E-2</v>
      </c>
      <c r="S7">
        <v>6.4383934896083697E-2</v>
      </c>
      <c r="T7">
        <v>1.35466814473381E-2</v>
      </c>
      <c r="U7">
        <v>4.7527459139252803</v>
      </c>
      <c r="V7">
        <v>2.4979758347387599E-4</v>
      </c>
      <c r="AB7" t="str">
        <f t="shared" si="0"/>
        <v>**</v>
      </c>
      <c r="AC7" t="str">
        <f t="shared" si="1"/>
        <v>**</v>
      </c>
      <c r="AD7" t="str">
        <f t="shared" si="2"/>
        <v/>
      </c>
      <c r="AE7" t="str">
        <f t="shared" si="3"/>
        <v>*</v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1.77662719218184E-2</v>
      </c>
      <c r="D8">
        <v>1.7817359462139699E-2</v>
      </c>
      <c r="E8">
        <v>0.997132709791827</v>
      </c>
      <c r="F8">
        <v>0.335573550914678</v>
      </c>
      <c r="G8">
        <v>1.9815815929160499E-2</v>
      </c>
      <c r="H8">
        <v>1.8331302498129001E-2</v>
      </c>
      <c r="I8">
        <v>1.0809824305274001</v>
      </c>
      <c r="J8">
        <v>0.29792369289645798</v>
      </c>
      <c r="K8">
        <v>5.3646092889163798E-3</v>
      </c>
      <c r="L8">
        <v>1.8593148816583499E-2</v>
      </c>
      <c r="M8">
        <v>0.28852613087954199</v>
      </c>
      <c r="N8">
        <v>0.77715981376014198</v>
      </c>
      <c r="O8">
        <v>1.8562681148456502E-2</v>
      </c>
      <c r="P8">
        <v>2.3661731518848299E-2</v>
      </c>
      <c r="Q8">
        <v>0.78450223026450705</v>
      </c>
      <c r="R8">
        <v>0.44578772016940899</v>
      </c>
      <c r="S8">
        <v>5.5622920143289303E-2</v>
      </c>
      <c r="T8">
        <v>3.03469691088975E-2</v>
      </c>
      <c r="U8">
        <v>1.83289869718756</v>
      </c>
      <c r="V8">
        <v>8.8121042549013207E-2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8.9496569571385701E-2</v>
      </c>
      <c r="D9">
        <v>2.13475252795714E-2</v>
      </c>
      <c r="E9">
        <v>4.1923627399111103</v>
      </c>
      <c r="F9">
        <v>8.5534691751589799E-4</v>
      </c>
      <c r="G9">
        <v>9.0582767641860795E-2</v>
      </c>
      <c r="H9">
        <v>2.1765383813977399E-2</v>
      </c>
      <c r="I9">
        <v>4.1617813136697404</v>
      </c>
      <c r="J9">
        <v>9.0852284255747197E-4</v>
      </c>
      <c r="K9">
        <v>7.5946805416822402E-2</v>
      </c>
      <c r="L9">
        <v>2.1319759744443001E-2</v>
      </c>
      <c r="M9">
        <v>3.5622730428103502</v>
      </c>
      <c r="N9">
        <v>3.0079587900540099E-3</v>
      </c>
      <c r="O9">
        <v>8.6285080866188302E-2</v>
      </c>
      <c r="P9">
        <v>2.8587961043877699E-2</v>
      </c>
      <c r="Q9">
        <v>3.01823137137186</v>
      </c>
      <c r="R9">
        <v>8.9936822548619191E-3</v>
      </c>
      <c r="S9">
        <v>0.109504423387811</v>
      </c>
      <c r="T9">
        <v>5.1640742780770701E-2</v>
      </c>
      <c r="U9">
        <v>2.1205044213381599</v>
      </c>
      <c r="V9">
        <v>5.1848765698308902E-2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</v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0.13051872501989301</v>
      </c>
      <c r="D10">
        <v>2.48760116045585E-2</v>
      </c>
      <c r="E10">
        <v>5.2467705472518702</v>
      </c>
      <c r="F10">
        <v>1.12449886773227E-4</v>
      </c>
      <c r="G10">
        <v>0.13159117774130499</v>
      </c>
      <c r="H10">
        <v>2.54067994392588E-2</v>
      </c>
      <c r="I10">
        <v>5.1793685409256698</v>
      </c>
      <c r="J10">
        <v>1.27451399461452E-4</v>
      </c>
      <c r="K10">
        <v>0.109408048070714</v>
      </c>
      <c r="L10">
        <v>2.55322467443421E-2</v>
      </c>
      <c r="M10">
        <v>4.2850928539987798</v>
      </c>
      <c r="N10">
        <v>7.0980659624285403E-4</v>
      </c>
      <c r="O10">
        <v>0.121610775565862</v>
      </c>
      <c r="P10">
        <v>3.3894788346448997E-2</v>
      </c>
      <c r="Q10">
        <v>3.5878901004732899</v>
      </c>
      <c r="R10">
        <v>2.8528118590987E-3</v>
      </c>
      <c r="S10">
        <v>0.125545603388594</v>
      </c>
      <c r="T10">
        <v>5.5463391207830399E-2</v>
      </c>
      <c r="U10">
        <v>2.2635760391598501</v>
      </c>
      <c r="V10">
        <v>3.9568822142485201E-2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</v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0.10112973319259</v>
      </c>
      <c r="D11">
        <v>2.8846295461975702E-2</v>
      </c>
      <c r="E11">
        <v>3.5058135394160299</v>
      </c>
      <c r="F11">
        <v>3.0926546838552101E-3</v>
      </c>
      <c r="G11">
        <v>9.1579663412932499E-2</v>
      </c>
      <c r="H11">
        <v>3.1683494836081801E-2</v>
      </c>
      <c r="I11">
        <v>2.8904533381412101</v>
      </c>
      <c r="J11">
        <v>1.1012515969684901E-2</v>
      </c>
      <c r="K11">
        <v>5.6869168198507E-2</v>
      </c>
      <c r="L11">
        <v>4.21282624583975E-2</v>
      </c>
      <c r="M11">
        <v>1.34990538132605</v>
      </c>
      <c r="N11">
        <v>0.19663594406284299</v>
      </c>
      <c r="O11">
        <v>0.125312586325559</v>
      </c>
      <c r="P11">
        <v>4.6000337741846399E-2</v>
      </c>
      <c r="Q11">
        <v>2.7241666578365802</v>
      </c>
      <c r="R11">
        <v>1.5483593136669501E-2</v>
      </c>
      <c r="S11">
        <v>0.44663531838264697</v>
      </c>
      <c r="T11">
        <v>6.7720528871735602E-2</v>
      </c>
      <c r="U11">
        <v>6.5952721548968603</v>
      </c>
      <c r="V11">
        <v>7.7324322902568E-6</v>
      </c>
      <c r="AB11" t="str">
        <f t="shared" si="0"/>
        <v>***</v>
      </c>
      <c r="AC11" t="str">
        <f t="shared" si="1"/>
        <v>**</v>
      </c>
      <c r="AD11" t="str">
        <f t="shared" si="2"/>
        <v/>
      </c>
      <c r="AE11" t="str">
        <f t="shared" si="3"/>
        <v>**</v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2.8557684603416698E-2</v>
      </c>
      <c r="D12">
        <v>2.2849064580338498E-2</v>
      </c>
      <c r="E12">
        <v>1.24984042576476</v>
      </c>
      <c r="F12">
        <v>0.22697019915750399</v>
      </c>
      <c r="G12">
        <v>1.6771478274129899E-2</v>
      </c>
      <c r="H12">
        <v>2.47904434519165E-2</v>
      </c>
      <c r="I12">
        <v>0.676529982477315</v>
      </c>
      <c r="J12">
        <v>0.50711350954143097</v>
      </c>
      <c r="K12">
        <v>-1.0633796396741399E-2</v>
      </c>
      <c r="L12">
        <v>2.4246868138415801E-2</v>
      </c>
      <c r="M12">
        <v>-0.43856370794105198</v>
      </c>
      <c r="N12">
        <v>0.66609141438380703</v>
      </c>
      <c r="O12">
        <v>3.3876841218653003E-2</v>
      </c>
      <c r="P12">
        <v>1.8940380654845601E-2</v>
      </c>
      <c r="Q12">
        <v>1.7886040326220201</v>
      </c>
      <c r="R12">
        <v>9.0572730730867801E-2</v>
      </c>
      <c r="AB12" t="str">
        <f t="shared" si="0"/>
        <v/>
      </c>
      <c r="AC12" t="str">
        <f t="shared" si="1"/>
        <v/>
      </c>
      <c r="AD12" t="str">
        <f t="shared" si="2"/>
        <v/>
      </c>
      <c r="AE12" t="str">
        <f t="shared" si="3"/>
        <v>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4.6005551233619997E-2</v>
      </c>
      <c r="D13">
        <v>1.6640814744085301E-2</v>
      </c>
      <c r="E13">
        <v>2.7646213205980099</v>
      </c>
      <c r="F13">
        <v>1.2789438182398701E-2</v>
      </c>
      <c r="G13">
        <v>5.5180764047777803E-2</v>
      </c>
      <c r="H13">
        <v>1.91458340482831E-2</v>
      </c>
      <c r="I13">
        <v>2.88212902653494</v>
      </c>
      <c r="J13">
        <v>9.9303692750755904E-3</v>
      </c>
      <c r="K13">
        <v>8.4585548033326005E-2</v>
      </c>
      <c r="L13">
        <v>2.6302253779787201E-2</v>
      </c>
      <c r="M13">
        <v>3.21590494645476</v>
      </c>
      <c r="N13">
        <v>4.8291253741348499E-3</v>
      </c>
      <c r="O13">
        <v>8.9957248981952495E-2</v>
      </c>
      <c r="P13">
        <v>2.8369996984277598E-2</v>
      </c>
      <c r="Q13">
        <v>3.1708586021988601</v>
      </c>
      <c r="R13">
        <v>5.2788232716090098E-3</v>
      </c>
      <c r="AB13" t="str">
        <f t="shared" si="0"/>
        <v>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5.5402009081901599E-2</v>
      </c>
      <c r="D14">
        <v>1.0034797731686701E-2</v>
      </c>
      <c r="E14">
        <v>5.5209891183914603</v>
      </c>
      <c r="F14">
        <v>5.5785777162771097E-5</v>
      </c>
      <c r="G14">
        <v>5.72735736803371E-2</v>
      </c>
      <c r="H14">
        <v>9.9900940925004896E-3</v>
      </c>
      <c r="I14">
        <v>5.7330364609210296</v>
      </c>
      <c r="J14">
        <v>3.7445577052703701E-5</v>
      </c>
      <c r="K14">
        <v>4.7576681665794797E-2</v>
      </c>
      <c r="L14">
        <v>1.4286774237105501E-2</v>
      </c>
      <c r="M14">
        <v>3.33012063298579</v>
      </c>
      <c r="N14">
        <v>4.5160770426107798E-3</v>
      </c>
      <c r="O14">
        <v>6.3455893737285496E-2</v>
      </c>
      <c r="P14">
        <v>1.8928637624146299E-2</v>
      </c>
      <c r="Q14">
        <v>3.35237511527707</v>
      </c>
      <c r="R14">
        <v>4.3712769055625298E-3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-0.100481050045186</v>
      </c>
      <c r="D15">
        <v>3.04270115371954E-2</v>
      </c>
      <c r="E15">
        <v>-3.30236342541735</v>
      </c>
      <c r="F15">
        <v>4.9651585798694102E-3</v>
      </c>
      <c r="G15">
        <v>-0.10310359721298901</v>
      </c>
      <c r="H15">
        <v>2.9069758512496401E-2</v>
      </c>
      <c r="I15">
        <v>-3.5467648335870101</v>
      </c>
      <c r="J15">
        <v>3.0671532864181401E-3</v>
      </c>
      <c r="K15">
        <v>-0.11178507192392501</v>
      </c>
      <c r="L15">
        <v>3.36342053475144E-2</v>
      </c>
      <c r="M15">
        <v>-3.3235532330537501</v>
      </c>
      <c r="N15">
        <v>4.7528134782474103E-3</v>
      </c>
      <c r="O15">
        <v>-0.18619950468948299</v>
      </c>
      <c r="P15">
        <v>4.7409213457806999E-2</v>
      </c>
      <c r="Q15">
        <v>-3.9274961786741298</v>
      </c>
      <c r="R15">
        <v>1.2994890393803599E-3</v>
      </c>
      <c r="AB15" t="str">
        <f t="shared" si="0"/>
        <v>***</v>
      </c>
      <c r="AC15" t="str">
        <f t="shared" si="1"/>
        <v>***</v>
      </c>
      <c r="AD15" t="str">
        <f t="shared" si="2"/>
        <v>***</v>
      </c>
      <c r="AE15" t="str">
        <f t="shared" si="3"/>
        <v>***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-6.4491516753596198E-2</v>
      </c>
      <c r="D16">
        <v>1.16599645663673E-2</v>
      </c>
      <c r="E16">
        <v>-5.5310216756249302</v>
      </c>
      <c r="F16">
        <v>1.2362360972727299E-4</v>
      </c>
      <c r="G16">
        <v>-7.0633287382256202E-2</v>
      </c>
      <c r="H16">
        <v>1.3195944792225999E-2</v>
      </c>
      <c r="I16">
        <v>-5.3526510222949302</v>
      </c>
      <c r="J16">
        <v>1.6352667969145299E-4</v>
      </c>
      <c r="K16">
        <v>-4.3894317905824903E-2</v>
      </c>
      <c r="L16">
        <v>1.36075369295987E-2</v>
      </c>
      <c r="M16">
        <v>-3.2257357178540702</v>
      </c>
      <c r="N16">
        <v>7.1316327646249299E-3</v>
      </c>
      <c r="O16">
        <v>-7.9473931765322206E-2</v>
      </c>
      <c r="P16">
        <v>5.84977576205419E-2</v>
      </c>
      <c r="Q16">
        <v>-1.3585808242573401</v>
      </c>
      <c r="R16">
        <v>0.194588217901699</v>
      </c>
      <c r="AB16" t="str">
        <f t="shared" si="0"/>
        <v>***</v>
      </c>
      <c r="AC16" t="str">
        <f t="shared" si="1"/>
        <v>***</v>
      </c>
      <c r="AD16" t="str">
        <f t="shared" si="2"/>
        <v>***</v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2.1742367398609199E-4</v>
      </c>
      <c r="D17">
        <v>1.8305575731219899E-5</v>
      </c>
      <c r="E17">
        <v>11.8774562012425</v>
      </c>
      <c r="F17">
        <v>5.9211241711670204E-9</v>
      </c>
      <c r="G17">
        <v>2.39809896214284E-4</v>
      </c>
      <c r="H17">
        <v>2.17454777678376E-5</v>
      </c>
      <c r="I17">
        <v>11.028035289662499</v>
      </c>
      <c r="J17">
        <v>1.7346599356597199E-8</v>
      </c>
      <c r="K17">
        <v>2.9547730870136399E-4</v>
      </c>
      <c r="L17">
        <v>2.5202691975361201E-5</v>
      </c>
      <c r="M17">
        <v>11.724037614324301</v>
      </c>
      <c r="N17">
        <v>6.4478245792141899E-9</v>
      </c>
      <c r="O17">
        <v>3.3369179626207499E-4</v>
      </c>
      <c r="P17">
        <v>1.9478093190850899E-5</v>
      </c>
      <c r="Q17">
        <v>17.131645946678901</v>
      </c>
      <c r="R17">
        <v>3.0009297388845001E-11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-1.4698524227746999E-2</v>
      </c>
      <c r="D18">
        <v>5.0552281559989101E-3</v>
      </c>
      <c r="E18">
        <v>-2.90758869316406</v>
      </c>
      <c r="F18">
        <v>1.0904037028241701E-2</v>
      </c>
      <c r="G18">
        <v>-1.50262159634386E-2</v>
      </c>
      <c r="H18">
        <v>4.3846570240063196E-3</v>
      </c>
      <c r="I18">
        <v>-3.4269991657657601</v>
      </c>
      <c r="J18">
        <v>3.7767469355209598E-3</v>
      </c>
      <c r="K18">
        <v>-1.0921488391124E-2</v>
      </c>
      <c r="L18">
        <v>5.2184314069094496E-3</v>
      </c>
      <c r="M18">
        <v>-2.0928680554588501</v>
      </c>
      <c r="N18">
        <v>5.3842867970831897E-2</v>
      </c>
      <c r="O18">
        <v>-1.67368293819436E-2</v>
      </c>
      <c r="P18">
        <v>5.8406179602775703E-3</v>
      </c>
      <c r="Q18">
        <v>-2.8655922191404999</v>
      </c>
      <c r="R18">
        <v>1.2222077149000799E-2</v>
      </c>
      <c r="AB18" t="str">
        <f t="shared" si="0"/>
        <v>**</v>
      </c>
      <c r="AC18" t="str">
        <f t="shared" si="1"/>
        <v>***</v>
      </c>
      <c r="AD18" t="str">
        <f t="shared" si="2"/>
        <v>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0.15757471411843799</v>
      </c>
      <c r="D19">
        <v>4.9494095048661403E-2</v>
      </c>
      <c r="E19">
        <v>3.1837073485940999</v>
      </c>
      <c r="F19">
        <v>6.2674156237755999E-3</v>
      </c>
      <c r="G19">
        <v>0.16577155940719401</v>
      </c>
      <c r="H19">
        <v>4.5142502798101503E-2</v>
      </c>
      <c r="I19">
        <v>3.6721836214664898</v>
      </c>
      <c r="J19">
        <v>2.2782818989386501E-3</v>
      </c>
      <c r="K19">
        <v>0.157075971790892</v>
      </c>
      <c r="L19">
        <v>5.1245736002222E-2</v>
      </c>
      <c r="M19">
        <v>3.0651520310700802</v>
      </c>
      <c r="N19">
        <v>7.95256454910836E-3</v>
      </c>
      <c r="O19">
        <v>0.207157198165736</v>
      </c>
      <c r="P19">
        <v>5.1741487878520502E-2</v>
      </c>
      <c r="Q19">
        <v>4.0036961954418997</v>
      </c>
      <c r="R19">
        <v>1.1693277330134799E-3</v>
      </c>
      <c r="AB19" t="str">
        <f t="shared" si="0"/>
        <v>***</v>
      </c>
      <c r="AC19" t="str">
        <f t="shared" si="1"/>
        <v>***</v>
      </c>
      <c r="AD19" t="str">
        <f t="shared" si="2"/>
        <v>***</v>
      </c>
      <c r="AE19" t="str">
        <f t="shared" si="3"/>
        <v>***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-3.7489697835888902E-2</v>
      </c>
      <c r="D20">
        <v>1.6955419661916001E-2</v>
      </c>
      <c r="E20">
        <v>-2.2110746052541201</v>
      </c>
      <c r="F20">
        <v>5.11015163582835E-2</v>
      </c>
      <c r="G20">
        <v>-5.15436598790249E-2</v>
      </c>
      <c r="H20">
        <v>1.94356520463052E-2</v>
      </c>
      <c r="I20">
        <v>-2.6520159836275501</v>
      </c>
      <c r="J20">
        <v>2.3924697111068899E-2</v>
      </c>
      <c r="K20">
        <v>-2.4311821804696401E-2</v>
      </c>
      <c r="L20">
        <v>3.7973379743275103E-2</v>
      </c>
      <c r="M20">
        <v>-0.64023328892661602</v>
      </c>
      <c r="N20">
        <v>0.53625527695609998</v>
      </c>
      <c r="O20">
        <v>-1.8682011466619099E-3</v>
      </c>
      <c r="P20">
        <v>4.0700449615652799E-2</v>
      </c>
      <c r="Q20">
        <v>-4.5901241001117303E-2</v>
      </c>
      <c r="R20">
        <v>0.96428395265215205</v>
      </c>
      <c r="AB20" t="str">
        <f t="shared" si="0"/>
        <v>*</v>
      </c>
      <c r="AC20" t="str">
        <f t="shared" si="1"/>
        <v>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0.10865378968798101</v>
      </c>
      <c r="D21">
        <v>1.15164239213417E-2</v>
      </c>
      <c r="E21">
        <v>9.4346813238290803</v>
      </c>
      <c r="F21">
        <v>7.0383180635580006E-8</v>
      </c>
      <c r="G21">
        <v>0.118075915852442</v>
      </c>
      <c r="H21">
        <v>1.44777258672322E-2</v>
      </c>
      <c r="I21">
        <v>8.1556949575683308</v>
      </c>
      <c r="J21">
        <v>4.8621522229028195E-7</v>
      </c>
      <c r="K21">
        <v>0.14997412006064401</v>
      </c>
      <c r="L21">
        <v>1.8685205803813498E-2</v>
      </c>
      <c r="M21">
        <v>8.0263563396254405</v>
      </c>
      <c r="N21">
        <v>5.8019841233956305E-7</v>
      </c>
      <c r="O21">
        <v>0.15126294249589201</v>
      </c>
      <c r="P21">
        <v>2.5274904328242701E-2</v>
      </c>
      <c r="Q21">
        <v>5.9847088056775597</v>
      </c>
      <c r="R21">
        <v>1.9742796993555599E-5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5.3041194578697999E-2</v>
      </c>
      <c r="D22">
        <v>4.9024965808034801E-3</v>
      </c>
      <c r="E22">
        <v>10.8192211263113</v>
      </c>
      <c r="F22">
        <v>7.3732545259431304E-9</v>
      </c>
      <c r="G22">
        <v>5.69109325283986E-2</v>
      </c>
      <c r="H22">
        <v>6.4575745357105304E-3</v>
      </c>
      <c r="I22">
        <v>8.8130508155468998</v>
      </c>
      <c r="J22">
        <v>1.3171880803705201E-7</v>
      </c>
      <c r="K22">
        <v>7.0046622389735996E-2</v>
      </c>
      <c r="L22">
        <v>1.17098891809437E-2</v>
      </c>
      <c r="M22">
        <v>5.9818347814706696</v>
      </c>
      <c r="N22">
        <v>1.75967194611044E-5</v>
      </c>
      <c r="O22">
        <v>6.7586524416175797E-2</v>
      </c>
      <c r="P22">
        <v>1.37556430775895E-2</v>
      </c>
      <c r="Q22">
        <v>4.9133671203120102</v>
      </c>
      <c r="R22">
        <v>1.4567770626854401E-4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-5.38455382440216E-2</v>
      </c>
      <c r="D23">
        <v>1.00444107427118E-2</v>
      </c>
      <c r="E23">
        <v>-5.3607463517053002</v>
      </c>
      <c r="F23">
        <v>4.1643991879416201E-5</v>
      </c>
      <c r="G23">
        <v>-5.61037809021823E-2</v>
      </c>
      <c r="H23">
        <v>9.6895339272645396E-3</v>
      </c>
      <c r="I23">
        <v>-5.7901423663233897</v>
      </c>
      <c r="J23">
        <v>1.68263457339676E-5</v>
      </c>
      <c r="K23">
        <v>-5.5066219093832497E-2</v>
      </c>
      <c r="L23">
        <v>1.5547983557336401E-2</v>
      </c>
      <c r="M23">
        <v>-3.5416952230985199</v>
      </c>
      <c r="N23">
        <v>2.3074254995660102E-3</v>
      </c>
      <c r="O23">
        <v>-2.9086516655007898E-2</v>
      </c>
      <c r="P23">
        <v>1.63221047725256E-2</v>
      </c>
      <c r="Q23">
        <v>-1.78203222319514</v>
      </c>
      <c r="R23">
        <v>9.1473743155387199E-2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2.3876030987641701E-2</v>
      </c>
      <c r="D24">
        <v>1.20622322914401E-2</v>
      </c>
      <c r="E24">
        <v>1.9794040116923599</v>
      </c>
      <c r="F24">
        <v>6.7719595176565506E-2</v>
      </c>
      <c r="G24">
        <v>2.4371947061950502E-2</v>
      </c>
      <c r="H24">
        <v>1.28654600988042E-2</v>
      </c>
      <c r="I24">
        <v>1.8943704208616601</v>
      </c>
      <c r="J24">
        <v>7.8960184820721202E-2</v>
      </c>
      <c r="K24">
        <v>4.6090892920323902E-2</v>
      </c>
      <c r="L24">
        <v>2.06195206167714E-2</v>
      </c>
      <c r="M24">
        <v>2.2353038063763102</v>
      </c>
      <c r="N24">
        <v>4.2144738121538197E-2</v>
      </c>
      <c r="AB24" t="str">
        <f t="shared" si="0"/>
        <v>*</v>
      </c>
      <c r="AC24" t="str">
        <f t="shared" si="1"/>
        <v>*</v>
      </c>
      <c r="AD24" t="str">
        <f t="shared" si="2"/>
        <v>**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-6.2697107872881505E-2</v>
      </c>
      <c r="D25">
        <v>2.69395155097297E-2</v>
      </c>
      <c r="E25">
        <v>-2.3273287097623299</v>
      </c>
      <c r="F25">
        <v>5.8374346752440999E-2</v>
      </c>
      <c r="G25">
        <v>-6.7893052001166299E-2</v>
      </c>
      <c r="H25">
        <v>3.1130767542815799E-2</v>
      </c>
      <c r="I25">
        <v>-2.1808987493735699</v>
      </c>
      <c r="J25">
        <v>7.1448565311559104E-2</v>
      </c>
      <c r="K25">
        <v>-5.7071601319404197E-2</v>
      </c>
      <c r="L25">
        <v>3.4812725405618701E-2</v>
      </c>
      <c r="M25">
        <v>-1.6393890640401501</v>
      </c>
      <c r="N25">
        <v>0.15165857006987801</v>
      </c>
      <c r="AB25" t="str">
        <f t="shared" si="0"/>
        <v>*</v>
      </c>
      <c r="AC25" t="str">
        <f t="shared" si="1"/>
        <v>*</v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-0.18703149007254499</v>
      </c>
      <c r="D26">
        <v>4.0809938333859999E-2</v>
      </c>
      <c r="E26">
        <v>-4.5829887941135397</v>
      </c>
      <c r="F26">
        <v>5.9194925681831101E-4</v>
      </c>
      <c r="G26">
        <v>-0.18241645804394199</v>
      </c>
      <c r="H26">
        <v>4.0884058945153699E-2</v>
      </c>
      <c r="I26">
        <v>-4.4617991156077697</v>
      </c>
      <c r="J26">
        <v>7.4830326640610103E-4</v>
      </c>
      <c r="K26">
        <v>-0.14309702979234301</v>
      </c>
      <c r="L26">
        <v>4.7968733026061902E-2</v>
      </c>
      <c r="M26">
        <v>-2.98313131836517</v>
      </c>
      <c r="N26">
        <v>1.12345950186045E-2</v>
      </c>
      <c r="AB26" t="str">
        <f t="shared" si="0"/>
        <v>***</v>
      </c>
      <c r="AC26" t="str">
        <f t="shared" si="1"/>
        <v>***</v>
      </c>
      <c r="AD26" t="str">
        <f t="shared" si="2"/>
        <v>**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-0.137247249167536</v>
      </c>
      <c r="D27">
        <v>8.0960661767196199E-2</v>
      </c>
      <c r="E27">
        <v>-1.6952337860354101</v>
      </c>
      <c r="F27">
        <v>0.120283928738959</v>
      </c>
      <c r="G27">
        <v>-0.11783717544880599</v>
      </c>
      <c r="H27">
        <v>8.4154952324870094E-2</v>
      </c>
      <c r="I27">
        <v>-1.4002405347924201</v>
      </c>
      <c r="J27">
        <v>0.190945532038058</v>
      </c>
      <c r="K27">
        <v>-7.7800288424521802E-2</v>
      </c>
      <c r="L27">
        <v>8.8297529960286295E-2</v>
      </c>
      <c r="M27">
        <v>-0.88111511680467303</v>
      </c>
      <c r="N27">
        <v>0.39799128584531202</v>
      </c>
      <c r="AB27" t="str">
        <f t="shared" si="0"/>
        <v/>
      </c>
      <c r="AC27" t="str">
        <f t="shared" si="1"/>
        <v/>
      </c>
      <c r="AD27" t="str">
        <f t="shared" si="2"/>
        <v/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-0.13245276266406</v>
      </c>
      <c r="D28">
        <v>3.6966255077857203E-2</v>
      </c>
      <c r="E28">
        <v>-3.5830722475157901</v>
      </c>
      <c r="F28">
        <v>6.7896215208087399E-3</v>
      </c>
      <c r="G28">
        <v>-0.117178192328528</v>
      </c>
      <c r="H28">
        <v>3.38038489514359E-2</v>
      </c>
      <c r="I28">
        <v>-3.4664156882511201</v>
      </c>
      <c r="J28">
        <v>8.29506198045484E-3</v>
      </c>
      <c r="K28">
        <v>-0.121428192552236</v>
      </c>
      <c r="L28">
        <v>3.7812579474118202E-2</v>
      </c>
      <c r="M28">
        <v>-3.2113173510247099</v>
      </c>
      <c r="N28">
        <v>1.2129069132564899E-2</v>
      </c>
      <c r="AB28" t="str">
        <f t="shared" si="0"/>
        <v>***</v>
      </c>
      <c r="AC28" t="str">
        <f t="shared" si="1"/>
        <v>***</v>
      </c>
      <c r="AD28" t="str">
        <f t="shared" si="2"/>
        <v>**</v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-0.14128414809058901</v>
      </c>
      <c r="D29">
        <v>0.19116294349442001</v>
      </c>
      <c r="E29">
        <v>-0.73907706958232999</v>
      </c>
      <c r="F29">
        <v>0.55419944514446895</v>
      </c>
      <c r="G29">
        <v>-0.11874664841593301</v>
      </c>
      <c r="H29">
        <v>0.204824602260606</v>
      </c>
      <c r="I29">
        <v>-0.57974797512287102</v>
      </c>
      <c r="J29">
        <v>0.63470485499167795</v>
      </c>
      <c r="K29">
        <v>-0.10746704044826701</v>
      </c>
      <c r="L29">
        <v>0.20906794144986199</v>
      </c>
      <c r="M29">
        <v>-0.51402926581184805</v>
      </c>
      <c r="N29">
        <v>0.67081350086751701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-0.101251273206725</v>
      </c>
      <c r="D30">
        <v>2.5982658341280499E-2</v>
      </c>
      <c r="E30">
        <v>-3.8968789057992601</v>
      </c>
      <c r="F30">
        <v>1.5503100967849601E-3</v>
      </c>
      <c r="G30">
        <v>-0.126998632001253</v>
      </c>
      <c r="H30">
        <v>2.81365524087255E-2</v>
      </c>
      <c r="I30">
        <v>-4.5136529222346899</v>
      </c>
      <c r="J30">
        <v>4.59288128732321E-4</v>
      </c>
      <c r="K30">
        <v>-0.13965532100714001</v>
      </c>
      <c r="L30">
        <v>3.8597373171638298E-2</v>
      </c>
      <c r="M30">
        <v>-3.6182597293890502</v>
      </c>
      <c r="N30">
        <v>2.7159913560486802E-3</v>
      </c>
      <c r="AB30" t="str">
        <f t="shared" si="0"/>
        <v>***</v>
      </c>
      <c r="AC30" t="str">
        <f t="shared" si="1"/>
        <v>***</v>
      </c>
      <c r="AD30" t="str">
        <f t="shared" si="2"/>
        <v>***</v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-6.4225926925615295E-2</v>
      </c>
      <c r="D31">
        <v>2.35424405506078E-2</v>
      </c>
      <c r="E31">
        <v>-2.7280912863537901</v>
      </c>
      <c r="F31">
        <v>1.7969252734773501E-2</v>
      </c>
      <c r="G31">
        <v>-7.2353799065479202E-2</v>
      </c>
      <c r="H31">
        <v>2.55480243523117E-2</v>
      </c>
      <c r="I31">
        <v>-2.8320702245977101</v>
      </c>
      <c r="J31">
        <v>1.47926506703915E-2</v>
      </c>
      <c r="K31">
        <v>-0.107593745471431</v>
      </c>
      <c r="L31">
        <v>3.6941189040097203E-2</v>
      </c>
      <c r="M31">
        <v>-2.9125685519934099</v>
      </c>
      <c r="N31">
        <v>1.2706032816684599E-2</v>
      </c>
      <c r="AB31" t="str">
        <f t="shared" si="0"/>
        <v>**</v>
      </c>
      <c r="AC31" t="str">
        <f t="shared" si="1"/>
        <v>**</v>
      </c>
      <c r="AD31" t="str">
        <f t="shared" si="2"/>
        <v>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250</v>
      </c>
      <c r="C32">
        <v>4.8002424415093097E-3</v>
      </c>
      <c r="D32">
        <v>9.4001011879908697E-2</v>
      </c>
      <c r="E32">
        <v>5.10658592445992E-2</v>
      </c>
      <c r="F32">
        <v>0.96347501268815505</v>
      </c>
      <c r="G32">
        <v>-4.1265062606493902E-2</v>
      </c>
      <c r="H32">
        <v>0.11178947091373199</v>
      </c>
      <c r="I32">
        <v>-0.36913192511965898</v>
      </c>
      <c r="J32">
        <v>0.744350180804349</v>
      </c>
      <c r="K32">
        <v>-1.4456994636474801E-2</v>
      </c>
      <c r="L32">
        <v>4.8173740852880398E-2</v>
      </c>
      <c r="M32">
        <v>-0.300101141836288</v>
      </c>
      <c r="N32">
        <v>0.79413566233835498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251</v>
      </c>
      <c r="C33">
        <v>-6.8845302725793395E-2</v>
      </c>
      <c r="D33">
        <v>5.5348681466815902E-2</v>
      </c>
      <c r="E33">
        <v>-1.24384720469031</v>
      </c>
      <c r="F33">
        <v>0.24999737839574801</v>
      </c>
      <c r="G33">
        <v>-9.4581672618359494E-2</v>
      </c>
      <c r="H33">
        <v>5.6975321008827497E-2</v>
      </c>
      <c r="I33">
        <v>-1.6600463313529299</v>
      </c>
      <c r="J33">
        <v>0.137995151318314</v>
      </c>
      <c r="K33">
        <v>-4.1963265121588801E-2</v>
      </c>
      <c r="L33">
        <v>6.4271511365344494E-2</v>
      </c>
      <c r="M33">
        <v>-0.65290615126588603</v>
      </c>
      <c r="N33">
        <v>0.53383129661306605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253</v>
      </c>
      <c r="C34">
        <v>-8.3367951011316999E-2</v>
      </c>
      <c r="D34">
        <v>2.8244940344701801E-2</v>
      </c>
      <c r="E34">
        <v>-2.9516065530283599</v>
      </c>
      <c r="F34">
        <v>2.5705143208315601E-2</v>
      </c>
      <c r="G34">
        <v>-6.3072572607857202E-2</v>
      </c>
      <c r="H34">
        <v>3.0151604297631501E-2</v>
      </c>
      <c r="I34">
        <v>-2.0918479821258402</v>
      </c>
      <c r="J34">
        <v>8.1259832377255301E-2</v>
      </c>
      <c r="K34">
        <v>-8.4643212264877601E-2</v>
      </c>
      <c r="L34">
        <v>4.6986318563623203E-2</v>
      </c>
      <c r="M34">
        <v>-1.80144380007691</v>
      </c>
      <c r="N34">
        <v>0.122445138617957</v>
      </c>
      <c r="AB34" t="str">
        <f t="shared" si="0"/>
        <v>**</v>
      </c>
      <c r="AC34" t="str">
        <f t="shared" si="1"/>
        <v>*</v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256</v>
      </c>
      <c r="C35">
        <v>-0.120396550603267</v>
      </c>
      <c r="D35">
        <v>4.75136944359476E-2</v>
      </c>
      <c r="E35">
        <v>-2.53393368022711</v>
      </c>
      <c r="F35">
        <v>2.26698828002087E-2</v>
      </c>
      <c r="G35">
        <v>-0.142296151126941</v>
      </c>
      <c r="H35">
        <v>4.43533201461071E-2</v>
      </c>
      <c r="I35">
        <v>-3.2082412468377601</v>
      </c>
      <c r="J35">
        <v>5.6142361380319998E-3</v>
      </c>
      <c r="K35">
        <v>-0.114577340400707</v>
      </c>
      <c r="L35">
        <v>4.7918274227178197E-2</v>
      </c>
      <c r="M35">
        <v>-2.3910990587328298</v>
      </c>
      <c r="N35">
        <v>3.08229739390786E-2</v>
      </c>
      <c r="AB35" t="str">
        <f t="shared" si="0"/>
        <v>**</v>
      </c>
      <c r="AC35" t="str">
        <f t="shared" si="1"/>
        <v>***</v>
      </c>
      <c r="AD35" t="str">
        <f t="shared" si="2"/>
        <v>**</v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257</v>
      </c>
      <c r="C36">
        <v>4.7094406915595697E-3</v>
      </c>
      <c r="D36">
        <v>6.3517618467738304E-2</v>
      </c>
      <c r="E36">
        <v>7.4143848670138304E-2</v>
      </c>
      <c r="F36">
        <v>0.942954125572394</v>
      </c>
      <c r="G36">
        <v>-4.1222844472558799E-2</v>
      </c>
      <c r="H36">
        <v>8.6338868422426204E-2</v>
      </c>
      <c r="I36">
        <v>-0.47745407399677398</v>
      </c>
      <c r="J36">
        <v>0.64786751954375899</v>
      </c>
      <c r="K36">
        <v>5.17019504222462E-2</v>
      </c>
      <c r="L36">
        <v>8.7111126339830494E-2</v>
      </c>
      <c r="M36">
        <v>0.59351718425211197</v>
      </c>
      <c r="N36">
        <v>0.57296265318731399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259</v>
      </c>
      <c r="C37">
        <v>-1.69161565211292E-2</v>
      </c>
      <c r="D37">
        <v>0.154314054654037</v>
      </c>
      <c r="E37">
        <v>-0.10962161910043899</v>
      </c>
      <c r="F37">
        <v>0.91459604132912797</v>
      </c>
      <c r="G37">
        <v>3.6695307280646197E-2</v>
      </c>
      <c r="H37">
        <v>0.15002230119969601</v>
      </c>
      <c r="I37">
        <v>0.24459901619426999</v>
      </c>
      <c r="J37">
        <v>0.81133038393180701</v>
      </c>
      <c r="K37">
        <v>0.13384477369991299</v>
      </c>
      <c r="L37">
        <v>0.16023153559924</v>
      </c>
      <c r="M37">
        <v>0.83532104463303702</v>
      </c>
      <c r="N37">
        <v>0.42239074687429601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261</v>
      </c>
      <c r="C38">
        <v>0.22833407313687201</v>
      </c>
      <c r="D38">
        <v>0.13506823285629499</v>
      </c>
      <c r="E38">
        <v>1.69050907314237</v>
      </c>
      <c r="F38">
        <v>0.20039626053071999</v>
      </c>
      <c r="G38">
        <v>0.51437708982320896</v>
      </c>
      <c r="H38">
        <v>0.196758635830211</v>
      </c>
      <c r="I38">
        <v>2.6142541985658001</v>
      </c>
      <c r="J38">
        <v>9.8398384431045594E-2</v>
      </c>
      <c r="K38">
        <v>0.59584437396283596</v>
      </c>
      <c r="L38">
        <v>0.13899372265475901</v>
      </c>
      <c r="M38">
        <v>4.2868437695048396</v>
      </c>
      <c r="N38">
        <v>3.6833346856728698E-2</v>
      </c>
      <c r="AB38" t="str">
        <f t="shared" si="0"/>
        <v/>
      </c>
      <c r="AC38" t="str">
        <f t="shared" si="1"/>
        <v>*</v>
      </c>
      <c r="AD38" t="str">
        <f t="shared" si="2"/>
        <v>**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166</v>
      </c>
      <c r="C39">
        <v>0.394391438883684</v>
      </c>
      <c r="D39">
        <v>3.5201216118188598E-2</v>
      </c>
      <c r="E39">
        <v>11.203915159053301</v>
      </c>
      <c r="F39">
        <v>4.2384306673703903E-3</v>
      </c>
      <c r="G39">
        <v>0.35017828546277402</v>
      </c>
      <c r="H39">
        <v>5.3972733846146502E-2</v>
      </c>
      <c r="I39">
        <v>6.4880590718451403</v>
      </c>
      <c r="J39">
        <v>1.65821788687451E-2</v>
      </c>
      <c r="K39">
        <v>0.35516984431749399</v>
      </c>
      <c r="L39">
        <v>6.1980451382228997E-2</v>
      </c>
      <c r="M39">
        <v>5.7303526579241399</v>
      </c>
      <c r="N39">
        <v>2.16546921859814E-2</v>
      </c>
      <c r="AB39" t="str">
        <f t="shared" si="0"/>
        <v>***</v>
      </c>
      <c r="AC39" t="str">
        <f t="shared" si="1"/>
        <v>**</v>
      </c>
      <c r="AD39" t="str">
        <f t="shared" si="2"/>
        <v>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167</v>
      </c>
      <c r="C40">
        <v>0.62098091130808597</v>
      </c>
      <c r="D40">
        <v>5.0265934246439797E-2</v>
      </c>
      <c r="E40">
        <v>12.353911662391299</v>
      </c>
      <c r="F40">
        <v>5.2697493158898395E-4</v>
      </c>
      <c r="G40">
        <v>0.58359129185556902</v>
      </c>
      <c r="H40">
        <v>7.2536163484317004E-2</v>
      </c>
      <c r="I40">
        <v>8.0455219000071203</v>
      </c>
      <c r="J40">
        <v>2.73563172844884E-3</v>
      </c>
      <c r="K40">
        <v>0.60486017090477895</v>
      </c>
      <c r="L40">
        <v>8.3673764812930804E-2</v>
      </c>
      <c r="M40">
        <v>7.2287911540380998</v>
      </c>
      <c r="N40">
        <v>3.96746202614035E-3</v>
      </c>
      <c r="AB40" t="str">
        <f t="shared" si="0"/>
        <v>***</v>
      </c>
      <c r="AC40" t="str">
        <f t="shared" si="1"/>
        <v>***</v>
      </c>
      <c r="AD40" t="str">
        <f t="shared" si="2"/>
        <v>***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168</v>
      </c>
      <c r="C41">
        <v>0.62576944191431605</v>
      </c>
      <c r="D41">
        <v>5.63149612670494E-2</v>
      </c>
      <c r="E41">
        <v>11.111957246083801</v>
      </c>
      <c r="F41">
        <v>2.4693430679122E-5</v>
      </c>
      <c r="G41">
        <v>0.58530673756626195</v>
      </c>
      <c r="H41">
        <v>8.3584382996243697E-2</v>
      </c>
      <c r="I41">
        <v>7.0025848918758697</v>
      </c>
      <c r="J41">
        <v>4.1364884525778002E-4</v>
      </c>
      <c r="K41">
        <v>0.596916663318384</v>
      </c>
      <c r="L41">
        <v>9.4504167335504402E-2</v>
      </c>
      <c r="M41">
        <v>6.3162999066404897</v>
      </c>
      <c r="N41">
        <v>7.3024377476565397E-4</v>
      </c>
      <c r="AB41" t="str">
        <f t="shared" si="0"/>
        <v>***</v>
      </c>
      <c r="AC41" t="str">
        <f t="shared" si="1"/>
        <v>***</v>
      </c>
      <c r="AD41" t="str">
        <f t="shared" si="2"/>
        <v>***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169</v>
      </c>
      <c r="C42">
        <v>0.648202382191571</v>
      </c>
      <c r="D42">
        <v>4.5886773490239202E-2</v>
      </c>
      <c r="E42">
        <v>14.1261268310672</v>
      </c>
      <c r="F42">
        <v>2.10608189276876E-5</v>
      </c>
      <c r="G42">
        <v>0.61269804225020597</v>
      </c>
      <c r="H42">
        <v>7.2976930457035405E-2</v>
      </c>
      <c r="I42">
        <v>8.3957771094651292</v>
      </c>
      <c r="J42">
        <v>3.6593333711196202E-4</v>
      </c>
      <c r="K42">
        <v>0.61931490560323998</v>
      </c>
      <c r="L42">
        <v>8.5087377752427307E-2</v>
      </c>
      <c r="M42">
        <v>7.2785755297949999</v>
      </c>
      <c r="N42">
        <v>7.5083296882878597E-4</v>
      </c>
      <c r="AB42" t="str">
        <f t="shared" si="0"/>
        <v>***</v>
      </c>
      <c r="AC42" t="str">
        <f t="shared" si="1"/>
        <v>***</v>
      </c>
      <c r="AD42" t="str">
        <f t="shared" si="2"/>
        <v>***</v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170</v>
      </c>
      <c r="C43">
        <v>0.58248708105424396</v>
      </c>
      <c r="D43">
        <v>4.0424105127292602E-2</v>
      </c>
      <c r="E43">
        <v>14.409399520905501</v>
      </c>
      <c r="F43">
        <v>2.5057180109336899E-7</v>
      </c>
      <c r="G43">
        <v>0.53363269442692596</v>
      </c>
      <c r="H43">
        <v>7.9405008034232102E-2</v>
      </c>
      <c r="I43">
        <v>6.7203909128360397</v>
      </c>
      <c r="J43">
        <v>1.19597269685123E-4</v>
      </c>
      <c r="K43">
        <v>0.53378064546167603</v>
      </c>
      <c r="L43">
        <v>9.2829430985502698E-2</v>
      </c>
      <c r="M43">
        <v>5.7501229921902404</v>
      </c>
      <c r="N43">
        <v>3.6693277890633498E-4</v>
      </c>
      <c r="AB43" t="str">
        <f t="shared" si="0"/>
        <v>***</v>
      </c>
      <c r="AC43" t="str">
        <f t="shared" si="1"/>
        <v>***</v>
      </c>
      <c r="AD43" t="str">
        <f t="shared" si="2"/>
        <v>***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50</v>
      </c>
      <c r="C44">
        <v>3.1616580072311999E-5</v>
      </c>
      <c r="D44">
        <v>1.31786315819283E-4</v>
      </c>
      <c r="E44">
        <v>0.23990791362334901</v>
      </c>
      <c r="F44">
        <v>0.81597841742355404</v>
      </c>
      <c r="G44">
        <v>1.3546190824473701E-4</v>
      </c>
      <c r="H44">
        <v>1.4130545198656299E-4</v>
      </c>
      <c r="I44">
        <v>0.95864601358493895</v>
      </c>
      <c r="J44">
        <v>0.36439896508059599</v>
      </c>
      <c r="K44">
        <v>-1.22873642939379E-4</v>
      </c>
      <c r="L44">
        <v>2.3832321020335001E-4</v>
      </c>
      <c r="M44">
        <v>-0.51557564550484503</v>
      </c>
      <c r="N44">
        <v>0.61982299425962994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52</v>
      </c>
      <c r="C45">
        <v>4.8114799612121303E-3</v>
      </c>
      <c r="D45">
        <v>4.3532501570897704E-3</v>
      </c>
      <c r="E45">
        <v>1.1052615373771</v>
      </c>
      <c r="F45">
        <v>0.28562755831174402</v>
      </c>
      <c r="G45">
        <v>-8.9856587241607302E-4</v>
      </c>
      <c r="H45">
        <v>4.49766027488717E-3</v>
      </c>
      <c r="I45">
        <v>-0.19978518107142099</v>
      </c>
      <c r="J45">
        <v>0.84420392081126605</v>
      </c>
      <c r="K45">
        <v>-9.8258588109220602E-3</v>
      </c>
      <c r="L45">
        <v>6.0646821571550304E-3</v>
      </c>
      <c r="M45">
        <v>-1.6201770441225301</v>
      </c>
      <c r="N45">
        <v>0.124995259135567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51</v>
      </c>
      <c r="C46">
        <v>9.5561505077544299E-3</v>
      </c>
      <c r="D46">
        <v>4.8033618023468304E-3</v>
      </c>
      <c r="E46">
        <v>1.98947131217255</v>
      </c>
      <c r="F46">
        <v>0.13476988567102899</v>
      </c>
      <c r="G46">
        <v>1.4770111059127599E-2</v>
      </c>
      <c r="H46">
        <v>3.6773253270633798E-3</v>
      </c>
      <c r="I46">
        <v>4.0165364077054901</v>
      </c>
      <c r="J46">
        <v>2.4988612198539002E-2</v>
      </c>
      <c r="K46">
        <v>2.0493457684695099E-2</v>
      </c>
      <c r="L46">
        <v>2.5931624915445099E-3</v>
      </c>
      <c r="M46">
        <v>7.9028821955885302</v>
      </c>
      <c r="N46">
        <v>3.4167525051326101E-3</v>
      </c>
      <c r="AB46" t="str">
        <f t="shared" si="0"/>
        <v/>
      </c>
      <c r="AC46" t="str">
        <f t="shared" si="1"/>
        <v>**</v>
      </c>
      <c r="AD46" t="str">
        <f t="shared" si="2"/>
        <v>***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164</v>
      </c>
      <c r="C47">
        <v>-5.4075071513627103E-3</v>
      </c>
      <c r="D47">
        <v>7.0452673810034797E-3</v>
      </c>
      <c r="E47">
        <v>-0.76753753391152402</v>
      </c>
      <c r="F47">
        <v>0.46154810964137999</v>
      </c>
      <c r="G47">
        <v>-9.0374535219993092E-3</v>
      </c>
      <c r="H47">
        <v>9.5869967355082606E-3</v>
      </c>
      <c r="I47">
        <v>-0.94267827259463399</v>
      </c>
      <c r="J47">
        <v>0.36900922735847602</v>
      </c>
      <c r="AB47" t="str">
        <f t="shared" si="0"/>
        <v/>
      </c>
      <c r="AC47" t="str">
        <f t="shared" si="1"/>
        <v/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39</v>
      </c>
      <c r="C48">
        <v>-4.3061837558439203E-2</v>
      </c>
      <c r="D48">
        <v>3.2907305694566999E-2</v>
      </c>
      <c r="E48">
        <v>-1.30857986242091</v>
      </c>
      <c r="F48">
        <v>0.21317578307954599</v>
      </c>
      <c r="G48">
        <v>-2.7063362008350699E-2</v>
      </c>
      <c r="H48">
        <v>3.7599339263895602E-2</v>
      </c>
      <c r="I48">
        <v>-0.71978291475823997</v>
      </c>
      <c r="J48">
        <v>0.48437354910035002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40</v>
      </c>
      <c r="C49">
        <v>-9.2212963571683907E-3</v>
      </c>
      <c r="D49">
        <v>8.0136224105868195E-3</v>
      </c>
      <c r="E49">
        <v>-1.15070262669054</v>
      </c>
      <c r="F49">
        <v>0.27627930351526298</v>
      </c>
      <c r="G49">
        <v>-5.8065902842186204E-3</v>
      </c>
      <c r="H49">
        <v>9.4490467370718506E-3</v>
      </c>
      <c r="I49">
        <v>-0.61451598725164303</v>
      </c>
      <c r="J49">
        <v>0.55369768531352603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41</v>
      </c>
      <c r="C50">
        <v>-6.5524113174736699E-3</v>
      </c>
      <c r="D50">
        <v>6.1537751582938904E-3</v>
      </c>
      <c r="E50">
        <v>-1.06477912320903</v>
      </c>
      <c r="F50">
        <v>0.30466305412670203</v>
      </c>
      <c r="G50">
        <v>-5.6507249529102101E-3</v>
      </c>
      <c r="H50">
        <v>8.1711689300760296E-3</v>
      </c>
      <c r="I50">
        <v>-0.69154425777581296</v>
      </c>
      <c r="J50">
        <v>0.50064612856199897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173</v>
      </c>
      <c r="C51">
        <v>-1.3320485589421701E-3</v>
      </c>
      <c r="D51">
        <v>1.7533863409441399E-3</v>
      </c>
      <c r="E51">
        <v>-0.75970054507491303</v>
      </c>
      <c r="F51">
        <v>0.57757470086612495</v>
      </c>
      <c r="G51">
        <v>-5.6908134934721298E-4</v>
      </c>
      <c r="H51">
        <v>5.5767514328575896E-3</v>
      </c>
      <c r="I51">
        <v>-0.102045313691812</v>
      </c>
      <c r="J51">
        <v>0.93419718801548002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174</v>
      </c>
      <c r="C52">
        <v>1.7866261007889399E-2</v>
      </c>
      <c r="D52">
        <v>1.2993486755605899E-2</v>
      </c>
      <c r="E52">
        <v>1.3750166790435401</v>
      </c>
      <c r="F52">
        <v>0.19379791173323099</v>
      </c>
      <c r="G52">
        <v>2.4045981395255999E-2</v>
      </c>
      <c r="H52">
        <v>1.4565948001967401E-2</v>
      </c>
      <c r="I52">
        <v>1.6508353175507799</v>
      </c>
      <c r="J52">
        <v>0.12389098355691799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175</v>
      </c>
      <c r="C53">
        <v>8.2223003178461505E-3</v>
      </c>
      <c r="D53">
        <v>1.3470282438209601E-2</v>
      </c>
      <c r="E53">
        <v>0.61040296337980804</v>
      </c>
      <c r="F53">
        <v>0.55079962018920303</v>
      </c>
      <c r="G53">
        <v>1.37008708103868E-2</v>
      </c>
      <c r="H53">
        <v>1.6784820380228899E-2</v>
      </c>
      <c r="I53">
        <v>0.81626556019183205</v>
      </c>
      <c r="J53">
        <v>0.42713258524592201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53</v>
      </c>
      <c r="C54">
        <v>4.0328033505907998E-6</v>
      </c>
      <c r="D54">
        <v>5.3168125309144898E-6</v>
      </c>
      <c r="E54">
        <v>0.75850019671413105</v>
      </c>
      <c r="F54">
        <v>0.46316672406731801</v>
      </c>
      <c r="G54">
        <v>4.6831527635675097E-6</v>
      </c>
      <c r="H54">
        <v>6.4161651712707097E-6</v>
      </c>
      <c r="I54">
        <v>0.72989903447888005</v>
      </c>
      <c r="J54">
        <v>0.48093720319174299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54</v>
      </c>
      <c r="C55">
        <v>1.2705158145885699E-5</v>
      </c>
      <c r="D55">
        <v>2.5799341082551002E-6</v>
      </c>
      <c r="E55">
        <v>4.9246056731575498</v>
      </c>
      <c r="F55">
        <v>1.7277026560291199E-4</v>
      </c>
      <c r="G55">
        <v>1.4489405696260199E-5</v>
      </c>
      <c r="H55">
        <v>3.5732214811012499E-6</v>
      </c>
      <c r="I55">
        <v>4.0549979263514899</v>
      </c>
      <c r="J55">
        <v>1.17336330270695E-3</v>
      </c>
      <c r="AB55" t="str">
        <f t="shared" si="0"/>
        <v>***</v>
      </c>
      <c r="AC55" t="str">
        <f t="shared" si="1"/>
        <v>***</v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43</v>
      </c>
      <c r="C56">
        <v>-0.57515600581502502</v>
      </c>
      <c r="D56">
        <v>0.28159384745558502</v>
      </c>
      <c r="E56">
        <v>-2.0425020326686698</v>
      </c>
      <c r="F56">
        <v>7.05567830727791E-2</v>
      </c>
      <c r="AB56" t="str">
        <f t="shared" si="0"/>
        <v>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44</v>
      </c>
      <c r="C57">
        <v>-0.21077230404880201</v>
      </c>
      <c r="D57">
        <v>5.9598534719207598E-2</v>
      </c>
      <c r="E57">
        <v>-3.5365350011008498</v>
      </c>
      <c r="F57">
        <v>3.4025135151855399E-3</v>
      </c>
      <c r="AB57" t="str">
        <f t="shared" si="0"/>
        <v>***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45</v>
      </c>
      <c r="C58">
        <v>-0.39310808298049299</v>
      </c>
      <c r="D58">
        <v>0.132144428987235</v>
      </c>
      <c r="E58">
        <v>-2.9748365935159198</v>
      </c>
      <c r="F58">
        <v>1.04477079465075E-2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48</v>
      </c>
      <c r="C59">
        <v>0.27673721615667302</v>
      </c>
      <c r="D59">
        <v>7.8523110387127004E-2</v>
      </c>
      <c r="E59">
        <v>3.5242773088372399</v>
      </c>
      <c r="F59">
        <v>2.8364639334783801E-3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46</v>
      </c>
      <c r="C60">
        <v>-0.60590125954340801</v>
      </c>
      <c r="D60">
        <v>0.101216932716006</v>
      </c>
      <c r="E60">
        <v>-5.9861649951736799</v>
      </c>
      <c r="F60">
        <v>3.6511259414295902E-4</v>
      </c>
      <c r="AB60" t="str">
        <f t="shared" si="0"/>
        <v>***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6F0F-5123-452B-9B7D-B5E42F8171C4}">
  <dimension ref="A1:L133"/>
  <sheetViews>
    <sheetView topLeftCell="B1" workbookViewId="0">
      <selection activeCell="J80" sqref="J80:J94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0" max="10" width="12.7109375" style="3" customWidth="1"/>
    <col min="12" max="12" width="10.5703125" bestFit="1" customWidth="1"/>
  </cols>
  <sheetData>
    <row r="1" spans="1:12" ht="15.75" thickBot="1" x14ac:dyDescent="0.3">
      <c r="B1" t="s">
        <v>197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</row>
    <row r="2" spans="1:12" ht="29.25" thickTop="1" x14ac:dyDescent="0.45">
      <c r="C2" s="46" t="s">
        <v>338</v>
      </c>
      <c r="D2" s="46"/>
      <c r="E2" s="46"/>
      <c r="F2" s="46"/>
      <c r="G2" s="46"/>
      <c r="H2" s="46"/>
      <c r="I2" s="46"/>
      <c r="J2" s="46"/>
    </row>
    <row r="3" spans="1:12" ht="21" x14ac:dyDescent="0.35">
      <c r="C3" s="47" t="s">
        <v>452</v>
      </c>
      <c r="D3" s="47"/>
      <c r="E3" s="47"/>
      <c r="F3" s="47"/>
      <c r="G3" s="47"/>
      <c r="H3" s="47"/>
      <c r="I3" s="47"/>
      <c r="J3" s="47"/>
    </row>
    <row r="4" spans="1:12" x14ac:dyDescent="0.25">
      <c r="C4" s="19" t="s">
        <v>451</v>
      </c>
      <c r="D4" s="20" t="s">
        <v>289</v>
      </c>
      <c r="E4" s="20" t="s">
        <v>290</v>
      </c>
      <c r="F4" s="20" t="s">
        <v>291</v>
      </c>
      <c r="G4" s="20" t="s">
        <v>292</v>
      </c>
      <c r="H4" s="20" t="s">
        <v>293</v>
      </c>
      <c r="I4" s="20" t="s">
        <v>323</v>
      </c>
      <c r="J4" s="20" t="s">
        <v>335</v>
      </c>
    </row>
    <row r="5" spans="1:12" x14ac:dyDescent="0.25">
      <c r="A5">
        <v>1</v>
      </c>
      <c r="B5" t="s">
        <v>11</v>
      </c>
      <c r="C5" t="s">
        <v>11</v>
      </c>
      <c r="D5" s="3" t="str">
        <f>VLOOKUP($A5,'Reg1'!$A:$H,D$1,0)</f>
        <v>0.072***</v>
      </c>
      <c r="E5" s="3" t="str">
        <f>VLOOKUP($A5,'Reg1'!$A:$H,E$1,0)</f>
        <v>0.038*</v>
      </c>
      <c r="F5" s="3">
        <f>VLOOKUP($A5,'Reg1'!$A:$H,F$1,0)</f>
        <v>1.4999999999999999E-2</v>
      </c>
      <c r="G5" s="3" t="str">
        <f>VLOOKUP($A5,'Reg1'!$A:$H,G$1,0)</f>
        <v>0.022*</v>
      </c>
      <c r="H5" s="3" t="str">
        <f>VLOOKUP($A5,'Reg1'!$A:$H,H$1,0)</f>
        <v>0.019**</v>
      </c>
      <c r="I5" s="3" t="str">
        <f>VLOOKUP($A5,'Reg1'!$A:$H,I$1,0)</f>
        <v>0.021**</v>
      </c>
      <c r="J5" s="3" t="str">
        <f>_xlfn.CONCAT(FIXED(VLOOKUP($A5,Reg1_Robust!A:AG,3,0),3),VLOOKUP($A5,Reg1_Robust!A:AG,28,0))</f>
        <v>0.021**</v>
      </c>
      <c r="L5">
        <f>EXP(0.04)-1</f>
        <v>4.0810774192388211E-2</v>
      </c>
    </row>
    <row r="6" spans="1:12" x14ac:dyDescent="0.25">
      <c r="A6">
        <v>2</v>
      </c>
      <c r="D6" s="3" t="str">
        <f>_xlfn.CONCAT("(",FIXED(ABS(VLOOKUP($A6,'Reg1'!$A:$H,D$1,0)),4),")")</f>
        <v>(0.0050)</v>
      </c>
      <c r="E6" s="3" t="str">
        <f>_xlfn.CONCAT("(",FIXED(ABS(VLOOKUP($A6,'Reg1'!$A:$H,E$1,0)),4),")")</f>
        <v>(0.0210)</v>
      </c>
      <c r="F6" s="3" t="str">
        <f>_xlfn.CONCAT("(",FIXED(ABS(VLOOKUP($A6,'Reg1'!$A:$H,F$1,0)),4),")")</f>
        <v>(0.0130)</v>
      </c>
      <c r="G6" s="3" t="str">
        <f>_xlfn.CONCAT("(",FIXED(ABS(VLOOKUP($A6,'Reg1'!$A:$H,G$1,0)),4),")")</f>
        <v>(0.0110)</v>
      </c>
      <c r="H6" s="3" t="str">
        <f>_xlfn.CONCAT("(",FIXED(ABS(VLOOKUP($A6,'Reg1'!$A:$H,H$1,0)),4),")")</f>
        <v>(0.0100)</v>
      </c>
      <c r="I6" s="3" t="str">
        <f>_xlfn.CONCAT("(",FIXED(ABS(VLOOKUP($A6,'Reg1'!$A:$H,I$1,0)),4),")")</f>
        <v>(0.0090)</v>
      </c>
      <c r="J6" s="3" t="str">
        <f>_xlfn.CONCAT("(",FIXED(VLOOKUP($A5,Reg1_Robust!A:AG,4,0),4),")")</f>
        <v>(0.0093)</v>
      </c>
      <c r="L6" s="26">
        <f>L5*'Table One'!C7*100000</f>
        <v>38035.641547305815</v>
      </c>
    </row>
    <row r="7" spans="1:12" x14ac:dyDescent="0.25">
      <c r="A7">
        <v>3</v>
      </c>
      <c r="B7" t="s">
        <v>16</v>
      </c>
      <c r="C7" t="s">
        <v>16</v>
      </c>
      <c r="E7" s="3" t="str">
        <f>VLOOKUP($A7,'Reg1'!$A:$H,E$1,0)</f>
        <v>0.001***</v>
      </c>
      <c r="F7" s="3" t="str">
        <f>VLOOKUP($A7,'Reg1'!$A:$H,F$1,0)</f>
        <v>0.0001***</v>
      </c>
      <c r="G7" s="3" t="str">
        <f>VLOOKUP($A7,'Reg1'!$A:$H,G$1,0)</f>
        <v>0.0002***</v>
      </c>
      <c r="H7" s="3" t="str">
        <f>VLOOKUP($A7,'Reg1'!$A:$H,H$1,0)</f>
        <v>0.0001***</v>
      </c>
      <c r="I7" s="3" t="str">
        <f>VLOOKUP($A7,'Reg1'!$A:$H,I$1,0)</f>
        <v>0.0001***</v>
      </c>
      <c r="J7" s="3" t="str">
        <f>_xlfn.CONCAT(FIXED(VLOOKUP($A7,Reg1_Robust!A:AG,3,0),5),VLOOKUP($A7,Reg1_Robust!A:AG,28,0))</f>
        <v>0.00005</v>
      </c>
    </row>
    <row r="8" spans="1:12" x14ac:dyDescent="0.25">
      <c r="A8">
        <v>4</v>
      </c>
      <c r="E8" s="3" t="str">
        <f>_xlfn.CONCAT("(",FIXED(ABS(VLOOKUP($A8,'Reg1'!$A:$H,E$1,0)),4),")")</f>
        <v>(0.0001)</v>
      </c>
      <c r="F8" s="3" t="str">
        <f>_xlfn.CONCAT("(",FIXED(ABS(VLOOKUP($A8,'Reg1'!$A:$H,F$1,0)),4),")")</f>
        <v>(0.0000)</v>
      </c>
      <c r="G8" s="3" t="str">
        <f>_xlfn.CONCAT("(",FIXED(ABS(VLOOKUP($A8,'Reg1'!$A:$H,G$1,0)),4),")")</f>
        <v>(0.0000)</v>
      </c>
      <c r="H8" s="3" t="str">
        <f>_xlfn.CONCAT("(",FIXED(ABS(VLOOKUP($A8,'Reg1'!$A:$H,H$1,0)),4),")")</f>
        <v>(0.0000)</v>
      </c>
      <c r="I8" s="3" t="str">
        <f>_xlfn.CONCAT("(",FIXED(ABS(VLOOKUP($A8,'Reg1'!$A:$H,I$1,0)),4),")")</f>
        <v>(0.0000)</v>
      </c>
      <c r="J8" s="3" t="str">
        <f>_xlfn.CONCAT("(",FIXED(VLOOKUP($A7,Reg1_Robust!A:AG,4,0),4),")")</f>
        <v>(0.0001)</v>
      </c>
    </row>
    <row r="9" spans="1:12" hidden="1" x14ac:dyDescent="0.25">
      <c r="A9">
        <v>5</v>
      </c>
      <c r="B9" t="s">
        <v>200</v>
      </c>
      <c r="E9" s="3" t="str">
        <f>VLOOKUP($A9,'Reg1'!$A:$H,E$1,0)</f>
        <v>0.080***</v>
      </c>
      <c r="F9" s="3" t="str">
        <f>VLOOKUP($A9,'Reg1'!$A:$H,F$1,0)</f>
        <v>0.042***</v>
      </c>
      <c r="G9" s="3" t="str">
        <f>VLOOKUP($A9,'Reg1'!$A:$H,G$1,0)</f>
        <v>0.040***</v>
      </c>
      <c r="H9" s="3" t="str">
        <f>VLOOKUP($A9,'Reg1'!$A:$H,H$1,0)</f>
        <v>0.046***</v>
      </c>
      <c r="I9" s="3" t="str">
        <f>VLOOKUP($A9,'Reg1'!$A:$H,I$1,0)</f>
        <v>0.048***</v>
      </c>
      <c r="J9" s="3" t="str">
        <f>_xlfn.CONCAT(FIXED(VLOOKUP($A9,Reg1_Robust!A:AG,3,0),3),VLOOKUP($A9,Reg1_Robust!A:AG,28,0))</f>
        <v>0.046**</v>
      </c>
    </row>
    <row r="10" spans="1:12" hidden="1" x14ac:dyDescent="0.25">
      <c r="A10">
        <v>6</v>
      </c>
      <c r="E10" s="3" t="str">
        <f>_xlfn.CONCAT("(",FIXED(ABS(VLOOKUP($A10,'Reg1'!$A:$H,E$1,0)),4),")")</f>
        <v>(0.0100)</v>
      </c>
      <c r="F10" s="3" t="str">
        <f>_xlfn.CONCAT("(",FIXED(ABS(VLOOKUP($A10,'Reg1'!$A:$H,F$1,0)),4),")")</f>
        <v>(0.0060)</v>
      </c>
      <c r="G10" s="3" t="str">
        <f>_xlfn.CONCAT("(",FIXED(ABS(VLOOKUP($A10,'Reg1'!$A:$H,G$1,0)),4),")")</f>
        <v>(0.0050)</v>
      </c>
      <c r="H10" s="3" t="str">
        <f>_xlfn.CONCAT("(",FIXED(ABS(VLOOKUP($A10,'Reg1'!$A:$H,H$1,0)),4),")")</f>
        <v>(0.0050)</v>
      </c>
      <c r="I10" s="3" t="str">
        <f>_xlfn.CONCAT("(",FIXED(ABS(VLOOKUP($A10,'Reg1'!$A:$H,I$1,0)),4),")")</f>
        <v>(0.0040)</v>
      </c>
      <c r="J10" s="3" t="str">
        <f>_xlfn.CONCAT("(",FIXED(VLOOKUP($A9,Reg1_Robust!A:AG,4,0),4),")")</f>
        <v>(0.0159)</v>
      </c>
    </row>
    <row r="11" spans="1:12" hidden="1" x14ac:dyDescent="0.25">
      <c r="A11">
        <v>7</v>
      </c>
      <c r="B11" t="s">
        <v>203</v>
      </c>
      <c r="E11" s="3" t="str">
        <f>VLOOKUP($A11,'Reg1'!$A:$H,E$1,0)</f>
        <v>0.071***</v>
      </c>
      <c r="F11" s="3" t="str">
        <f>VLOOKUP($A11,'Reg1'!$A:$H,F$1,0)</f>
        <v>0.043***</v>
      </c>
      <c r="G11" s="3" t="str">
        <f>VLOOKUP($A11,'Reg1'!$A:$H,G$1,0)</f>
        <v>0.044***</v>
      </c>
      <c r="H11" s="3" t="str">
        <f>VLOOKUP($A11,'Reg1'!$A:$H,H$1,0)</f>
        <v>0.054***</v>
      </c>
      <c r="I11" s="3" t="str">
        <f>VLOOKUP($A11,'Reg1'!$A:$H,I$1,0)</f>
        <v>0.055***</v>
      </c>
      <c r="J11" s="3" t="str">
        <f>_xlfn.CONCAT(FIXED(VLOOKUP($A11,Reg1_Robust!A:AG,3,0),3),VLOOKUP($A11,Reg1_Robust!A:AG,28,0))</f>
        <v>0.052***</v>
      </c>
    </row>
    <row r="12" spans="1:12" hidden="1" x14ac:dyDescent="0.25">
      <c r="A12">
        <v>8</v>
      </c>
      <c r="E12" s="3" t="str">
        <f>_xlfn.CONCAT("(",FIXED(ABS(VLOOKUP($A12,'Reg1'!$A:$H,E$1,0)),4),")")</f>
        <v>(0.0100)</v>
      </c>
      <c r="F12" s="3" t="str">
        <f>_xlfn.CONCAT("(",FIXED(ABS(VLOOKUP($A12,'Reg1'!$A:$H,F$1,0)),4),")")</f>
        <v>(0.0060)</v>
      </c>
      <c r="G12" s="3" t="str">
        <f>_xlfn.CONCAT("(",FIXED(ABS(VLOOKUP($A12,'Reg1'!$A:$H,G$1,0)),4),")")</f>
        <v>(0.0050)</v>
      </c>
      <c r="H12" s="3" t="str">
        <f>_xlfn.CONCAT("(",FIXED(ABS(VLOOKUP($A12,'Reg1'!$A:$H,H$1,0)),4),")")</f>
        <v>(0.0050)</v>
      </c>
      <c r="I12" s="3" t="str">
        <f>_xlfn.CONCAT("(",FIXED(ABS(VLOOKUP($A12,'Reg1'!$A:$H,I$1,0)),4),")")</f>
        <v>(0.0040)</v>
      </c>
      <c r="J12" s="3" t="str">
        <f>_xlfn.CONCAT("(",FIXED(VLOOKUP($A11,Reg1_Robust!A:AG,4,0),4),")")</f>
        <v>(0.0155)</v>
      </c>
    </row>
    <row r="13" spans="1:12" hidden="1" x14ac:dyDescent="0.25">
      <c r="A13">
        <v>9</v>
      </c>
      <c r="B13" t="s">
        <v>207</v>
      </c>
      <c r="E13" s="3" t="str">
        <f>VLOOKUP($A13,'Reg1'!$A:$H,E$1,0)</f>
        <v>0.064***</v>
      </c>
      <c r="F13" s="3" t="str">
        <f>VLOOKUP($A13,'Reg1'!$A:$H,F$1,0)</f>
        <v>0.032***</v>
      </c>
      <c r="G13" s="3" t="str">
        <f>VLOOKUP($A13,'Reg1'!$A:$H,G$1,0)</f>
        <v>0.026***</v>
      </c>
      <c r="H13" s="3" t="str">
        <f>VLOOKUP($A13,'Reg1'!$A:$H,H$1,0)</f>
        <v>0.038***</v>
      </c>
      <c r="I13" s="3" t="str">
        <f>VLOOKUP($A13,'Reg1'!$A:$H,I$1,0)</f>
        <v>0.040***</v>
      </c>
      <c r="J13" s="3" t="str">
        <f>_xlfn.CONCAT(FIXED(VLOOKUP($A13,Reg1_Robust!A:AG,3,0),3),VLOOKUP($A13,Reg1_Robust!A:AG,28,0))</f>
        <v>0.038**</v>
      </c>
    </row>
    <row r="14" spans="1:12" hidden="1" x14ac:dyDescent="0.25">
      <c r="A14">
        <v>10</v>
      </c>
      <c r="E14" s="3" t="str">
        <f>_xlfn.CONCAT("(",FIXED(ABS(VLOOKUP($A14,'Reg1'!$A:$H,E$1,0)),4),")")</f>
        <v>(0.0100)</v>
      </c>
      <c r="F14" s="3" t="str">
        <f>_xlfn.CONCAT("(",FIXED(ABS(VLOOKUP($A14,'Reg1'!$A:$H,F$1,0)),4),")")</f>
        <v>(0.0060)</v>
      </c>
      <c r="G14" s="3" t="str">
        <f>_xlfn.CONCAT("(",FIXED(ABS(VLOOKUP($A14,'Reg1'!$A:$H,G$1,0)),4),")")</f>
        <v>(0.0050)</v>
      </c>
      <c r="H14" s="3" t="str">
        <f>_xlfn.CONCAT("(",FIXED(ABS(VLOOKUP($A14,'Reg1'!$A:$H,H$1,0)),4),")")</f>
        <v>(0.0050)</v>
      </c>
      <c r="I14" s="3" t="str">
        <f>_xlfn.CONCAT("(",FIXED(ABS(VLOOKUP($A14,'Reg1'!$A:$H,I$1,0)),4),")")</f>
        <v>(0.0040)</v>
      </c>
      <c r="J14" s="3" t="str">
        <f>_xlfn.CONCAT("(",FIXED(VLOOKUP($A13,Reg1_Robust!A:AG,4,0),4),")")</f>
        <v>(0.0162)</v>
      </c>
    </row>
    <row r="15" spans="1:12" hidden="1" x14ac:dyDescent="0.25">
      <c r="A15">
        <v>11</v>
      </c>
      <c r="B15" t="s">
        <v>210</v>
      </c>
      <c r="E15" s="3" t="str">
        <f>VLOOKUP($A15,'Reg1'!$A:$H,E$1,0)</f>
        <v>0.056***</v>
      </c>
      <c r="F15" s="3">
        <f>VLOOKUP($A15,'Reg1'!$A:$H,F$1,0)</f>
        <v>1.9E-2</v>
      </c>
      <c r="G15" s="3">
        <f>VLOOKUP($A15,'Reg1'!$A:$H,G$1,0)</f>
        <v>7.0000000000000001E-3</v>
      </c>
      <c r="H15" s="3" t="str">
        <f>VLOOKUP($A15,'Reg1'!$A:$H,H$1,0)</f>
        <v>0.021**</v>
      </c>
      <c r="I15" s="3" t="str">
        <f>VLOOKUP($A15,'Reg1'!$A:$H,I$1,0)</f>
        <v>0.019**</v>
      </c>
      <c r="J15" s="3" t="str">
        <f>_xlfn.CONCAT(FIXED(VLOOKUP($A15,Reg1_Robust!A:AG,3,0),3),VLOOKUP($A15,Reg1_Robust!A:AG,28,0))</f>
        <v>0.018</v>
      </c>
    </row>
    <row r="16" spans="1:12" hidden="1" x14ac:dyDescent="0.25">
      <c r="A16">
        <v>12</v>
      </c>
      <c r="E16" s="3" t="str">
        <f>_xlfn.CONCAT("(",FIXED(ABS(VLOOKUP($A16,'Reg1'!$A:$H,E$1,0)),4),")")</f>
        <v>(0.0210)</v>
      </c>
      <c r="F16" s="3" t="str">
        <f>_xlfn.CONCAT("(",FIXED(ABS(VLOOKUP($A16,'Reg1'!$A:$H,F$1,0)),4),")")</f>
        <v>(0.0130)</v>
      </c>
      <c r="G16" s="3" t="str">
        <f>_xlfn.CONCAT("(",FIXED(ABS(VLOOKUP($A16,'Reg1'!$A:$H,G$1,0)),4),")")</f>
        <v>(0.0110)</v>
      </c>
      <c r="H16" s="3" t="str">
        <f>_xlfn.CONCAT("(",FIXED(ABS(VLOOKUP($A16,'Reg1'!$A:$H,H$1,0)),4),")")</f>
        <v>(0.0100)</v>
      </c>
      <c r="I16" s="3" t="str">
        <f>_xlfn.CONCAT("(",FIXED(ABS(VLOOKUP($A16,'Reg1'!$A:$H,I$1,0)),4),")")</f>
        <v>(0.0090)</v>
      </c>
      <c r="J16" s="3" t="str">
        <f>_xlfn.CONCAT("(",FIXED(VLOOKUP($A15,Reg1_Robust!A:AG,4,0),4),")")</f>
        <v>(0.0178)</v>
      </c>
    </row>
    <row r="17" spans="1:10" hidden="1" x14ac:dyDescent="0.25">
      <c r="A17">
        <v>13</v>
      </c>
      <c r="B17" t="s">
        <v>211</v>
      </c>
      <c r="E17" s="3" t="str">
        <f>VLOOKUP($A17,'Reg1'!$A:$H,E$1,0)</f>
        <v>0.110***</v>
      </c>
      <c r="F17" s="3" t="str">
        <f>VLOOKUP($A17,'Reg1'!$A:$H,F$1,0)</f>
        <v>0.086***</v>
      </c>
      <c r="G17" s="3" t="str">
        <f>VLOOKUP($A17,'Reg1'!$A:$H,G$1,0)</f>
        <v>0.079***</v>
      </c>
      <c r="H17" s="3" t="str">
        <f>VLOOKUP($A17,'Reg1'!$A:$H,H$1,0)</f>
        <v>0.094***</v>
      </c>
      <c r="I17" s="3" t="str">
        <f>VLOOKUP($A17,'Reg1'!$A:$H,I$1,0)</f>
        <v>0.093***</v>
      </c>
      <c r="J17" s="3" t="str">
        <f>_xlfn.CONCAT(FIXED(VLOOKUP($A17,Reg1_Robust!A:AG,3,0),3),VLOOKUP($A17,Reg1_Robust!A:AG,28,0))</f>
        <v>0.089***</v>
      </c>
    </row>
    <row r="18" spans="1:10" hidden="1" x14ac:dyDescent="0.25">
      <c r="A18">
        <v>14</v>
      </c>
      <c r="E18" s="3" t="str">
        <f>_xlfn.CONCAT("(",FIXED(ABS(VLOOKUP($A18,'Reg1'!$A:$H,E$1,0)),4),")")</f>
        <v>(0.0230)</v>
      </c>
      <c r="F18" s="3" t="str">
        <f>_xlfn.CONCAT("(",FIXED(ABS(VLOOKUP($A18,'Reg1'!$A:$H,F$1,0)),4),")")</f>
        <v>(0.0140)</v>
      </c>
      <c r="G18" s="3" t="str">
        <f>_xlfn.CONCAT("(",FIXED(ABS(VLOOKUP($A18,'Reg1'!$A:$H,G$1,0)),4),")")</f>
        <v>(0.0120)</v>
      </c>
      <c r="H18" s="3" t="str">
        <f>_xlfn.CONCAT("(",FIXED(ABS(VLOOKUP($A18,'Reg1'!$A:$H,H$1,0)),4),")")</f>
        <v>(0.0110)</v>
      </c>
      <c r="I18" s="3" t="str">
        <f>_xlfn.CONCAT("(",FIXED(ABS(VLOOKUP($A18,'Reg1'!$A:$H,I$1,0)),4),")")</f>
        <v>(0.0100)</v>
      </c>
      <c r="J18" s="3" t="str">
        <f>_xlfn.CONCAT("(",FIXED(VLOOKUP($A17,Reg1_Robust!A:AG,4,0),4),")")</f>
        <v>(0.0213)</v>
      </c>
    </row>
    <row r="19" spans="1:10" hidden="1" x14ac:dyDescent="0.25">
      <c r="A19">
        <v>15</v>
      </c>
      <c r="B19" t="s">
        <v>214</v>
      </c>
      <c r="E19" s="3" t="str">
        <f>VLOOKUP($A19,'Reg1'!$A:$H,E$1,0)</f>
        <v>0.126***</v>
      </c>
      <c r="F19" s="3" t="str">
        <f>VLOOKUP($A19,'Reg1'!$A:$H,F$1,0)</f>
        <v>0.122***</v>
      </c>
      <c r="G19" s="3" t="str">
        <f>VLOOKUP($A19,'Reg1'!$A:$H,G$1,0)</f>
        <v>0.114***</v>
      </c>
      <c r="H19" s="3" t="str">
        <f>VLOOKUP($A19,'Reg1'!$A:$H,H$1,0)</f>
        <v>0.137***</v>
      </c>
      <c r="I19" s="3" t="str">
        <f>VLOOKUP($A19,'Reg1'!$A:$H,I$1,0)</f>
        <v>0.135***</v>
      </c>
      <c r="J19" s="3" t="str">
        <f>_xlfn.CONCAT(FIXED(VLOOKUP($A19,Reg1_Robust!A:AG,3,0),3),VLOOKUP($A19,Reg1_Robust!A:AG,28,0))</f>
        <v>0.131***</v>
      </c>
    </row>
    <row r="20" spans="1:10" hidden="1" x14ac:dyDescent="0.25">
      <c r="A20">
        <v>16</v>
      </c>
      <c r="E20" s="3" t="str">
        <f>_xlfn.CONCAT("(",FIXED(ABS(VLOOKUP($A20,'Reg1'!$A:$H,E$1,0)),4),")")</f>
        <v>(0.0230)</v>
      </c>
      <c r="F20" s="3" t="str">
        <f>_xlfn.CONCAT("(",FIXED(ABS(VLOOKUP($A20,'Reg1'!$A:$H,F$1,0)),4),")")</f>
        <v>(0.0140)</v>
      </c>
      <c r="G20" s="3" t="str">
        <f>_xlfn.CONCAT("(",FIXED(ABS(VLOOKUP($A20,'Reg1'!$A:$H,G$1,0)),4),")")</f>
        <v>(0.0120)</v>
      </c>
      <c r="H20" s="3" t="str">
        <f>_xlfn.CONCAT("(",FIXED(ABS(VLOOKUP($A20,'Reg1'!$A:$H,H$1,0)),4),")")</f>
        <v>(0.0110)</v>
      </c>
      <c r="I20" s="3" t="str">
        <f>_xlfn.CONCAT("(",FIXED(ABS(VLOOKUP($A20,'Reg1'!$A:$H,I$1,0)),4),")")</f>
        <v>(0.0100)</v>
      </c>
      <c r="J20" s="3" t="str">
        <f>_xlfn.CONCAT("(",FIXED(VLOOKUP($A19,Reg1_Robust!A:AG,4,0),4),")")</f>
        <v>(0.0249)</v>
      </c>
    </row>
    <row r="21" spans="1:10" hidden="1" x14ac:dyDescent="0.25">
      <c r="A21">
        <v>17</v>
      </c>
      <c r="B21" t="s">
        <v>219</v>
      </c>
      <c r="E21" s="3" t="str">
        <f>VLOOKUP($A21,'Reg1'!$A:$H,E$1,0)</f>
        <v>0.447***</v>
      </c>
      <c r="F21" s="3" t="str">
        <f>VLOOKUP($A21,'Reg1'!$A:$H,F$1,0)</f>
        <v>0.125***</v>
      </c>
      <c r="G21" s="3" t="str">
        <f>VLOOKUP($A21,'Reg1'!$A:$H,G$1,0)</f>
        <v>0.057***</v>
      </c>
      <c r="H21" s="3" t="str">
        <f>VLOOKUP($A21,'Reg1'!$A:$H,H$1,0)</f>
        <v>0.092***</v>
      </c>
      <c r="I21" s="3" t="str">
        <f>VLOOKUP($A21,'Reg1'!$A:$H,I$1,0)</f>
        <v>0.101***</v>
      </c>
      <c r="J21" s="3" t="str">
        <f>_xlfn.CONCAT(FIXED(VLOOKUP($A21,Reg1_Robust!A:AG,3,0),3),VLOOKUP($A21,Reg1_Robust!A:AG,28,0))</f>
        <v>0.101***</v>
      </c>
    </row>
    <row r="22" spans="1:10" hidden="1" x14ac:dyDescent="0.25">
      <c r="A22">
        <v>18</v>
      </c>
      <c r="E22" s="3" t="str">
        <f>_xlfn.CONCAT("(",FIXED(ABS(VLOOKUP($A22,'Reg1'!$A:$H,E$1,0)),4),")")</f>
        <v>(0.0390)</v>
      </c>
      <c r="F22" s="3" t="str">
        <f>_xlfn.CONCAT("(",FIXED(ABS(VLOOKUP($A22,'Reg1'!$A:$H,F$1,0)),4),")")</f>
        <v>(0.0240)</v>
      </c>
      <c r="G22" s="3" t="str">
        <f>_xlfn.CONCAT("(",FIXED(ABS(VLOOKUP($A22,'Reg1'!$A:$H,G$1,0)),4),")")</f>
        <v>(0.0210)</v>
      </c>
      <c r="H22" s="3" t="str">
        <f>_xlfn.CONCAT("(",FIXED(ABS(VLOOKUP($A22,'Reg1'!$A:$H,H$1,0)),4),")")</f>
        <v>(0.0180)</v>
      </c>
      <c r="I22" s="3" t="str">
        <f>_xlfn.CONCAT("(",FIXED(ABS(VLOOKUP($A22,'Reg1'!$A:$H,I$1,0)),4),")")</f>
        <v>(0.0170)</v>
      </c>
      <c r="J22" s="3" t="str">
        <f>_xlfn.CONCAT("(",FIXED(VLOOKUP($A21,Reg1_Robust!A:AG,4,0),4),")")</f>
        <v>(0.0288)</v>
      </c>
    </row>
    <row r="23" spans="1:10" x14ac:dyDescent="0.25">
      <c r="A23">
        <v>19</v>
      </c>
      <c r="B23" t="s">
        <v>15</v>
      </c>
      <c r="C23" t="s">
        <v>410</v>
      </c>
      <c r="F23" s="3" t="str">
        <f>VLOOKUP($A23,'Reg1'!$A:$H,F$1,0)</f>
        <v>0.034***</v>
      </c>
      <c r="G23" s="3" t="str">
        <f>VLOOKUP($A23,'Reg1'!$A:$H,G$1,0)</f>
        <v>-0.014***</v>
      </c>
      <c r="H23" s="3" t="str">
        <f>VLOOKUP($A23,'Reg1'!$A:$H,H$1,0)</f>
        <v>0.013***</v>
      </c>
      <c r="I23" s="3" t="str">
        <f>VLOOKUP($A23,'Reg1'!$A:$H,I$1,0)</f>
        <v>0.025***</v>
      </c>
      <c r="J23" s="3" t="str">
        <f>_xlfn.CONCAT(FIXED(VLOOKUP($A23,Reg1_Robust!A:AG,3,0),3),VLOOKUP($A23,Reg1_Robust!A:AG,28,0))</f>
        <v>0.029</v>
      </c>
    </row>
    <row r="24" spans="1:10" x14ac:dyDescent="0.25">
      <c r="A24">
        <v>20</v>
      </c>
      <c r="F24" s="3" t="str">
        <f>_xlfn.CONCAT("(",FIXED(ABS(VLOOKUP($A24,'Reg1'!$A:$H,F$1,0)),4),")")</f>
        <v>(0.0020)</v>
      </c>
      <c r="G24" s="3" t="str">
        <f>_xlfn.CONCAT("(",FIXED(ABS(VLOOKUP($A24,'Reg1'!$A:$H,G$1,0)),4),")")</f>
        <v>(0.0020)</v>
      </c>
      <c r="H24" s="3" t="str">
        <f>_xlfn.CONCAT("(",FIXED(ABS(VLOOKUP($A24,'Reg1'!$A:$H,H$1,0)),4),")")</f>
        <v>(0.0020)</v>
      </c>
      <c r="I24" s="3" t="str">
        <f>_xlfn.CONCAT("(",FIXED(ABS(VLOOKUP($A24,'Reg1'!$A:$H,I$1,0)),4),")")</f>
        <v>(0.0020)</v>
      </c>
      <c r="J24" s="3" t="str">
        <f>_xlfn.CONCAT("(",FIXED(VLOOKUP($A23,Reg1_Robust!A:AG,4,0),4),")")</f>
        <v>(0.0228)</v>
      </c>
    </row>
    <row r="25" spans="1:10" x14ac:dyDescent="0.25">
      <c r="A25">
        <v>21</v>
      </c>
      <c r="B25" t="s">
        <v>13</v>
      </c>
      <c r="C25" t="s">
        <v>411</v>
      </c>
      <c r="F25" s="3" t="str">
        <f>VLOOKUP($A25,'Reg1'!$A:$H,F$1,0)</f>
        <v>0.090***</v>
      </c>
      <c r="G25" s="3" t="str">
        <f>VLOOKUP($A25,'Reg1'!$A:$H,G$1,0)</f>
        <v>0.090***</v>
      </c>
      <c r="H25" s="3" t="str">
        <f>VLOOKUP($A25,'Reg1'!$A:$H,H$1,0)</f>
        <v>0.061***</v>
      </c>
      <c r="I25" s="3" t="str">
        <f>VLOOKUP($A25,'Reg1'!$A:$H,I$1,0)</f>
        <v>0.052***</v>
      </c>
      <c r="J25" s="3" t="str">
        <f>_xlfn.CONCAT(FIXED(VLOOKUP($A25,Reg1_Robust!A:AG,3,0),3),VLOOKUP($A25,Reg1_Robust!A:AG,28,0))</f>
        <v>0.046**</v>
      </c>
    </row>
    <row r="26" spans="1:10" x14ac:dyDescent="0.25">
      <c r="A26">
        <v>22</v>
      </c>
      <c r="F26" s="3" t="str">
        <f>_xlfn.CONCAT("(",FIXED(ABS(VLOOKUP($A26,'Reg1'!$A:$H,F$1,0)),4),")")</f>
        <v>(0.0040)</v>
      </c>
      <c r="G26" s="3" t="str">
        <f>_xlfn.CONCAT("(",FIXED(ABS(VLOOKUP($A26,'Reg1'!$A:$H,G$1,0)),4),")")</f>
        <v>(0.0030)</v>
      </c>
      <c r="H26" s="3" t="str">
        <f>_xlfn.CONCAT("(",FIXED(ABS(VLOOKUP($A26,'Reg1'!$A:$H,H$1,0)),4),")")</f>
        <v>(0.0030)</v>
      </c>
      <c r="I26" s="3" t="str">
        <f>_xlfn.CONCAT("(",FIXED(ABS(VLOOKUP($A26,'Reg1'!$A:$H,I$1,0)),4),")")</f>
        <v>(0.0030)</v>
      </c>
      <c r="J26" s="3" t="str">
        <f>_xlfn.CONCAT("(",FIXED(VLOOKUP($A25,Reg1_Robust!A:AG,4,0),4),")")</f>
        <v>(0.0166)</v>
      </c>
    </row>
    <row r="27" spans="1:10" x14ac:dyDescent="0.25">
      <c r="A27">
        <v>23</v>
      </c>
      <c r="B27" t="s">
        <v>14</v>
      </c>
      <c r="C27" t="s">
        <v>412</v>
      </c>
      <c r="F27" s="3" t="str">
        <f>VLOOKUP($A27,'Reg1'!$A:$H,F$1,0)</f>
        <v>0.063***</v>
      </c>
      <c r="G27" s="3" t="str">
        <f>VLOOKUP($A27,'Reg1'!$A:$H,G$1,0)</f>
        <v>0.048***</v>
      </c>
      <c r="H27" s="3" t="str">
        <f>VLOOKUP($A27,'Reg1'!$A:$H,H$1,0)</f>
        <v>0.058***</v>
      </c>
      <c r="I27" s="3" t="str">
        <f>VLOOKUP($A27,'Reg1'!$A:$H,I$1,0)</f>
        <v>0.056***</v>
      </c>
      <c r="J27" s="3" t="str">
        <f>_xlfn.CONCAT(FIXED(VLOOKUP($A27,Reg1_Robust!A:AG,3,0),3),VLOOKUP($A27,Reg1_Robust!A:AG,28,0))</f>
        <v>0.055***</v>
      </c>
    </row>
    <row r="28" spans="1:10" x14ac:dyDescent="0.25">
      <c r="A28">
        <v>24</v>
      </c>
      <c r="F28" s="3" t="str">
        <f>_xlfn.CONCAT("(",FIXED(ABS(VLOOKUP($A28,'Reg1'!$A:$H,F$1,0)),4),")")</f>
        <v>(0.0040)</v>
      </c>
      <c r="G28" s="3" t="str">
        <f>_xlfn.CONCAT("(",FIXED(ABS(VLOOKUP($A28,'Reg1'!$A:$H,G$1,0)),4),")")</f>
        <v>(0.0040)</v>
      </c>
      <c r="H28" s="3" t="str">
        <f>_xlfn.CONCAT("(",FIXED(ABS(VLOOKUP($A28,'Reg1'!$A:$H,H$1,0)),4),")")</f>
        <v>(0.0030)</v>
      </c>
      <c r="I28" s="3" t="str">
        <f>_xlfn.CONCAT("(",FIXED(ABS(VLOOKUP($A28,'Reg1'!$A:$H,I$1,0)),4),")")</f>
        <v>(0.0030)</v>
      </c>
      <c r="J28" s="3" t="str">
        <f>_xlfn.CONCAT("(",FIXED(VLOOKUP($A27,Reg1_Robust!A:AG,4,0),4),")")</f>
        <v>(0.0100)</v>
      </c>
    </row>
    <row r="29" spans="1:10" x14ac:dyDescent="0.25">
      <c r="A29">
        <v>25</v>
      </c>
      <c r="B29" t="s">
        <v>59</v>
      </c>
      <c r="C29" t="s">
        <v>413</v>
      </c>
      <c r="F29" s="3" t="str">
        <f>VLOOKUP($A29,'Reg1'!$A:$H,F$1,0)</f>
        <v>-0.186***</v>
      </c>
      <c r="G29" s="3" t="str">
        <f>VLOOKUP($A29,'Reg1'!$A:$H,G$1,0)</f>
        <v>-0.108***</v>
      </c>
      <c r="H29" s="3" t="str">
        <f>VLOOKUP($A29,'Reg1'!$A:$H,H$1,0)</f>
        <v>-0.099***</v>
      </c>
      <c r="I29" s="3" t="str">
        <f>VLOOKUP($A29,'Reg1'!$A:$H,I$1,0)</f>
        <v>-0.097***</v>
      </c>
      <c r="J29" s="3" t="str">
        <f>_xlfn.CONCAT(FIXED(VLOOKUP($A29,Reg1_Robust!A:AG,3,0),3),VLOOKUP($A29,Reg1_Robust!A:AG,28,0))</f>
        <v>-0.100***</v>
      </c>
    </row>
    <row r="30" spans="1:10" x14ac:dyDescent="0.25">
      <c r="A30">
        <v>26</v>
      </c>
      <c r="F30" s="3" t="str">
        <f>_xlfn.CONCAT("(",FIXED(ABS(VLOOKUP($A30,'Reg1'!$A:$H,F$1,0)),4),")")</f>
        <v>(0.0040)</v>
      </c>
      <c r="G30" s="3" t="str">
        <f>_xlfn.CONCAT("(",FIXED(ABS(VLOOKUP($A30,'Reg1'!$A:$H,G$1,0)),4),")")</f>
        <v>(0.0040)</v>
      </c>
      <c r="H30" s="3" t="str">
        <f>_xlfn.CONCAT("(",FIXED(ABS(VLOOKUP($A30,'Reg1'!$A:$H,H$1,0)),4),")")</f>
        <v>(0.0030)</v>
      </c>
      <c r="I30" s="3" t="str">
        <f>_xlfn.CONCAT("(",FIXED(ABS(VLOOKUP($A30,'Reg1'!$A:$H,I$1,0)),4),")")</f>
        <v>(0.0030)</v>
      </c>
      <c r="J30" s="3" t="str">
        <f>_xlfn.CONCAT("(",FIXED(VLOOKUP($A29,Reg1_Robust!A:AG,4,0),4),")")</f>
        <v>(0.0304)</v>
      </c>
    </row>
    <row r="31" spans="1:10" x14ac:dyDescent="0.25">
      <c r="A31">
        <v>27</v>
      </c>
      <c r="B31" t="s">
        <v>60</v>
      </c>
      <c r="C31" t="s">
        <v>414</v>
      </c>
      <c r="F31" s="3" t="str">
        <f>VLOOKUP($A31,'Reg1'!$A:$H,F$1,0)</f>
        <v>-0.079***</v>
      </c>
      <c r="G31" s="3" t="str">
        <f>VLOOKUP($A31,'Reg1'!$A:$H,G$1,0)</f>
        <v>-0.030***</v>
      </c>
      <c r="H31" s="3" t="str">
        <f>VLOOKUP($A31,'Reg1'!$A:$H,H$1,0)</f>
        <v>-0.054***</v>
      </c>
      <c r="I31" s="3" t="str">
        <f>VLOOKUP($A31,'Reg1'!$A:$H,I$1,0)</f>
        <v>-0.049***</v>
      </c>
      <c r="J31" s="3" t="str">
        <f>_xlfn.CONCAT(FIXED(VLOOKUP($A31,Reg1_Robust!A:AG,3,0),3),VLOOKUP($A31,Reg1_Robust!A:AG,28,0))</f>
        <v>-0.064***</v>
      </c>
    </row>
    <row r="32" spans="1:10" x14ac:dyDescent="0.25">
      <c r="A32">
        <v>28</v>
      </c>
      <c r="F32" s="3" t="str">
        <f>_xlfn.CONCAT("(",FIXED(ABS(VLOOKUP($A32,'Reg1'!$A:$H,F$1,0)),4),")")</f>
        <v>(0.0040)</v>
      </c>
      <c r="G32" s="3" t="str">
        <f>_xlfn.CONCAT("(",FIXED(ABS(VLOOKUP($A32,'Reg1'!$A:$H,G$1,0)),4),")")</f>
        <v>(0.0050)</v>
      </c>
      <c r="H32" s="3" t="str">
        <f>_xlfn.CONCAT("(",FIXED(ABS(VLOOKUP($A32,'Reg1'!$A:$H,H$1,0)),4),")")</f>
        <v>(0.0040)</v>
      </c>
      <c r="I32" s="3" t="str">
        <f>_xlfn.CONCAT("(",FIXED(ABS(VLOOKUP($A32,'Reg1'!$A:$H,I$1,0)),4),")")</f>
        <v>(0.0040)</v>
      </c>
      <c r="J32" s="3" t="str">
        <f>_xlfn.CONCAT("(",FIXED(VLOOKUP($A31,Reg1_Robust!A:AG,4,0),4),")")</f>
        <v>(0.0117)</v>
      </c>
    </row>
    <row r="33" spans="1:10" x14ac:dyDescent="0.25">
      <c r="A33">
        <v>29</v>
      </c>
      <c r="B33" t="s">
        <v>18</v>
      </c>
      <c r="C33" t="s">
        <v>415</v>
      </c>
      <c r="F33" s="3" t="str">
        <f>VLOOKUP($A33,'Reg1'!$A:$H,F$1,0)</f>
        <v>0.0003***</v>
      </c>
      <c r="G33" s="3" t="str">
        <f>VLOOKUP($A33,'Reg1'!$A:$H,G$1,0)</f>
        <v>0.0003***</v>
      </c>
      <c r="H33" s="3" t="str">
        <f>VLOOKUP($A33,'Reg1'!$A:$H,H$1,0)</f>
        <v>0.0002***</v>
      </c>
      <c r="I33" s="3" t="str">
        <f>VLOOKUP($A33,'Reg1'!$A:$H,I$1,0)</f>
        <v>0.0002***</v>
      </c>
      <c r="J33" s="3" t="str">
        <f>_xlfn.CONCAT(FIXED(VLOOKUP($A33,Reg1_Robust!A:AG,3,0),4),VLOOKUP($A33,Reg1_Robust!A:AG,28,0))</f>
        <v>0.0002***</v>
      </c>
    </row>
    <row r="34" spans="1:10" x14ac:dyDescent="0.25">
      <c r="A34">
        <v>30</v>
      </c>
      <c r="F34" s="3" t="str">
        <f>_xlfn.CONCAT("(",FIXED(ABS(VLOOKUP($A34,'Reg1'!$A:$H,F$1,0)),4),")")</f>
        <v>(0.0000)</v>
      </c>
      <c r="G34" s="3" t="str">
        <f>_xlfn.CONCAT("(",FIXED(ABS(VLOOKUP($A34,'Reg1'!$A:$H,G$1,0)),4),")")</f>
        <v>(0.0000)</v>
      </c>
      <c r="H34" s="3" t="str">
        <f>_xlfn.CONCAT("(",FIXED(ABS(VLOOKUP($A34,'Reg1'!$A:$H,H$1,0)),4),")")</f>
        <v>(0.0000)</v>
      </c>
      <c r="I34" s="3" t="str">
        <f>_xlfn.CONCAT("(",FIXED(ABS(VLOOKUP($A34,'Reg1'!$A:$H,I$1,0)),4),")")</f>
        <v>(0.0000)</v>
      </c>
      <c r="J34" s="3" t="str">
        <f>_xlfn.CONCAT("(",FIXED(VLOOKUP($A33,Reg1_Robust!A:AG,4,0),4),")")</f>
        <v>(0.0000)</v>
      </c>
    </row>
    <row r="35" spans="1:10" x14ac:dyDescent="0.25">
      <c r="A35">
        <v>31</v>
      </c>
      <c r="B35" t="s">
        <v>33</v>
      </c>
      <c r="C35" t="s">
        <v>33</v>
      </c>
      <c r="F35" s="3" t="str">
        <f>VLOOKUP($A35,'Reg1'!$A:$H,F$1,0)</f>
        <v>-0.017***</v>
      </c>
      <c r="G35" s="3" t="str">
        <f>VLOOKUP($A35,'Reg1'!$A:$H,G$1,0)</f>
        <v>-0.011***</v>
      </c>
      <c r="H35" s="3" t="str">
        <f>VLOOKUP($A35,'Reg1'!$A:$H,H$1,0)</f>
        <v>-0.015***</v>
      </c>
      <c r="I35" s="3" t="str">
        <f>VLOOKUP($A35,'Reg1'!$A:$H,I$1,0)</f>
        <v>-0.015***</v>
      </c>
      <c r="J35" s="3" t="str">
        <f>_xlfn.CONCAT(FIXED(VLOOKUP($A35,Reg1_Robust!A:AG,3,0),3),VLOOKUP($A35,Reg1_Robust!A:AG,28,0))</f>
        <v>-0.015**</v>
      </c>
    </row>
    <row r="36" spans="1:10" x14ac:dyDescent="0.25">
      <c r="A36">
        <v>32</v>
      </c>
      <c r="F36" s="3" t="str">
        <f>_xlfn.CONCAT("(",FIXED(ABS(VLOOKUP($A36,'Reg1'!$A:$H,F$1,0)),4),")")</f>
        <v>(0.0003)</v>
      </c>
      <c r="G36" s="3" t="str">
        <f>_xlfn.CONCAT("(",FIXED(ABS(VLOOKUP($A36,'Reg1'!$A:$H,G$1,0)),4),")")</f>
        <v>(0.0003)</v>
      </c>
      <c r="H36" s="3" t="str">
        <f>_xlfn.CONCAT("(",FIXED(ABS(VLOOKUP($A36,'Reg1'!$A:$H,H$1,0)),4),")")</f>
        <v>(0.0002)</v>
      </c>
      <c r="I36" s="3" t="str">
        <f>_xlfn.CONCAT("(",FIXED(ABS(VLOOKUP($A36,'Reg1'!$A:$H,I$1,0)),4),")")</f>
        <v>(0.0002)</v>
      </c>
      <c r="J36" s="3" t="str">
        <f>_xlfn.CONCAT("(",FIXED(VLOOKUP($A35,Reg1_Robust!A:AG,4,0),4),")")</f>
        <v>(0.0051)</v>
      </c>
    </row>
    <row r="37" spans="1:10" x14ac:dyDescent="0.25">
      <c r="A37">
        <v>33</v>
      </c>
      <c r="B37" t="s">
        <v>34</v>
      </c>
      <c r="C37" t="s">
        <v>34</v>
      </c>
      <c r="F37" s="3" t="str">
        <f>VLOOKUP($A37,'Reg1'!$A:$H,F$1,0)</f>
        <v>0.207***</v>
      </c>
      <c r="G37" s="3" t="str">
        <f>VLOOKUP($A37,'Reg1'!$A:$H,G$1,0)</f>
        <v>0.154***</v>
      </c>
      <c r="H37" s="3" t="str">
        <f>VLOOKUP($A37,'Reg1'!$A:$H,H$1,0)</f>
        <v>0.162***</v>
      </c>
      <c r="I37" s="3" t="str">
        <f>VLOOKUP($A37,'Reg1'!$A:$H,I$1,0)</f>
        <v>0.154***</v>
      </c>
      <c r="J37" s="3" t="str">
        <f>_xlfn.CONCAT(FIXED(VLOOKUP($A37,Reg1_Robust!A:AG,3,0),3),VLOOKUP($A37,Reg1_Robust!A:AG,28,0))</f>
        <v>0.158***</v>
      </c>
    </row>
    <row r="38" spans="1:10" x14ac:dyDescent="0.25">
      <c r="A38">
        <v>34</v>
      </c>
      <c r="F38" s="3" t="str">
        <f>_xlfn.CONCAT("(",FIXED(ABS(VLOOKUP($A38,'Reg1'!$A:$H,F$1,0)),4),")")</f>
        <v>(0.0030)</v>
      </c>
      <c r="G38" s="3" t="str">
        <f>_xlfn.CONCAT("(",FIXED(ABS(VLOOKUP($A38,'Reg1'!$A:$H,G$1,0)),4),")")</f>
        <v>(0.0030)</v>
      </c>
      <c r="H38" s="3" t="str">
        <f>_xlfn.CONCAT("(",FIXED(ABS(VLOOKUP($A38,'Reg1'!$A:$H,H$1,0)),4),")")</f>
        <v>(0.0030)</v>
      </c>
      <c r="I38" s="3" t="str">
        <f>_xlfn.CONCAT("(",FIXED(ABS(VLOOKUP($A38,'Reg1'!$A:$H,I$1,0)),4),")")</f>
        <v>(0.0030)</v>
      </c>
      <c r="J38" s="3" t="str">
        <f>_xlfn.CONCAT("(",FIXED(VLOOKUP($A37,Reg1_Robust!A:AG,4,0),4),")")</f>
        <v>(0.0495)</v>
      </c>
    </row>
    <row r="39" spans="1:10" x14ac:dyDescent="0.25">
      <c r="A39">
        <v>35</v>
      </c>
      <c r="B39" t="s">
        <v>21</v>
      </c>
      <c r="C39" t="s">
        <v>21</v>
      </c>
      <c r="F39" s="3">
        <f>VLOOKUP($A39,'Reg1'!$A:$H,F$1,0)</f>
        <v>-2E-3</v>
      </c>
      <c r="G39" s="3" t="str">
        <f>VLOOKUP($A39,'Reg1'!$A:$H,G$1,0)</f>
        <v>-0.027**</v>
      </c>
      <c r="H39" s="3" t="str">
        <f>VLOOKUP($A39,'Reg1'!$A:$H,H$1,0)</f>
        <v>-0.054***</v>
      </c>
      <c r="I39" s="3" t="str">
        <f>VLOOKUP($A39,'Reg1'!$A:$H,I$1,0)</f>
        <v>-0.040***</v>
      </c>
      <c r="J39" s="3" t="str">
        <f>_xlfn.CONCAT(FIXED(VLOOKUP($A39,Reg1_Robust!A:AG,3,0),3),VLOOKUP($A39,Reg1_Robust!A:AG,28,0))</f>
        <v>-0.037*</v>
      </c>
    </row>
    <row r="40" spans="1:10" x14ac:dyDescent="0.25">
      <c r="A40">
        <v>36</v>
      </c>
      <c r="F40" s="3" t="str">
        <f>_xlfn.CONCAT("(",FIXED(ABS(VLOOKUP($A40,'Reg1'!$A:$H,F$1,0)),4),")")</f>
        <v>(0.0140)</v>
      </c>
      <c r="G40" s="3" t="str">
        <f>_xlfn.CONCAT("(",FIXED(ABS(VLOOKUP($A40,'Reg1'!$A:$H,G$1,0)),4),")")</f>
        <v>(0.0130)</v>
      </c>
      <c r="H40" s="3" t="str">
        <f>_xlfn.CONCAT("(",FIXED(ABS(VLOOKUP($A40,'Reg1'!$A:$H,H$1,0)),4),")")</f>
        <v>(0.0110)</v>
      </c>
      <c r="I40" s="3" t="str">
        <f>_xlfn.CONCAT("(",FIXED(ABS(VLOOKUP($A40,'Reg1'!$A:$H,I$1,0)),4),")")</f>
        <v>(0.0100)</v>
      </c>
      <c r="J40" s="3" t="str">
        <f>_xlfn.CONCAT("(",FIXED(VLOOKUP($A39,Reg1_Robust!A:AG,4,0),4),")")</f>
        <v>(0.0170)</v>
      </c>
    </row>
    <row r="41" spans="1:10" x14ac:dyDescent="0.25">
      <c r="A41">
        <v>37</v>
      </c>
      <c r="B41" t="s">
        <v>236</v>
      </c>
      <c r="C41" t="s">
        <v>416</v>
      </c>
      <c r="F41" s="3" t="str">
        <f>VLOOKUP($A41,'Reg1'!$A:$H,F$1,0)</f>
        <v>0.151***</v>
      </c>
      <c r="G41" s="3" t="str">
        <f>VLOOKUP($A41,'Reg1'!$A:$H,G$1,0)</f>
        <v>0.152***</v>
      </c>
      <c r="H41" s="3" t="str">
        <f>VLOOKUP($A41,'Reg1'!$A:$H,H$1,0)</f>
        <v>0.120***</v>
      </c>
      <c r="I41" s="3" t="str">
        <f>VLOOKUP($A41,'Reg1'!$A:$H,I$1,0)</f>
        <v>0.111***</v>
      </c>
      <c r="J41" s="3" t="str">
        <f>_xlfn.CONCAT(FIXED(VLOOKUP($A41,Reg1_Robust!A:AG,3,0),3),VLOOKUP($A41,Reg1_Robust!A:AG,28,0))</f>
        <v>0.109***</v>
      </c>
    </row>
    <row r="42" spans="1:10" x14ac:dyDescent="0.25">
      <c r="A42">
        <v>38</v>
      </c>
      <c r="F42" s="3" t="str">
        <f>_xlfn.CONCAT("(",FIXED(ABS(VLOOKUP($A42,'Reg1'!$A:$H,F$1,0)),4),")")</f>
        <v>(0.0050)</v>
      </c>
      <c r="G42" s="3" t="str">
        <f>_xlfn.CONCAT("(",FIXED(ABS(VLOOKUP($A42,'Reg1'!$A:$H,G$1,0)),4),")")</f>
        <v>(0.0040)</v>
      </c>
      <c r="H42" s="3" t="str">
        <f>_xlfn.CONCAT("(",FIXED(ABS(VLOOKUP($A42,'Reg1'!$A:$H,H$1,0)),4),")")</f>
        <v>(0.0040)</v>
      </c>
      <c r="I42" s="3" t="str">
        <f>_xlfn.CONCAT("(",FIXED(ABS(VLOOKUP($A42,'Reg1'!$A:$H,I$1,0)),4),")")</f>
        <v>(0.0040)</v>
      </c>
      <c r="J42" s="3" t="str">
        <f>_xlfn.CONCAT("(",FIXED(VLOOKUP($A41,Reg1_Robust!A:AG,4,0),4),")")</f>
        <v>(0.0115)</v>
      </c>
    </row>
    <row r="43" spans="1:10" x14ac:dyDescent="0.25">
      <c r="A43">
        <v>39</v>
      </c>
      <c r="B43" t="s">
        <v>239</v>
      </c>
      <c r="C43" t="s">
        <v>417</v>
      </c>
      <c r="F43" s="3" t="str">
        <f>VLOOKUP($A43,'Reg1'!$A:$H,F$1,0)</f>
        <v>0.068***</v>
      </c>
      <c r="G43" s="3" t="str">
        <f>VLOOKUP($A43,'Reg1'!$A:$H,G$1,0)</f>
        <v>0.071***</v>
      </c>
      <c r="H43" s="3" t="str">
        <f>VLOOKUP($A43,'Reg1'!$A:$H,H$1,0)</f>
        <v>0.058***</v>
      </c>
      <c r="I43" s="3" t="str">
        <f>VLOOKUP($A43,'Reg1'!$A:$H,I$1,0)</f>
        <v>0.054***</v>
      </c>
      <c r="J43" s="3" t="str">
        <f>_xlfn.CONCAT(FIXED(VLOOKUP($A43,Reg1_Robust!A:AG,3,0),3),VLOOKUP($A43,Reg1_Robust!A:AG,28,0))</f>
        <v>0.053***</v>
      </c>
    </row>
    <row r="44" spans="1:10" x14ac:dyDescent="0.25">
      <c r="A44">
        <v>40</v>
      </c>
      <c r="F44" s="3" t="str">
        <f>_xlfn.CONCAT("(",FIXED(ABS(VLOOKUP($A44,'Reg1'!$A:$H,F$1,0)),4),")")</f>
        <v>(0.0040)</v>
      </c>
      <c r="G44" s="3" t="str">
        <f>_xlfn.CONCAT("(",FIXED(ABS(VLOOKUP($A44,'Reg1'!$A:$H,G$1,0)),4),")")</f>
        <v>(0.0040)</v>
      </c>
      <c r="H44" s="3" t="str">
        <f>_xlfn.CONCAT("(",FIXED(ABS(VLOOKUP($A44,'Reg1'!$A:$H,H$1,0)),4),")")</f>
        <v>(0.0030)</v>
      </c>
      <c r="I44" s="3" t="str">
        <f>_xlfn.CONCAT("(",FIXED(ABS(VLOOKUP($A44,'Reg1'!$A:$H,I$1,0)),4),")")</f>
        <v>(0.0030)</v>
      </c>
      <c r="J44" s="3" t="str">
        <f>_xlfn.CONCAT("(",FIXED(VLOOKUP($A43,Reg1_Robust!A:AG,4,0),4),")")</f>
        <v>(0.0049)</v>
      </c>
    </row>
    <row r="45" spans="1:10" x14ac:dyDescent="0.25">
      <c r="A45">
        <v>41</v>
      </c>
      <c r="B45" t="s">
        <v>243</v>
      </c>
      <c r="C45" t="s">
        <v>418</v>
      </c>
      <c r="F45" s="3" t="str">
        <f>VLOOKUP($A45,'Reg1'!$A:$H,F$1,0)</f>
        <v>-0.029***</v>
      </c>
      <c r="G45" s="3" t="str">
        <f>VLOOKUP($A45,'Reg1'!$A:$H,G$1,0)</f>
        <v>-0.057***</v>
      </c>
      <c r="H45" s="3" t="str">
        <f>VLOOKUP($A45,'Reg1'!$A:$H,H$1,0)</f>
        <v>-0.059***</v>
      </c>
      <c r="I45" s="3" t="str">
        <f>VLOOKUP($A45,'Reg1'!$A:$H,I$1,0)</f>
        <v>-0.056***</v>
      </c>
      <c r="J45" s="3" t="str">
        <f>_xlfn.CONCAT(FIXED(VLOOKUP($A45,Reg1_Robust!A:AG,3,0),3),VLOOKUP($A45,Reg1_Robust!A:AG,28,0))</f>
        <v>-0.054***</v>
      </c>
    </row>
    <row r="46" spans="1:10" x14ac:dyDescent="0.25">
      <c r="A46">
        <v>42</v>
      </c>
      <c r="F46" s="3" t="str">
        <f>_xlfn.CONCAT("(",FIXED(ABS(VLOOKUP($A46,'Reg1'!$A:$H,F$1,0)),4),")")</f>
        <v>(0.0080)</v>
      </c>
      <c r="G46" s="3" t="str">
        <f>_xlfn.CONCAT("(",FIXED(ABS(VLOOKUP($A46,'Reg1'!$A:$H,G$1,0)),4),")")</f>
        <v>(0.0070)</v>
      </c>
      <c r="H46" s="3" t="str">
        <f>_xlfn.CONCAT("(",FIXED(ABS(VLOOKUP($A46,'Reg1'!$A:$H,H$1,0)),4),")")</f>
        <v>(0.0060)</v>
      </c>
      <c r="I46" s="3" t="str">
        <f>_xlfn.CONCAT("(",FIXED(ABS(VLOOKUP($A46,'Reg1'!$A:$H,I$1,0)),4),")")</f>
        <v>(0.0060)</v>
      </c>
      <c r="J46" s="3" t="str">
        <f>_xlfn.CONCAT("(",FIXED(VLOOKUP($A45,Reg1_Robust!A:AG,4,0),4),")")</f>
        <v>(0.0100)</v>
      </c>
    </row>
    <row r="47" spans="1:10" x14ac:dyDescent="0.25">
      <c r="A47">
        <v>43</v>
      </c>
      <c r="B47" t="s">
        <v>22</v>
      </c>
      <c r="C47" t="s">
        <v>419</v>
      </c>
      <c r="G47" s="3" t="str">
        <f>VLOOKUP($A47,'Reg1'!$A:$H,G$1,0)</f>
        <v>0.040***</v>
      </c>
      <c r="H47" s="3" t="str">
        <f>VLOOKUP($A47,'Reg1'!$A:$H,H$1,0)</f>
        <v>0.018***</v>
      </c>
      <c r="I47" s="3" t="str">
        <f>VLOOKUP($A47,'Reg1'!$A:$H,I$1,0)</f>
        <v>0.018***</v>
      </c>
      <c r="J47" s="3" t="str">
        <f>_xlfn.CONCAT(FIXED(VLOOKUP($A47,Reg1_Robust!A:AG,3,0),3),VLOOKUP($A47,Reg1_Robust!A:AG,28,0))</f>
        <v>0.024*</v>
      </c>
    </row>
    <row r="48" spans="1:10" x14ac:dyDescent="0.25">
      <c r="A48">
        <v>44</v>
      </c>
      <c r="G48" s="3" t="str">
        <f>_xlfn.CONCAT("(",FIXED(ABS(VLOOKUP($A48,'Reg1'!$A:$H,G$1,0)),4),")")</f>
        <v>(0.0080)</v>
      </c>
      <c r="H48" s="3" t="str">
        <f>_xlfn.CONCAT("(",FIXED(ABS(VLOOKUP($A48,'Reg1'!$A:$H,H$1,0)),4),")")</f>
        <v>(0.0070)</v>
      </c>
      <c r="I48" s="3" t="str">
        <f>_xlfn.CONCAT("(",FIXED(ABS(VLOOKUP($A48,'Reg1'!$A:$H,I$1,0)),4),")")</f>
        <v>(0.0060)</v>
      </c>
      <c r="J48" s="3" t="str">
        <f>_xlfn.CONCAT("(",FIXED(VLOOKUP($A47,Reg1_Robust!A:AG,4,0),4),")")</f>
        <v>(0.0121)</v>
      </c>
    </row>
    <row r="49" spans="1:10" x14ac:dyDescent="0.25">
      <c r="A49">
        <v>45</v>
      </c>
      <c r="B49" t="s">
        <v>23</v>
      </c>
      <c r="C49" t="s">
        <v>23</v>
      </c>
      <c r="G49" s="3" t="str">
        <f>VLOOKUP($A49,'Reg1'!$A:$H,G$1,0)</f>
        <v>-0.029*</v>
      </c>
      <c r="H49" s="3" t="str">
        <f>VLOOKUP($A49,'Reg1'!$A:$H,H$1,0)</f>
        <v>-0.035**</v>
      </c>
      <c r="I49" s="3" t="str">
        <f>VLOOKUP($A49,'Reg1'!$A:$H,I$1,0)</f>
        <v>-0.031**</v>
      </c>
      <c r="J49" s="3" t="str">
        <f>_xlfn.CONCAT(FIXED(VLOOKUP($A49,Reg1_Robust!A:AG,3,0),3),VLOOKUP($A49,Reg1_Robust!A:AG,28,0))</f>
        <v>-0.063*</v>
      </c>
    </row>
    <row r="50" spans="1:10" x14ac:dyDescent="0.25">
      <c r="A50">
        <v>46</v>
      </c>
      <c r="G50" s="3" t="str">
        <f>_xlfn.CONCAT("(",FIXED(ABS(VLOOKUP($A50,'Reg1'!$A:$H,G$1,0)),4),")")</f>
        <v>(0.0160)</v>
      </c>
      <c r="H50" s="3" t="str">
        <f>_xlfn.CONCAT("(",FIXED(ABS(VLOOKUP($A50,'Reg1'!$A:$H,H$1,0)),4),")")</f>
        <v>(0.0140)</v>
      </c>
      <c r="I50" s="3" t="str">
        <f>_xlfn.CONCAT("(",FIXED(ABS(VLOOKUP($A50,'Reg1'!$A:$H,I$1,0)),4),")")</f>
        <v>(0.0130)</v>
      </c>
      <c r="J50" s="3" t="str">
        <f>_xlfn.CONCAT("(",FIXED(VLOOKUP($A49,Reg1_Robust!A:AG,4,0),4),")")</f>
        <v>(0.0269)</v>
      </c>
    </row>
    <row r="51" spans="1:10" x14ac:dyDescent="0.25">
      <c r="A51">
        <v>47</v>
      </c>
      <c r="B51" t="s">
        <v>24</v>
      </c>
      <c r="C51" t="s">
        <v>420</v>
      </c>
      <c r="G51" s="3" t="str">
        <f>VLOOKUP($A51,'Reg1'!$A:$H,G$1,0)</f>
        <v>-0.070***</v>
      </c>
      <c r="H51" s="3" t="str">
        <f>VLOOKUP($A51,'Reg1'!$A:$H,H$1,0)</f>
        <v>-0.098***</v>
      </c>
      <c r="I51" s="3" t="str">
        <f>VLOOKUP($A51,'Reg1'!$A:$H,I$1,0)</f>
        <v>-0.108***</v>
      </c>
      <c r="J51" s="3" t="str">
        <f>_xlfn.CONCAT(FIXED(VLOOKUP($A51,Reg1_Robust!A:AG,3,0),3),VLOOKUP($A51,Reg1_Robust!A:AG,28,0))</f>
        <v>-0.187***</v>
      </c>
    </row>
    <row r="52" spans="1:10" x14ac:dyDescent="0.25">
      <c r="A52">
        <v>48</v>
      </c>
      <c r="G52" s="3" t="str">
        <f>_xlfn.CONCAT("(",FIXED(ABS(VLOOKUP($A52,'Reg1'!$A:$H,G$1,0)),4),")")</f>
        <v>(0.0070)</v>
      </c>
      <c r="H52" s="3" t="str">
        <f>_xlfn.CONCAT("(",FIXED(ABS(VLOOKUP($A52,'Reg1'!$A:$H,H$1,0)),4),")")</f>
        <v>(0.0060)</v>
      </c>
      <c r="I52" s="3" t="str">
        <f>_xlfn.CONCAT("(",FIXED(ABS(VLOOKUP($A52,'Reg1'!$A:$H,I$1,0)),4),")")</f>
        <v>(0.0050)</v>
      </c>
      <c r="J52" s="3" t="str">
        <f>_xlfn.CONCAT("(",FIXED(VLOOKUP($A51,Reg1_Robust!A:AG,4,0),4),")")</f>
        <v>(0.0408)</v>
      </c>
    </row>
    <row r="53" spans="1:10" x14ac:dyDescent="0.25">
      <c r="A53">
        <v>49</v>
      </c>
      <c r="B53" t="s">
        <v>25</v>
      </c>
      <c r="C53" t="s">
        <v>421</v>
      </c>
      <c r="G53" s="3">
        <f>VLOOKUP($A53,'Reg1'!$A:$H,G$1,0)</f>
        <v>8.9999999999999993E-3</v>
      </c>
      <c r="H53" s="3" t="str">
        <f>VLOOKUP($A53,'Reg1'!$A:$H,H$1,0)</f>
        <v>-0.018***</v>
      </c>
      <c r="I53" s="3" t="str">
        <f>VLOOKUP($A53,'Reg1'!$A:$H,I$1,0)</f>
        <v>-0.045***</v>
      </c>
      <c r="J53" s="3" t="str">
        <f>_xlfn.CONCAT(FIXED(VLOOKUP($A53,Reg1_Robust!A:AG,3,0),3),VLOOKUP($A53,Reg1_Robust!A:AG,28,0))</f>
        <v>-0.137</v>
      </c>
    </row>
    <row r="54" spans="1:10" x14ac:dyDescent="0.25">
      <c r="A54">
        <v>50</v>
      </c>
      <c r="G54" s="3" t="str">
        <f>_xlfn.CONCAT("(",FIXED(ABS(VLOOKUP($A54,'Reg1'!$A:$H,G$1,0)),4),")")</f>
        <v>(0.0080)</v>
      </c>
      <c r="H54" s="3" t="str">
        <f>_xlfn.CONCAT("(",FIXED(ABS(VLOOKUP($A54,'Reg1'!$A:$H,H$1,0)),4),")")</f>
        <v>(0.0070)</v>
      </c>
      <c r="I54" s="3" t="str">
        <f>_xlfn.CONCAT("(",FIXED(ABS(VLOOKUP($A54,'Reg1'!$A:$H,I$1,0)),4),")")</f>
        <v>(0.0060)</v>
      </c>
      <c r="J54" s="3" t="str">
        <f>_xlfn.CONCAT("(",FIXED(VLOOKUP($A53,Reg1_Robust!A:AG,4,0),4),")")</f>
        <v>(0.0810)</v>
      </c>
    </row>
    <row r="55" spans="1:10" x14ac:dyDescent="0.25">
      <c r="A55">
        <v>51</v>
      </c>
      <c r="B55" t="s">
        <v>26</v>
      </c>
      <c r="C55" t="s">
        <v>26</v>
      </c>
      <c r="G55" s="3">
        <f>VLOOKUP($A55,'Reg1'!$A:$H,G$1,0)</f>
        <v>-8.0000000000000002E-3</v>
      </c>
      <c r="H55" s="3" t="str">
        <f>VLOOKUP($A55,'Reg1'!$A:$H,H$1,0)</f>
        <v>0.013**</v>
      </c>
      <c r="I55" s="3">
        <f>VLOOKUP($A55,'Reg1'!$A:$H,I$1,0)</f>
        <v>-8.0000000000000002E-3</v>
      </c>
      <c r="J55" s="3" t="str">
        <f>_xlfn.CONCAT(FIXED(VLOOKUP($A55,Reg1_Robust!A:AG,3,0),3),VLOOKUP($A55,Reg1_Robust!A:AG,28,0))</f>
        <v>-0.132***</v>
      </c>
    </row>
    <row r="56" spans="1:10" x14ac:dyDescent="0.25">
      <c r="A56">
        <v>52</v>
      </c>
      <c r="G56" s="3" t="str">
        <f>_xlfn.CONCAT("(",FIXED(ABS(VLOOKUP($A56,'Reg1'!$A:$H,G$1,0)),4),")")</f>
        <v>(0.0060)</v>
      </c>
      <c r="H56" s="3" t="str">
        <f>_xlfn.CONCAT("(",FIXED(ABS(VLOOKUP($A56,'Reg1'!$A:$H,H$1,0)),4),")")</f>
        <v>(0.0050)</v>
      </c>
      <c r="I56" s="3" t="str">
        <f>_xlfn.CONCAT("(",FIXED(ABS(VLOOKUP($A56,'Reg1'!$A:$H,I$1,0)),4),")")</f>
        <v>(0.0050)</v>
      </c>
      <c r="J56" s="3" t="str">
        <f>_xlfn.CONCAT("(",FIXED(VLOOKUP($A55,Reg1_Robust!A:AG,4,0),4),")")</f>
        <v>(0.0370)</v>
      </c>
    </row>
    <row r="57" spans="1:10" x14ac:dyDescent="0.25">
      <c r="A57">
        <v>53</v>
      </c>
      <c r="B57" t="s">
        <v>27</v>
      </c>
      <c r="C57" t="s">
        <v>422</v>
      </c>
      <c r="G57" s="3" t="str">
        <f>VLOOKUP($A57,'Reg1'!$A:$H,G$1,0)</f>
        <v>-0.084***</v>
      </c>
      <c r="H57" s="3" t="str">
        <f>VLOOKUP($A57,'Reg1'!$A:$H,H$1,0)</f>
        <v>-0.092***</v>
      </c>
      <c r="I57" s="3" t="str">
        <f>VLOOKUP($A57,'Reg1'!$A:$H,I$1,0)</f>
        <v>-0.116***</v>
      </c>
      <c r="J57" s="3" t="str">
        <f>_xlfn.CONCAT(FIXED(VLOOKUP($A57,Reg1_Robust!A:AG,3,0),3),VLOOKUP($A57,Reg1_Robust!A:AG,28,0))</f>
        <v>-0.141</v>
      </c>
    </row>
    <row r="58" spans="1:10" x14ac:dyDescent="0.25">
      <c r="A58">
        <v>54</v>
      </c>
      <c r="G58" s="3" t="str">
        <f>_xlfn.CONCAT("(",FIXED(ABS(VLOOKUP($A58,'Reg1'!$A:$H,G$1,0)),4),")")</f>
        <v>(0.0100)</v>
      </c>
      <c r="H58" s="3" t="str">
        <f>_xlfn.CONCAT("(",FIXED(ABS(VLOOKUP($A58,'Reg1'!$A:$H,H$1,0)),4),")")</f>
        <v>(0.0090)</v>
      </c>
      <c r="I58" s="3" t="str">
        <f>_xlfn.CONCAT("(",FIXED(ABS(VLOOKUP($A58,'Reg1'!$A:$H,I$1,0)),4),")")</f>
        <v>(0.0080)</v>
      </c>
      <c r="J58" s="3" t="str">
        <f>_xlfn.CONCAT("(",FIXED(VLOOKUP($A57,Reg1_Robust!A:AG,4,0),4),")")</f>
        <v>(0.1912)</v>
      </c>
    </row>
    <row r="59" spans="1:10" x14ac:dyDescent="0.25">
      <c r="A59">
        <v>55</v>
      </c>
      <c r="B59" t="s">
        <v>29</v>
      </c>
      <c r="C59" t="s">
        <v>29</v>
      </c>
      <c r="G59" s="3">
        <f>VLOOKUP($A59,'Reg1'!$A:$H,G$1,0)</f>
        <v>-1.7000000000000001E-2</v>
      </c>
      <c r="H59" s="3">
        <f>VLOOKUP($A59,'Reg1'!$A:$H,H$1,0)</f>
        <v>1.4E-2</v>
      </c>
      <c r="I59" s="3" t="str">
        <f>VLOOKUP($A59,'Reg1'!$A:$H,I$1,0)</f>
        <v>0.032**</v>
      </c>
      <c r="J59" s="3" t="str">
        <f>_xlfn.CONCAT(FIXED(VLOOKUP($A59,Reg1_Robust!A:AG,3,0),3),VLOOKUP($A59,Reg1_Robust!A:AG,28,0))</f>
        <v>-0.101***</v>
      </c>
    </row>
    <row r="60" spans="1:10" x14ac:dyDescent="0.25">
      <c r="A60">
        <v>56</v>
      </c>
      <c r="G60" s="3" t="str">
        <f>_xlfn.CONCAT("(",FIXED(ABS(VLOOKUP($A60,'Reg1'!$A:$H,G$1,0)),4),")")</f>
        <v>(0.0160)</v>
      </c>
      <c r="H60" s="3" t="str">
        <f>_xlfn.CONCAT("(",FIXED(ABS(VLOOKUP($A60,'Reg1'!$A:$H,H$1,0)),4),")")</f>
        <v>(0.0140)</v>
      </c>
      <c r="I60" s="3" t="str">
        <f>_xlfn.CONCAT("(",FIXED(ABS(VLOOKUP($A60,'Reg1'!$A:$H,I$1,0)),4),")")</f>
        <v>(0.0130)</v>
      </c>
      <c r="J60" s="3" t="str">
        <f>_xlfn.CONCAT("(",FIXED(VLOOKUP($A59,Reg1_Robust!A:AG,4,0),4),")")</f>
        <v>(0.0260)</v>
      </c>
    </row>
    <row r="61" spans="1:10" x14ac:dyDescent="0.25">
      <c r="A61">
        <v>57</v>
      </c>
      <c r="B61" t="s">
        <v>31</v>
      </c>
      <c r="C61" t="s">
        <v>423</v>
      </c>
      <c r="G61" s="3" t="str">
        <f>VLOOKUP($A61,'Reg1'!$A:$H,G$1,0)</f>
        <v>-0.091***</v>
      </c>
      <c r="H61" s="3" t="str">
        <f>VLOOKUP($A61,'Reg1'!$A:$H,H$1,0)</f>
        <v>-0.052***</v>
      </c>
      <c r="I61" s="3" t="str">
        <f>VLOOKUP($A61,'Reg1'!$A:$H,I$1,0)</f>
        <v>-0.045***</v>
      </c>
      <c r="J61" s="3" t="str">
        <f>_xlfn.CONCAT(FIXED(VLOOKUP($A61,Reg1_Robust!A:AG,3,0),3),VLOOKUP($A61,Reg1_Robust!A:AG,28,0))</f>
        <v>-0.064**</v>
      </c>
    </row>
    <row r="62" spans="1:10" x14ac:dyDescent="0.25">
      <c r="A62">
        <v>58</v>
      </c>
      <c r="G62" s="3" t="str">
        <f>_xlfn.CONCAT("(",FIXED(ABS(VLOOKUP($A62,'Reg1'!$A:$H,G$1,0)),4),")")</f>
        <v>(0.0070)</v>
      </c>
      <c r="H62" s="3" t="str">
        <f>_xlfn.CONCAT("(",FIXED(ABS(VLOOKUP($A62,'Reg1'!$A:$H,H$1,0)),4),")")</f>
        <v>(0.0060)</v>
      </c>
      <c r="I62" s="3" t="str">
        <f>_xlfn.CONCAT("(",FIXED(ABS(VLOOKUP($A62,'Reg1'!$A:$H,I$1,0)),4),")")</f>
        <v>(0.0060)</v>
      </c>
      <c r="J62" s="3" t="str">
        <f>_xlfn.CONCAT("(",FIXED(VLOOKUP($A61,Reg1_Robust!A:AG,4,0),4),")")</f>
        <v>(0.0235)</v>
      </c>
    </row>
    <row r="63" spans="1:10" x14ac:dyDescent="0.25">
      <c r="A63">
        <v>59</v>
      </c>
      <c r="B63" t="s">
        <v>28</v>
      </c>
      <c r="C63" t="s">
        <v>513</v>
      </c>
      <c r="G63" s="3" t="str">
        <f>VLOOKUP($A63,'Reg1'!$A:$H,G$1,0)</f>
        <v>0.179***</v>
      </c>
      <c r="H63" s="3" t="str">
        <f>VLOOKUP($A63,'Reg1'!$A:$H,H$1,0)</f>
        <v>0.207***</v>
      </c>
      <c r="I63" s="3" t="str">
        <f>VLOOKUP($A63,'Reg1'!$A:$H,I$1,0)</f>
        <v>0.199***</v>
      </c>
      <c r="J63" s="3" t="str">
        <f>_xlfn.CONCAT(FIXED(VLOOKUP($A63,Reg1_Robust!A:AG,3,0),3),VLOOKUP($A63,Reg1_Robust!A:AG,28,0))</f>
        <v>0.005</v>
      </c>
    </row>
    <row r="64" spans="1:10" x14ac:dyDescent="0.25">
      <c r="A64">
        <v>60</v>
      </c>
      <c r="G64" s="3" t="str">
        <f>_xlfn.CONCAT("(",FIXED(ABS(VLOOKUP($A64,'Reg1'!$A:$H,G$1,0)),4),")")</f>
        <v>(0.0060)</v>
      </c>
      <c r="H64" s="3" t="str">
        <f>_xlfn.CONCAT("(",FIXED(ABS(VLOOKUP($A64,'Reg1'!$A:$H,H$1,0)),4),")")</f>
        <v>(0.0060)</v>
      </c>
      <c r="I64" s="3" t="str">
        <f>_xlfn.CONCAT("(",FIXED(ABS(VLOOKUP($A64,'Reg1'!$A:$H,I$1,0)),4),")")</f>
        <v>(0.0050)</v>
      </c>
      <c r="J64" s="3" t="str">
        <f>_xlfn.CONCAT("(",FIXED(VLOOKUP($A63,Reg1_Robust!A:AG,4,0),4),")")</f>
        <v>(0.0940)</v>
      </c>
    </row>
    <row r="65" spans="1:10" x14ac:dyDescent="0.25">
      <c r="A65">
        <v>61</v>
      </c>
      <c r="B65" t="s">
        <v>250</v>
      </c>
      <c r="C65" t="s">
        <v>424</v>
      </c>
      <c r="G65" s="3">
        <f>VLOOKUP($A65,'Reg1'!$A:$H,G$1,0)</f>
        <v>-0.01</v>
      </c>
      <c r="H65" s="3" t="str">
        <f>VLOOKUP($A65,'Reg1'!$A:$H,H$1,0)</f>
        <v>-0.035**</v>
      </c>
      <c r="I65" s="3">
        <f>VLOOKUP($A65,'Reg1'!$A:$H,I$1,0)</f>
        <v>1.0999999999999999E-2</v>
      </c>
      <c r="J65" s="3" t="str">
        <f>_xlfn.CONCAT(FIXED(VLOOKUP($A65,Reg1_Robust!A:AG,3,0),3),VLOOKUP($A65,Reg1_Robust!A:AG,28,0))</f>
        <v>-0.069</v>
      </c>
    </row>
    <row r="66" spans="1:10" x14ac:dyDescent="0.25">
      <c r="A66">
        <v>62</v>
      </c>
      <c r="G66" s="3" t="str">
        <f>_xlfn.CONCAT("(",FIXED(ABS(VLOOKUP($A66,'Reg1'!$A:$H,G$1,0)),4),")")</f>
        <v>(0.0150)</v>
      </c>
      <c r="H66" s="3" t="str">
        <f>_xlfn.CONCAT("(",FIXED(ABS(VLOOKUP($A66,'Reg1'!$A:$H,H$1,0)),4),")")</f>
        <v>(0.0140)</v>
      </c>
      <c r="I66" s="3" t="str">
        <f>_xlfn.CONCAT("(",FIXED(ABS(VLOOKUP($A66,'Reg1'!$A:$H,I$1,0)),4),")")</f>
        <v>(0.0130)</v>
      </c>
      <c r="J66" s="3" t="str">
        <f>_xlfn.CONCAT("(",FIXED(VLOOKUP($A65,Reg1_Robust!A:AG,4,0),4),")")</f>
        <v>(0.0553)</v>
      </c>
    </row>
    <row r="67" spans="1:10" x14ac:dyDescent="0.25">
      <c r="A67">
        <v>65</v>
      </c>
      <c r="B67" t="s">
        <v>251</v>
      </c>
      <c r="C67" t="s">
        <v>425</v>
      </c>
      <c r="G67" s="3" t="str">
        <f>VLOOKUP($A67,'Reg1'!$A:$H,G$1,0)</f>
        <v>-0.063***</v>
      </c>
      <c r="H67" s="3" t="str">
        <f>VLOOKUP($A67,'Reg1'!$A:$H,H$1,0)</f>
        <v>-0.038***</v>
      </c>
      <c r="I67" s="3" t="str">
        <f>VLOOKUP($A67,'Reg1'!$A:$H,I$1,0)</f>
        <v>-0.059***</v>
      </c>
      <c r="J67" s="3" t="str">
        <f>_xlfn.CONCAT(FIXED(VLOOKUP($A67,Reg1_Robust!A:AG,3,0),3),VLOOKUP($A67,Reg1_Robust!A:AG,28,0))</f>
        <v>-0.120**</v>
      </c>
    </row>
    <row r="68" spans="1:10" x14ac:dyDescent="0.25">
      <c r="A68">
        <v>66</v>
      </c>
      <c r="G68" s="3" t="str">
        <f>_xlfn.CONCAT("(",FIXED(ABS(VLOOKUP($A68,'Reg1'!$A:$H,G$1,0)),4),")")</f>
        <v>(0.0050)</v>
      </c>
      <c r="H68" s="3" t="str">
        <f>_xlfn.CONCAT("(",FIXED(ABS(VLOOKUP($A68,'Reg1'!$A:$H,H$1,0)),4),")")</f>
        <v>(0.0040)</v>
      </c>
      <c r="I68" s="3" t="str">
        <f>_xlfn.CONCAT("(",FIXED(ABS(VLOOKUP($A68,'Reg1'!$A:$H,I$1,0)),4),")")</f>
        <v>(0.0040)</v>
      </c>
      <c r="J68" s="3" t="str">
        <f>_xlfn.CONCAT("(",FIXED(VLOOKUP($A67,Reg1_Robust!A:AG,4,0),4),")")</f>
        <v>(0.0475)</v>
      </c>
    </row>
    <row r="69" spans="1:10" x14ac:dyDescent="0.25">
      <c r="A69">
        <v>63</v>
      </c>
      <c r="B69" t="s">
        <v>256</v>
      </c>
      <c r="C69" t="s">
        <v>426</v>
      </c>
      <c r="G69" s="3">
        <f>VLOOKUP($A69,'Reg1'!$A:$H,G$1,0)</f>
        <v>-2.9999999999999997E-4</v>
      </c>
      <c r="H69" s="3" t="str">
        <f>VLOOKUP($A69,'Reg1'!$A:$H,H$1,0)</f>
        <v>-0.046***</v>
      </c>
      <c r="I69" s="3" t="str">
        <f>VLOOKUP($A69,'Reg1'!$A:$H,I$1,0)</f>
        <v>-0.026***</v>
      </c>
      <c r="J69" s="3" t="str">
        <f>_xlfn.CONCAT(FIXED(VLOOKUP($A69,Reg1_Robust!A:AG,3,0),3),VLOOKUP($A69,Reg1_Robust!A:AG,28,0))</f>
        <v>-0.083**</v>
      </c>
    </row>
    <row r="70" spans="1:10" x14ac:dyDescent="0.25">
      <c r="A70">
        <v>64</v>
      </c>
      <c r="G70" s="3" t="str">
        <f>_xlfn.CONCAT("(",FIXED(ABS(VLOOKUP($A70,'Reg1'!$A:$H,G$1,0)),4),")")</f>
        <v>(0.0100)</v>
      </c>
      <c r="H70" s="3" t="str">
        <f>_xlfn.CONCAT("(",FIXED(ABS(VLOOKUP($A70,'Reg1'!$A:$H,H$1,0)),4),")")</f>
        <v>(0.0090)</v>
      </c>
      <c r="I70" s="3" t="str">
        <f>_xlfn.CONCAT("(",FIXED(ABS(VLOOKUP($A70,'Reg1'!$A:$H,I$1,0)),4),")")</f>
        <v>(0.0090)</v>
      </c>
      <c r="J70" s="3" t="str">
        <f>_xlfn.CONCAT("(",FIXED(VLOOKUP($A69,Reg1_Robust!A:AG,4,0),4),")")</f>
        <v>(0.0282)</v>
      </c>
    </row>
    <row r="71" spans="1:10" x14ac:dyDescent="0.25">
      <c r="A71">
        <v>67</v>
      </c>
      <c r="B71" t="s">
        <v>253</v>
      </c>
      <c r="C71" t="s">
        <v>427</v>
      </c>
      <c r="G71" s="3" t="str">
        <f>VLOOKUP($A71,'Reg1'!$A:$H,G$1,0)</f>
        <v>-0.074***</v>
      </c>
      <c r="H71" s="3" t="str">
        <f>VLOOKUP($A71,'Reg1'!$A:$H,H$1,0)</f>
        <v>-0.095***</v>
      </c>
      <c r="I71" s="3" t="str">
        <f>VLOOKUP($A71,'Reg1'!$A:$H,I$1,0)</f>
        <v>-0.078***</v>
      </c>
      <c r="J71" s="3" t="str">
        <f>_xlfn.CONCAT(FIXED(VLOOKUP($A71,Reg1_Robust!A:AG,3,0),3),VLOOKUP($A71,Reg1_Robust!A:AG,28,0))</f>
        <v>0.005</v>
      </c>
    </row>
    <row r="72" spans="1:10" x14ac:dyDescent="0.25">
      <c r="A72">
        <v>68</v>
      </c>
      <c r="G72" s="3" t="str">
        <f>_xlfn.CONCAT("(",FIXED(ABS(VLOOKUP($A72,'Reg1'!$A:$H,G$1,0)),4),")")</f>
        <v>(0.0060)</v>
      </c>
      <c r="H72" s="3" t="str">
        <f>_xlfn.CONCAT("(",FIXED(ABS(VLOOKUP($A72,'Reg1'!$A:$H,H$1,0)),4),")")</f>
        <v>(0.0050)</v>
      </c>
      <c r="I72" s="3" t="str">
        <f>_xlfn.CONCAT("(",FIXED(ABS(VLOOKUP($A72,'Reg1'!$A:$H,I$1,0)),4),")")</f>
        <v>(0.0050)</v>
      </c>
      <c r="J72" s="3" t="str">
        <f>_xlfn.CONCAT("(",FIXED(VLOOKUP($A71,Reg1_Robust!A:AG,4,0),4),")")</f>
        <v>(0.0635)</v>
      </c>
    </row>
    <row r="73" spans="1:10" x14ac:dyDescent="0.25">
      <c r="A73">
        <v>69</v>
      </c>
      <c r="B73" t="s">
        <v>257</v>
      </c>
      <c r="C73" t="s">
        <v>428</v>
      </c>
      <c r="G73" s="3" t="str">
        <f>VLOOKUP($A73,'Reg1'!$A:$H,G$1,0)</f>
        <v>0.095***</v>
      </c>
      <c r="H73" s="3">
        <f>VLOOKUP($A73,'Reg1'!$A:$H,H$1,0)</f>
        <v>8.9999999999999993E-3</v>
      </c>
      <c r="I73" s="3" t="str">
        <f>VLOOKUP($A73,'Reg1'!$A:$H,I$1,0)</f>
        <v>0.052***</v>
      </c>
      <c r="J73" s="3" t="str">
        <f>_xlfn.CONCAT(FIXED(VLOOKUP($A73,Reg1_Robust!A:AG,3,0),3),VLOOKUP($A73,Reg1_Robust!A:AG,28,0))</f>
        <v>-0.017</v>
      </c>
    </row>
    <row r="74" spans="1:10" x14ac:dyDescent="0.25">
      <c r="A74">
        <v>70</v>
      </c>
      <c r="G74" s="3" t="str">
        <f>_xlfn.CONCAT("(",FIXED(ABS(VLOOKUP($A74,'Reg1'!$A:$H,G$1,0)),4),")")</f>
        <v>(0.0100)</v>
      </c>
      <c r="H74" s="3" t="str">
        <f>_xlfn.CONCAT("(",FIXED(ABS(VLOOKUP($A74,'Reg1'!$A:$H,H$1,0)),4),")")</f>
        <v>(0.0090)</v>
      </c>
      <c r="I74" s="3" t="str">
        <f>_xlfn.CONCAT("(",FIXED(ABS(VLOOKUP($A74,'Reg1'!$A:$H,I$1,0)),4),")")</f>
        <v>(0.0080)</v>
      </c>
      <c r="J74" s="3" t="str">
        <f>_xlfn.CONCAT("(",FIXED(VLOOKUP($A73,Reg1_Robust!A:AG,4,0),4),")")</f>
        <v>(0.1543)</v>
      </c>
    </row>
    <row r="75" spans="1:10" x14ac:dyDescent="0.25">
      <c r="A75">
        <v>71</v>
      </c>
      <c r="B75" t="s">
        <v>259</v>
      </c>
      <c r="C75" t="s">
        <v>429</v>
      </c>
      <c r="G75" s="3" t="str">
        <f>VLOOKUP($A75,'Reg1'!$A:$H,G$1,0)</f>
        <v>0.170***</v>
      </c>
      <c r="H75" s="3" t="str">
        <f>VLOOKUP($A75,'Reg1'!$A:$H,H$1,0)</f>
        <v>0.078***</v>
      </c>
      <c r="I75" s="3" t="str">
        <f>VLOOKUP($A75,'Reg1'!$A:$H,I$1,0)</f>
        <v>0.017***</v>
      </c>
      <c r="J75" s="3" t="str">
        <f>_xlfn.CONCAT(FIXED(VLOOKUP($A75,Reg1_Robust!A:AG,3,0),3),VLOOKUP($A75,Reg1_Robust!A:AG,28,0))</f>
        <v>0.228</v>
      </c>
    </row>
    <row r="76" spans="1:10" x14ac:dyDescent="0.25">
      <c r="A76">
        <v>72</v>
      </c>
      <c r="G76" s="3" t="str">
        <f>_xlfn.CONCAT("(",FIXED(ABS(VLOOKUP($A76,'Reg1'!$A:$H,G$1,0)),4),")")</f>
        <v>(0.0070)</v>
      </c>
      <c r="H76" s="3" t="str">
        <f>_xlfn.CONCAT("(",FIXED(ABS(VLOOKUP($A76,'Reg1'!$A:$H,H$1,0)),4),")")</f>
        <v>(0.0070)</v>
      </c>
      <c r="I76" s="3" t="str">
        <f>_xlfn.CONCAT("(",FIXED(ABS(VLOOKUP($A76,'Reg1'!$A:$H,I$1,0)),4),")")</f>
        <v>(0.0060)</v>
      </c>
      <c r="J76" s="3" t="str">
        <f>_xlfn.CONCAT("(",FIXED(VLOOKUP($A75,Reg1_Robust!A:AG,4,0),4),")")</f>
        <v>(0.1351)</v>
      </c>
    </row>
    <row r="77" spans="1:10" x14ac:dyDescent="0.25">
      <c r="A77">
        <v>73</v>
      </c>
      <c r="B77" t="s">
        <v>261</v>
      </c>
      <c r="C77" t="s">
        <v>430</v>
      </c>
      <c r="G77" s="3" t="str">
        <f>VLOOKUP($A77,'Reg1'!$A:$H,G$1,0)</f>
        <v>0.634***</v>
      </c>
      <c r="H77" s="3" t="str">
        <f>VLOOKUP($A77,'Reg1'!$A:$H,H$1,0)</f>
        <v>0.557***</v>
      </c>
      <c r="I77" s="3" t="str">
        <f>VLOOKUP($A77,'Reg1'!$A:$H,I$1,0)</f>
        <v>0.260***</v>
      </c>
      <c r="J77" s="3" t="str">
        <f>_xlfn.CONCAT(FIXED(VLOOKUP($A77,Reg1_Robust!A:AG,3,0),3),VLOOKUP($A77,Reg1_Robust!A:AG,28,0))</f>
        <v>0.394***</v>
      </c>
    </row>
    <row r="78" spans="1:10" x14ac:dyDescent="0.25">
      <c r="A78">
        <v>74</v>
      </c>
      <c r="G78" s="3" t="str">
        <f>_xlfn.CONCAT("(",FIXED(ABS(VLOOKUP($A78,'Reg1'!$A:$H,G$1,0)),4),")")</f>
        <v>(0.0120)</v>
      </c>
      <c r="H78" s="3" t="str">
        <f>_xlfn.CONCAT("(",FIXED(ABS(VLOOKUP($A78,'Reg1'!$A:$H,H$1,0)),4),")")</f>
        <v>(0.0100)</v>
      </c>
      <c r="I78" s="3" t="str">
        <f>_xlfn.CONCAT("(",FIXED(ABS(VLOOKUP($A78,'Reg1'!$A:$H,I$1,0)),4),")")</f>
        <v>(0.0110)</v>
      </c>
      <c r="J78" s="3" t="str">
        <f>_xlfn.CONCAT("(",FIXED(VLOOKUP($A77,Reg1_Robust!A:AG,4,0),4),")")</f>
        <v>(0.0352)</v>
      </c>
    </row>
    <row r="79" spans="1:10" x14ac:dyDescent="0.25">
      <c r="A79">
        <v>75</v>
      </c>
      <c r="B79" t="s">
        <v>166</v>
      </c>
      <c r="C79" t="s">
        <v>431</v>
      </c>
      <c r="G79" s="3" t="str">
        <f>VLOOKUP($A79,'Reg1'!$A:$H,G$1,0)</f>
        <v>0.355***</v>
      </c>
      <c r="H79" s="3" t="str">
        <f>VLOOKUP($A79,'Reg1'!$A:$H,H$1,0)</f>
        <v>0.350***</v>
      </c>
      <c r="I79" s="3" t="str">
        <f>VLOOKUP($A79,'Reg1'!$A:$H,I$1,0)</f>
        <v>0.395***</v>
      </c>
      <c r="J79" s="3" t="str">
        <f>_xlfn.CONCAT(FIXED(VLOOKUP($A79,Reg1_Robust!A:AG,3,0),3),VLOOKUP($A79,Reg1_Robust!A:AG,28,0))</f>
        <v>0.621***</v>
      </c>
    </row>
    <row r="80" spans="1:10" x14ac:dyDescent="0.25">
      <c r="A80">
        <v>76</v>
      </c>
      <c r="G80" s="3" t="str">
        <f>_xlfn.CONCAT("(",FIXED(ABS(VLOOKUP($A80,'Reg1'!$A:$H,G$1,0)),4),")")</f>
        <v>(0.0080)</v>
      </c>
      <c r="H80" s="3" t="str">
        <f>_xlfn.CONCAT("(",FIXED(ABS(VLOOKUP($A80,'Reg1'!$A:$H,H$1,0)),4),")")</f>
        <v>(0.0070)</v>
      </c>
      <c r="I80" s="3" t="str">
        <f>_xlfn.CONCAT("(",FIXED(ABS(VLOOKUP($A80,'Reg1'!$A:$H,I$1,0)),4),")")</f>
        <v>(0.0070)</v>
      </c>
      <c r="J80" s="3" t="str">
        <f>_xlfn.CONCAT("(",FIXED(VLOOKUP($A79,Reg1_Robust!A:AG,4,0),4),")")</f>
        <v>(0.0503)</v>
      </c>
    </row>
    <row r="81" spans="1:10" x14ac:dyDescent="0.25">
      <c r="A81">
        <v>77</v>
      </c>
      <c r="B81" t="s">
        <v>167</v>
      </c>
      <c r="C81" t="s">
        <v>432</v>
      </c>
      <c r="G81" s="3" t="str">
        <f>VLOOKUP($A81,'Reg1'!$A:$H,G$1,0)</f>
        <v>0.597***</v>
      </c>
      <c r="H81" s="3" t="str">
        <f>VLOOKUP($A81,'Reg1'!$A:$H,H$1,0)</f>
        <v>0.575***</v>
      </c>
      <c r="I81" s="3" t="str">
        <f>VLOOKUP($A81,'Reg1'!$A:$H,I$1,0)</f>
        <v>0.615***</v>
      </c>
      <c r="J81" s="3" t="str">
        <f>_xlfn.CONCAT(FIXED(VLOOKUP($A81,Reg1_Robust!A:AG,3,0),3),VLOOKUP($A81,Reg1_Robust!A:AG,28,0))</f>
        <v>0.626***</v>
      </c>
    </row>
    <row r="82" spans="1:10" x14ac:dyDescent="0.25">
      <c r="A82">
        <v>78</v>
      </c>
      <c r="G82" s="3" t="str">
        <f>_xlfn.CONCAT("(",FIXED(ABS(VLOOKUP($A82,'Reg1'!$A:$H,G$1,0)),4),")")</f>
        <v>(0.0090)</v>
      </c>
      <c r="H82" s="3" t="str">
        <f>_xlfn.CONCAT("(",FIXED(ABS(VLOOKUP($A82,'Reg1'!$A:$H,H$1,0)),4),")")</f>
        <v>(0.0080)</v>
      </c>
      <c r="I82" s="3" t="str">
        <f>_xlfn.CONCAT("(",FIXED(ABS(VLOOKUP($A82,'Reg1'!$A:$H,I$1,0)),4),")")</f>
        <v>(0.0070)</v>
      </c>
      <c r="J82" s="3" t="str">
        <f>_xlfn.CONCAT("(",FIXED(VLOOKUP($A81,Reg1_Robust!A:AG,4,0),4),")")</f>
        <v>(0.0563)</v>
      </c>
    </row>
    <row r="83" spans="1:10" x14ac:dyDescent="0.25">
      <c r="A83">
        <v>79</v>
      </c>
      <c r="B83" t="s">
        <v>168</v>
      </c>
      <c r="C83" t="s">
        <v>433</v>
      </c>
      <c r="G83" s="3" t="str">
        <f>VLOOKUP($A83,'Reg1'!$A:$H,G$1,0)</f>
        <v>0.583***</v>
      </c>
      <c r="H83" s="3" t="str">
        <f>VLOOKUP($A83,'Reg1'!$A:$H,H$1,0)</f>
        <v>0.569***</v>
      </c>
      <c r="I83" s="3" t="str">
        <f>VLOOKUP($A83,'Reg1'!$A:$H,I$1,0)</f>
        <v>0.613***</v>
      </c>
      <c r="J83" s="3" t="str">
        <f>_xlfn.CONCAT(FIXED(VLOOKUP($A83,Reg1_Robust!A:AG,3,0),3),VLOOKUP($A83,Reg1_Robust!A:AG,28,0))</f>
        <v>0.648***</v>
      </c>
    </row>
    <row r="84" spans="1:10" x14ac:dyDescent="0.25">
      <c r="A84">
        <v>80</v>
      </c>
      <c r="G84" s="3" t="str">
        <f>_xlfn.CONCAT("(",FIXED(ABS(VLOOKUP($A84,'Reg1'!$A:$H,G$1,0)),4),")")</f>
        <v>(0.0110)</v>
      </c>
      <c r="H84" s="3" t="str">
        <f>_xlfn.CONCAT("(",FIXED(ABS(VLOOKUP($A84,'Reg1'!$A:$H,H$1,0)),4),")")</f>
        <v>(0.0090)</v>
      </c>
      <c r="I84" s="3" t="str">
        <f>_xlfn.CONCAT("(",FIXED(ABS(VLOOKUP($A84,'Reg1'!$A:$H,I$1,0)),4),")")</f>
        <v>(0.0090)</v>
      </c>
      <c r="J84" s="3" t="str">
        <f>_xlfn.CONCAT("(",FIXED(VLOOKUP($A83,Reg1_Robust!A:AG,4,0),4),")")</f>
        <v>(0.0459)</v>
      </c>
    </row>
    <row r="85" spans="1:10" x14ac:dyDescent="0.25">
      <c r="A85">
        <v>81</v>
      </c>
      <c r="B85" t="s">
        <v>169</v>
      </c>
      <c r="C85" t="s">
        <v>434</v>
      </c>
      <c r="G85" s="3" t="str">
        <f>VLOOKUP($A85,'Reg1'!$A:$H,G$1,0)</f>
        <v>0.599***</v>
      </c>
      <c r="H85" s="3" t="str">
        <f>VLOOKUP($A85,'Reg1'!$A:$H,H$1,0)</f>
        <v>0.589***</v>
      </c>
      <c r="I85" s="3" t="str">
        <f>VLOOKUP($A85,'Reg1'!$A:$H,I$1,0)</f>
        <v>0.629***</v>
      </c>
      <c r="J85" s="3" t="str">
        <f>_xlfn.CONCAT(FIXED(VLOOKUP($A85,Reg1_Robust!A:AG,3,0),3),VLOOKUP($A85,Reg1_Robust!A:AG,28,0))</f>
        <v>0.582***</v>
      </c>
    </row>
    <row r="86" spans="1:10" x14ac:dyDescent="0.25">
      <c r="A86">
        <v>82</v>
      </c>
      <c r="G86" s="3" t="str">
        <f>_xlfn.CONCAT("(",FIXED(ABS(VLOOKUP($A86,'Reg1'!$A:$H,G$1,0)),4),")")</f>
        <v>(0.0100)</v>
      </c>
      <c r="H86" s="3" t="str">
        <f>_xlfn.CONCAT("(",FIXED(ABS(VLOOKUP($A86,'Reg1'!$A:$H,H$1,0)),4),")")</f>
        <v>(0.0090)</v>
      </c>
      <c r="I86" s="3" t="str">
        <f>_xlfn.CONCAT("(",FIXED(ABS(VLOOKUP($A86,'Reg1'!$A:$H,I$1,0)),4),")")</f>
        <v>(0.0080)</v>
      </c>
      <c r="J86" s="3" t="str">
        <f>_xlfn.CONCAT("(",FIXED(VLOOKUP($A85,Reg1_Robust!A:AG,4,0),4),")")</f>
        <v>(0.0404)</v>
      </c>
    </row>
    <row r="87" spans="1:10" x14ac:dyDescent="0.25">
      <c r="A87">
        <v>83</v>
      </c>
      <c r="B87" t="s">
        <v>170</v>
      </c>
      <c r="C87" t="s">
        <v>435</v>
      </c>
      <c r="G87" s="3" t="str">
        <f>VLOOKUP($A87,'Reg1'!$A:$H,G$1,0)</f>
        <v>0.521***</v>
      </c>
      <c r="H87" s="3" t="str">
        <f>VLOOKUP($A87,'Reg1'!$A:$H,H$1,0)</f>
        <v>0.519***</v>
      </c>
      <c r="I87" s="3" t="str">
        <f>VLOOKUP($A87,'Reg1'!$A:$H,I$1,0)</f>
        <v>0.570***</v>
      </c>
      <c r="J87" s="3" t="str">
        <f>_xlfn.CONCAT(FIXED(VLOOKUP($A87,Reg1_Robust!A:AG,3,0),3),VLOOKUP($A87,Reg1_Robust!A:AG,28,0))</f>
        <v>0.000</v>
      </c>
    </row>
    <row r="88" spans="1:10" x14ac:dyDescent="0.25">
      <c r="A88">
        <v>84</v>
      </c>
      <c r="G88" s="3" t="str">
        <f>_xlfn.CONCAT("(",FIXED(ABS(VLOOKUP($A88,'Reg1'!$A:$H,G$1,0)),4),")")</f>
        <v>(0.0120)</v>
      </c>
      <c r="H88" s="3" t="str">
        <f>_xlfn.CONCAT("(",FIXED(ABS(VLOOKUP($A88,'Reg1'!$A:$H,H$1,0)),4),")")</f>
        <v>(0.0110)</v>
      </c>
      <c r="I88" s="3" t="str">
        <f>_xlfn.CONCAT("(",FIXED(ABS(VLOOKUP($A88,'Reg1'!$A:$H,I$1,0)),4),")")</f>
        <v>(0.0100)</v>
      </c>
      <c r="J88" s="3" t="str">
        <f>_xlfn.CONCAT("(",FIXED(VLOOKUP($A87,Reg1_Robust!A:AG,4,0),4),")")</f>
        <v>(0.0001)</v>
      </c>
    </row>
    <row r="89" spans="1:10" x14ac:dyDescent="0.25">
      <c r="A89">
        <v>85</v>
      </c>
      <c r="B89" t="s">
        <v>50</v>
      </c>
      <c r="C89" t="s">
        <v>436</v>
      </c>
      <c r="G89" s="3" t="str">
        <f>VLOOKUP($A89,'Reg1'!$A:$H,G$1,0)</f>
        <v>-0.0002***</v>
      </c>
      <c r="H89" s="3" t="str">
        <f>VLOOKUP($A89,'Reg1'!$A:$H,H$1,0)</f>
        <v>0.0001***</v>
      </c>
      <c r="I89" s="3">
        <f>VLOOKUP($A89,'Reg1'!$A:$H,I$1,0)</f>
        <v>0</v>
      </c>
      <c r="J89" s="3" t="str">
        <f>_xlfn.CONCAT(FIXED(VLOOKUP($A89,Reg1_Robust!A:AG,3,0),3),VLOOKUP($A89,Reg1_Robust!A:AG,28,0))</f>
        <v>0.005</v>
      </c>
    </row>
    <row r="90" spans="1:10" x14ac:dyDescent="0.25">
      <c r="A90">
        <v>86</v>
      </c>
      <c r="G90" s="3" t="str">
        <f>_xlfn.CONCAT("(",FIXED(ABS(VLOOKUP($A90,'Reg1'!$A:$H,G$1,0)),4),")")</f>
        <v>(0.0000)</v>
      </c>
      <c r="H90" s="3" t="str">
        <f>_xlfn.CONCAT("(",FIXED(ABS(VLOOKUP($A90,'Reg1'!$A:$H,H$1,0)),4),")")</f>
        <v>(0.0000)</v>
      </c>
      <c r="I90" s="3" t="str">
        <f>_xlfn.CONCAT("(",FIXED(ABS(VLOOKUP($A90,'Reg1'!$A:$H,I$1,0)),4),")")</f>
        <v>(0.0000)</v>
      </c>
      <c r="J90" s="3" t="str">
        <f>_xlfn.CONCAT("(",FIXED(VLOOKUP($A89,Reg1_Robust!A:AG,4,0),4),")")</f>
        <v>(0.0044)</v>
      </c>
    </row>
    <row r="91" spans="1:10" x14ac:dyDescent="0.25">
      <c r="A91">
        <v>87</v>
      </c>
      <c r="B91" t="s">
        <v>52</v>
      </c>
      <c r="C91" t="s">
        <v>437</v>
      </c>
      <c r="G91" s="3" t="str">
        <f>VLOOKUP($A91,'Reg1'!$A:$H,G$1,0)</f>
        <v>-0.010***</v>
      </c>
      <c r="H91" s="3">
        <f>VLOOKUP($A91,'Reg1'!$A:$H,H$1,0)</f>
        <v>-1E-3</v>
      </c>
      <c r="I91" s="3" t="str">
        <f>VLOOKUP($A91,'Reg1'!$A:$H,I$1,0)</f>
        <v>0.005*</v>
      </c>
      <c r="J91" s="3" t="str">
        <f>_xlfn.CONCAT(FIXED(VLOOKUP($A91,Reg1_Robust!A:AG,3,0),3),VLOOKUP($A91,Reg1_Robust!A:AG,28,0))</f>
        <v>0.010</v>
      </c>
    </row>
    <row r="92" spans="1:10" x14ac:dyDescent="0.25">
      <c r="A92">
        <v>88</v>
      </c>
      <c r="G92" s="3" t="str">
        <f>_xlfn.CONCAT("(",FIXED(ABS(VLOOKUP($A92,'Reg1'!$A:$H,G$1,0)),4),")")</f>
        <v>(0.0030)</v>
      </c>
      <c r="H92" s="3" t="str">
        <f>_xlfn.CONCAT("(",FIXED(ABS(VLOOKUP($A92,'Reg1'!$A:$H,H$1,0)),4),")")</f>
        <v>(0.0030)</v>
      </c>
      <c r="I92" s="3" t="str">
        <f>_xlfn.CONCAT("(",FIXED(ABS(VLOOKUP($A92,'Reg1'!$A:$H,I$1,0)),4),")")</f>
        <v>(0.0030)</v>
      </c>
      <c r="J92" s="3" t="str">
        <f>_xlfn.CONCAT("(",FIXED(VLOOKUP($A91,Reg1_Robust!A:AG,4,0),4),")")</f>
        <v>(0.0048)</v>
      </c>
    </row>
    <row r="93" spans="1:10" x14ac:dyDescent="0.25">
      <c r="A93">
        <v>89</v>
      </c>
      <c r="B93" t="s">
        <v>51</v>
      </c>
      <c r="C93" t="s">
        <v>438</v>
      </c>
      <c r="G93" s="3" t="str">
        <f>VLOOKUP($A93,'Reg1'!$A:$H,G$1,0)</f>
        <v>0.021***</v>
      </c>
      <c r="H93" s="3" t="str">
        <f>VLOOKUP($A93,'Reg1'!$A:$H,H$1,0)</f>
        <v>0.016***</v>
      </c>
      <c r="I93" s="3" t="str">
        <f>VLOOKUP($A93,'Reg1'!$A:$H,I$1,0)</f>
        <v>0.010***</v>
      </c>
      <c r="J93" s="3" t="str">
        <f>_xlfn.CONCAT(FIXED(VLOOKUP($A93,Reg1_Robust!A:AG,3,0),3),VLOOKUP($A93,Reg1_Robust!A:AG,28,0))</f>
        <v>-0.005</v>
      </c>
    </row>
    <row r="94" spans="1:10" x14ac:dyDescent="0.25">
      <c r="A94">
        <v>90</v>
      </c>
      <c r="G94" s="3" t="str">
        <f>_xlfn.CONCAT("(",FIXED(ABS(VLOOKUP($A94,'Reg1'!$A:$H,G$1,0)),4),")")</f>
        <v>(0.0010)</v>
      </c>
      <c r="H94" s="3" t="str">
        <f>_xlfn.CONCAT("(",FIXED(ABS(VLOOKUP($A94,'Reg1'!$A:$H,H$1,0)),4),")")</f>
        <v>(0.0010)</v>
      </c>
      <c r="I94" s="3" t="str">
        <f>_xlfn.CONCAT("(",FIXED(ABS(VLOOKUP($A94,'Reg1'!$A:$H,I$1,0)),4),")")</f>
        <v>(0.0010)</v>
      </c>
      <c r="J94" s="3" t="str">
        <f>_xlfn.CONCAT("(",FIXED(VLOOKUP($A93,Reg1_Robust!A:AG,4,0),4),")")</f>
        <v>(0.0070)</v>
      </c>
    </row>
    <row r="95" spans="1:10" x14ac:dyDescent="0.25">
      <c r="A95">
        <v>91</v>
      </c>
      <c r="B95" t="s">
        <v>164</v>
      </c>
      <c r="C95" t="s">
        <v>439</v>
      </c>
      <c r="H95" s="3" t="str">
        <f>VLOOKUP($A95,'Reg1'!$A:$H,H$1,0)</f>
        <v>-0.009***</v>
      </c>
      <c r="I95" s="3" t="str">
        <f>VLOOKUP($A95,'Reg1'!$A:$H,I$1,0)</f>
        <v>-0.005***</v>
      </c>
      <c r="J95" s="3" t="str">
        <f>_xlfn.CONCAT(FIXED(VLOOKUP($A95,Reg1_Robust!A:AG,3,0),3),VLOOKUP($A95,Reg1_Robust!A:AG,28,0))</f>
        <v>-0.043</v>
      </c>
    </row>
    <row r="96" spans="1:10" x14ac:dyDescent="0.25">
      <c r="A96">
        <v>92</v>
      </c>
      <c r="H96" s="3" t="str">
        <f>_xlfn.CONCAT("(",FIXED(ABS(VLOOKUP($A96,'Reg1'!$A:$H,H$1,0)),4),")")</f>
        <v>(0.0010)</v>
      </c>
      <c r="I96" s="3" t="str">
        <f>_xlfn.CONCAT("(",FIXED(ABS(VLOOKUP($A96,'Reg1'!$A:$H,I$1,0)),4),")")</f>
        <v>(0.0010)</v>
      </c>
      <c r="J96" s="3" t="str">
        <f>_xlfn.CONCAT("(",FIXED(VLOOKUP($A95,Reg1_Robust!A:AG,4,0),4),")")</f>
        <v>(0.0329)</v>
      </c>
    </row>
    <row r="97" spans="1:10" x14ac:dyDescent="0.25">
      <c r="A97">
        <v>93</v>
      </c>
      <c r="B97" t="s">
        <v>39</v>
      </c>
      <c r="C97" t="s">
        <v>440</v>
      </c>
      <c r="H97" s="3" t="str">
        <f>VLOOKUP($A97,'Reg1'!$A:$H,H$1,0)</f>
        <v>-0.040***</v>
      </c>
      <c r="I97" s="3" t="str">
        <f>VLOOKUP($A97,'Reg1'!$A:$H,I$1,0)</f>
        <v>-0.056***</v>
      </c>
      <c r="J97" s="3" t="str">
        <f>_xlfn.CONCAT(FIXED(VLOOKUP($A97,Reg1_Robust!A:AG,3,0),3),VLOOKUP($A97,Reg1_Robust!A:AG,28,0))</f>
        <v>-0.009</v>
      </c>
    </row>
    <row r="98" spans="1:10" x14ac:dyDescent="0.25">
      <c r="A98">
        <v>94</v>
      </c>
      <c r="H98" s="3" t="str">
        <f>_xlfn.CONCAT("(",FIXED(ABS(VLOOKUP($A98,'Reg1'!$A:$H,H$1,0)),4),")")</f>
        <v>(0.0040)</v>
      </c>
      <c r="I98" s="3" t="str">
        <f>_xlfn.CONCAT("(",FIXED(ABS(VLOOKUP($A98,'Reg1'!$A:$H,I$1,0)),4),")")</f>
        <v>(0.0040)</v>
      </c>
      <c r="J98" s="3" t="str">
        <f>_xlfn.CONCAT("(",FIXED(VLOOKUP($A97,Reg1_Robust!A:AG,4,0),4),")")</f>
        <v>(0.0080)</v>
      </c>
    </row>
    <row r="99" spans="1:10" x14ac:dyDescent="0.25">
      <c r="A99">
        <v>95</v>
      </c>
      <c r="B99" t="s">
        <v>40</v>
      </c>
      <c r="C99" t="s">
        <v>441</v>
      </c>
      <c r="H99" s="3" t="str">
        <f>VLOOKUP($A99,'Reg1'!$A:$H,H$1,0)</f>
        <v>-0.006***</v>
      </c>
      <c r="I99" s="3" t="str">
        <f>VLOOKUP($A99,'Reg1'!$A:$H,I$1,0)</f>
        <v>-0.009***</v>
      </c>
      <c r="J99" s="3" t="str">
        <f>_xlfn.CONCAT(FIXED(VLOOKUP($A99,Reg1_Robust!A:AG,3,0),3),VLOOKUP($A99,Reg1_Robust!A:AG,28,0))</f>
        <v>-0.007</v>
      </c>
    </row>
    <row r="100" spans="1:10" x14ac:dyDescent="0.25">
      <c r="A100">
        <v>96</v>
      </c>
      <c r="H100" s="3" t="str">
        <f>_xlfn.CONCAT("(",FIXED(ABS(VLOOKUP($A100,'Reg1'!$A:$H,H$1,0)),4),")")</f>
        <v>(0.0010)</v>
      </c>
      <c r="I100" s="3" t="str">
        <f>_xlfn.CONCAT("(",FIXED(ABS(VLOOKUP($A100,'Reg1'!$A:$H,I$1,0)),4),")")</f>
        <v>(0.0010)</v>
      </c>
      <c r="J100" s="3" t="str">
        <f>_xlfn.CONCAT("(",FIXED(VLOOKUP($A99,Reg1_Robust!A:AG,4,0),4),")")</f>
        <v>(0.0062)</v>
      </c>
    </row>
    <row r="101" spans="1:10" x14ac:dyDescent="0.25">
      <c r="A101">
        <v>97</v>
      </c>
      <c r="B101" t="s">
        <v>41</v>
      </c>
      <c r="C101" t="s">
        <v>442</v>
      </c>
      <c r="H101" s="3" t="str">
        <f>VLOOKUP($A101,'Reg1'!$A:$H,H$1,0)</f>
        <v>-0.005***</v>
      </c>
      <c r="I101" s="3" t="str">
        <f>VLOOKUP($A101,'Reg1'!$A:$H,I$1,0)</f>
        <v>-0.007***</v>
      </c>
      <c r="J101" s="3" t="str">
        <f>_xlfn.CONCAT(FIXED(VLOOKUP($A101,Reg1_Robust!A:AG,3,0),3),VLOOKUP($A101,Reg1_Robust!A:AG,28,0))</f>
        <v>-0.001</v>
      </c>
    </row>
    <row r="102" spans="1:10" x14ac:dyDescent="0.25">
      <c r="A102">
        <v>98</v>
      </c>
      <c r="H102" s="3" t="str">
        <f>_xlfn.CONCAT("(",FIXED(ABS(VLOOKUP($A102,'Reg1'!$A:$H,H$1,0)),4),")")</f>
        <v>(0.0005)</v>
      </c>
      <c r="I102" s="3" t="str">
        <f>_xlfn.CONCAT("(",FIXED(ABS(VLOOKUP($A102,'Reg1'!$A:$H,I$1,0)),4),")")</f>
        <v>(0.0005)</v>
      </c>
      <c r="J102" s="3" t="str">
        <f>_xlfn.CONCAT("(",FIXED(VLOOKUP($A101,Reg1_Robust!A:AG,4,0),4),")")</f>
        <v>(0.0018)</v>
      </c>
    </row>
    <row r="103" spans="1:10" x14ac:dyDescent="0.25">
      <c r="A103">
        <v>99</v>
      </c>
      <c r="B103" t="s">
        <v>173</v>
      </c>
      <c r="C103" t="s">
        <v>443</v>
      </c>
      <c r="H103" s="3">
        <f>VLOOKUP($A103,'Reg1'!$A:$H,H$1,0)</f>
        <v>-4.0000000000000002E-4</v>
      </c>
      <c r="I103" s="3" t="str">
        <f>VLOOKUP($A103,'Reg1'!$A:$H,I$1,0)</f>
        <v>-0.001***</v>
      </c>
      <c r="J103" s="3" t="str">
        <f>_xlfn.CONCAT(FIXED(VLOOKUP($A103,Reg1_Robust!A:AG,3,0),3),VLOOKUP($A103,Reg1_Robust!A:AG,28,0))</f>
        <v>0.018</v>
      </c>
    </row>
    <row r="104" spans="1:10" x14ac:dyDescent="0.25">
      <c r="A104">
        <v>100</v>
      </c>
      <c r="H104" s="3" t="str">
        <f>_xlfn.CONCAT("(",FIXED(ABS(VLOOKUP($A104,'Reg1'!$A:$H,H$1,0)),4),")")</f>
        <v>(0.0003)</v>
      </c>
      <c r="I104" s="3" t="str">
        <f>_xlfn.CONCAT("(",FIXED(ABS(VLOOKUP($A104,'Reg1'!$A:$H,I$1,0)),4),")")</f>
        <v>(0.0003)</v>
      </c>
      <c r="J104" s="3" t="str">
        <f>_xlfn.CONCAT("(",FIXED(VLOOKUP($A103,Reg1_Robust!A:AG,4,0),4),")")</f>
        <v>(0.0130)</v>
      </c>
    </row>
    <row r="105" spans="1:10" x14ac:dyDescent="0.25">
      <c r="A105">
        <v>101</v>
      </c>
      <c r="B105" t="s">
        <v>174</v>
      </c>
      <c r="C105" t="s">
        <v>444</v>
      </c>
      <c r="H105" s="3" t="str">
        <f>VLOOKUP($A105,'Reg1'!$A:$H,H$1,0)</f>
        <v>0.025***</v>
      </c>
      <c r="I105" s="3" t="str">
        <f>VLOOKUP($A105,'Reg1'!$A:$H,I$1,0)</f>
        <v>0.019***</v>
      </c>
      <c r="J105" s="3" t="str">
        <f>_xlfn.CONCAT(FIXED(VLOOKUP($A105,Reg1_Robust!A:AG,3,0),3),VLOOKUP($A105,Reg1_Robust!A:AG,28,0))</f>
        <v>0.008</v>
      </c>
    </row>
    <row r="106" spans="1:10" x14ac:dyDescent="0.25">
      <c r="A106">
        <v>102</v>
      </c>
      <c r="H106" s="3" t="str">
        <f>_xlfn.CONCAT("(",FIXED(ABS(VLOOKUP($A106,'Reg1'!$A:$H,H$1,0)),4),")")</f>
        <v>(0.0010)</v>
      </c>
      <c r="I106" s="3" t="str">
        <f>_xlfn.CONCAT("(",FIXED(ABS(VLOOKUP($A106,'Reg1'!$A:$H,I$1,0)),4),")")</f>
        <v>(0.0010)</v>
      </c>
      <c r="J106" s="3" t="str">
        <f>_xlfn.CONCAT("(",FIXED(VLOOKUP($A105,Reg1_Robust!A:AG,4,0),4),")")</f>
        <v>(0.0135)</v>
      </c>
    </row>
    <row r="107" spans="1:10" x14ac:dyDescent="0.25">
      <c r="A107">
        <v>103</v>
      </c>
      <c r="B107" t="s">
        <v>175</v>
      </c>
      <c r="C107" t="s">
        <v>445</v>
      </c>
      <c r="H107" s="3" t="str">
        <f>VLOOKUP($A107,'Reg1'!$A:$H,H$1,0)</f>
        <v>0.014***</v>
      </c>
      <c r="I107" s="3" t="str">
        <f>VLOOKUP($A107,'Reg1'!$A:$H,I$1,0)</f>
        <v>0.008***</v>
      </c>
      <c r="J107" s="3" t="str">
        <f>_xlfn.CONCAT(FIXED(VLOOKUP($A107,Reg1_Robust!A:AG,3,0),3),VLOOKUP($A107,Reg1_Robust!A:AG,28,0))</f>
        <v>0.000</v>
      </c>
    </row>
    <row r="108" spans="1:10" x14ac:dyDescent="0.25">
      <c r="A108">
        <v>104</v>
      </c>
      <c r="H108" s="3" t="str">
        <f>_xlfn.CONCAT("(",FIXED(ABS(VLOOKUP($A108,'Reg1'!$A:$H,H$1,0)),4),")")</f>
        <v>(0.0010)</v>
      </c>
      <c r="I108" s="3" t="str">
        <f>_xlfn.CONCAT("(",FIXED(ABS(VLOOKUP($A108,'Reg1'!$A:$H,I$1,0)),4),")")</f>
        <v>(0.0010)</v>
      </c>
      <c r="J108" s="3" t="str">
        <f>_xlfn.CONCAT("(",FIXED(VLOOKUP($A107,Reg1_Robust!A:AG,4,0),4),")")</f>
        <v>(0.0000)</v>
      </c>
    </row>
    <row r="109" spans="1:10" hidden="1" x14ac:dyDescent="0.25">
      <c r="A109">
        <v>105</v>
      </c>
      <c r="B109" t="s">
        <v>53</v>
      </c>
      <c r="H109" s="3" t="str">
        <f>VLOOKUP($A109,'Reg1'!$A:$H,H$1,0)</f>
        <v>0.00000***</v>
      </c>
      <c r="I109" s="3" t="str">
        <f>VLOOKUP($A109,'Reg1'!$A:$H,I$1,0)</f>
        <v>0.00000***</v>
      </c>
      <c r="J109" s="3" t="str">
        <f>_xlfn.CONCAT(FIXED(VLOOKUP($A109,Reg1_Robust!A:AG,3,0),3),VLOOKUP($A109,Reg1_Robust!A:AG,28,0))</f>
        <v>0.000***</v>
      </c>
    </row>
    <row r="110" spans="1:10" hidden="1" x14ac:dyDescent="0.25">
      <c r="A110">
        <v>106</v>
      </c>
      <c r="H110" s="3" t="str">
        <f>_xlfn.CONCAT("(",FIXED(ABS(VLOOKUP($A110,'Reg1'!$A:$H,H$1,0)),4),")")</f>
        <v>(0.0000)</v>
      </c>
      <c r="I110" s="3" t="str">
        <f>_xlfn.CONCAT("(",FIXED(ABS(VLOOKUP($A110,'Reg1'!$A:$H,I$1,0)),4),")")</f>
        <v>(0.0000)</v>
      </c>
      <c r="J110" s="3" t="str">
        <f>_xlfn.CONCAT("(",FIXED(VLOOKUP($A109,Reg1_Robust!A:AG,4,0),4),")")</f>
        <v>(0.0000)</v>
      </c>
    </row>
    <row r="111" spans="1:10" hidden="1" x14ac:dyDescent="0.25">
      <c r="A111">
        <v>107</v>
      </c>
      <c r="B111" t="s">
        <v>54</v>
      </c>
      <c r="H111" s="3" t="str">
        <f>VLOOKUP($A111,'Reg1'!$A:$H,H$1,0)</f>
        <v>0.00001***</v>
      </c>
      <c r="I111" s="3" t="str">
        <f>VLOOKUP($A111,'Reg1'!$A:$H,I$1,0)</f>
        <v>0.00001***</v>
      </c>
      <c r="J111" s="3" t="str">
        <f>_xlfn.CONCAT(FIXED(VLOOKUP($A111,Reg1_Robust!A:AG,3,0),3),VLOOKUP($A111,Reg1_Robust!A:AG,28,0))</f>
        <v>-0.575*</v>
      </c>
    </row>
    <row r="112" spans="1:10" hidden="1" x14ac:dyDescent="0.25">
      <c r="A112">
        <v>108</v>
      </c>
      <c r="H112" s="3" t="str">
        <f>_xlfn.CONCAT("(",FIXED(ABS(VLOOKUP($A112,'Reg1'!$A:$H,H$1,0)),4),")")</f>
        <v>(0.0000)</v>
      </c>
      <c r="I112" s="3" t="str">
        <f>_xlfn.CONCAT("(",FIXED(ABS(VLOOKUP($A112,'Reg1'!$A:$H,I$1,0)),4),")")</f>
        <v>(0.0000)</v>
      </c>
      <c r="J112" s="3" t="str">
        <f>_xlfn.CONCAT("(",FIXED(VLOOKUP($A111,Reg1_Robust!A:AG,4,0),4),")")</f>
        <v>(0.2816)</v>
      </c>
    </row>
    <row r="113" spans="1:10" x14ac:dyDescent="0.25">
      <c r="A113">
        <v>109</v>
      </c>
      <c r="B113" t="s">
        <v>43</v>
      </c>
      <c r="C113" t="s">
        <v>446</v>
      </c>
      <c r="H113" s="3"/>
      <c r="I113" s="3" t="str">
        <f>VLOOKUP($A113,'Reg1'!$A:$H,I$1,0)</f>
        <v>-0.521***</v>
      </c>
      <c r="J113" s="3" t="str">
        <f>_xlfn.CONCAT(FIXED(VLOOKUP($A113,Reg1_Robust!A:AG,3,0),3),VLOOKUP($A113,Reg1_Robust!A:AG,28,0))</f>
        <v>-0.211***</v>
      </c>
    </row>
    <row r="114" spans="1:10" x14ac:dyDescent="0.25">
      <c r="A114">
        <v>110</v>
      </c>
      <c r="H114" s="3"/>
      <c r="I114" s="3" t="str">
        <f>_xlfn.CONCAT("(",FIXED(ABS(VLOOKUP($A114,'Reg1'!$A:$H,I$1,0)),4),")")</f>
        <v>(0.0380)</v>
      </c>
      <c r="J114" s="3" t="str">
        <f>_xlfn.CONCAT("(",FIXED(VLOOKUP($A113,Reg1_Robust!A:AG,4,0),4),")")</f>
        <v>(0.0596)</v>
      </c>
    </row>
    <row r="115" spans="1:10" x14ac:dyDescent="0.25">
      <c r="A115">
        <v>111</v>
      </c>
      <c r="B115" t="s">
        <v>44</v>
      </c>
      <c r="C115" t="s">
        <v>447</v>
      </c>
      <c r="H115" s="3"/>
      <c r="I115" s="3" t="str">
        <f>VLOOKUP($A115,'Reg1'!$A:$H,I$1,0)</f>
        <v>-0.212***</v>
      </c>
      <c r="J115" s="3" t="str">
        <f>_xlfn.CONCAT(FIXED(VLOOKUP($A115,Reg1_Robust!A:AG,3,0),3),VLOOKUP($A115,Reg1_Robust!A:AG,28,0))</f>
        <v>-0.393**</v>
      </c>
    </row>
    <row r="116" spans="1:10" x14ac:dyDescent="0.25">
      <c r="A116">
        <v>112</v>
      </c>
      <c r="H116" s="3"/>
      <c r="I116" s="3" t="str">
        <f>_xlfn.CONCAT("(",FIXED(ABS(VLOOKUP($A116,'Reg1'!$A:$H,I$1,0)),4),")")</f>
        <v>(0.0080)</v>
      </c>
      <c r="J116" s="3" t="str">
        <f>_xlfn.CONCAT("(",FIXED(VLOOKUP($A115,Reg1_Robust!A:AG,4,0),4),")")</f>
        <v>(0.1321)</v>
      </c>
    </row>
    <row r="117" spans="1:10" x14ac:dyDescent="0.25">
      <c r="A117">
        <v>113</v>
      </c>
      <c r="B117" t="s">
        <v>45</v>
      </c>
      <c r="C117" t="s">
        <v>448</v>
      </c>
      <c r="H117" s="3"/>
      <c r="I117" s="3" t="str">
        <f>VLOOKUP($A117,'Reg1'!$A:$H,I$1,0)</f>
        <v>-0.367***</v>
      </c>
      <c r="J117" s="3" t="str">
        <f>_xlfn.CONCAT(FIXED(VLOOKUP($A117,Reg1_Robust!A:AG,3,0),3),VLOOKUP($A117,Reg1_Robust!A:AG,28,0))</f>
        <v>0.277***</v>
      </c>
    </row>
    <row r="118" spans="1:10" x14ac:dyDescent="0.25">
      <c r="A118">
        <v>114</v>
      </c>
      <c r="H118" s="3"/>
      <c r="I118" s="3" t="str">
        <f>_xlfn.CONCAT("(",FIXED(ABS(VLOOKUP($A118,'Reg1'!$A:$H,I$1,0)),4),")")</f>
        <v>(0.0150)</v>
      </c>
      <c r="J118" s="3" t="str">
        <f>_xlfn.CONCAT("(",FIXED(VLOOKUP($A117,Reg1_Robust!A:AG,4,0),4),")")</f>
        <v>(0.0785)</v>
      </c>
    </row>
    <row r="119" spans="1:10" x14ac:dyDescent="0.25">
      <c r="A119">
        <v>115</v>
      </c>
      <c r="B119" t="s">
        <v>48</v>
      </c>
      <c r="C119" t="s">
        <v>449</v>
      </c>
      <c r="H119" s="3"/>
      <c r="I119" s="3" t="str">
        <f>VLOOKUP($A119,'Reg1'!$A:$H,I$1,0)</f>
        <v>0.258***</v>
      </c>
      <c r="J119" s="3" t="str">
        <f>_xlfn.CONCAT(FIXED(VLOOKUP($A119,Reg1_Robust!A:AG,3,0),3),VLOOKUP($A119,Reg1_Robust!A:AG,28,0))</f>
        <v>-0.606***</v>
      </c>
    </row>
    <row r="120" spans="1:10" x14ac:dyDescent="0.25">
      <c r="A120">
        <v>116</v>
      </c>
      <c r="H120" s="3"/>
      <c r="I120" s="3" t="str">
        <f>_xlfn.CONCAT("(",FIXED(ABS(VLOOKUP($A120,'Reg1'!$A:$H,I$1,0)),4),")")</f>
        <v>(0.0070)</v>
      </c>
      <c r="J120" s="3" t="str">
        <f>_xlfn.CONCAT("(",FIXED(VLOOKUP($A119,Reg1_Robust!A:AG,4,0),4),")")</f>
        <v>(0.1012)</v>
      </c>
    </row>
    <row r="121" spans="1:10" x14ac:dyDescent="0.25">
      <c r="A121">
        <v>117</v>
      </c>
      <c r="B121" t="s">
        <v>46</v>
      </c>
      <c r="C121" t="s">
        <v>450</v>
      </c>
      <c r="H121" s="3"/>
      <c r="I121" s="3" t="str">
        <f>VLOOKUP($A121,'Reg1'!$A:$H,I$1,0)</f>
        <v>-0.623***</v>
      </c>
      <c r="J121" s="3" t="str">
        <f>_xlfn.CONCAT(FIXED(VLOOKUP($A121,Reg1_Robust!A:AG,3,0),3),VLOOKUP($A121,Reg1_Robust!A:AG,28,0))</f>
        <v>0.000</v>
      </c>
    </row>
    <row r="122" spans="1:10" x14ac:dyDescent="0.25">
      <c r="A122">
        <v>118</v>
      </c>
      <c r="H122" s="3"/>
      <c r="I122" s="3" t="str">
        <f>_xlfn.CONCAT("(",FIXED(ABS(VLOOKUP($A122,'Reg1'!$A:$H,I$1,0)),4),")")</f>
        <v>(0.0110)</v>
      </c>
      <c r="J122" s="3" t="str">
        <f>_xlfn.CONCAT("(",FIXED(VLOOKUP($A121,Reg1_Robust!A:AG,4,0),4),")")</f>
        <v>(0.0000)</v>
      </c>
    </row>
    <row r="123" spans="1:10" x14ac:dyDescent="0.25">
      <c r="A123">
        <v>119</v>
      </c>
      <c r="B123" t="s">
        <v>282</v>
      </c>
      <c r="C123" s="25" t="s">
        <v>282</v>
      </c>
      <c r="D123" s="3" t="str">
        <f>VLOOKUP($A123,'Reg1'!$A:$H,D$1,0)</f>
        <v>13.521***</v>
      </c>
      <c r="E123" s="3" t="str">
        <f>VLOOKUP($A123,'Reg1'!$A:$H,E$1,0)</f>
        <v>13.415***</v>
      </c>
      <c r="F123" s="3" t="str">
        <f>VLOOKUP($A123,'Reg1'!$A:$H,F$1,0)</f>
        <v>12.983***</v>
      </c>
      <c r="G123" s="3" t="str">
        <f>VLOOKUP($A123,'Reg1'!$A:$H,G$1,0)</f>
        <v>12.427***</v>
      </c>
      <c r="H123" s="3" t="str">
        <f>VLOOKUP($A123,'Reg1'!$A:$H,H$1,0)</f>
        <v>-7.447***</v>
      </c>
      <c r="I123" s="3" t="str">
        <f>VLOOKUP($A123,'Reg1'!$A:$H,I$1,0)</f>
        <v>-4.411***</v>
      </c>
      <c r="J123" s="3" t="str">
        <f>_xlfn.CONCAT(FIXED(VLOOKUP($A123,Reg1_Robust!A:AG,3,0),3),VLOOKUP($A123,Reg1_Robust!A:AG,28,0))</f>
        <v>-3.929</v>
      </c>
    </row>
    <row r="124" spans="1:10" x14ac:dyDescent="0.25">
      <c r="A124">
        <v>120</v>
      </c>
      <c r="C124" s="16"/>
      <c r="D124" s="3" t="str">
        <f>_xlfn.CONCAT("(",FIXED(ABS(VLOOKUP($A124,'Reg1'!$A:$H,D$1,0)),4),")")</f>
        <v>(0.0030)</v>
      </c>
      <c r="E124" s="3" t="str">
        <f>_xlfn.CONCAT("(",FIXED(ABS(VLOOKUP($A124,'Reg1'!$A:$H,E$1,0)),4),")")</f>
        <v>(0.0080)</v>
      </c>
      <c r="F124" s="3" t="str">
        <f>_xlfn.CONCAT("(",FIXED(ABS(VLOOKUP($A124,'Reg1'!$A:$H,F$1,0)),4),")")</f>
        <v>(0.0090)</v>
      </c>
      <c r="G124" s="3" t="str">
        <f>_xlfn.CONCAT("(",FIXED(ABS(VLOOKUP($A124,'Reg1'!$A:$H,G$1,0)),4),")")</f>
        <v>(0.0140)</v>
      </c>
      <c r="H124" s="3" t="str">
        <f>_xlfn.CONCAT("(",FIXED(ABS(VLOOKUP($A124,'Reg1'!$A:$H,H$1,0)),4),")")</f>
        <v>(0.8250)</v>
      </c>
      <c r="I124" s="3" t="str">
        <f>_xlfn.CONCAT("(",FIXED(ABS(VLOOKUP($A124,'Reg1'!$A:$H,I$1,0)),4),")")</f>
        <v>(0.7930)</v>
      </c>
      <c r="J124" s="3" t="str">
        <f>_xlfn.CONCAT("(",FIXED(VLOOKUP($A123,Reg1_Robust!A:AG,4,0),4),")")</f>
        <v>(13.9085)</v>
      </c>
    </row>
    <row r="125" spans="1:10" x14ac:dyDescent="0.25">
      <c r="A125">
        <v>120</v>
      </c>
      <c r="B125" t="s">
        <v>408</v>
      </c>
      <c r="C125" t="s">
        <v>408</v>
      </c>
      <c r="D125" s="3" t="s">
        <v>336</v>
      </c>
      <c r="E125" s="3" t="s">
        <v>337</v>
      </c>
      <c r="F125" s="3" t="s">
        <v>337</v>
      </c>
      <c r="G125" s="3" t="s">
        <v>337</v>
      </c>
      <c r="H125" s="3" t="s">
        <v>337</v>
      </c>
      <c r="I125" s="3" t="s">
        <v>337</v>
      </c>
      <c r="J125" s="3" t="s">
        <v>337</v>
      </c>
    </row>
    <row r="126" spans="1:10" x14ac:dyDescent="0.25">
      <c r="A126">
        <v>121</v>
      </c>
      <c r="B126" t="s">
        <v>409</v>
      </c>
      <c r="C126" s="18" t="s">
        <v>409</v>
      </c>
      <c r="D126" s="16" t="s">
        <v>336</v>
      </c>
      <c r="E126" s="16" t="s">
        <v>336</v>
      </c>
      <c r="F126" s="16" t="s">
        <v>336</v>
      </c>
      <c r="G126" s="16" t="s">
        <v>336</v>
      </c>
      <c r="H126" s="16" t="s">
        <v>337</v>
      </c>
      <c r="I126" s="16" t="s">
        <v>337</v>
      </c>
      <c r="J126" s="16" t="s">
        <v>337</v>
      </c>
    </row>
    <row r="127" spans="1:10" x14ac:dyDescent="0.25">
      <c r="A127">
        <v>123</v>
      </c>
      <c r="B127" t="s">
        <v>187</v>
      </c>
      <c r="C127" t="s">
        <v>187</v>
      </c>
      <c r="D127" s="3">
        <f>VLOOKUP($A127,'Reg1'!$A:$H,D$1,0)</f>
        <v>50625</v>
      </c>
      <c r="E127" s="3">
        <f>VLOOKUP($A127,'Reg1'!$A:$H,E$1,0)</f>
        <v>50625</v>
      </c>
      <c r="F127" s="3">
        <f>VLOOKUP($A127,'Reg1'!$A:$H,F$1,0)</f>
        <v>50625</v>
      </c>
      <c r="G127" s="3">
        <f>VLOOKUP($A127,'Reg1'!$A:$H,G$1,0)</f>
        <v>50625</v>
      </c>
      <c r="H127" s="3">
        <f>VLOOKUP($A127,'Reg1'!$A:$H,H$1,0)</f>
        <v>50625</v>
      </c>
      <c r="I127" s="3">
        <f>VLOOKUP($A127,'Reg1'!$A:$H,I$1,0)</f>
        <v>50625</v>
      </c>
    </row>
    <row r="128" spans="1:10" ht="17.25" x14ac:dyDescent="0.25">
      <c r="A128">
        <v>124</v>
      </c>
      <c r="C128" t="s">
        <v>295</v>
      </c>
      <c r="D128" s="3">
        <f>VLOOKUP($A128,'Reg1'!$A:$H,D$1,0)</f>
        <v>4.0000000000000001E-3</v>
      </c>
      <c r="E128" s="3">
        <f>VLOOKUP($A128,'Reg1'!$A:$H,E$1,0)</f>
        <v>1.7000000000000001E-2</v>
      </c>
      <c r="F128" s="3">
        <f>VLOOKUP($A128,'Reg1'!$A:$H,F$1,0)</f>
        <v>0.63700000000000001</v>
      </c>
      <c r="G128" s="3">
        <f>VLOOKUP($A128,'Reg1'!$A:$H,G$1,0)</f>
        <v>0.72199999999999998</v>
      </c>
      <c r="H128" s="3">
        <f>VLOOKUP($A128,'Reg1'!$A:$H,H$1,0)</f>
        <v>0.79</v>
      </c>
      <c r="I128" s="3">
        <f>VLOOKUP($A128,'Reg1'!$A:$H,I$1,0)</f>
        <v>0.81399999999999995</v>
      </c>
    </row>
    <row r="129" spans="1:10" ht="18" thickBot="1" x14ac:dyDescent="0.3">
      <c r="A129">
        <v>125</v>
      </c>
      <c r="C129" s="14" t="s">
        <v>296</v>
      </c>
      <c r="D129" s="15">
        <f>VLOOKUP($A129,'Reg1'!$A:$H,D$1,0)</f>
        <v>4.0000000000000001E-3</v>
      </c>
      <c r="E129" s="15">
        <f>VLOOKUP($A129,'Reg1'!$A:$H,E$1,0)</f>
        <v>1.7000000000000001E-2</v>
      </c>
      <c r="F129" s="15">
        <f>VLOOKUP($A129,'Reg1'!$A:$H,F$1,0)</f>
        <v>0.63700000000000001</v>
      </c>
      <c r="G129" s="15">
        <f>VLOOKUP($A129,'Reg1'!$A:$H,G$1,0)</f>
        <v>0.72199999999999998</v>
      </c>
      <c r="H129" s="15">
        <f>VLOOKUP($A129,'Reg1'!$A:$H,H$1,0)</f>
        <v>0.79</v>
      </c>
      <c r="I129" s="15">
        <f>VLOOKUP($A129,'Reg1'!$A:$H,I$1,0)</f>
        <v>0.81399999999999995</v>
      </c>
      <c r="J129" s="15"/>
    </row>
    <row r="130" spans="1:10" x14ac:dyDescent="0.25">
      <c r="A130">
        <v>126</v>
      </c>
      <c r="C130" t="s">
        <v>285</v>
      </c>
      <c r="D130" s="3" t="str">
        <f>VLOOKUP($A130,'Reg1'!$A:$H,D$1,0)</f>
        <v>0.582 (df = 50623)</v>
      </c>
      <c r="E130" s="3" t="str">
        <f>VLOOKUP($A130,'Reg1'!$A:$H,E$1,0)</f>
        <v>0.578 (df = 50615)</v>
      </c>
      <c r="F130" s="3" t="str">
        <f>VLOOKUP($A130,'Reg1'!$A:$H,F$1,0)</f>
        <v>0.351 (df = 50603)</v>
      </c>
      <c r="G130" s="3" t="str">
        <f>VLOOKUP($A130,'Reg1'!$A:$H,G$1,0)</f>
        <v>0.307 (df = 50579)</v>
      </c>
      <c r="H130" s="3" t="str">
        <f>VLOOKUP($A130,'Reg1'!$A:$H,H$1,0)</f>
        <v>0.267 (df = 50570)</v>
      </c>
      <c r="I130" s="3" t="str">
        <f>VLOOKUP($A130,'Reg1'!$A:$H,I$1,0)</f>
        <v>0.251 (df = 50565)</v>
      </c>
    </row>
    <row r="131" spans="1:10" ht="15.75" thickBot="1" x14ac:dyDescent="0.3">
      <c r="A131">
        <v>127</v>
      </c>
      <c r="C131" s="14" t="s">
        <v>286</v>
      </c>
      <c r="D131" s="3" t="str">
        <f>VLOOKUP($A131,'Reg1'!$A:$H,D$1,0)</f>
        <v>189.640*** (df = 1; 50623)</v>
      </c>
      <c r="E131" s="3" t="str">
        <f>VLOOKUP($A131,'Reg1'!$A:$H,E$1,0)</f>
        <v>95.578*** (df = 9; 50615)</v>
      </c>
      <c r="F131" s="3" t="str">
        <f>VLOOKUP($A131,'Reg1'!$A:$H,F$1,0)</f>
        <v>4,222.744*** (df = 21; 50603)</v>
      </c>
      <c r="G131" s="3" t="str">
        <f>VLOOKUP($A131,'Reg1'!$A:$H,G$1,0)</f>
        <v>2,921.280*** (df = 45; 50579)</v>
      </c>
      <c r="H131" s="3" t="str">
        <f>VLOOKUP($A131,'Reg1'!$A:$H,H$1,0)</f>
        <v>3,523.001*** (df = 54; 50570)</v>
      </c>
      <c r="I131" s="3" t="str">
        <f>VLOOKUP($A131,'Reg1'!$A:$H,I$1,0)</f>
        <v>3,752.347*** (df = 59; 50565)</v>
      </c>
    </row>
    <row r="132" spans="1:10" x14ac:dyDescent="0.25">
      <c r="A132">
        <v>128</v>
      </c>
      <c r="B132" t="s">
        <v>193</v>
      </c>
    </row>
    <row r="133" spans="1:10" x14ac:dyDescent="0.25">
      <c r="B133" t="s">
        <v>287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49BAE-73BA-4104-BCF5-F9D920E93043}">
  <dimension ref="A2:G192"/>
  <sheetViews>
    <sheetView workbookViewId="0">
      <selection activeCell="G16" sqref="G16"/>
    </sheetView>
  </sheetViews>
  <sheetFormatPr defaultRowHeight="15" x14ac:dyDescent="0.25"/>
  <cols>
    <col min="1" max="1" width="26.5703125" bestFit="1" customWidth="1"/>
    <col min="2" max="2" width="23.42578125" bestFit="1" customWidth="1"/>
    <col min="3" max="3" width="27.5703125" bestFit="1" customWidth="1"/>
    <col min="4" max="7" width="31.7109375" bestFit="1" customWidth="1"/>
  </cols>
  <sheetData>
    <row r="2" spans="1:7" x14ac:dyDescent="0.25">
      <c r="A2" t="s">
        <v>192</v>
      </c>
      <c r="B2" t="s">
        <v>514</v>
      </c>
      <c r="C2" t="s">
        <v>193</v>
      </c>
      <c r="D2" t="s">
        <v>194</v>
      </c>
      <c r="E2" t="s">
        <v>194</v>
      </c>
      <c r="F2" t="s">
        <v>194</v>
      </c>
      <c r="G2" t="s">
        <v>194</v>
      </c>
    </row>
    <row r="3" spans="1:7" x14ac:dyDescent="0.25">
      <c r="D3" t="s">
        <v>515</v>
      </c>
      <c r="E3" t="s">
        <v>516</v>
      </c>
    </row>
    <row r="4" spans="1:7" x14ac:dyDescent="0.25">
      <c r="B4" t="s">
        <v>517</v>
      </c>
      <c r="C4" t="s">
        <v>197</v>
      </c>
      <c r="D4" t="s">
        <v>196</v>
      </c>
      <c r="E4" t="s">
        <v>196</v>
      </c>
      <c r="F4" t="s">
        <v>196</v>
      </c>
      <c r="G4" t="s">
        <v>196</v>
      </c>
    </row>
    <row r="5" spans="1:7" x14ac:dyDescent="0.25">
      <c r="E5" t="s">
        <v>518</v>
      </c>
    </row>
    <row r="6" spans="1:7" x14ac:dyDescent="0.25">
      <c r="B6">
        <v>-1</v>
      </c>
      <c r="C6">
        <v>-2</v>
      </c>
      <c r="D6">
        <v>-3</v>
      </c>
      <c r="E6">
        <v>-4</v>
      </c>
      <c r="F6">
        <v>-5</v>
      </c>
      <c r="G6">
        <v>-6</v>
      </c>
    </row>
    <row r="7" spans="1:7" x14ac:dyDescent="0.25">
      <c r="A7" t="s">
        <v>195</v>
      </c>
      <c r="B7" t="s">
        <v>519</v>
      </c>
      <c r="C7" t="s">
        <v>197</v>
      </c>
      <c r="D7" t="s">
        <v>196</v>
      </c>
      <c r="E7" t="s">
        <v>196</v>
      </c>
      <c r="F7" t="s">
        <v>196</v>
      </c>
      <c r="G7" t="s">
        <v>196</v>
      </c>
    </row>
    <row r="8" spans="1:7" x14ac:dyDescent="0.25">
      <c r="A8" t="s">
        <v>11</v>
      </c>
      <c r="B8">
        <v>-3.0000000000000001E-3</v>
      </c>
      <c r="C8">
        <v>-3.4000000000000002E-2</v>
      </c>
      <c r="D8">
        <v>-1.7999999999999999E-2</v>
      </c>
      <c r="E8">
        <v>-1E-3</v>
      </c>
      <c r="F8">
        <v>5.0000000000000001E-3</v>
      </c>
      <c r="G8">
        <v>1.4E-2</v>
      </c>
    </row>
    <row r="9" spans="1:7" x14ac:dyDescent="0.25">
      <c r="B9">
        <v>-6.0000000000000001E-3</v>
      </c>
      <c r="C9">
        <v>-2.5000000000000001E-2</v>
      </c>
      <c r="D9">
        <v>-1.4999999999999999E-2</v>
      </c>
      <c r="E9">
        <v>-1.2999999999999999E-2</v>
      </c>
      <c r="F9">
        <v>-1.2E-2</v>
      </c>
      <c r="G9">
        <v>-1.0999999999999999E-2</v>
      </c>
    </row>
    <row r="11" spans="1:7" x14ac:dyDescent="0.25">
      <c r="A11" t="s">
        <v>16</v>
      </c>
      <c r="C11" t="s">
        <v>334</v>
      </c>
      <c r="D11" t="s">
        <v>231</v>
      </c>
      <c r="E11">
        <v>3.0000000000000001E-5</v>
      </c>
      <c r="F11">
        <v>-1.0000000000000001E-5</v>
      </c>
      <c r="G11">
        <v>-2.0000000000000002E-5</v>
      </c>
    </row>
    <row r="12" spans="1:7" x14ac:dyDescent="0.25">
      <c r="C12">
        <v>-1E-4</v>
      </c>
      <c r="D12">
        <v>-3.0000000000000001E-5</v>
      </c>
      <c r="E12">
        <v>-3.0000000000000001E-5</v>
      </c>
      <c r="F12">
        <v>-2.0000000000000002E-5</v>
      </c>
      <c r="G12">
        <v>-2.0000000000000002E-5</v>
      </c>
    </row>
    <row r="14" spans="1:7" x14ac:dyDescent="0.25">
      <c r="A14" t="s">
        <v>200</v>
      </c>
      <c r="C14" t="s">
        <v>217</v>
      </c>
      <c r="D14" t="s">
        <v>260</v>
      </c>
      <c r="E14" t="s">
        <v>520</v>
      </c>
      <c r="F14" t="s">
        <v>204</v>
      </c>
      <c r="G14" t="s">
        <v>363</v>
      </c>
    </row>
    <row r="15" spans="1:7" x14ac:dyDescent="0.25">
      <c r="C15">
        <v>-1.0999999999999999E-2</v>
      </c>
      <c r="D15">
        <v>-7.0000000000000001E-3</v>
      </c>
      <c r="E15">
        <v>-6.0000000000000001E-3</v>
      </c>
      <c r="F15">
        <v>-5.0000000000000001E-3</v>
      </c>
      <c r="G15">
        <v>-5.0000000000000001E-3</v>
      </c>
    </row>
    <row r="17" spans="1:7" x14ac:dyDescent="0.25">
      <c r="A17" t="s">
        <v>203</v>
      </c>
      <c r="C17" t="s">
        <v>226</v>
      </c>
      <c r="D17" t="s">
        <v>333</v>
      </c>
      <c r="E17" t="s">
        <v>242</v>
      </c>
      <c r="F17" t="s">
        <v>240</v>
      </c>
      <c r="G17" t="s">
        <v>228</v>
      </c>
    </row>
    <row r="18" spans="1:7" x14ac:dyDescent="0.25">
      <c r="C18">
        <v>-1.2E-2</v>
      </c>
      <c r="D18">
        <v>-7.0000000000000001E-3</v>
      </c>
      <c r="E18">
        <v>-6.0000000000000001E-3</v>
      </c>
      <c r="F18">
        <v>-5.0000000000000001E-3</v>
      </c>
      <c r="G18">
        <v>-5.0000000000000001E-3</v>
      </c>
    </row>
    <row r="20" spans="1:7" x14ac:dyDescent="0.25">
      <c r="A20" t="s">
        <v>207</v>
      </c>
      <c r="C20" t="s">
        <v>521</v>
      </c>
      <c r="D20" t="s">
        <v>242</v>
      </c>
      <c r="E20" t="s">
        <v>362</v>
      </c>
      <c r="F20" t="s">
        <v>242</v>
      </c>
      <c r="G20" t="s">
        <v>227</v>
      </c>
    </row>
    <row r="21" spans="1:7" x14ac:dyDescent="0.25">
      <c r="C21">
        <v>-1.2E-2</v>
      </c>
      <c r="D21">
        <v>-7.0000000000000001E-3</v>
      </c>
      <c r="E21">
        <v>-6.0000000000000001E-3</v>
      </c>
      <c r="F21">
        <v>-5.0000000000000001E-3</v>
      </c>
      <c r="G21">
        <v>-5.0000000000000001E-3</v>
      </c>
    </row>
    <row r="23" spans="1:7" x14ac:dyDescent="0.25">
      <c r="A23" t="s">
        <v>210</v>
      </c>
      <c r="C23" t="s">
        <v>240</v>
      </c>
      <c r="D23" t="s">
        <v>522</v>
      </c>
      <c r="E23">
        <v>0.02</v>
      </c>
      <c r="F23" t="s">
        <v>523</v>
      </c>
      <c r="G23" t="s">
        <v>524</v>
      </c>
    </row>
    <row r="24" spans="1:7" x14ac:dyDescent="0.25">
      <c r="C24">
        <v>-2.5000000000000001E-2</v>
      </c>
      <c r="D24">
        <v>-1.4999999999999999E-2</v>
      </c>
      <c r="E24">
        <v>-1.2999999999999999E-2</v>
      </c>
      <c r="F24">
        <v>-1.0999999999999999E-2</v>
      </c>
      <c r="G24">
        <v>-1.0999999999999999E-2</v>
      </c>
    </row>
    <row r="26" spans="1:7" x14ac:dyDescent="0.25">
      <c r="A26" t="s">
        <v>211</v>
      </c>
      <c r="C26" t="s">
        <v>468</v>
      </c>
      <c r="D26" t="s">
        <v>221</v>
      </c>
      <c r="E26" t="s">
        <v>455</v>
      </c>
      <c r="F26" t="s">
        <v>376</v>
      </c>
      <c r="G26" t="s">
        <v>227</v>
      </c>
    </row>
    <row r="27" spans="1:7" x14ac:dyDescent="0.25">
      <c r="C27">
        <v>-2.8000000000000001E-2</v>
      </c>
      <c r="D27">
        <v>-1.6E-2</v>
      </c>
      <c r="E27">
        <v>-1.4E-2</v>
      </c>
      <c r="F27">
        <v>-1.2999999999999999E-2</v>
      </c>
      <c r="G27">
        <v>-1.2E-2</v>
      </c>
    </row>
    <row r="29" spans="1:7" x14ac:dyDescent="0.25">
      <c r="A29" t="s">
        <v>214</v>
      </c>
      <c r="C29" t="s">
        <v>389</v>
      </c>
      <c r="D29" t="s">
        <v>525</v>
      </c>
      <c r="E29" t="s">
        <v>199</v>
      </c>
      <c r="F29" t="s">
        <v>216</v>
      </c>
      <c r="G29" t="s">
        <v>526</v>
      </c>
    </row>
    <row r="30" spans="1:7" x14ac:dyDescent="0.25">
      <c r="C30">
        <v>-2.8000000000000001E-2</v>
      </c>
      <c r="D30">
        <v>-1.7000000000000001E-2</v>
      </c>
      <c r="E30">
        <v>-1.4999999999999999E-2</v>
      </c>
      <c r="F30">
        <v>-1.2999999999999999E-2</v>
      </c>
      <c r="G30">
        <v>-1.2E-2</v>
      </c>
    </row>
    <row r="32" spans="1:7" x14ac:dyDescent="0.25">
      <c r="A32" t="s">
        <v>219</v>
      </c>
      <c r="C32" t="s">
        <v>527</v>
      </c>
      <c r="D32">
        <v>6.3E-2</v>
      </c>
      <c r="E32">
        <v>3.3000000000000002E-2</v>
      </c>
      <c r="F32">
        <v>5.5E-2</v>
      </c>
      <c r="G32" t="s">
        <v>528</v>
      </c>
    </row>
    <row r="33" spans="1:7" x14ac:dyDescent="0.25">
      <c r="C33">
        <v>-7.6999999999999999E-2</v>
      </c>
      <c r="D33">
        <v>-4.4999999999999998E-2</v>
      </c>
      <c r="E33">
        <v>-0.04</v>
      </c>
      <c r="F33">
        <v>-3.5000000000000003E-2</v>
      </c>
      <c r="G33">
        <v>-3.3000000000000002E-2</v>
      </c>
    </row>
    <row r="35" spans="1:7" x14ac:dyDescent="0.25">
      <c r="A35" t="s">
        <v>15</v>
      </c>
      <c r="D35" t="s">
        <v>529</v>
      </c>
      <c r="E35" t="s">
        <v>397</v>
      </c>
      <c r="F35" t="s">
        <v>530</v>
      </c>
      <c r="G35" t="s">
        <v>531</v>
      </c>
    </row>
    <row r="36" spans="1:7" x14ac:dyDescent="0.25">
      <c r="D36">
        <v>-3.0000000000000001E-3</v>
      </c>
      <c r="E36">
        <v>-3.0000000000000001E-3</v>
      </c>
      <c r="F36">
        <v>-3.0000000000000001E-3</v>
      </c>
      <c r="G36">
        <v>-3.0000000000000001E-3</v>
      </c>
    </row>
    <row r="38" spans="1:7" x14ac:dyDescent="0.25">
      <c r="A38" t="s">
        <v>13</v>
      </c>
      <c r="D38" t="s">
        <v>526</v>
      </c>
      <c r="E38" t="s">
        <v>532</v>
      </c>
      <c r="F38" t="s">
        <v>240</v>
      </c>
      <c r="G38" t="s">
        <v>227</v>
      </c>
    </row>
    <row r="39" spans="1:7" x14ac:dyDescent="0.25">
      <c r="D39">
        <v>-5.0000000000000001E-3</v>
      </c>
      <c r="E39">
        <v>-5.0000000000000001E-3</v>
      </c>
      <c r="F39">
        <v>-4.0000000000000001E-3</v>
      </c>
      <c r="G39">
        <v>-4.0000000000000001E-3</v>
      </c>
    </row>
    <row r="41" spans="1:7" x14ac:dyDescent="0.25">
      <c r="A41" t="s">
        <v>14</v>
      </c>
      <c r="D41">
        <v>-5.0000000000000001E-3</v>
      </c>
      <c r="E41">
        <v>7.0000000000000001E-3</v>
      </c>
      <c r="F41" t="s">
        <v>533</v>
      </c>
      <c r="G41" t="s">
        <v>277</v>
      </c>
    </row>
    <row r="42" spans="1:7" x14ac:dyDescent="0.25">
      <c r="D42">
        <v>-6.0000000000000001E-3</v>
      </c>
      <c r="E42">
        <v>-5.0000000000000001E-3</v>
      </c>
      <c r="F42">
        <v>-5.0000000000000001E-3</v>
      </c>
      <c r="G42">
        <v>-4.0000000000000001E-3</v>
      </c>
    </row>
    <row r="44" spans="1:7" x14ac:dyDescent="0.25">
      <c r="A44" t="s">
        <v>59</v>
      </c>
      <c r="D44" t="s">
        <v>248</v>
      </c>
      <c r="E44" t="s">
        <v>534</v>
      </c>
      <c r="F44" t="s">
        <v>535</v>
      </c>
      <c r="G44" t="s">
        <v>536</v>
      </c>
    </row>
    <row r="45" spans="1:7" x14ac:dyDescent="0.25">
      <c r="D45">
        <v>-6.0000000000000001E-3</v>
      </c>
      <c r="E45">
        <v>-6.0000000000000001E-3</v>
      </c>
      <c r="F45">
        <v>-5.0000000000000001E-3</v>
      </c>
      <c r="G45">
        <v>-5.0000000000000001E-3</v>
      </c>
    </row>
    <row r="47" spans="1:7" x14ac:dyDescent="0.25">
      <c r="A47" t="s">
        <v>60</v>
      </c>
      <c r="D47" t="s">
        <v>532</v>
      </c>
      <c r="E47">
        <v>3.0000000000000001E-3</v>
      </c>
      <c r="F47" t="s">
        <v>537</v>
      </c>
      <c r="G47" t="s">
        <v>538</v>
      </c>
    </row>
    <row r="48" spans="1:7" x14ac:dyDescent="0.25">
      <c r="D48">
        <v>-4.0000000000000001E-3</v>
      </c>
      <c r="E48">
        <v>-4.0000000000000001E-3</v>
      </c>
      <c r="F48">
        <v>-4.0000000000000001E-3</v>
      </c>
      <c r="G48">
        <v>-4.0000000000000001E-3</v>
      </c>
    </row>
    <row r="50" spans="1:7" x14ac:dyDescent="0.25">
      <c r="A50" t="s">
        <v>18</v>
      </c>
      <c r="D50" t="s">
        <v>334</v>
      </c>
      <c r="E50" t="s">
        <v>334</v>
      </c>
      <c r="F50" t="s">
        <v>334</v>
      </c>
      <c r="G50" t="s">
        <v>334</v>
      </c>
    </row>
    <row r="51" spans="1:7" x14ac:dyDescent="0.25">
      <c r="D51">
        <v>-1.0000000000000001E-5</v>
      </c>
      <c r="E51">
        <v>-1.0000000000000001E-5</v>
      </c>
      <c r="F51">
        <v>-1.0000000000000001E-5</v>
      </c>
      <c r="G51">
        <v>-1.0000000000000001E-5</v>
      </c>
    </row>
    <row r="53" spans="1:7" x14ac:dyDescent="0.25">
      <c r="A53" t="s">
        <v>33</v>
      </c>
      <c r="D53" t="s">
        <v>539</v>
      </c>
      <c r="E53" t="s">
        <v>540</v>
      </c>
      <c r="F53" t="s">
        <v>541</v>
      </c>
      <c r="G53" t="s">
        <v>542</v>
      </c>
    </row>
    <row r="54" spans="1:7" x14ac:dyDescent="0.25">
      <c r="D54">
        <v>-5.0000000000000001E-4</v>
      </c>
      <c r="E54">
        <v>-4.0000000000000002E-4</v>
      </c>
      <c r="F54">
        <v>-4.0000000000000002E-4</v>
      </c>
      <c r="G54">
        <v>-4.0000000000000002E-4</v>
      </c>
    </row>
    <row r="56" spans="1:7" x14ac:dyDescent="0.25">
      <c r="A56" t="s">
        <v>34</v>
      </c>
      <c r="D56" t="s">
        <v>543</v>
      </c>
      <c r="E56" t="s">
        <v>544</v>
      </c>
      <c r="F56" t="s">
        <v>545</v>
      </c>
      <c r="G56" t="s">
        <v>546</v>
      </c>
    </row>
    <row r="57" spans="1:7" x14ac:dyDescent="0.25">
      <c r="D57">
        <v>-7.0000000000000001E-3</v>
      </c>
      <c r="E57">
        <v>-7.0000000000000001E-3</v>
      </c>
      <c r="F57">
        <v>-6.0000000000000001E-3</v>
      </c>
      <c r="G57">
        <v>-6.0000000000000001E-3</v>
      </c>
    </row>
    <row r="59" spans="1:7" x14ac:dyDescent="0.25">
      <c r="A59" t="s">
        <v>21</v>
      </c>
      <c r="D59">
        <v>-1.6E-2</v>
      </c>
      <c r="E59">
        <v>3.6999999999999998E-2</v>
      </c>
      <c r="F59">
        <v>-1.7000000000000001E-2</v>
      </c>
      <c r="G59">
        <v>5.0000000000000001E-3</v>
      </c>
    </row>
    <row r="60" spans="1:7" x14ac:dyDescent="0.25">
      <c r="D60">
        <v>-4.8000000000000001E-2</v>
      </c>
      <c r="E60">
        <v>-4.2999999999999997E-2</v>
      </c>
      <c r="F60">
        <v>-3.6999999999999998E-2</v>
      </c>
      <c r="G60">
        <v>-3.5000000000000003E-2</v>
      </c>
    </row>
    <row r="62" spans="1:7" x14ac:dyDescent="0.25">
      <c r="A62" t="s">
        <v>236</v>
      </c>
      <c r="D62" t="s">
        <v>465</v>
      </c>
      <c r="E62" t="s">
        <v>368</v>
      </c>
      <c r="F62" t="s">
        <v>526</v>
      </c>
      <c r="G62" t="s">
        <v>547</v>
      </c>
    </row>
    <row r="63" spans="1:7" x14ac:dyDescent="0.25">
      <c r="D63">
        <v>-5.0000000000000001E-3</v>
      </c>
      <c r="E63">
        <v>-5.0000000000000001E-3</v>
      </c>
      <c r="F63">
        <v>-4.0000000000000001E-3</v>
      </c>
      <c r="G63">
        <v>-4.0000000000000001E-3</v>
      </c>
    </row>
    <row r="65" spans="1:7" x14ac:dyDescent="0.25">
      <c r="A65" t="s">
        <v>239</v>
      </c>
      <c r="D65" t="s">
        <v>355</v>
      </c>
      <c r="E65" t="s">
        <v>228</v>
      </c>
      <c r="F65" t="s">
        <v>260</v>
      </c>
      <c r="G65" t="s">
        <v>201</v>
      </c>
    </row>
    <row r="66" spans="1:7" x14ac:dyDescent="0.25">
      <c r="D66">
        <v>-5.0000000000000001E-3</v>
      </c>
      <c r="E66">
        <v>-5.0000000000000001E-3</v>
      </c>
      <c r="F66">
        <v>-4.0000000000000001E-3</v>
      </c>
      <c r="G66">
        <v>-4.0000000000000001E-3</v>
      </c>
    </row>
    <row r="68" spans="1:7" x14ac:dyDescent="0.25">
      <c r="A68" t="s">
        <v>243</v>
      </c>
      <c r="D68" t="s">
        <v>548</v>
      </c>
      <c r="E68" t="s">
        <v>549</v>
      </c>
      <c r="F68" t="s">
        <v>475</v>
      </c>
      <c r="G68" t="s">
        <v>478</v>
      </c>
    </row>
    <row r="69" spans="1:7" x14ac:dyDescent="0.25">
      <c r="D69">
        <v>-1.2E-2</v>
      </c>
      <c r="E69">
        <v>-1.0999999999999999E-2</v>
      </c>
      <c r="F69">
        <v>-8.9999999999999993E-3</v>
      </c>
      <c r="G69">
        <v>-8.9999999999999993E-3</v>
      </c>
    </row>
    <row r="71" spans="1:7" x14ac:dyDescent="0.25">
      <c r="A71" t="s">
        <v>22</v>
      </c>
      <c r="E71">
        <v>5.0000000000000001E-3</v>
      </c>
      <c r="F71" t="s">
        <v>550</v>
      </c>
      <c r="G71" t="s">
        <v>550</v>
      </c>
    </row>
    <row r="72" spans="1:7" x14ac:dyDescent="0.25">
      <c r="E72">
        <v>-0.01</v>
      </c>
      <c r="F72">
        <v>-8.9999999999999993E-3</v>
      </c>
      <c r="G72">
        <v>-8.0000000000000002E-3</v>
      </c>
    </row>
    <row r="74" spans="1:7" x14ac:dyDescent="0.25">
      <c r="A74" t="s">
        <v>23</v>
      </c>
      <c r="E74" t="s">
        <v>356</v>
      </c>
      <c r="F74">
        <v>1.4999999999999999E-2</v>
      </c>
      <c r="G74">
        <v>2.5999999999999999E-2</v>
      </c>
    </row>
    <row r="75" spans="1:7" x14ac:dyDescent="0.25">
      <c r="E75">
        <v>-2.1000000000000001E-2</v>
      </c>
      <c r="F75">
        <v>-1.7999999999999999E-2</v>
      </c>
      <c r="G75">
        <v>-1.7000000000000001E-2</v>
      </c>
    </row>
    <row r="77" spans="1:7" x14ac:dyDescent="0.25">
      <c r="A77" t="s">
        <v>24</v>
      </c>
      <c r="E77" t="s">
        <v>551</v>
      </c>
      <c r="F77" t="s">
        <v>552</v>
      </c>
      <c r="G77" t="s">
        <v>384</v>
      </c>
    </row>
    <row r="78" spans="1:7" x14ac:dyDescent="0.25">
      <c r="E78">
        <v>-6.0000000000000001E-3</v>
      </c>
      <c r="F78">
        <v>-6.0000000000000001E-3</v>
      </c>
      <c r="G78">
        <v>-5.0000000000000001E-3</v>
      </c>
    </row>
    <row r="80" spans="1:7" x14ac:dyDescent="0.25">
      <c r="A80" t="s">
        <v>25</v>
      </c>
      <c r="E80" t="s">
        <v>456</v>
      </c>
      <c r="F80" t="s">
        <v>359</v>
      </c>
      <c r="G80" t="s">
        <v>531</v>
      </c>
    </row>
    <row r="81" spans="1:7" x14ac:dyDescent="0.25">
      <c r="E81">
        <v>-7.0000000000000001E-3</v>
      </c>
      <c r="F81">
        <v>-7.0000000000000001E-3</v>
      </c>
      <c r="G81">
        <v>-6.0000000000000001E-3</v>
      </c>
    </row>
    <row r="83" spans="1:7" x14ac:dyDescent="0.25">
      <c r="A83" t="s">
        <v>26</v>
      </c>
      <c r="E83" t="s">
        <v>551</v>
      </c>
      <c r="F83" t="s">
        <v>477</v>
      </c>
      <c r="G83" t="s">
        <v>209</v>
      </c>
    </row>
    <row r="84" spans="1:7" x14ac:dyDescent="0.25">
      <c r="E84">
        <v>-7.0000000000000001E-3</v>
      </c>
      <c r="F84">
        <v>-6.0000000000000001E-3</v>
      </c>
      <c r="G84">
        <v>-6.0000000000000001E-3</v>
      </c>
    </row>
    <row r="86" spans="1:7" x14ac:dyDescent="0.25">
      <c r="A86" t="s">
        <v>27</v>
      </c>
      <c r="E86" t="s">
        <v>360</v>
      </c>
      <c r="F86" t="s">
        <v>222</v>
      </c>
      <c r="G86" t="s">
        <v>553</v>
      </c>
    </row>
    <row r="87" spans="1:7" x14ac:dyDescent="0.25">
      <c r="E87">
        <v>-8.9999999999999993E-3</v>
      </c>
      <c r="F87">
        <v>-8.0000000000000002E-3</v>
      </c>
      <c r="G87">
        <v>-7.0000000000000001E-3</v>
      </c>
    </row>
    <row r="89" spans="1:7" x14ac:dyDescent="0.25">
      <c r="A89" t="s">
        <v>31</v>
      </c>
      <c r="E89" t="s">
        <v>535</v>
      </c>
      <c r="F89">
        <v>-4.0000000000000001E-3</v>
      </c>
      <c r="G89">
        <v>4.0000000000000001E-3</v>
      </c>
    </row>
    <row r="90" spans="1:7" x14ac:dyDescent="0.25">
      <c r="E90">
        <v>-6.0000000000000001E-3</v>
      </c>
      <c r="F90">
        <v>-6.0000000000000001E-3</v>
      </c>
      <c r="G90">
        <v>-5.0000000000000001E-3</v>
      </c>
    </row>
    <row r="92" spans="1:7" x14ac:dyDescent="0.25">
      <c r="A92" t="s">
        <v>28</v>
      </c>
      <c r="E92">
        <v>-7.0000000000000001E-3</v>
      </c>
      <c r="F92">
        <v>-3.1E-2</v>
      </c>
      <c r="G92">
        <v>-3.5000000000000003E-2</v>
      </c>
    </row>
    <row r="93" spans="1:7" x14ac:dyDescent="0.25">
      <c r="E93">
        <v>-3.2000000000000001E-2</v>
      </c>
      <c r="F93">
        <v>-2.8000000000000001E-2</v>
      </c>
      <c r="G93">
        <v>-2.5999999999999999E-2</v>
      </c>
    </row>
    <row r="95" spans="1:7" x14ac:dyDescent="0.25">
      <c r="A95" t="s">
        <v>250</v>
      </c>
      <c r="E95">
        <v>3.7999999999999999E-2</v>
      </c>
      <c r="F95" t="s">
        <v>554</v>
      </c>
      <c r="G95">
        <v>-9.1999999999999998E-2</v>
      </c>
    </row>
    <row r="96" spans="1:7" x14ac:dyDescent="0.25">
      <c r="E96">
        <v>-6.8000000000000005E-2</v>
      </c>
      <c r="F96">
        <v>-0.06</v>
      </c>
      <c r="G96">
        <v>-5.7000000000000002E-2</v>
      </c>
    </row>
    <row r="98" spans="1:7" x14ac:dyDescent="0.25">
      <c r="A98" t="s">
        <v>251</v>
      </c>
      <c r="E98" t="s">
        <v>555</v>
      </c>
      <c r="F98" t="s">
        <v>521</v>
      </c>
      <c r="G98" t="s">
        <v>225</v>
      </c>
    </row>
    <row r="99" spans="1:7" x14ac:dyDescent="0.25">
      <c r="E99">
        <v>-0.01</v>
      </c>
      <c r="F99">
        <v>-8.9999999999999993E-3</v>
      </c>
      <c r="G99">
        <v>-8.9999999999999993E-3</v>
      </c>
    </row>
    <row r="101" spans="1:7" x14ac:dyDescent="0.25">
      <c r="A101" t="s">
        <v>253</v>
      </c>
      <c r="E101" t="s">
        <v>206</v>
      </c>
      <c r="F101" t="s">
        <v>362</v>
      </c>
      <c r="G101" t="s">
        <v>556</v>
      </c>
    </row>
    <row r="102" spans="1:7" x14ac:dyDescent="0.25">
      <c r="E102">
        <v>-6.0000000000000001E-3</v>
      </c>
      <c r="F102">
        <v>-5.0000000000000001E-3</v>
      </c>
      <c r="G102">
        <v>-5.0000000000000001E-3</v>
      </c>
    </row>
    <row r="104" spans="1:7" x14ac:dyDescent="0.25">
      <c r="A104" t="s">
        <v>256</v>
      </c>
      <c r="E104" t="s">
        <v>205</v>
      </c>
      <c r="F104" t="s">
        <v>374</v>
      </c>
      <c r="G104" t="s">
        <v>246</v>
      </c>
    </row>
    <row r="105" spans="1:7" x14ac:dyDescent="0.25">
      <c r="E105">
        <v>-7.0000000000000001E-3</v>
      </c>
      <c r="F105">
        <v>-6.0000000000000001E-3</v>
      </c>
      <c r="G105">
        <v>-6.0000000000000001E-3</v>
      </c>
    </row>
    <row r="107" spans="1:7" x14ac:dyDescent="0.25">
      <c r="A107" t="s">
        <v>257</v>
      </c>
      <c r="E107" t="s">
        <v>557</v>
      </c>
      <c r="F107" t="s">
        <v>531</v>
      </c>
      <c r="G107" t="s">
        <v>240</v>
      </c>
    </row>
    <row r="108" spans="1:7" x14ac:dyDescent="0.25">
      <c r="E108">
        <v>-0.01</v>
      </c>
      <c r="F108">
        <v>-8.9999999999999993E-3</v>
      </c>
      <c r="G108">
        <v>-8.0000000000000002E-3</v>
      </c>
    </row>
    <row r="110" spans="1:7" x14ac:dyDescent="0.25">
      <c r="A110" t="s">
        <v>259</v>
      </c>
      <c r="E110" t="s">
        <v>558</v>
      </c>
      <c r="F110" t="s">
        <v>458</v>
      </c>
      <c r="G110" t="s">
        <v>371</v>
      </c>
    </row>
    <row r="111" spans="1:7" x14ac:dyDescent="0.25">
      <c r="E111">
        <v>-8.0000000000000002E-3</v>
      </c>
      <c r="F111">
        <v>-8.0000000000000002E-3</v>
      </c>
      <c r="G111">
        <v>-7.0000000000000001E-3</v>
      </c>
    </row>
    <row r="113" spans="1:7" x14ac:dyDescent="0.25">
      <c r="A113" t="s">
        <v>261</v>
      </c>
      <c r="E113" t="s">
        <v>559</v>
      </c>
      <c r="F113" t="s">
        <v>560</v>
      </c>
      <c r="G113" t="s">
        <v>561</v>
      </c>
    </row>
    <row r="114" spans="1:7" x14ac:dyDescent="0.25">
      <c r="E114">
        <v>-1.0999999999999999E-2</v>
      </c>
      <c r="F114">
        <v>-0.01</v>
      </c>
      <c r="G114">
        <v>-1.0999999999999999E-2</v>
      </c>
    </row>
    <row r="116" spans="1:7" x14ac:dyDescent="0.25">
      <c r="A116" t="s">
        <v>166</v>
      </c>
      <c r="E116" t="s">
        <v>562</v>
      </c>
      <c r="F116" t="s">
        <v>563</v>
      </c>
      <c r="G116" t="s">
        <v>543</v>
      </c>
    </row>
    <row r="117" spans="1:7" x14ac:dyDescent="0.25">
      <c r="E117">
        <v>-8.0000000000000002E-3</v>
      </c>
      <c r="F117">
        <v>-7.0000000000000001E-3</v>
      </c>
      <c r="G117">
        <v>-6.0000000000000001E-3</v>
      </c>
    </row>
    <row r="119" spans="1:7" x14ac:dyDescent="0.25">
      <c r="A119" t="s">
        <v>167</v>
      </c>
      <c r="E119" t="s">
        <v>564</v>
      </c>
      <c r="F119" t="s">
        <v>565</v>
      </c>
      <c r="G119" t="s">
        <v>566</v>
      </c>
    </row>
    <row r="120" spans="1:7" x14ac:dyDescent="0.25">
      <c r="E120">
        <v>-8.9999999999999993E-3</v>
      </c>
      <c r="F120">
        <v>-8.0000000000000002E-3</v>
      </c>
      <c r="G120">
        <v>-8.0000000000000002E-3</v>
      </c>
    </row>
    <row r="122" spans="1:7" x14ac:dyDescent="0.25">
      <c r="A122" t="s">
        <v>168</v>
      </c>
      <c r="E122" t="s">
        <v>567</v>
      </c>
      <c r="F122" t="s">
        <v>568</v>
      </c>
      <c r="G122" t="s">
        <v>569</v>
      </c>
    </row>
    <row r="123" spans="1:7" x14ac:dyDescent="0.25">
      <c r="E123">
        <v>-0.02</v>
      </c>
      <c r="F123">
        <v>-1.7000000000000001E-2</v>
      </c>
      <c r="G123">
        <v>-1.6E-2</v>
      </c>
    </row>
    <row r="125" spans="1:7" x14ac:dyDescent="0.25">
      <c r="A125" t="s">
        <v>169</v>
      </c>
      <c r="E125" t="s">
        <v>570</v>
      </c>
      <c r="F125" t="s">
        <v>571</v>
      </c>
      <c r="G125" t="s">
        <v>572</v>
      </c>
    </row>
    <row r="126" spans="1:7" x14ac:dyDescent="0.25">
      <c r="E126">
        <v>-0.02</v>
      </c>
      <c r="F126">
        <v>-1.7000000000000001E-2</v>
      </c>
      <c r="G126">
        <v>-1.7000000000000001E-2</v>
      </c>
    </row>
    <row r="128" spans="1:7" x14ac:dyDescent="0.25">
      <c r="A128" t="s">
        <v>170</v>
      </c>
      <c r="E128" t="s">
        <v>573</v>
      </c>
      <c r="F128">
        <v>-6.8000000000000005E-2</v>
      </c>
      <c r="G128">
        <v>1.9E-2</v>
      </c>
    </row>
    <row r="129" spans="1:7" x14ac:dyDescent="0.25">
      <c r="E129">
        <v>-4.8000000000000001E-2</v>
      </c>
      <c r="F129">
        <v>-4.2999999999999997E-2</v>
      </c>
      <c r="G129">
        <v>-0.04</v>
      </c>
    </row>
    <row r="131" spans="1:7" x14ac:dyDescent="0.25">
      <c r="A131" t="s">
        <v>50</v>
      </c>
      <c r="E131">
        <v>4.0000000000000003E-5</v>
      </c>
      <c r="F131" t="s">
        <v>230</v>
      </c>
      <c r="G131" t="s">
        <v>266</v>
      </c>
    </row>
    <row r="132" spans="1:7" x14ac:dyDescent="0.25">
      <c r="E132">
        <v>-4.0000000000000003E-5</v>
      </c>
      <c r="F132">
        <v>-4.0000000000000003E-5</v>
      </c>
      <c r="G132">
        <v>-3.0000000000000001E-5</v>
      </c>
    </row>
    <row r="134" spans="1:7" x14ac:dyDescent="0.25">
      <c r="A134" t="s">
        <v>52</v>
      </c>
      <c r="E134">
        <v>-5.0000000000000001E-3</v>
      </c>
      <c r="F134">
        <v>5.0000000000000001E-3</v>
      </c>
      <c r="G134" t="s">
        <v>394</v>
      </c>
    </row>
    <row r="135" spans="1:7" x14ac:dyDescent="0.25">
      <c r="E135">
        <v>-4.0000000000000001E-3</v>
      </c>
      <c r="F135">
        <v>-3.0000000000000001E-3</v>
      </c>
      <c r="G135">
        <v>-3.0000000000000001E-3</v>
      </c>
    </row>
    <row r="137" spans="1:7" x14ac:dyDescent="0.25">
      <c r="A137" t="s">
        <v>51</v>
      </c>
      <c r="E137" t="s">
        <v>269</v>
      </c>
      <c r="F137" t="s">
        <v>394</v>
      </c>
      <c r="G137" t="s">
        <v>279</v>
      </c>
    </row>
    <row r="138" spans="1:7" x14ac:dyDescent="0.25">
      <c r="E138">
        <v>-1E-3</v>
      </c>
      <c r="F138">
        <v>-1E-3</v>
      </c>
      <c r="G138">
        <v>-1E-3</v>
      </c>
    </row>
    <row r="140" spans="1:7" x14ac:dyDescent="0.25">
      <c r="A140" t="s">
        <v>164</v>
      </c>
      <c r="F140" t="s">
        <v>270</v>
      </c>
      <c r="G140" t="s">
        <v>395</v>
      </c>
    </row>
    <row r="141" spans="1:7" x14ac:dyDescent="0.25">
      <c r="F141">
        <v>-1E-3</v>
      </c>
      <c r="G141">
        <v>-1E-3</v>
      </c>
    </row>
    <row r="143" spans="1:7" x14ac:dyDescent="0.25">
      <c r="A143" t="s">
        <v>39</v>
      </c>
      <c r="F143" t="s">
        <v>386</v>
      </c>
      <c r="G143" t="s">
        <v>247</v>
      </c>
    </row>
    <row r="144" spans="1:7" x14ac:dyDescent="0.25">
      <c r="F144">
        <v>-6.0000000000000001E-3</v>
      </c>
      <c r="G144">
        <v>-6.0000000000000001E-3</v>
      </c>
    </row>
    <row r="146" spans="1:7" x14ac:dyDescent="0.25">
      <c r="A146" t="s">
        <v>40</v>
      </c>
      <c r="F146" t="s">
        <v>540</v>
      </c>
      <c r="G146" t="s">
        <v>539</v>
      </c>
    </row>
    <row r="147" spans="1:7" x14ac:dyDescent="0.25">
      <c r="F147">
        <v>-1E-3</v>
      </c>
      <c r="G147">
        <v>-1E-3</v>
      </c>
    </row>
    <row r="149" spans="1:7" x14ac:dyDescent="0.25">
      <c r="A149" t="s">
        <v>41</v>
      </c>
      <c r="F149" t="s">
        <v>275</v>
      </c>
      <c r="G149" t="s">
        <v>574</v>
      </c>
    </row>
    <row r="150" spans="1:7" x14ac:dyDescent="0.25">
      <c r="F150">
        <v>-1E-3</v>
      </c>
      <c r="G150">
        <v>-1E-3</v>
      </c>
    </row>
    <row r="152" spans="1:7" x14ac:dyDescent="0.25">
      <c r="A152" t="s">
        <v>173</v>
      </c>
      <c r="F152" t="s">
        <v>575</v>
      </c>
      <c r="G152" t="s">
        <v>575</v>
      </c>
    </row>
    <row r="153" spans="1:7" x14ac:dyDescent="0.25">
      <c r="F153">
        <v>-2.0000000000000001E-4</v>
      </c>
      <c r="G153">
        <v>-2.0000000000000001E-4</v>
      </c>
    </row>
    <row r="155" spans="1:7" x14ac:dyDescent="0.25">
      <c r="A155" t="s">
        <v>174</v>
      </c>
      <c r="F155" t="s">
        <v>362</v>
      </c>
      <c r="G155" t="s">
        <v>576</v>
      </c>
    </row>
    <row r="156" spans="1:7" x14ac:dyDescent="0.25">
      <c r="F156">
        <v>-2E-3</v>
      </c>
      <c r="G156">
        <v>-2E-3</v>
      </c>
    </row>
    <row r="158" spans="1:7" x14ac:dyDescent="0.25">
      <c r="A158" t="s">
        <v>175</v>
      </c>
      <c r="F158" t="s">
        <v>361</v>
      </c>
      <c r="G158" t="s">
        <v>202</v>
      </c>
    </row>
    <row r="159" spans="1:7" x14ac:dyDescent="0.25">
      <c r="F159">
        <v>-2E-3</v>
      </c>
      <c r="G159">
        <v>-2E-3</v>
      </c>
    </row>
    <row r="161" spans="1:7" x14ac:dyDescent="0.25">
      <c r="A161" t="s">
        <v>53</v>
      </c>
      <c r="F161" t="s">
        <v>281</v>
      </c>
      <c r="G161" t="s">
        <v>281</v>
      </c>
    </row>
    <row r="162" spans="1:7" x14ac:dyDescent="0.25">
      <c r="F162">
        <v>0</v>
      </c>
      <c r="G162">
        <v>0</v>
      </c>
    </row>
    <row r="164" spans="1:7" x14ac:dyDescent="0.25">
      <c r="A164" t="s">
        <v>54</v>
      </c>
      <c r="F164" t="s">
        <v>280</v>
      </c>
      <c r="G164" t="s">
        <v>280</v>
      </c>
    </row>
    <row r="165" spans="1:7" x14ac:dyDescent="0.25">
      <c r="F165">
        <v>0</v>
      </c>
      <c r="G165">
        <v>0</v>
      </c>
    </row>
    <row r="167" spans="1:7" x14ac:dyDescent="0.25">
      <c r="A167" t="s">
        <v>43</v>
      </c>
      <c r="G167" t="s">
        <v>577</v>
      </c>
    </row>
    <row r="168" spans="1:7" x14ac:dyDescent="0.25">
      <c r="G168">
        <v>-4.2000000000000003E-2</v>
      </c>
    </row>
    <row r="170" spans="1:7" x14ac:dyDescent="0.25">
      <c r="A170" t="s">
        <v>44</v>
      </c>
      <c r="G170" t="s">
        <v>578</v>
      </c>
    </row>
    <row r="171" spans="1:7" x14ac:dyDescent="0.25">
      <c r="G171">
        <v>-8.9999999999999993E-3</v>
      </c>
    </row>
    <row r="173" spans="1:7" x14ac:dyDescent="0.25">
      <c r="A173" t="s">
        <v>45</v>
      </c>
      <c r="G173" t="s">
        <v>579</v>
      </c>
    </row>
    <row r="174" spans="1:7" x14ac:dyDescent="0.25">
      <c r="G174">
        <v>-1.9E-2</v>
      </c>
    </row>
    <row r="176" spans="1:7" x14ac:dyDescent="0.25">
      <c r="A176" t="s">
        <v>48</v>
      </c>
      <c r="G176" t="s">
        <v>580</v>
      </c>
    </row>
    <row r="177" spans="1:7" x14ac:dyDescent="0.25">
      <c r="G177">
        <v>-8.9999999999999993E-3</v>
      </c>
    </row>
    <row r="179" spans="1:7" x14ac:dyDescent="0.25">
      <c r="A179" t="s">
        <v>46</v>
      </c>
      <c r="G179" t="s">
        <v>581</v>
      </c>
    </row>
    <row r="180" spans="1:7" x14ac:dyDescent="0.25">
      <c r="G180">
        <v>-1.0999999999999999E-2</v>
      </c>
    </row>
    <row r="182" spans="1:7" x14ac:dyDescent="0.25">
      <c r="A182" t="s">
        <v>282</v>
      </c>
      <c r="B182" t="s">
        <v>582</v>
      </c>
      <c r="C182" t="s">
        <v>583</v>
      </c>
      <c r="D182" t="s">
        <v>584</v>
      </c>
      <c r="E182" t="s">
        <v>585</v>
      </c>
      <c r="F182">
        <v>1.0169999999999999</v>
      </c>
      <c r="G182" t="s">
        <v>586</v>
      </c>
    </row>
    <row r="183" spans="1:7" x14ac:dyDescent="0.25">
      <c r="B183">
        <v>-4.0000000000000001E-3</v>
      </c>
      <c r="C183">
        <v>-8.9999999999999993E-3</v>
      </c>
      <c r="D183">
        <v>-1.2E-2</v>
      </c>
      <c r="E183">
        <v>-1.4999999999999999E-2</v>
      </c>
      <c r="F183">
        <v>-1.3069999999999999</v>
      </c>
      <c r="G183">
        <v>-1.246</v>
      </c>
    </row>
    <row r="185" spans="1:7" x14ac:dyDescent="0.25">
      <c r="A185" t="s">
        <v>195</v>
      </c>
      <c r="B185" t="s">
        <v>519</v>
      </c>
      <c r="C185" t="s">
        <v>197</v>
      </c>
      <c r="D185" t="s">
        <v>196</v>
      </c>
      <c r="E185" t="s">
        <v>196</v>
      </c>
      <c r="F185" t="s">
        <v>196</v>
      </c>
      <c r="G185" t="s">
        <v>196</v>
      </c>
    </row>
    <row r="186" spans="1:7" x14ac:dyDescent="0.25">
      <c r="A186" t="s">
        <v>187</v>
      </c>
      <c r="B186" s="1">
        <v>27632</v>
      </c>
      <c r="C186" s="1">
        <v>27632</v>
      </c>
      <c r="D186" s="1">
        <v>27632</v>
      </c>
      <c r="E186" s="1">
        <v>27632</v>
      </c>
      <c r="F186" s="1">
        <v>27632</v>
      </c>
      <c r="G186" s="1">
        <v>27632</v>
      </c>
    </row>
    <row r="187" spans="1:7" x14ac:dyDescent="0.25">
      <c r="A187" t="s">
        <v>283</v>
      </c>
      <c r="B187">
        <v>1.0000000000000001E-5</v>
      </c>
      <c r="C187">
        <v>1.2E-2</v>
      </c>
      <c r="D187">
        <v>0.65900000000000003</v>
      </c>
      <c r="E187">
        <v>0.73199999999999998</v>
      </c>
      <c r="F187">
        <v>0.79400000000000004</v>
      </c>
      <c r="G187">
        <v>0.81599999999999995</v>
      </c>
    </row>
    <row r="188" spans="1:7" x14ac:dyDescent="0.25">
      <c r="A188" t="s">
        <v>284</v>
      </c>
      <c r="B188">
        <v>-3.0000000000000001E-5</v>
      </c>
      <c r="C188">
        <v>1.2E-2</v>
      </c>
      <c r="D188">
        <v>0.65800000000000003</v>
      </c>
      <c r="E188">
        <v>0.73099999999999998</v>
      </c>
      <c r="F188">
        <v>0.79300000000000004</v>
      </c>
      <c r="G188">
        <v>0.81599999999999995</v>
      </c>
    </row>
    <row r="189" spans="1:7" x14ac:dyDescent="0.25">
      <c r="A189" t="s">
        <v>285</v>
      </c>
      <c r="B189" t="s">
        <v>587</v>
      </c>
      <c r="C189" t="s">
        <v>588</v>
      </c>
      <c r="D189" t="s">
        <v>589</v>
      </c>
      <c r="E189" t="s">
        <v>590</v>
      </c>
      <c r="F189" t="s">
        <v>591</v>
      </c>
      <c r="G189" t="s">
        <v>592</v>
      </c>
    </row>
    <row r="190" spans="1:7" x14ac:dyDescent="0.25">
      <c r="A190" t="s">
        <v>286</v>
      </c>
      <c r="B190" t="s">
        <v>593</v>
      </c>
      <c r="C190" t="s">
        <v>594</v>
      </c>
      <c r="D190" t="s">
        <v>595</v>
      </c>
      <c r="E190" t="s">
        <v>596</v>
      </c>
      <c r="F190" t="s">
        <v>597</v>
      </c>
      <c r="G190" t="s">
        <v>598</v>
      </c>
    </row>
    <row r="191" spans="1:7" x14ac:dyDescent="0.25">
      <c r="A191" t="s">
        <v>192</v>
      </c>
      <c r="B191" t="s">
        <v>514</v>
      </c>
      <c r="C191" t="s">
        <v>193</v>
      </c>
      <c r="D191" t="s">
        <v>194</v>
      </c>
      <c r="E191" t="s">
        <v>194</v>
      </c>
      <c r="F191" t="s">
        <v>194</v>
      </c>
      <c r="G191" t="s">
        <v>194</v>
      </c>
    </row>
    <row r="192" spans="1:7" x14ac:dyDescent="0.25">
      <c r="A192" t="s">
        <v>287</v>
      </c>
      <c r="G192" t="s">
        <v>288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7456-748C-4C9D-907C-A45F99445CB2}">
  <dimension ref="A1:AG61"/>
  <sheetViews>
    <sheetView workbookViewId="0">
      <selection sqref="A1:A1048576"/>
    </sheetView>
  </sheetViews>
  <sheetFormatPr defaultColWidth="11.42578125"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3.3598344472540398</v>
      </c>
      <c r="D2">
        <v>13.604751261850501</v>
      </c>
      <c r="E2">
        <v>0.246960373077562</v>
      </c>
      <c r="F2">
        <v>0.80945043591920796</v>
      </c>
      <c r="G2">
        <v>1.01684429932689</v>
      </c>
      <c r="H2">
        <v>19.093989774320299</v>
      </c>
      <c r="I2">
        <v>5.3254679160583698E-2</v>
      </c>
      <c r="J2">
        <v>0.95847343176148703</v>
      </c>
      <c r="K2">
        <v>12.331031098874099</v>
      </c>
      <c r="L2">
        <v>0.11430319255025501</v>
      </c>
      <c r="M2">
        <v>107.880023503741</v>
      </c>
      <c r="N2">
        <v>1.02130791330334E-14</v>
      </c>
      <c r="O2">
        <v>12.739409256340601</v>
      </c>
      <c r="P2">
        <v>0.12864241093267301</v>
      </c>
      <c r="Q2">
        <v>99.029621444268003</v>
      </c>
      <c r="R2">
        <v>1.9357581920798101E-16</v>
      </c>
      <c r="S2">
        <v>13.144095453862899</v>
      </c>
      <c r="T2">
        <v>4.2296368153943102E-2</v>
      </c>
      <c r="U2">
        <v>310.76179888597602</v>
      </c>
      <c r="V2">
        <v>2.6512074390106E-22</v>
      </c>
      <c r="W2">
        <v>13.2530999422509</v>
      </c>
      <c r="X2">
        <v>5.92348454239702E-2</v>
      </c>
      <c r="Y2">
        <v>223.73823798125099</v>
      </c>
      <c r="Z2">
        <v>2.5202731096119001E-21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1.4285689615026799E-2</v>
      </c>
      <c r="D3">
        <v>8.5648943530191798E-3</v>
      </c>
      <c r="E3">
        <v>1.66793529799827</v>
      </c>
      <c r="F3">
        <v>0.126692626312565</v>
      </c>
      <c r="G3">
        <v>5.4400954546611003E-3</v>
      </c>
      <c r="H3">
        <v>8.7075895987974005E-3</v>
      </c>
      <c r="I3">
        <v>0.62475331352460906</v>
      </c>
      <c r="J3">
        <v>0.54629905284129898</v>
      </c>
      <c r="K3">
        <v>-5.4051997723445302E-4</v>
      </c>
      <c r="L3">
        <v>1.46991245014146E-2</v>
      </c>
      <c r="M3">
        <v>-3.6772256550547298E-2</v>
      </c>
      <c r="N3">
        <v>0.971398915768659</v>
      </c>
      <c r="O3">
        <v>-1.79874218289795E-2</v>
      </c>
      <c r="P3">
        <v>1.7658819450601201E-2</v>
      </c>
      <c r="Q3">
        <v>-1.0186084001423501</v>
      </c>
      <c r="R3">
        <v>0.332714006165508</v>
      </c>
      <c r="S3">
        <v>-3.4328571359933599E-2</v>
      </c>
      <c r="T3">
        <v>3.2815941779459699E-2</v>
      </c>
      <c r="U3">
        <v>-1.0460943522706001</v>
      </c>
      <c r="V3">
        <v>0.32047633641716999</v>
      </c>
      <c r="W3">
        <v>-2.5271786614949401E-3</v>
      </c>
      <c r="X3">
        <v>2.9883639708915E-2</v>
      </c>
      <c r="Y3">
        <v>-8.4567297896481597E-2</v>
      </c>
      <c r="Z3">
        <v>0.93410964202107705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-2.2183475988741898E-5</v>
      </c>
      <c r="D4">
        <v>6.0637608624350403E-5</v>
      </c>
      <c r="E4">
        <v>-0.36583692022171299</v>
      </c>
      <c r="F4">
        <v>0.72990583491843697</v>
      </c>
      <c r="G4">
        <v>-8.3407260945368093E-6</v>
      </c>
      <c r="H4">
        <v>5.5252119607637297E-5</v>
      </c>
      <c r="I4">
        <v>-0.150957576899618</v>
      </c>
      <c r="J4">
        <v>0.88606977069552195</v>
      </c>
      <c r="K4">
        <v>2.75867893651463E-5</v>
      </c>
      <c r="L4">
        <v>9.7531475362027897E-5</v>
      </c>
      <c r="M4">
        <v>0.28285011851555297</v>
      </c>
      <c r="N4">
        <v>0.78893299456858601</v>
      </c>
      <c r="O4">
        <v>2.3756022975799699E-4</v>
      </c>
      <c r="P4">
        <v>1.2929600389923601E-4</v>
      </c>
      <c r="Q4">
        <v>1.8373362098888499</v>
      </c>
      <c r="R4">
        <v>0.12681413702494099</v>
      </c>
      <c r="S4">
        <v>8.4833599353141597E-4</v>
      </c>
      <c r="T4">
        <v>2.8930649385218302E-4</v>
      </c>
      <c r="U4">
        <v>2.9323088543075002</v>
      </c>
      <c r="V4">
        <v>3.4227279376023302E-2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5.0925799242083299E-2</v>
      </c>
      <c r="D5">
        <v>1.2335030806261801E-2</v>
      </c>
      <c r="E5">
        <v>4.1285506329040604</v>
      </c>
      <c r="F5">
        <v>1.7104501547181999E-3</v>
      </c>
      <c r="G5">
        <v>4.3651869254285797E-2</v>
      </c>
      <c r="H5">
        <v>1.1128280796488201E-2</v>
      </c>
      <c r="I5">
        <v>3.9226067397635398</v>
      </c>
      <c r="J5">
        <v>2.4421090352831701E-3</v>
      </c>
      <c r="K5">
        <v>3.9246976768206501E-2</v>
      </c>
      <c r="L5">
        <v>1.25178568650496E-2</v>
      </c>
      <c r="M5">
        <v>3.13527924079286</v>
      </c>
      <c r="N5">
        <v>9.6357825986773706E-3</v>
      </c>
      <c r="O5">
        <v>5.6100225497101398E-2</v>
      </c>
      <c r="P5">
        <v>1.7665316004663499E-2</v>
      </c>
      <c r="Q5">
        <v>3.1757272545983</v>
      </c>
      <c r="R5">
        <v>8.9535231453300793E-3</v>
      </c>
      <c r="S5">
        <v>0.117253674042835</v>
      </c>
      <c r="T5">
        <v>7.4693941788284604E-2</v>
      </c>
      <c r="U5">
        <v>1.5697882751346</v>
      </c>
      <c r="V5">
        <v>0.14532048009059301</v>
      </c>
      <c r="AB5" t="str">
        <f t="shared" si="0"/>
        <v>***</v>
      </c>
      <c r="AC5" t="str">
        <f t="shared" si="1"/>
        <v>***</v>
      </c>
      <c r="AD5" t="str">
        <f t="shared" si="2"/>
        <v>***</v>
      </c>
      <c r="AE5" t="str">
        <f t="shared" si="3"/>
        <v>***</v>
      </c>
      <c r="AF5" t="str">
        <f t="shared" si="4"/>
        <v/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6.9365064238484805E-2</v>
      </c>
      <c r="D6">
        <v>1.6445010492946902E-2</v>
      </c>
      <c r="E6">
        <v>4.2180006068244804</v>
      </c>
      <c r="F6">
        <v>1.5195544276587101E-3</v>
      </c>
      <c r="G6">
        <v>6.5128943260406996E-2</v>
      </c>
      <c r="H6">
        <v>1.7097949532676598E-2</v>
      </c>
      <c r="I6">
        <v>3.8091668907980201</v>
      </c>
      <c r="J6">
        <v>3.02145731103234E-3</v>
      </c>
      <c r="K6">
        <v>5.2418832843992097E-2</v>
      </c>
      <c r="L6">
        <v>1.8340690211195401E-2</v>
      </c>
      <c r="M6">
        <v>2.8580621688923702</v>
      </c>
      <c r="N6">
        <v>1.58931565047572E-2</v>
      </c>
      <c r="O6">
        <v>6.3798357270528003E-2</v>
      </c>
      <c r="P6">
        <v>1.74314306492728E-2</v>
      </c>
      <c r="Q6">
        <v>3.6599610527773598</v>
      </c>
      <c r="R6">
        <v>3.8935967842343299E-3</v>
      </c>
      <c r="S6">
        <v>7.5313278190711597E-2</v>
      </c>
      <c r="T6">
        <v>3.6513690071296803E-2</v>
      </c>
      <c r="U6">
        <v>2.0626038629252399</v>
      </c>
      <c r="V6">
        <v>6.4212265942185695E-2</v>
      </c>
      <c r="AB6" t="str">
        <f t="shared" si="0"/>
        <v>***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5.9499324168703301E-2</v>
      </c>
      <c r="D7">
        <v>1.5889761598442399E-2</v>
      </c>
      <c r="E7">
        <v>3.74450703996312</v>
      </c>
      <c r="F7">
        <v>3.1491245416102498E-3</v>
      </c>
      <c r="G7">
        <v>5.2217407798292197E-2</v>
      </c>
      <c r="H7">
        <v>1.6399498276711898E-2</v>
      </c>
      <c r="I7">
        <v>3.184085690746</v>
      </c>
      <c r="J7">
        <v>8.5367690471568804E-3</v>
      </c>
      <c r="K7">
        <v>4.3420264579535003E-2</v>
      </c>
      <c r="L7">
        <v>1.6206663530208099E-2</v>
      </c>
      <c r="M7">
        <v>2.6791612288737001</v>
      </c>
      <c r="N7">
        <v>2.1173463424670001E-2</v>
      </c>
      <c r="O7">
        <v>5.19056036203231E-2</v>
      </c>
      <c r="P7">
        <v>1.9890477519424701E-2</v>
      </c>
      <c r="Q7">
        <v>2.6095705128060902</v>
      </c>
      <c r="R7">
        <v>2.3979296304473902E-2</v>
      </c>
      <c r="S7">
        <v>6.5578076621635006E-2</v>
      </c>
      <c r="T7">
        <v>3.0608998615614901E-2</v>
      </c>
      <c r="U7">
        <v>2.1424443656311198</v>
      </c>
      <c r="V7">
        <v>5.5018201031446501E-2</v>
      </c>
      <c r="AB7" t="str">
        <f t="shared" si="0"/>
        <v>***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2.4208682874412499E-2</v>
      </c>
      <c r="D8">
        <v>2.4040891953890399E-2</v>
      </c>
      <c r="E8">
        <v>1.0069793966398599</v>
      </c>
      <c r="F8">
        <v>0.33891564717802802</v>
      </c>
      <c r="G8">
        <v>2.7012507775605401E-2</v>
      </c>
      <c r="H8">
        <v>2.545958955011E-2</v>
      </c>
      <c r="I8">
        <v>1.06099541480977</v>
      </c>
      <c r="J8">
        <v>0.31493061062206201</v>
      </c>
      <c r="K8">
        <v>1.99906321401703E-2</v>
      </c>
      <c r="L8">
        <v>2.6119780583637502E-2</v>
      </c>
      <c r="M8">
        <v>0.76534456620562996</v>
      </c>
      <c r="N8">
        <v>0.46265170962424501</v>
      </c>
      <c r="O8">
        <v>3.5297751921891898E-2</v>
      </c>
      <c r="P8">
        <v>3.3184210182053302E-2</v>
      </c>
      <c r="Q8">
        <v>1.0636911871110799</v>
      </c>
      <c r="R8">
        <v>0.31374613450488997</v>
      </c>
      <c r="S8">
        <v>6.4687097301040497E-2</v>
      </c>
      <c r="T8">
        <v>5.0796783063385101E-2</v>
      </c>
      <c r="U8">
        <v>1.27344869891313</v>
      </c>
      <c r="V8">
        <v>0.23309001759020001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5.92050379564312E-2</v>
      </c>
      <c r="D9">
        <v>3.4804047871477901E-2</v>
      </c>
      <c r="E9">
        <v>1.7010963257796801</v>
      </c>
      <c r="F9">
        <v>0.11971284036400499</v>
      </c>
      <c r="G9">
        <v>6.2699068792456902E-2</v>
      </c>
      <c r="H9">
        <v>3.6345992468527599E-2</v>
      </c>
      <c r="I9">
        <v>1.72506140386038</v>
      </c>
      <c r="J9">
        <v>0.115177216175673</v>
      </c>
      <c r="K9">
        <v>5.38985325851788E-2</v>
      </c>
      <c r="L9">
        <v>3.56400045384258E-2</v>
      </c>
      <c r="M9">
        <v>1.51230431317895</v>
      </c>
      <c r="N9">
        <v>0.161336014415108</v>
      </c>
      <c r="O9">
        <v>8.6391267759332604E-2</v>
      </c>
      <c r="P9">
        <v>4.0027214978922698E-2</v>
      </c>
      <c r="Q9">
        <v>2.15831323275486</v>
      </c>
      <c r="R9">
        <v>5.6231088139309701E-2</v>
      </c>
      <c r="S9">
        <v>0.110961317540072</v>
      </c>
      <c r="T9">
        <v>6.2096405791973897E-2</v>
      </c>
      <c r="U9">
        <v>1.7869201304790201</v>
      </c>
      <c r="V9">
        <v>0.104182930372414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0.103180149084656</v>
      </c>
      <c r="D10">
        <v>3.6955153721929E-2</v>
      </c>
      <c r="E10">
        <v>2.7920367984676799</v>
      </c>
      <c r="F10">
        <v>1.91119010312274E-2</v>
      </c>
      <c r="G10">
        <v>0.106768421499798</v>
      </c>
      <c r="H10">
        <v>3.7969955265446602E-2</v>
      </c>
      <c r="I10">
        <v>2.81191854858357</v>
      </c>
      <c r="J10">
        <v>1.8471446191052E-2</v>
      </c>
      <c r="K10">
        <v>9.4650100341927002E-2</v>
      </c>
      <c r="L10">
        <v>3.55481603932572E-2</v>
      </c>
      <c r="M10">
        <v>2.6625878609426001</v>
      </c>
      <c r="N10">
        <v>2.3840963341185802E-2</v>
      </c>
      <c r="O10">
        <v>0.12999916814055401</v>
      </c>
      <c r="P10">
        <v>4.2267973137765598E-2</v>
      </c>
      <c r="Q10">
        <v>3.0755950307066602</v>
      </c>
      <c r="R10">
        <v>1.1755372787430701E-2</v>
      </c>
      <c r="S10">
        <v>0.13375217432566799</v>
      </c>
      <c r="T10">
        <v>7.0129675865321206E-2</v>
      </c>
      <c r="U10">
        <v>1.9072122133079501</v>
      </c>
      <c r="V10">
        <v>8.5610973390477699E-2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>*</v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5.6765384602411803E-2</v>
      </c>
      <c r="D11">
        <v>8.1477344548654407E-2</v>
      </c>
      <c r="E11">
        <v>0.69670145629886304</v>
      </c>
      <c r="F11">
        <v>0.50511151763256101</v>
      </c>
      <c r="G11">
        <v>5.4670881164023598E-2</v>
      </c>
      <c r="H11">
        <v>9.2958270751479805E-2</v>
      </c>
      <c r="I11">
        <v>0.58812282890012002</v>
      </c>
      <c r="J11">
        <v>0.57217559967081699</v>
      </c>
      <c r="K11">
        <v>3.3239267598477298E-2</v>
      </c>
      <c r="L11">
        <v>8.6739820049319405E-2</v>
      </c>
      <c r="M11">
        <v>0.38320655472397602</v>
      </c>
      <c r="N11">
        <v>0.71124326366104995</v>
      </c>
      <c r="O11">
        <v>6.3282357769067404E-2</v>
      </c>
      <c r="P11">
        <v>7.8170028597146599E-2</v>
      </c>
      <c r="Q11">
        <v>0.80954758370623603</v>
      </c>
      <c r="R11">
        <v>0.44095862518720202</v>
      </c>
      <c r="S11">
        <v>0.18024005645376101</v>
      </c>
      <c r="T11">
        <v>0.121167220175239</v>
      </c>
      <c r="U11">
        <v>1.4875314973231799</v>
      </c>
      <c r="V11">
        <v>0.174087909434058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5.9663704865161503E-2</v>
      </c>
      <c r="D12">
        <v>2.7570110120579101E-2</v>
      </c>
      <c r="E12">
        <v>2.16407205499796</v>
      </c>
      <c r="F12">
        <v>5.0631997315418099E-2</v>
      </c>
      <c r="G12">
        <v>4.9882694730576799E-2</v>
      </c>
      <c r="H12">
        <v>3.06472500742366E-2</v>
      </c>
      <c r="I12">
        <v>1.6276401507393401</v>
      </c>
      <c r="J12">
        <v>0.12851019412569001</v>
      </c>
      <c r="K12">
        <v>1.38111515822118E-2</v>
      </c>
      <c r="L12">
        <v>2.6961644918122699E-2</v>
      </c>
      <c r="M12">
        <v>0.51225181639152795</v>
      </c>
      <c r="N12">
        <v>0.61728045137108301</v>
      </c>
      <c r="O12">
        <v>-3.50535177470368E-2</v>
      </c>
      <c r="P12">
        <v>2.1902569592884499E-2</v>
      </c>
      <c r="Q12">
        <v>-1.60042946551918</v>
      </c>
      <c r="R12">
        <v>0.138307214276392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5.8870863403020002E-2</v>
      </c>
      <c r="D13">
        <v>2.91115793152701E-2</v>
      </c>
      <c r="E13">
        <v>2.0222490427422501</v>
      </c>
      <c r="F13">
        <v>6.3683596088382602E-2</v>
      </c>
      <c r="G13">
        <v>6.5421764882640704E-2</v>
      </c>
      <c r="H13">
        <v>3.6154304787684999E-2</v>
      </c>
      <c r="I13">
        <v>1.8095152227882101</v>
      </c>
      <c r="J13">
        <v>9.30718257729065E-2</v>
      </c>
      <c r="K13">
        <v>8.3840356050104897E-2</v>
      </c>
      <c r="L13">
        <v>4.21081587391346E-2</v>
      </c>
      <c r="M13">
        <v>1.99107153009246</v>
      </c>
      <c r="N13">
        <v>6.7369449767790801E-2</v>
      </c>
      <c r="O13">
        <v>0.103320253464976</v>
      </c>
      <c r="P13">
        <v>4.3166014239534201E-2</v>
      </c>
      <c r="Q13">
        <v>2.3935555618278102</v>
      </c>
      <c r="R13">
        <v>3.2149993994035501E-2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2.73160622802626E-2</v>
      </c>
      <c r="D14">
        <v>2.3625214450591198E-2</v>
      </c>
      <c r="E14">
        <v>1.15622494506411</v>
      </c>
      <c r="F14">
        <v>0.27121344552010801</v>
      </c>
      <c r="G14">
        <v>2.2870058745579E-2</v>
      </c>
      <c r="H14">
        <v>2.6116785521421E-2</v>
      </c>
      <c r="I14">
        <v>0.875684288436682</v>
      </c>
      <c r="J14">
        <v>0.39939024975434601</v>
      </c>
      <c r="K14">
        <v>6.7532084944695401E-3</v>
      </c>
      <c r="L14">
        <v>3.1872636858044402E-2</v>
      </c>
      <c r="M14">
        <v>0.21188107292619801</v>
      </c>
      <c r="N14">
        <v>0.83601129698258803</v>
      </c>
      <c r="O14">
        <v>-4.9514810168748199E-3</v>
      </c>
      <c r="P14">
        <v>3.2971437176898301E-2</v>
      </c>
      <c r="Q14">
        <v>-0.150174861663116</v>
      </c>
      <c r="R14">
        <v>0.88325898295752403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-3.1537042682677097E-2</v>
      </c>
      <c r="D15">
        <v>2.1953060559879198E-2</v>
      </c>
      <c r="E15">
        <v>-1.43656701518481</v>
      </c>
      <c r="F15">
        <v>0.18290579892738801</v>
      </c>
      <c r="G15">
        <v>-3.1295795746886901E-2</v>
      </c>
      <c r="H15">
        <v>2.1519986193636199E-2</v>
      </c>
      <c r="I15">
        <v>-1.45426653461988</v>
      </c>
      <c r="J15">
        <v>0.17808822922561399</v>
      </c>
      <c r="K15">
        <v>-3.5777630440509599E-2</v>
      </c>
      <c r="L15">
        <v>2.6168795003338199E-2</v>
      </c>
      <c r="M15">
        <v>-1.3671867747806401</v>
      </c>
      <c r="N15">
        <v>0.20320658617479001</v>
      </c>
      <c r="O15">
        <v>-0.101409378683361</v>
      </c>
      <c r="P15">
        <v>5.30141669655095E-2</v>
      </c>
      <c r="Q15">
        <v>-1.9128731900915701</v>
      </c>
      <c r="R15">
        <v>8.2259175887994196E-2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-7.0799379210242904E-3</v>
      </c>
      <c r="D16">
        <v>1.1564034505152899E-2</v>
      </c>
      <c r="E16">
        <v>-0.61223770284233503</v>
      </c>
      <c r="F16">
        <v>0.55424309430545105</v>
      </c>
      <c r="G16">
        <v>-8.1510411265581506E-3</v>
      </c>
      <c r="H16">
        <v>1.1618591583807699E-2</v>
      </c>
      <c r="I16">
        <v>-0.70155156653564699</v>
      </c>
      <c r="J16">
        <v>0.499115499581257</v>
      </c>
      <c r="K16">
        <v>3.2802790374058702E-3</v>
      </c>
      <c r="L16">
        <v>7.4200220955579297E-3</v>
      </c>
      <c r="M16">
        <v>0.44208480718266902</v>
      </c>
      <c r="N16">
        <v>0.66787866864498202</v>
      </c>
      <c r="O16">
        <v>8.42476228452846E-2</v>
      </c>
      <c r="P16">
        <v>1.95549688422469E-2</v>
      </c>
      <c r="Q16">
        <v>4.30824633498134</v>
      </c>
      <c r="R16">
        <v>1.2023310484968199E-3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5.1667340974626398E-4</v>
      </c>
      <c r="D17">
        <v>6.7634707855472503E-5</v>
      </c>
      <c r="E17">
        <v>7.6391755968005999</v>
      </c>
      <c r="F17">
        <v>3.4858622530893098E-5</v>
      </c>
      <c r="G17">
        <v>5.6272573316024999E-4</v>
      </c>
      <c r="H17">
        <v>7.2685418952249099E-5</v>
      </c>
      <c r="I17">
        <v>7.7419342320903999</v>
      </c>
      <c r="J17">
        <v>3.7854684748744401E-5</v>
      </c>
      <c r="K17">
        <v>6.5423679954319499E-4</v>
      </c>
      <c r="L17">
        <v>6.1886147641338794E-5</v>
      </c>
      <c r="M17">
        <v>10.571619408834801</v>
      </c>
      <c r="N17">
        <v>2.1880939118403201E-6</v>
      </c>
      <c r="O17">
        <v>7.2083180661733001E-4</v>
      </c>
      <c r="P17">
        <v>5.6322933454333802E-5</v>
      </c>
      <c r="Q17">
        <v>12.798193602642799</v>
      </c>
      <c r="R17">
        <v>6.3676661045948805E-7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-2.2309026576757599E-2</v>
      </c>
      <c r="D18">
        <v>6.9201275117320004E-3</v>
      </c>
      <c r="E18">
        <v>-3.2237883679074</v>
      </c>
      <c r="F18">
        <v>1.33651649154708E-2</v>
      </c>
      <c r="G18">
        <v>-2.3215458894004299E-2</v>
      </c>
      <c r="H18">
        <v>5.9829276531280801E-3</v>
      </c>
      <c r="I18">
        <v>-3.8802840749489098</v>
      </c>
      <c r="J18">
        <v>5.7033001538575098E-3</v>
      </c>
      <c r="K18">
        <v>-2.0490098244304301E-2</v>
      </c>
      <c r="L18">
        <v>7.35418009091824E-3</v>
      </c>
      <c r="M18">
        <v>-2.78618391050931</v>
      </c>
      <c r="N18">
        <v>2.5795286698124899E-2</v>
      </c>
      <c r="O18">
        <v>-2.4193654198944699E-2</v>
      </c>
      <c r="P18">
        <v>7.1643168869411199E-3</v>
      </c>
      <c r="Q18">
        <v>-3.3769659523358202</v>
      </c>
      <c r="R18">
        <v>1.1321260362721399E-2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0.22092417069582301</v>
      </c>
      <c r="D19">
        <v>9.3191578009936299E-2</v>
      </c>
      <c r="E19">
        <v>2.3706452386960102</v>
      </c>
      <c r="F19">
        <v>4.8567445198234201E-2</v>
      </c>
      <c r="G19">
        <v>0.24028739115384501</v>
      </c>
      <c r="H19">
        <v>8.8128867820062004E-2</v>
      </c>
      <c r="I19">
        <v>2.7265457630121102</v>
      </c>
      <c r="J19">
        <v>2.93899348698652E-2</v>
      </c>
      <c r="K19">
        <v>0.23905530634835601</v>
      </c>
      <c r="L19">
        <v>0.102637905694627</v>
      </c>
      <c r="M19">
        <v>2.3291132523651199</v>
      </c>
      <c r="N19">
        <v>5.2072632874241E-2</v>
      </c>
      <c r="O19">
        <v>0.26776471078333802</v>
      </c>
      <c r="P19">
        <v>0.10763505575379601</v>
      </c>
      <c r="Q19">
        <v>2.4877091288531599</v>
      </c>
      <c r="R19">
        <v>4.1561178578859499E-2</v>
      </c>
      <c r="AB19" t="str">
        <f t="shared" si="0"/>
        <v>**</v>
      </c>
      <c r="AC19" t="str">
        <f t="shared" si="1"/>
        <v>**</v>
      </c>
      <c r="AD19" t="str">
        <f t="shared" si="2"/>
        <v>*</v>
      </c>
      <c r="AE19" t="str">
        <f t="shared" si="3"/>
        <v>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5.2502378053452103E-3</v>
      </c>
      <c r="D20">
        <v>9.4704919694736003E-2</v>
      </c>
      <c r="E20">
        <v>5.5437857106773201E-2</v>
      </c>
      <c r="F20">
        <v>0.95760224644157199</v>
      </c>
      <c r="G20">
        <v>-1.6578597684955301E-2</v>
      </c>
      <c r="H20">
        <v>0.109849903353712</v>
      </c>
      <c r="I20">
        <v>-0.15092045763183601</v>
      </c>
      <c r="J20">
        <v>0.88501888593102396</v>
      </c>
      <c r="K20">
        <v>3.6718759732882501E-2</v>
      </c>
      <c r="L20">
        <v>8.9666340282145193E-2</v>
      </c>
      <c r="M20">
        <v>0.40950438723541999</v>
      </c>
      <c r="N20">
        <v>0.696489861259316</v>
      </c>
      <c r="O20">
        <v>-1.6187649231831299E-2</v>
      </c>
      <c r="P20">
        <v>0.115327374339863</v>
      </c>
      <c r="Q20">
        <v>-0.140362592354937</v>
      </c>
      <c r="R20">
        <v>0.89301095928739505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9.9622096780395103E-2</v>
      </c>
      <c r="D21">
        <v>1.2973036281607E-2</v>
      </c>
      <c r="E21">
        <v>7.6791658188482703</v>
      </c>
      <c r="F21">
        <v>9.87533836000405E-6</v>
      </c>
      <c r="G21">
        <v>0.103006072501952</v>
      </c>
      <c r="H21">
        <v>1.5945841255188501E-2</v>
      </c>
      <c r="I21">
        <v>6.4597452623225999</v>
      </c>
      <c r="J21">
        <v>4.8662758503106098E-5</v>
      </c>
      <c r="K21">
        <v>0.131703846831324</v>
      </c>
      <c r="L21">
        <v>1.73932128697982E-2</v>
      </c>
      <c r="M21">
        <v>7.5721402260313004</v>
      </c>
      <c r="N21">
        <v>1.1122423609561601E-5</v>
      </c>
      <c r="O21">
        <v>0.1535453714336</v>
      </c>
      <c r="P21">
        <v>2.70873041202144E-2</v>
      </c>
      <c r="Q21">
        <v>5.6685364756920897</v>
      </c>
      <c r="R21">
        <v>1.52515105619554E-4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5.5107640906918401E-2</v>
      </c>
      <c r="D22">
        <v>4.7674607513485904E-3</v>
      </c>
      <c r="E22">
        <v>11.5591178996764</v>
      </c>
      <c r="F22">
        <v>1.2656507017732001E-7</v>
      </c>
      <c r="G22">
        <v>5.6147352456919701E-2</v>
      </c>
      <c r="H22">
        <v>6.8018044799611601E-3</v>
      </c>
      <c r="I22">
        <v>8.25477307122482</v>
      </c>
      <c r="J22">
        <v>3.9645121126191097E-6</v>
      </c>
      <c r="K22">
        <v>6.8899295755644102E-2</v>
      </c>
      <c r="L22">
        <v>1.1635271963603E-2</v>
      </c>
      <c r="M22">
        <v>5.9215887665687497</v>
      </c>
      <c r="N22">
        <v>8.7980594207802206E-5</v>
      </c>
      <c r="O22">
        <v>7.2472744056546703E-2</v>
      </c>
      <c r="P22">
        <v>1.32959122469909E-2</v>
      </c>
      <c r="Q22">
        <v>5.4507537888532998</v>
      </c>
      <c r="R22">
        <v>1.8464411957129899E-4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-9.1674593587168104E-2</v>
      </c>
      <c r="D23">
        <v>1.1975834953775501E-2</v>
      </c>
      <c r="E23">
        <v>-7.6549646802093898</v>
      </c>
      <c r="F23">
        <v>7.2665331245947604E-6</v>
      </c>
      <c r="G23">
        <v>-9.8441660046824198E-2</v>
      </c>
      <c r="H23">
        <v>1.1783641555255801E-2</v>
      </c>
      <c r="I23">
        <v>-8.3540949192329208</v>
      </c>
      <c r="J23">
        <v>3.0647272711114399E-6</v>
      </c>
      <c r="K23">
        <v>-0.110245803829459</v>
      </c>
      <c r="L23">
        <v>1.81976479715363E-2</v>
      </c>
      <c r="M23">
        <v>-6.0582446699650001</v>
      </c>
      <c r="N23">
        <v>6.6198803211776094E-5</v>
      </c>
      <c r="O23">
        <v>-9.6406767964706194E-2</v>
      </c>
      <c r="P23">
        <v>1.7875331113736001E-2</v>
      </c>
      <c r="Q23">
        <v>-5.39328571601252</v>
      </c>
      <c r="R23">
        <v>1.8411702022058099E-4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-2.0105647414327299E-2</v>
      </c>
      <c r="D24">
        <v>2.0758838620283201E-2</v>
      </c>
      <c r="E24">
        <v>-0.96853430878750002</v>
      </c>
      <c r="F24">
        <v>0.35539235014181197</v>
      </c>
      <c r="G24">
        <v>-1.9742420150730199E-2</v>
      </c>
      <c r="H24">
        <v>1.9929760494367999E-2</v>
      </c>
      <c r="I24">
        <v>-0.99059997014561696</v>
      </c>
      <c r="J24">
        <v>0.34506211267595099</v>
      </c>
      <c r="K24">
        <v>4.8214264570341104E-3</v>
      </c>
      <c r="L24">
        <v>2.6123975243415899E-2</v>
      </c>
      <c r="M24">
        <v>0.18455944825048201</v>
      </c>
      <c r="N24">
        <v>0.85722230123144205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2.6022463233972899E-2</v>
      </c>
      <c r="D25">
        <v>6.0622136400985203E-2</v>
      </c>
      <c r="E25">
        <v>0.42925678273439999</v>
      </c>
      <c r="F25">
        <v>0.68181781499183902</v>
      </c>
      <c r="G25">
        <v>1.52118192053011E-2</v>
      </c>
      <c r="H25">
        <v>6.2039892019126401E-2</v>
      </c>
      <c r="I25">
        <v>0.24519415992231899</v>
      </c>
      <c r="J25">
        <v>0.81400413927860804</v>
      </c>
      <c r="K25">
        <v>3.7901398885382499E-2</v>
      </c>
      <c r="L25">
        <v>8.4970418094399897E-2</v>
      </c>
      <c r="M25">
        <v>0.44605404722470599</v>
      </c>
      <c r="N25">
        <v>0.67037408561138101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-3.6851502567691798E-2</v>
      </c>
      <c r="D26">
        <v>1.19342751502116E-2</v>
      </c>
      <c r="E26">
        <v>-3.0878710356396102</v>
      </c>
      <c r="F26">
        <v>1.02504689111017E-2</v>
      </c>
      <c r="G26">
        <v>-3.3878516472640501E-2</v>
      </c>
      <c r="H26">
        <v>1.17316928334895E-2</v>
      </c>
      <c r="I26">
        <v>-2.8877773185409699</v>
      </c>
      <c r="J26">
        <v>1.4640557281791099E-2</v>
      </c>
      <c r="K26">
        <v>-1.6106743687070799E-2</v>
      </c>
      <c r="L26">
        <v>1.36802008178546E-2</v>
      </c>
      <c r="M26">
        <v>-1.17737626088421</v>
      </c>
      <c r="N26">
        <v>0.26377252374382498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6.0368924442102401E-2</v>
      </c>
      <c r="D27">
        <v>2.32594176053319E-2</v>
      </c>
      <c r="E27">
        <v>2.5954615659965499</v>
      </c>
      <c r="F27">
        <v>3.29814764125426E-2</v>
      </c>
      <c r="G27">
        <v>8.0468546512045006E-2</v>
      </c>
      <c r="H27">
        <v>2.4207154684704801E-2</v>
      </c>
      <c r="I27">
        <v>3.3241637672885398</v>
      </c>
      <c r="J27">
        <v>1.1037011842915201E-2</v>
      </c>
      <c r="K27">
        <v>7.8678890566470497E-2</v>
      </c>
      <c r="L27">
        <v>2.8359147843713101E-2</v>
      </c>
      <c r="M27">
        <v>2.77437428656421</v>
      </c>
      <c r="N27">
        <v>2.4648196185484E-2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1.0116124934951501E-2</v>
      </c>
      <c r="D28">
        <v>2.7370709631120999E-2</v>
      </c>
      <c r="E28">
        <v>0.36959673575468099</v>
      </c>
      <c r="F28">
        <v>0.71815381720740001</v>
      </c>
      <c r="G28">
        <v>1.31982548099979E-2</v>
      </c>
      <c r="H28">
        <v>3.0835047968929101E-2</v>
      </c>
      <c r="I28">
        <v>0.42802770481489399</v>
      </c>
      <c r="J28">
        <v>0.67626022994519897</v>
      </c>
      <c r="K28">
        <v>-1.5507759582939E-2</v>
      </c>
      <c r="L28">
        <v>3.90914042402071E-2</v>
      </c>
      <c r="M28">
        <v>-0.39670510395706499</v>
      </c>
      <c r="N28">
        <v>0.69845944669383397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1.28228471084707E-2</v>
      </c>
      <c r="D29">
        <v>0.10846287907202</v>
      </c>
      <c r="E29">
        <v>0.11822337022748799</v>
      </c>
      <c r="F29">
        <v>0.91914396639142604</v>
      </c>
      <c r="G29">
        <v>3.1287719741650899E-2</v>
      </c>
      <c r="H29">
        <v>0.13036905130273599</v>
      </c>
      <c r="I29">
        <v>0.239993460326686</v>
      </c>
      <c r="J29">
        <v>0.83806832543476295</v>
      </c>
      <c r="K29">
        <v>3.8396597835077102E-2</v>
      </c>
      <c r="L29">
        <v>0.12684823931269701</v>
      </c>
      <c r="M29">
        <v>0.30269712881409799</v>
      </c>
      <c r="N29">
        <v>0.797682814561256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3.8542249208163601E-3</v>
      </c>
      <c r="D31">
        <v>1.25202820735567E-2</v>
      </c>
      <c r="E31">
        <v>0.30783850540848701</v>
      </c>
      <c r="F31">
        <v>0.76344525805688201</v>
      </c>
      <c r="G31">
        <v>-3.67213825038611E-3</v>
      </c>
      <c r="H31">
        <v>1.3666963612295999E-2</v>
      </c>
      <c r="I31">
        <v>-0.26868720474841501</v>
      </c>
      <c r="J31">
        <v>0.79269324820659204</v>
      </c>
      <c r="K31">
        <v>-3.1218012411024901E-2</v>
      </c>
      <c r="L31">
        <v>2.7685297746778002E-2</v>
      </c>
      <c r="M31">
        <v>-1.12760255268188</v>
      </c>
      <c r="N31">
        <v>0.28124287392747599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-3.4977758325018503E-2</v>
      </c>
      <c r="D32">
        <v>7.5954437314400894E-2</v>
      </c>
      <c r="E32">
        <v>-0.46050974191585198</v>
      </c>
      <c r="F32">
        <v>0.66599647362641301</v>
      </c>
      <c r="G32">
        <v>-3.13976537727454E-2</v>
      </c>
      <c r="H32">
        <v>7.6720928207781494E-2</v>
      </c>
      <c r="I32">
        <v>-0.40924496752322698</v>
      </c>
      <c r="J32">
        <v>0.70069593076474401</v>
      </c>
      <c r="K32">
        <v>-7.0081731292830404E-3</v>
      </c>
      <c r="L32">
        <v>8.1572995068009302E-2</v>
      </c>
      <c r="M32">
        <v>-8.5912906881010803E-2</v>
      </c>
      <c r="N32">
        <v>0.93514440599486304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-9.1844023421939702E-2</v>
      </c>
      <c r="D33">
        <v>0.11369663381325899</v>
      </c>
      <c r="E33">
        <v>-0.80779896767031101</v>
      </c>
      <c r="F33">
        <v>0.510076023639215</v>
      </c>
      <c r="G33">
        <v>-0.13814111361429801</v>
      </c>
      <c r="H33">
        <v>0.111504239860396</v>
      </c>
      <c r="I33">
        <v>-1.2388866449136999</v>
      </c>
      <c r="J33">
        <v>0.35016309378937299</v>
      </c>
      <c r="K33">
        <v>3.81436065751804E-2</v>
      </c>
      <c r="L33">
        <v>5.6121106827380897E-2</v>
      </c>
      <c r="M33">
        <v>0.67966597117380001</v>
      </c>
      <c r="N33">
        <v>0.57308240036622105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4.9226705904397199E-2</v>
      </c>
      <c r="D34">
        <v>5.41144421689633E-2</v>
      </c>
      <c r="E34">
        <v>0.90967778528872201</v>
      </c>
      <c r="F34">
        <v>0.38278984468606098</v>
      </c>
      <c r="G34">
        <v>6.6410903205357502E-2</v>
      </c>
      <c r="H34">
        <v>5.8960994440719498E-2</v>
      </c>
      <c r="I34">
        <v>1.1263531735735599</v>
      </c>
      <c r="J34">
        <v>0.28448052416730102</v>
      </c>
      <c r="K34">
        <v>0.101793700003426</v>
      </c>
      <c r="L34">
        <v>6.7518548118978394E-2</v>
      </c>
      <c r="M34">
        <v>1.5076405349245501</v>
      </c>
      <c r="N34">
        <v>0.16299939399102201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253</v>
      </c>
      <c r="C35">
        <v>2.9974968095463801E-2</v>
      </c>
      <c r="D35">
        <v>2.7851783568417499E-2</v>
      </c>
      <c r="E35">
        <v>1.0762315462430201</v>
      </c>
      <c r="F35">
        <v>0.31365554901222498</v>
      </c>
      <c r="G35">
        <v>4.3016422369410202E-2</v>
      </c>
      <c r="H35">
        <v>3.39192980643689E-2</v>
      </c>
      <c r="I35">
        <v>1.2681990732171899</v>
      </c>
      <c r="J35">
        <v>0.24038630874811301</v>
      </c>
      <c r="K35">
        <v>3.7409201339206798E-2</v>
      </c>
      <c r="L35">
        <v>4.47644558709469E-2</v>
      </c>
      <c r="M35">
        <v>0.83568984837110905</v>
      </c>
      <c r="N35">
        <v>0.429975748676796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256</v>
      </c>
      <c r="C36">
        <v>2.0308334925192E-2</v>
      </c>
      <c r="D36">
        <v>5.6646287125339201E-2</v>
      </c>
      <c r="E36">
        <v>0.35851131567116701</v>
      </c>
      <c r="F36">
        <v>0.72595323296520198</v>
      </c>
      <c r="G36">
        <v>2.9199494605144E-2</v>
      </c>
      <c r="H36">
        <v>5.7294257653750597E-2</v>
      </c>
      <c r="I36">
        <v>0.50964085758134503</v>
      </c>
      <c r="J36">
        <v>0.619181513811361</v>
      </c>
      <c r="K36">
        <v>2.5708016924274699E-2</v>
      </c>
      <c r="L36">
        <v>5.16545726702511E-2</v>
      </c>
      <c r="M36">
        <v>0.49769101930990101</v>
      </c>
      <c r="N36">
        <v>0.62913617343453399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6.4591034610616396E-2</v>
      </c>
      <c r="D37">
        <v>6.8446295596489695E-2</v>
      </c>
      <c r="E37">
        <v>0.94367465832481101</v>
      </c>
      <c r="F37">
        <v>0.36744943597794599</v>
      </c>
      <c r="G37">
        <v>5.9817361967995197E-2</v>
      </c>
      <c r="H37">
        <v>7.8505383382321006E-2</v>
      </c>
      <c r="I37">
        <v>0.76195235779799697</v>
      </c>
      <c r="J37">
        <v>0.46405171583281302</v>
      </c>
      <c r="K37">
        <v>0.13608445310870401</v>
      </c>
      <c r="L37">
        <v>8.1692433753854807E-2</v>
      </c>
      <c r="M37">
        <v>1.6658146520488799</v>
      </c>
      <c r="N37">
        <v>0.13096201608395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5.7478918081810597E-2</v>
      </c>
      <c r="D38">
        <v>0.10609991448961401</v>
      </c>
      <c r="E38">
        <v>0.54174330260593295</v>
      </c>
      <c r="F38">
        <v>0.59856016701521997</v>
      </c>
      <c r="G38">
        <v>0.137341122476352</v>
      </c>
      <c r="H38">
        <v>0.10234363485073</v>
      </c>
      <c r="I38">
        <v>1.34196056918113</v>
      </c>
      <c r="J38">
        <v>0.205822175829427</v>
      </c>
      <c r="K38">
        <v>0.23516489920530301</v>
      </c>
      <c r="L38">
        <v>0.113652187339861</v>
      </c>
      <c r="M38">
        <v>2.06916298497692</v>
      </c>
      <c r="N38">
        <v>6.6466960565046904E-2</v>
      </c>
      <c r="AB38" t="str">
        <f t="shared" si="0"/>
        <v/>
      </c>
      <c r="AC38" t="str">
        <f t="shared" si="1"/>
        <v/>
      </c>
      <c r="AD38" t="str">
        <f t="shared" si="2"/>
        <v>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0.24944639633312399</v>
      </c>
      <c r="D39">
        <v>0.14040154578210301</v>
      </c>
      <c r="E39">
        <v>1.7766641737709501</v>
      </c>
      <c r="F39">
        <v>0.16028738564829001</v>
      </c>
      <c r="G39">
        <v>0.49957543577332397</v>
      </c>
      <c r="H39">
        <v>0.13649727602522799</v>
      </c>
      <c r="I39">
        <v>3.65996634014139</v>
      </c>
      <c r="J39">
        <v>2.4428306009538599E-2</v>
      </c>
      <c r="K39">
        <v>0.58771484264874196</v>
      </c>
      <c r="L39">
        <v>9.4755152308075394E-2</v>
      </c>
      <c r="M39">
        <v>6.2024578963043302</v>
      </c>
      <c r="N39">
        <v>5.67625899004498E-3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0.26844889483324202</v>
      </c>
      <c r="D40">
        <v>2.03278729283599E-2</v>
      </c>
      <c r="E40">
        <v>13.2059510495426</v>
      </c>
      <c r="F40">
        <v>4.9172331326852196E-3</v>
      </c>
      <c r="G40">
        <v>0.224001134457364</v>
      </c>
      <c r="H40">
        <v>4.1026835498247698E-2</v>
      </c>
      <c r="I40">
        <v>5.4598686868484103</v>
      </c>
      <c r="J40">
        <v>3.2352602012464801E-2</v>
      </c>
      <c r="K40">
        <v>0.220470928780063</v>
      </c>
      <c r="L40">
        <v>4.5672116402417702E-2</v>
      </c>
      <c r="M40">
        <v>4.8272544858112099</v>
      </c>
      <c r="N40">
        <v>4.0011748007704503E-2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0.32299861217151299</v>
      </c>
      <c r="D41">
        <v>3.4556229458717301E-2</v>
      </c>
      <c r="E41">
        <v>9.3470444325352204</v>
      </c>
      <c r="F41">
        <v>1.8219779706851299E-3</v>
      </c>
      <c r="G41">
        <v>0.27416505621708098</v>
      </c>
      <c r="H41">
        <v>5.9236109946037299E-2</v>
      </c>
      <c r="I41">
        <v>4.6283433612848501</v>
      </c>
      <c r="J41">
        <v>1.7338277053532199E-2</v>
      </c>
      <c r="K41">
        <v>0.27752411036866098</v>
      </c>
      <c r="L41">
        <v>6.5585136572373803E-2</v>
      </c>
      <c r="M41">
        <v>4.2315092240817398</v>
      </c>
      <c r="N41">
        <v>2.2224824913838599E-2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0.37413683071305998</v>
      </c>
      <c r="D42">
        <v>0.108182570245067</v>
      </c>
      <c r="E42">
        <v>3.4583836367126999</v>
      </c>
      <c r="F42">
        <v>9.0021569964946306E-3</v>
      </c>
      <c r="G42">
        <v>0.3128792861693</v>
      </c>
      <c r="H42">
        <v>0.14019703296769401</v>
      </c>
      <c r="I42">
        <v>2.2317111820861202</v>
      </c>
      <c r="J42">
        <v>5.7016163667927902E-2</v>
      </c>
      <c r="K42">
        <v>0.24481113723349801</v>
      </c>
      <c r="L42">
        <v>0.14884396599230501</v>
      </c>
      <c r="M42">
        <v>1.6447501623690599</v>
      </c>
      <c r="N42">
        <v>0.13964428694236899</v>
      </c>
      <c r="AB42" t="str">
        <f t="shared" si="0"/>
        <v>***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0.28650277953662701</v>
      </c>
      <c r="D43">
        <v>6.3399597289907503E-2</v>
      </c>
      <c r="E43">
        <v>4.5189999902765097</v>
      </c>
      <c r="F43">
        <v>3.87921243632978E-3</v>
      </c>
      <c r="G43">
        <v>0.21852183451115501</v>
      </c>
      <c r="H43">
        <v>8.1888663668669107E-2</v>
      </c>
      <c r="I43">
        <v>2.6685236358883602</v>
      </c>
      <c r="J43">
        <v>3.7206774653454698E-2</v>
      </c>
      <c r="K43">
        <v>0.17466932668305901</v>
      </c>
      <c r="L43">
        <v>8.9355257078289799E-2</v>
      </c>
      <c r="M43">
        <v>1.95477392594842</v>
      </c>
      <c r="N43">
        <v>9.8764257087321602E-2</v>
      </c>
      <c r="AB43" t="str">
        <f t="shared" si="0"/>
        <v>***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1.9225044729224001E-2</v>
      </c>
      <c r="D44">
        <v>0.21290438258587699</v>
      </c>
      <c r="E44">
        <v>9.02989618894737E-2</v>
      </c>
      <c r="F44">
        <v>0.93033625715188295</v>
      </c>
      <c r="G44">
        <v>-6.8001470457610499E-2</v>
      </c>
      <c r="H44">
        <v>0.26508272384245102</v>
      </c>
      <c r="I44">
        <v>-0.25652924291673801</v>
      </c>
      <c r="J44">
        <v>0.80422326114730303</v>
      </c>
      <c r="K44">
        <v>-0.167853785611395</v>
      </c>
      <c r="L44">
        <v>0.28931026289751399</v>
      </c>
      <c r="M44">
        <v>-0.580186074044861</v>
      </c>
      <c r="N44">
        <v>0.57829637340479101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1.08045502971197E-4</v>
      </c>
      <c r="D45">
        <v>1.2915125839909101E-4</v>
      </c>
      <c r="E45">
        <v>0.83658110892984605</v>
      </c>
      <c r="F45">
        <v>0.43034917285501301</v>
      </c>
      <c r="G45">
        <v>2.5258583840461201E-4</v>
      </c>
      <c r="H45">
        <v>1.4522563443579499E-4</v>
      </c>
      <c r="I45">
        <v>1.7392648301101601</v>
      </c>
      <c r="J45">
        <v>0.125526088545072</v>
      </c>
      <c r="K45">
        <v>3.6415273828293898E-5</v>
      </c>
      <c r="L45">
        <v>1.85521283495609E-4</v>
      </c>
      <c r="M45">
        <v>0.196286232728418</v>
      </c>
      <c r="N45">
        <v>0.849945420153431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9.9862326964782807E-3</v>
      </c>
      <c r="D46">
        <v>3.2015025871516001E-3</v>
      </c>
      <c r="E46">
        <v>3.1192330553020402</v>
      </c>
      <c r="F46">
        <v>9.4434289749795609E-3</v>
      </c>
      <c r="G46">
        <v>4.8252168230084299E-3</v>
      </c>
      <c r="H46">
        <v>4.25623418990927E-3</v>
      </c>
      <c r="I46">
        <v>1.1336821724819801</v>
      </c>
      <c r="J46">
        <v>0.28037551694824497</v>
      </c>
      <c r="K46">
        <v>-5.4684743411684503E-3</v>
      </c>
      <c r="L46">
        <v>4.9473925989690802E-3</v>
      </c>
      <c r="M46">
        <v>-1.10532451827412</v>
      </c>
      <c r="N46">
        <v>0.291906681242457</v>
      </c>
      <c r="AB46" t="str">
        <f t="shared" si="0"/>
        <v>***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6.8406048717630698E-3</v>
      </c>
      <c r="D47">
        <v>2.6550112760277099E-3</v>
      </c>
      <c r="E47">
        <v>2.5764880674998998</v>
      </c>
      <c r="F47">
        <v>7.6952383459775703E-2</v>
      </c>
      <c r="G47">
        <v>1.01947069824278E-2</v>
      </c>
      <c r="H47">
        <v>5.5856421645446297E-3</v>
      </c>
      <c r="I47">
        <v>1.82516292345751</v>
      </c>
      <c r="J47">
        <v>0.16150600695401801</v>
      </c>
      <c r="K47">
        <v>1.32165545315926E-2</v>
      </c>
      <c r="L47">
        <v>5.4364344807432199E-3</v>
      </c>
      <c r="M47">
        <v>2.4311071122824801</v>
      </c>
      <c r="N47">
        <v>8.9235464207030102E-2</v>
      </c>
      <c r="AB47" t="str">
        <f t="shared" si="0"/>
        <v>*</v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-5.3467872129195097E-3</v>
      </c>
      <c r="D48">
        <v>1.0952282072715201E-2</v>
      </c>
      <c r="E48">
        <v>-0.48818932688372502</v>
      </c>
      <c r="F48">
        <v>0.63972567073353703</v>
      </c>
      <c r="G48">
        <v>-1.0250732932727401E-2</v>
      </c>
      <c r="H48">
        <v>1.35799444007456E-2</v>
      </c>
      <c r="I48">
        <v>-0.75484351262620997</v>
      </c>
      <c r="J48">
        <v>0.473448769712567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-5.6767138807643697E-2</v>
      </c>
      <c r="D49">
        <v>6.2486625202563199E-2</v>
      </c>
      <c r="E49">
        <v>-0.90846863026481905</v>
      </c>
      <c r="F49">
        <v>0.38280622313950702</v>
      </c>
      <c r="G49">
        <v>-2.8552357621419899E-2</v>
      </c>
      <c r="H49">
        <v>7.0911515758093402E-2</v>
      </c>
      <c r="I49">
        <v>-0.40264768445823401</v>
      </c>
      <c r="J49">
        <v>0.69504572520323904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-2.4301205838722299E-2</v>
      </c>
      <c r="D50">
        <v>9.9283248061209205E-3</v>
      </c>
      <c r="E50">
        <v>-2.4476642649463201</v>
      </c>
      <c r="F50">
        <v>4.00273322653001E-2</v>
      </c>
      <c r="G50">
        <v>-1.9712087072097199E-2</v>
      </c>
      <c r="H50">
        <v>1.08505336775924E-2</v>
      </c>
      <c r="I50">
        <v>-1.8166928611820099</v>
      </c>
      <c r="J50">
        <v>0.109047552202492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-2.7350744345203599E-3</v>
      </c>
      <c r="D51">
        <v>6.4854632854425302E-3</v>
      </c>
      <c r="E51">
        <v>-0.42172383284623499</v>
      </c>
      <c r="F51">
        <v>0.68048647593266498</v>
      </c>
      <c r="G51">
        <v>-1.46799267716204E-3</v>
      </c>
      <c r="H51">
        <v>8.4426087445791994E-3</v>
      </c>
      <c r="I51">
        <v>-0.17387903686814901</v>
      </c>
      <c r="J51">
        <v>0.86475824106031296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-2.2585056422283101E-3</v>
      </c>
      <c r="D52">
        <v>8.4572731278667796E-4</v>
      </c>
      <c r="E52">
        <v>-2.67048918496734</v>
      </c>
      <c r="F52">
        <v>0.20234472320564201</v>
      </c>
      <c r="G52">
        <v>-2.2838824165197901E-3</v>
      </c>
      <c r="H52">
        <v>2.2159818573269201E-3</v>
      </c>
      <c r="I52">
        <v>-1.0306412974313699</v>
      </c>
      <c r="J52">
        <v>0.47430272062411899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3.2611228577604699E-2</v>
      </c>
      <c r="D53">
        <v>1.65042495219529E-2</v>
      </c>
      <c r="E53">
        <v>1.9759292013991501</v>
      </c>
      <c r="F53">
        <v>7.9081361019882307E-2</v>
      </c>
      <c r="G53">
        <v>4.2640860942361199E-2</v>
      </c>
      <c r="H53">
        <v>1.48293609719495E-2</v>
      </c>
      <c r="I53">
        <v>2.8754348230526299</v>
      </c>
      <c r="J53">
        <v>1.79337923152811E-2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2.5115637637009199E-2</v>
      </c>
      <c r="D54">
        <v>2.68587488337379E-2</v>
      </c>
      <c r="E54">
        <v>0.93510080430332199</v>
      </c>
      <c r="F54">
        <v>0.36886408223602901</v>
      </c>
      <c r="G54">
        <v>4.5632855460517201E-2</v>
      </c>
      <c r="H54">
        <v>3.3611948742382103E-2</v>
      </c>
      <c r="I54">
        <v>1.3576378986612501</v>
      </c>
      <c r="J54">
        <v>0.201981733289191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1.3290929762490199E-6</v>
      </c>
      <c r="D55">
        <v>5.1900253014369204E-6</v>
      </c>
      <c r="E55">
        <v>0.25608603023207699</v>
      </c>
      <c r="F55">
        <v>0.80265764134349504</v>
      </c>
      <c r="G55">
        <v>1.8605376863374E-6</v>
      </c>
      <c r="H55">
        <v>7.3156841405450197E-6</v>
      </c>
      <c r="I55">
        <v>0.25432176274887502</v>
      </c>
      <c r="J55">
        <v>0.80396631588288903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1.0528595071866199E-5</v>
      </c>
      <c r="D56">
        <v>2.9905102157630999E-6</v>
      </c>
      <c r="E56">
        <v>3.5206684853874002</v>
      </c>
      <c r="F56">
        <v>4.54243538914678E-3</v>
      </c>
      <c r="G56">
        <v>1.1449887432209999E-5</v>
      </c>
      <c r="H56">
        <v>3.9058830318476802E-6</v>
      </c>
      <c r="I56">
        <v>2.9314465740141702</v>
      </c>
      <c r="J56">
        <v>1.39422155946774E-2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-0.40161568877881498</v>
      </c>
      <c r="D57">
        <v>0.19661248817635499</v>
      </c>
      <c r="E57">
        <v>-2.0426763961126402</v>
      </c>
      <c r="F57">
        <v>7.9944372868237606E-2</v>
      </c>
      <c r="AB57" t="str">
        <f t="shared" si="0"/>
        <v>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-0.15857952954011101</v>
      </c>
      <c r="D58">
        <v>3.6995151316484398E-2</v>
      </c>
      <c r="E58">
        <v>-4.2864949566904702</v>
      </c>
      <c r="F58">
        <v>1.6217295887637499E-3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-0.238148722785477</v>
      </c>
      <c r="D59">
        <v>0.15752887062707599</v>
      </c>
      <c r="E59">
        <v>-1.5117782653901899</v>
      </c>
      <c r="F59">
        <v>0.15644366417756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0.21043619936145599</v>
      </c>
      <c r="D60">
        <v>0.111107389258412</v>
      </c>
      <c r="E60">
        <v>1.8939892365936599</v>
      </c>
      <c r="F60">
        <v>8.6268923825963698E-2</v>
      </c>
      <c r="AB60" t="str">
        <f t="shared" si="0"/>
        <v>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-0.51597025529281004</v>
      </c>
      <c r="D61">
        <v>0.13748543797861901</v>
      </c>
      <c r="E61">
        <v>-3.7529084016377698</v>
      </c>
      <c r="F61">
        <v>1.4252910665718301E-2</v>
      </c>
      <c r="AB61" t="str">
        <f t="shared" si="0"/>
        <v>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E2CC-92DB-44FD-837C-039326600D67}">
  <dimension ref="A1:AG61"/>
  <sheetViews>
    <sheetView workbookViewId="0">
      <selection activeCell="F3" sqref="F3"/>
    </sheetView>
  </sheetViews>
  <sheetFormatPr defaultRowHeight="15" x14ac:dyDescent="0.25"/>
  <cols>
    <col min="2" max="2" width="25.85546875" bestFit="1" customWidth="1"/>
  </cols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5.0685023086661296</v>
      </c>
      <c r="D2">
        <v>13.872402540640801</v>
      </c>
      <c r="E2">
        <v>0.36536586174005198</v>
      </c>
      <c r="F2">
        <v>0.72166614286842301</v>
      </c>
      <c r="G2">
        <v>2.6793574338023198</v>
      </c>
      <c r="H2">
        <v>19.6424476114898</v>
      </c>
      <c r="I2">
        <v>0.13640649509662101</v>
      </c>
      <c r="J2">
        <v>0.89391627065419399</v>
      </c>
      <c r="K2">
        <v>12.3713068699875</v>
      </c>
      <c r="L2">
        <v>0.11611542686283501</v>
      </c>
      <c r="M2">
        <v>106.543180387232</v>
      </c>
      <c r="N2">
        <v>1.1313013643067301E-14</v>
      </c>
      <c r="O2">
        <v>12.7703335576643</v>
      </c>
      <c r="P2">
        <v>0.12630490170900899</v>
      </c>
      <c r="Q2">
        <v>101.107188912474</v>
      </c>
      <c r="R2">
        <v>4.3034657115419502E-16</v>
      </c>
      <c r="S2">
        <v>13.153488959648501</v>
      </c>
      <c r="T2">
        <v>4.5221255846966499E-2</v>
      </c>
      <c r="U2">
        <v>290.86960795961397</v>
      </c>
      <c r="V2">
        <v>4.0242233840355598E-21</v>
      </c>
      <c r="W2">
        <v>13.262452847835499</v>
      </c>
      <c r="X2">
        <v>6.1245058141312897E-2</v>
      </c>
      <c r="Y2">
        <v>216.547314188755</v>
      </c>
      <c r="Z2">
        <v>1.8539371023150301E-20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4.92492495605609E-3</v>
      </c>
      <c r="D3">
        <v>8.6675601519379097E-3</v>
      </c>
      <c r="E3">
        <v>0.56820199337814403</v>
      </c>
      <c r="F3">
        <v>0.58311194436664104</v>
      </c>
      <c r="G3">
        <v>-4.3590545187566698E-3</v>
      </c>
      <c r="H3">
        <v>1.02128280080639E-2</v>
      </c>
      <c r="I3">
        <v>-0.42682149501732503</v>
      </c>
      <c r="J3">
        <v>0.67904132025245101</v>
      </c>
      <c r="K3">
        <v>-1.05634696167841E-2</v>
      </c>
      <c r="L3">
        <v>1.5950406733807401E-2</v>
      </c>
      <c r="M3">
        <v>-0.66226960810939495</v>
      </c>
      <c r="N3">
        <v>0.52356499192973505</v>
      </c>
      <c r="O3">
        <v>-2.6318458556207399E-2</v>
      </c>
      <c r="P3">
        <v>1.7452959336191599E-2</v>
      </c>
      <c r="Q3">
        <v>-1.5079653856542099</v>
      </c>
      <c r="R3">
        <v>0.16418407002419799</v>
      </c>
      <c r="S3">
        <v>-3.4020316431393402E-2</v>
      </c>
      <c r="T3">
        <v>3.3051099498943901E-2</v>
      </c>
      <c r="U3">
        <v>-1.02932480150866</v>
      </c>
      <c r="V3">
        <v>0.32892551682218801</v>
      </c>
      <c r="W3">
        <v>-9.0634657541963492E-3</v>
      </c>
      <c r="X3">
        <v>3.2354680025444699E-2</v>
      </c>
      <c r="Y3">
        <v>-0.28012843109771401</v>
      </c>
      <c r="Z3">
        <v>0.78463726788445798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-1.7609286119224501E-5</v>
      </c>
      <c r="D4">
        <v>6.5858422461849607E-5</v>
      </c>
      <c r="E4">
        <v>-0.26738092807226299</v>
      </c>
      <c r="F4">
        <v>0.80080389397211205</v>
      </c>
      <c r="G4">
        <v>-3.55109157855381E-6</v>
      </c>
      <c r="H4">
        <v>5.8759446337304902E-5</v>
      </c>
      <c r="I4">
        <v>-6.04343948063941E-2</v>
      </c>
      <c r="J4">
        <v>0.95435200283409904</v>
      </c>
      <c r="K4">
        <v>3.3406930137533799E-5</v>
      </c>
      <c r="L4">
        <v>9.5364201581699402E-5</v>
      </c>
      <c r="M4">
        <v>0.35030891658977298</v>
      </c>
      <c r="N4">
        <v>0.74161676763127404</v>
      </c>
      <c r="O4">
        <v>2.4836449927935202E-4</v>
      </c>
      <c r="P4">
        <v>1.2555538755565701E-4</v>
      </c>
      <c r="Q4">
        <v>1.9781269773808501</v>
      </c>
      <c r="R4">
        <v>0.109576736932225</v>
      </c>
      <c r="S4">
        <v>8.8996081422913602E-4</v>
      </c>
      <c r="T4">
        <v>3.0593387758886002E-4</v>
      </c>
      <c r="U4">
        <v>2.9089972684396201</v>
      </c>
      <c r="V4">
        <v>3.7717542943013799E-2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4.9560064253999198E-2</v>
      </c>
      <c r="D5">
        <v>1.41996857478295E-2</v>
      </c>
      <c r="E5">
        <v>3.4902226101429599</v>
      </c>
      <c r="F5">
        <v>5.5331279357646599E-3</v>
      </c>
      <c r="G5">
        <v>4.2823005936308799E-2</v>
      </c>
      <c r="H5">
        <v>1.39568399077706E-2</v>
      </c>
      <c r="I5">
        <v>3.06824511990474</v>
      </c>
      <c r="J5">
        <v>1.14841743766033E-2</v>
      </c>
      <c r="K5">
        <v>3.7355775026453999E-2</v>
      </c>
      <c r="L5">
        <v>1.4730468611854199E-2</v>
      </c>
      <c r="M5">
        <v>2.5359529293176899</v>
      </c>
      <c r="N5">
        <v>2.89614193066642E-2</v>
      </c>
      <c r="O5">
        <v>5.2184413740142203E-2</v>
      </c>
      <c r="P5">
        <v>1.9843616107364501E-2</v>
      </c>
      <c r="Q5">
        <v>2.62978347584417</v>
      </c>
      <c r="R5">
        <v>2.45768489908176E-2</v>
      </c>
      <c r="S5">
        <v>0.117368360718078</v>
      </c>
      <c r="T5">
        <v>7.7348458027750505E-2</v>
      </c>
      <c r="U5">
        <v>1.51739755013564</v>
      </c>
      <c r="V5">
        <v>0.159425424685189</v>
      </c>
      <c r="AB5" t="str">
        <f t="shared" si="0"/>
        <v>***</v>
      </c>
      <c r="AC5" t="str">
        <f t="shared" si="1"/>
        <v>**</v>
      </c>
      <c r="AD5" t="str">
        <f t="shared" si="2"/>
        <v>**</v>
      </c>
      <c r="AE5" t="str">
        <f t="shared" si="3"/>
        <v>**</v>
      </c>
      <c r="AF5" t="str">
        <f t="shared" si="4"/>
        <v/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6.5206011191708102E-2</v>
      </c>
      <c r="D6">
        <v>1.9023613245936499E-2</v>
      </c>
      <c r="E6">
        <v>3.4276354522522801</v>
      </c>
      <c r="F6">
        <v>6.2206261787382897E-3</v>
      </c>
      <c r="G6">
        <v>6.0098891046162499E-2</v>
      </c>
      <c r="H6">
        <v>2.0471036555904602E-2</v>
      </c>
      <c r="I6">
        <v>2.9358010710419</v>
      </c>
      <c r="J6">
        <v>1.4496317936530599E-2</v>
      </c>
      <c r="K6">
        <v>4.7932732604052897E-2</v>
      </c>
      <c r="L6">
        <v>2.22483005451386E-2</v>
      </c>
      <c r="M6">
        <v>2.1544446735068301</v>
      </c>
      <c r="N6">
        <v>5.5903325388395202E-2</v>
      </c>
      <c r="O6">
        <v>5.8409473358787697E-2</v>
      </c>
      <c r="P6">
        <v>1.98068068580412E-2</v>
      </c>
      <c r="Q6">
        <v>2.9489596065341801</v>
      </c>
      <c r="R6">
        <v>1.4145770062510899E-2</v>
      </c>
      <c r="S6">
        <v>7.25265479684266E-2</v>
      </c>
      <c r="T6">
        <v>3.9469675799383402E-2</v>
      </c>
      <c r="U6">
        <v>1.83752580935969</v>
      </c>
      <c r="V6">
        <v>9.52281102404757E-2</v>
      </c>
      <c r="AB6" t="str">
        <f t="shared" si="0"/>
        <v>***</v>
      </c>
      <c r="AC6" t="str">
        <f t="shared" si="1"/>
        <v>**</v>
      </c>
      <c r="AD6" t="str">
        <f t="shared" si="2"/>
        <v>*</v>
      </c>
      <c r="AE6" t="str">
        <f t="shared" si="3"/>
        <v>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5.0465204360762503E-2</v>
      </c>
      <c r="D7">
        <v>1.7891534759885201E-2</v>
      </c>
      <c r="E7">
        <v>2.8206190826016302</v>
      </c>
      <c r="F7">
        <v>1.70753766448665E-2</v>
      </c>
      <c r="G7">
        <v>4.2063482633123997E-2</v>
      </c>
      <c r="H7">
        <v>1.93728108221627E-2</v>
      </c>
      <c r="I7">
        <v>2.1712637891969102</v>
      </c>
      <c r="J7">
        <v>5.3398956574575399E-2</v>
      </c>
      <c r="K7">
        <v>3.3507484751813602E-2</v>
      </c>
      <c r="L7">
        <v>1.8937539248965699E-2</v>
      </c>
      <c r="M7">
        <v>1.7693684649996799</v>
      </c>
      <c r="N7">
        <v>0.10535404578720201</v>
      </c>
      <c r="O7">
        <v>3.87766588130092E-2</v>
      </c>
      <c r="P7">
        <v>2.3758478380054598E-2</v>
      </c>
      <c r="Q7">
        <v>1.63211878272316</v>
      </c>
      <c r="R7">
        <v>0.13173589451620701</v>
      </c>
      <c r="S7">
        <v>5.5147935941817001E-2</v>
      </c>
      <c r="T7">
        <v>3.4472643314243101E-2</v>
      </c>
      <c r="U7">
        <v>1.59975942195971</v>
      </c>
      <c r="V7">
        <v>0.13886250005183001</v>
      </c>
      <c r="AB7" t="str">
        <f t="shared" si="0"/>
        <v>**</v>
      </c>
      <c r="AC7" t="str">
        <f t="shared" si="1"/>
        <v>*</v>
      </c>
      <c r="AD7" t="str">
        <f t="shared" si="2"/>
        <v/>
      </c>
      <c r="AE7" t="str">
        <f t="shared" si="3"/>
        <v/>
      </c>
      <c r="AF7" t="str">
        <f t="shared" si="4"/>
        <v/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2.09726030818723E-2</v>
      </c>
      <c r="D8">
        <v>2.5503380702407499E-2</v>
      </c>
      <c r="E8">
        <v>0.82234599901073302</v>
      </c>
      <c r="F8">
        <v>0.43190106400203099</v>
      </c>
      <c r="G8">
        <v>2.32438339341275E-2</v>
      </c>
      <c r="H8">
        <v>2.8255115863693201E-2</v>
      </c>
      <c r="I8">
        <v>0.82264160749717596</v>
      </c>
      <c r="J8">
        <v>0.43174040208542103</v>
      </c>
      <c r="K8">
        <v>1.50951393775572E-2</v>
      </c>
      <c r="L8">
        <v>2.8263268785640599E-2</v>
      </c>
      <c r="M8">
        <v>0.53409035918826098</v>
      </c>
      <c r="N8">
        <v>0.60607118044850194</v>
      </c>
      <c r="O8">
        <v>2.5922800601296401E-2</v>
      </c>
      <c r="P8">
        <v>3.7144641079271602E-2</v>
      </c>
      <c r="Q8">
        <v>0.69788803574582203</v>
      </c>
      <c r="R8">
        <v>0.50268484750480602</v>
      </c>
      <c r="S8">
        <v>5.7772405285034703E-2</v>
      </c>
      <c r="T8">
        <v>5.8624625372536598E-2</v>
      </c>
      <c r="U8">
        <v>0.98546310390750602</v>
      </c>
      <c r="V8">
        <v>0.34983760056228902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5.5933699586748202E-2</v>
      </c>
      <c r="D9">
        <v>3.5750084788069798E-2</v>
      </c>
      <c r="E9">
        <v>1.5645752987252699</v>
      </c>
      <c r="F9">
        <v>0.149896420719173</v>
      </c>
      <c r="G9">
        <v>5.8911225192214998E-2</v>
      </c>
      <c r="H9">
        <v>3.8508036820228297E-2</v>
      </c>
      <c r="I9">
        <v>1.5298423408920401</v>
      </c>
      <c r="J9">
        <v>0.15819299573406401</v>
      </c>
      <c r="K9">
        <v>4.71240067397403E-2</v>
      </c>
      <c r="L9">
        <v>3.73481990533404E-2</v>
      </c>
      <c r="M9">
        <v>1.2617477665372301</v>
      </c>
      <c r="N9">
        <v>0.23671200868561301</v>
      </c>
      <c r="O9">
        <v>7.3587778252498695E-2</v>
      </c>
      <c r="P9">
        <v>4.29620440477953E-2</v>
      </c>
      <c r="Q9">
        <v>1.7128556120521701</v>
      </c>
      <c r="R9">
        <v>0.118682392125232</v>
      </c>
      <c r="S9">
        <v>0.101497538496312</v>
      </c>
      <c r="T9">
        <v>6.9996077365093307E-2</v>
      </c>
      <c r="U9">
        <v>1.4500460928247501</v>
      </c>
      <c r="V9">
        <v>0.17879937193579901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/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9.9225324833521006E-2</v>
      </c>
      <c r="D10">
        <v>3.7364160327377799E-2</v>
      </c>
      <c r="E10">
        <v>2.6556283873136</v>
      </c>
      <c r="F10">
        <v>2.4892163069631299E-2</v>
      </c>
      <c r="G10">
        <v>0.10230804215867099</v>
      </c>
      <c r="H10">
        <v>3.9398310927523897E-2</v>
      </c>
      <c r="I10">
        <v>2.5967621390387601</v>
      </c>
      <c r="J10">
        <v>2.7494389336608201E-2</v>
      </c>
      <c r="K10">
        <v>8.7523704751880496E-2</v>
      </c>
      <c r="L10">
        <v>3.67587345391149E-2</v>
      </c>
      <c r="M10">
        <v>2.3810314976634102</v>
      </c>
      <c r="N10">
        <v>3.9515105090070099E-2</v>
      </c>
      <c r="O10">
        <v>0.11680506473145801</v>
      </c>
      <c r="P10">
        <v>4.4301499970267298E-2</v>
      </c>
      <c r="Q10">
        <v>2.6365939033633299</v>
      </c>
      <c r="R10">
        <v>2.5688796015893401E-2</v>
      </c>
      <c r="S10">
        <v>0.123485959579847</v>
      </c>
      <c r="T10">
        <v>7.7490634179543605E-2</v>
      </c>
      <c r="U10">
        <v>1.5935598009655401</v>
      </c>
      <c r="V10">
        <v>0.14333737995986701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4.2798122815840799E-2</v>
      </c>
      <c r="D11">
        <v>8.2490848288954199E-2</v>
      </c>
      <c r="E11">
        <v>0.518822677952405</v>
      </c>
      <c r="F11">
        <v>0.61724488197772798</v>
      </c>
      <c r="G11">
        <v>4.0956590910631897E-2</v>
      </c>
      <c r="H11">
        <v>9.4638904179725203E-2</v>
      </c>
      <c r="I11">
        <v>0.43276696053932301</v>
      </c>
      <c r="J11">
        <v>0.67606610631930697</v>
      </c>
      <c r="K11">
        <v>1.5241133844146999E-2</v>
      </c>
      <c r="L11">
        <v>8.8229788288395006E-2</v>
      </c>
      <c r="M11">
        <v>0.17274362933217799</v>
      </c>
      <c r="N11">
        <v>0.866938651416302</v>
      </c>
      <c r="O11">
        <v>4.0838339122882698E-2</v>
      </c>
      <c r="P11">
        <v>8.1663472207037305E-2</v>
      </c>
      <c r="Q11">
        <v>0.50008085646110301</v>
      </c>
      <c r="R11">
        <v>0.62987727581417896</v>
      </c>
      <c r="S11">
        <v>0.16842817217607001</v>
      </c>
      <c r="T11">
        <v>0.12955519405803601</v>
      </c>
      <c r="U11">
        <v>1.3000495534020899</v>
      </c>
      <c r="V11">
        <v>0.22814904264206001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5.9551398626491898E-2</v>
      </c>
      <c r="D12">
        <v>2.7825834833290201E-2</v>
      </c>
      <c r="E12">
        <v>2.1401477793308099</v>
      </c>
      <c r="F12">
        <v>5.3037398874814998E-2</v>
      </c>
      <c r="G12">
        <v>4.9684855736707299E-2</v>
      </c>
      <c r="H12">
        <v>3.1290472248325298E-2</v>
      </c>
      <c r="I12">
        <v>1.5878589285071101</v>
      </c>
      <c r="J12">
        <v>0.13740266010428501</v>
      </c>
      <c r="K12">
        <v>1.6628642286456399E-2</v>
      </c>
      <c r="L12">
        <v>2.66378754608891E-2</v>
      </c>
      <c r="M12">
        <v>0.624248067788715</v>
      </c>
      <c r="N12">
        <v>0.54358781068433104</v>
      </c>
      <c r="O12">
        <v>-2.99509838138458E-2</v>
      </c>
      <c r="P12">
        <v>2.2467124921159799E-2</v>
      </c>
      <c r="Q12">
        <v>-1.33310265193913</v>
      </c>
      <c r="R12">
        <v>0.210088790549528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6.2345846592638199E-2</v>
      </c>
      <c r="D13">
        <v>2.90515342671522E-2</v>
      </c>
      <c r="E13">
        <v>2.1460431665783299</v>
      </c>
      <c r="F13">
        <v>5.08453106607046E-2</v>
      </c>
      <c r="G13">
        <v>6.9238594537870901E-2</v>
      </c>
      <c r="H13">
        <v>3.6121126948615502E-2</v>
      </c>
      <c r="I13">
        <v>1.9168448048801801</v>
      </c>
      <c r="J13">
        <v>7.7020561711259303E-2</v>
      </c>
      <c r="K13">
        <v>8.8821396508799402E-2</v>
      </c>
      <c r="L13">
        <v>4.1304253801454999E-2</v>
      </c>
      <c r="M13">
        <v>2.1504176527617198</v>
      </c>
      <c r="N13">
        <v>5.0369550804738997E-2</v>
      </c>
      <c r="O13">
        <v>0.110734610799198</v>
      </c>
      <c r="P13">
        <v>4.12128100259073E-2</v>
      </c>
      <c r="Q13">
        <v>2.6868978535942398</v>
      </c>
      <c r="R13">
        <v>1.84490264395317E-2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2.59556261507039E-2</v>
      </c>
      <c r="D14">
        <v>2.5031304260562201E-2</v>
      </c>
      <c r="E14">
        <v>1.0369266371628101</v>
      </c>
      <c r="F14">
        <v>0.32044061443916</v>
      </c>
      <c r="G14">
        <v>2.2132741338513499E-2</v>
      </c>
      <c r="H14">
        <v>2.7356559245100599E-2</v>
      </c>
      <c r="I14">
        <v>0.80904696896329698</v>
      </c>
      <c r="J14">
        <v>0.43449059141376301</v>
      </c>
      <c r="K14">
        <v>8.0997915254428007E-3</v>
      </c>
      <c r="L14">
        <v>3.35868310302763E-2</v>
      </c>
      <c r="M14">
        <v>0.24115974258307901</v>
      </c>
      <c r="N14">
        <v>0.81360447916886602</v>
      </c>
      <c r="O14">
        <v>-7.6878986955102404E-4</v>
      </c>
      <c r="P14">
        <v>3.2627554400263999E-2</v>
      </c>
      <c r="Q14">
        <v>-2.3562595593888701E-2</v>
      </c>
      <c r="R14">
        <v>0.98159232070390801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-3.0030148124265001E-2</v>
      </c>
      <c r="D15">
        <v>2.2318038428218501E-2</v>
      </c>
      <c r="E15">
        <v>-1.34555499672836</v>
      </c>
      <c r="F15">
        <v>0.20861274159999399</v>
      </c>
      <c r="G15">
        <v>-3.0261923610589499E-2</v>
      </c>
      <c r="H15">
        <v>2.2521220992032E-2</v>
      </c>
      <c r="I15">
        <v>-1.34370705839156</v>
      </c>
      <c r="J15">
        <v>0.20919448168234001</v>
      </c>
      <c r="K15">
        <v>-3.3713206065401097E-2</v>
      </c>
      <c r="L15">
        <v>2.67711848788376E-2</v>
      </c>
      <c r="M15">
        <v>-1.25930944849778</v>
      </c>
      <c r="N15">
        <v>0.23705229890058799</v>
      </c>
      <c r="O15">
        <v>-9.7263765619124004E-2</v>
      </c>
      <c r="P15">
        <v>5.3848394257314802E-2</v>
      </c>
      <c r="Q15">
        <v>-1.8062519219115201</v>
      </c>
      <c r="R15">
        <v>9.7224568821131396E-2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-4.2684630028828998E-3</v>
      </c>
      <c r="D16">
        <v>1.24776564017808E-2</v>
      </c>
      <c r="E16">
        <v>-0.34208851930509299</v>
      </c>
      <c r="F16">
        <v>0.73963231281409503</v>
      </c>
      <c r="G16">
        <v>-6.0878976988115296E-3</v>
      </c>
      <c r="H16">
        <v>1.2537164614037999E-2</v>
      </c>
      <c r="I16">
        <v>-0.48558808041771001</v>
      </c>
      <c r="J16">
        <v>0.63806889946092504</v>
      </c>
      <c r="K16">
        <v>2.7926678930753602E-3</v>
      </c>
      <c r="L16">
        <v>7.9711449373903592E-3</v>
      </c>
      <c r="M16">
        <v>0.350347147744831</v>
      </c>
      <c r="N16">
        <v>0.7335437030552</v>
      </c>
      <c r="O16">
        <v>7.8021912044202404E-2</v>
      </c>
      <c r="P16">
        <v>1.79665720215983E-2</v>
      </c>
      <c r="Q16">
        <v>4.3426153831910401</v>
      </c>
      <c r="R16">
        <v>1.1723487877993201E-3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5.2259770005488805E-4</v>
      </c>
      <c r="D17">
        <v>6.3890828749953998E-5</v>
      </c>
      <c r="E17">
        <v>8.1795417320402901</v>
      </c>
      <c r="F17">
        <v>2.5667387877492999E-5</v>
      </c>
      <c r="G17">
        <v>5.6888944051256701E-4</v>
      </c>
      <c r="H17">
        <v>7.0314734143256405E-5</v>
      </c>
      <c r="I17">
        <v>8.0906149677468004</v>
      </c>
      <c r="J17">
        <v>3.4745554933479398E-5</v>
      </c>
      <c r="K17">
        <v>6.5038248622420101E-4</v>
      </c>
      <c r="L17">
        <v>6.1796261005405903E-5</v>
      </c>
      <c r="M17">
        <v>10.5246252061643</v>
      </c>
      <c r="N17">
        <v>3.1454035195223599E-6</v>
      </c>
      <c r="O17">
        <v>7.1325983921205905E-4</v>
      </c>
      <c r="P17">
        <v>5.5894603060140999E-5</v>
      </c>
      <c r="Q17">
        <v>12.7607997939374</v>
      </c>
      <c r="R17">
        <v>1.0007458944327699E-6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-2.3133305642369699E-2</v>
      </c>
      <c r="D18">
        <v>7.1382478370011502E-3</v>
      </c>
      <c r="E18">
        <v>-3.2407540576635698</v>
      </c>
      <c r="F18">
        <v>1.3722008680859901E-2</v>
      </c>
      <c r="G18">
        <v>-2.4013706256018699E-2</v>
      </c>
      <c r="H18">
        <v>6.1782146831852796E-3</v>
      </c>
      <c r="I18">
        <v>-3.88683583970864</v>
      </c>
      <c r="J18">
        <v>6.01223570267744E-3</v>
      </c>
      <c r="K18">
        <v>-2.1753144782751501E-2</v>
      </c>
      <c r="L18">
        <v>7.4741928743753596E-3</v>
      </c>
      <c r="M18">
        <v>-2.9104339623520201</v>
      </c>
      <c r="N18">
        <v>2.2372535042616201E-2</v>
      </c>
      <c r="O18">
        <v>-2.5300593851269301E-2</v>
      </c>
      <c r="P18">
        <v>7.0819591133342201E-3</v>
      </c>
      <c r="Q18">
        <v>-3.5725416436861801</v>
      </c>
      <c r="R18">
        <v>9.1628970904844599E-3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0.23133537832102</v>
      </c>
      <c r="D19">
        <v>9.5293349503032601E-2</v>
      </c>
      <c r="E19">
        <v>2.4276130446402102</v>
      </c>
      <c r="F19">
        <v>4.5453179149909297E-2</v>
      </c>
      <c r="G19">
        <v>0.25116377467811002</v>
      </c>
      <c r="H19">
        <v>9.0076576219586202E-2</v>
      </c>
      <c r="I19">
        <v>2.78833616040012</v>
      </c>
      <c r="J19">
        <v>2.7437431842949299E-2</v>
      </c>
      <c r="K19">
        <v>0.254483789333453</v>
      </c>
      <c r="L19">
        <v>0.104973805223046</v>
      </c>
      <c r="M19">
        <v>2.4242599264905298</v>
      </c>
      <c r="N19">
        <v>4.60521471791078E-2</v>
      </c>
      <c r="O19">
        <v>0.28050504606509702</v>
      </c>
      <c r="P19">
        <v>0.108129568813586</v>
      </c>
      <c r="Q19">
        <v>2.5941567060966002</v>
      </c>
      <c r="R19">
        <v>3.6321819686378001E-2</v>
      </c>
      <c r="AB19" t="str">
        <f t="shared" si="0"/>
        <v>**</v>
      </c>
      <c r="AC19" t="str">
        <f t="shared" si="1"/>
        <v>**</v>
      </c>
      <c r="AD19" t="str">
        <f t="shared" si="2"/>
        <v>**</v>
      </c>
      <c r="AE19" t="str">
        <f t="shared" si="3"/>
        <v>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-1.0166412794890699E-3</v>
      </c>
      <c r="D20">
        <v>0.113938568333004</v>
      </c>
      <c r="E20">
        <v>-8.9227141815382896E-3</v>
      </c>
      <c r="F20">
        <v>0.99316027929555195</v>
      </c>
      <c r="G20">
        <v>-2.0930010183862601E-2</v>
      </c>
      <c r="H20">
        <v>0.129618382336569</v>
      </c>
      <c r="I20">
        <v>-0.161474088833444</v>
      </c>
      <c r="J20">
        <v>0.87684050658771095</v>
      </c>
      <c r="K20">
        <v>2.9353960031896199E-2</v>
      </c>
      <c r="L20">
        <v>0.111644558802207</v>
      </c>
      <c r="M20">
        <v>0.26292333766037301</v>
      </c>
      <c r="N20">
        <v>0.801110270742313</v>
      </c>
      <c r="O20">
        <v>-3.1619166571366097E-2</v>
      </c>
      <c r="P20">
        <v>0.142547807817171</v>
      </c>
      <c r="Q20">
        <v>-0.221814470917155</v>
      </c>
      <c r="R20">
        <v>0.831600370379311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9.8042915648124701E-2</v>
      </c>
      <c r="D21">
        <v>1.32411059635348E-2</v>
      </c>
      <c r="E21">
        <v>7.4044355447444401</v>
      </c>
      <c r="F21">
        <v>1.54620907931134E-5</v>
      </c>
      <c r="G21">
        <v>0.10146917128956</v>
      </c>
      <c r="H21">
        <v>1.6558462879424501E-2</v>
      </c>
      <c r="I21">
        <v>6.1279342188003003</v>
      </c>
      <c r="J21">
        <v>8.3946449806123703E-5</v>
      </c>
      <c r="K21">
        <v>0.12906443054546299</v>
      </c>
      <c r="L21">
        <v>1.8208362933455902E-2</v>
      </c>
      <c r="M21">
        <v>7.0881951890535202</v>
      </c>
      <c r="N21">
        <v>2.2710288267788201E-5</v>
      </c>
      <c r="O21">
        <v>0.15242116000943201</v>
      </c>
      <c r="P21">
        <v>2.9370305757605599E-2</v>
      </c>
      <c r="Q21">
        <v>5.1896347715059701</v>
      </c>
      <c r="R21">
        <v>3.3217246237516202E-4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5.3790036000811399E-2</v>
      </c>
      <c r="D22">
        <v>5.2533221397568601E-3</v>
      </c>
      <c r="E22">
        <v>10.2392418682516</v>
      </c>
      <c r="F22">
        <v>4.7993462977582595E-7</v>
      </c>
      <c r="G22">
        <v>5.47960985119815E-2</v>
      </c>
      <c r="H22">
        <v>7.4724433845738403E-3</v>
      </c>
      <c r="I22">
        <v>7.3330898197372703</v>
      </c>
      <c r="J22">
        <v>1.30622259534122E-5</v>
      </c>
      <c r="K22">
        <v>6.65331048299765E-2</v>
      </c>
      <c r="L22">
        <v>1.15709661447996E-2</v>
      </c>
      <c r="M22">
        <v>5.7500042777221996</v>
      </c>
      <c r="N22">
        <v>1.1736869162963801E-4</v>
      </c>
      <c r="O22">
        <v>7.2112228816751098E-2</v>
      </c>
      <c r="P22">
        <v>1.32276273347892E-2</v>
      </c>
      <c r="Q22">
        <v>5.4516374699409003</v>
      </c>
      <c r="R22">
        <v>1.9058991988217601E-4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-7.2894337197201495E-2</v>
      </c>
      <c r="D23">
        <v>1.28791686006799E-2</v>
      </c>
      <c r="E23">
        <v>-5.65986357173347</v>
      </c>
      <c r="F23">
        <v>1.3272311944603901E-4</v>
      </c>
      <c r="G23">
        <v>-8.0477347235268906E-2</v>
      </c>
      <c r="H23">
        <v>1.27896469204374E-2</v>
      </c>
      <c r="I23">
        <v>-6.2923822476028697</v>
      </c>
      <c r="J23">
        <v>5.2606453281556398E-5</v>
      </c>
      <c r="K23">
        <v>-8.8113060916325203E-2</v>
      </c>
      <c r="L23">
        <v>1.8068486861503499E-2</v>
      </c>
      <c r="M23">
        <v>-4.8766153796783902</v>
      </c>
      <c r="N23">
        <v>4.5397362490762802E-4</v>
      </c>
      <c r="O23">
        <v>-7.29422619331664E-2</v>
      </c>
      <c r="P23">
        <v>1.7195509562267199E-2</v>
      </c>
      <c r="Q23">
        <v>-4.2419366328769001</v>
      </c>
      <c r="R23">
        <v>1.3123299981549999E-3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-2.6112469367050799E-2</v>
      </c>
      <c r="D24">
        <v>2.15133697039546E-2</v>
      </c>
      <c r="E24">
        <v>-1.2137786746746</v>
      </c>
      <c r="F24">
        <v>0.25181947380082698</v>
      </c>
      <c r="G24">
        <v>-2.5677504487472001E-2</v>
      </c>
      <c r="H24">
        <v>2.1256326664294299E-2</v>
      </c>
      <c r="I24">
        <v>-1.2079935020289401</v>
      </c>
      <c r="J24">
        <v>0.25399001658638198</v>
      </c>
      <c r="K24">
        <v>-6.5125770325494704E-4</v>
      </c>
      <c r="L24">
        <v>2.7322461510462401E-2</v>
      </c>
      <c r="M24">
        <v>-2.3835982091348702E-2</v>
      </c>
      <c r="N24">
        <v>0.98143630375885205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2.84228939353878E-2</v>
      </c>
      <c r="D25">
        <v>6.3477631969472995E-2</v>
      </c>
      <c r="E25">
        <v>0.447762354289724</v>
      </c>
      <c r="F25">
        <v>0.66967108079663595</v>
      </c>
      <c r="G25">
        <v>1.7304873464715102E-2</v>
      </c>
      <c r="H25">
        <v>6.6122218138914196E-2</v>
      </c>
      <c r="I25">
        <v>0.261710419761778</v>
      </c>
      <c r="J25">
        <v>0.80211642733114097</v>
      </c>
      <c r="K25">
        <v>3.8620520060239999E-2</v>
      </c>
      <c r="L25">
        <v>8.6284529774675003E-2</v>
      </c>
      <c r="M25">
        <v>0.44759495312884401</v>
      </c>
      <c r="N25">
        <v>0.66992185493718204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-3.8434270087663501E-2</v>
      </c>
      <c r="D26">
        <v>1.2389441943077501E-2</v>
      </c>
      <c r="E26">
        <v>-3.1021792800876198</v>
      </c>
      <c r="F26">
        <v>9.5746724013020205E-3</v>
      </c>
      <c r="G26">
        <v>-3.3797174082534097E-2</v>
      </c>
      <c r="H26">
        <v>1.1921975232443101E-2</v>
      </c>
      <c r="I26">
        <v>-2.8348636382469898</v>
      </c>
      <c r="J26">
        <v>1.55710304829152E-2</v>
      </c>
      <c r="K26">
        <v>-1.7796438134315098E-2</v>
      </c>
      <c r="L26">
        <v>1.3458230119434599E-2</v>
      </c>
      <c r="M26">
        <v>-1.3223461017073801</v>
      </c>
      <c r="N26">
        <v>0.21179728105920501</v>
      </c>
      <c r="AB26" t="str">
        <f t="shared" si="0"/>
        <v>***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5.7342340599294897E-2</v>
      </c>
      <c r="D27">
        <v>2.2440974197929502E-2</v>
      </c>
      <c r="E27">
        <v>2.5552518394939199</v>
      </c>
      <c r="F27">
        <v>3.5868718321700299E-2</v>
      </c>
      <c r="G27">
        <v>7.8718741459560204E-2</v>
      </c>
      <c r="H27">
        <v>2.4739999889771401E-2</v>
      </c>
      <c r="I27">
        <v>3.1818408169074401</v>
      </c>
      <c r="J27">
        <v>1.41275782261689E-2</v>
      </c>
      <c r="K27">
        <v>7.54218224956031E-2</v>
      </c>
      <c r="L27">
        <v>2.79088203204193E-2</v>
      </c>
      <c r="M27">
        <v>2.70243677911464</v>
      </c>
      <c r="N27">
        <v>2.82992641821888E-2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1.17227758806013E-2</v>
      </c>
      <c r="D28">
        <v>2.6122282351306599E-2</v>
      </c>
      <c r="E28">
        <v>0.44876537673649902</v>
      </c>
      <c r="F28">
        <v>0.661366066000037</v>
      </c>
      <c r="G28">
        <v>1.6535118642267501E-2</v>
      </c>
      <c r="H28">
        <v>2.90909701277898E-2</v>
      </c>
      <c r="I28">
        <v>0.56839351075720801</v>
      </c>
      <c r="J28">
        <v>0.57997248392976397</v>
      </c>
      <c r="K28">
        <v>-9.6704529838909804E-3</v>
      </c>
      <c r="L28">
        <v>3.8269929001046601E-2</v>
      </c>
      <c r="M28">
        <v>-0.25269064344557701</v>
      </c>
      <c r="N28">
        <v>0.80460350782477896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1.5841600871186901E-2</v>
      </c>
      <c r="D29">
        <v>0.10494871989054</v>
      </c>
      <c r="E29">
        <v>0.15094610861103899</v>
      </c>
      <c r="F29">
        <v>0.89700295096626104</v>
      </c>
      <c r="G29">
        <v>3.2927275512806498E-2</v>
      </c>
      <c r="H29">
        <v>0.12721814007650201</v>
      </c>
      <c r="I29">
        <v>0.25882531762377498</v>
      </c>
      <c r="J29">
        <v>0.825772286101908</v>
      </c>
      <c r="K29">
        <v>4.1247655689767598E-2</v>
      </c>
      <c r="L29">
        <v>0.12321419308956599</v>
      </c>
      <c r="M29">
        <v>0.33476383406401899</v>
      </c>
      <c r="N29">
        <v>0.77740387882898299</v>
      </c>
      <c r="AB29" t="str">
        <f>IF(F29&lt;0.01,"***",IF(F29&lt;0.05,"**",IF(F29&lt;0.1,"*","")))</f>
        <v/>
      </c>
      <c r="AC29" t="str">
        <f>IF(J29&lt;0.01,"***",IF(J29&lt;0.05,"**",IF(J29&lt;0.1,"*","")))</f>
        <v/>
      </c>
      <c r="AD29" t="str">
        <f>IF(N29&lt;0.01,"***",IF(N29&lt;0.05,"**",IF(N29&lt;0.1,"*","")))</f>
        <v/>
      </c>
      <c r="AE29" t="str">
        <f>IF(R29&lt;0.01,"***",IF(R29&lt;0.05,"**",IF(R29&lt;0.1,"*","")))</f>
        <v>***</v>
      </c>
      <c r="AF29" t="str">
        <f>IF(V29&lt;0.01,"***",IF(V29&lt;0.05,"**",IF(V29&lt;0.1,"*","")))</f>
        <v>***</v>
      </c>
      <c r="AG29" t="str">
        <f>IF(Z29&lt;0.01,"***",IF(Z29&lt;0.05,"**",IF(Z29&lt;0.1,"*","")))</f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4.5669550399419596E-3</v>
      </c>
      <c r="D31">
        <v>1.23973797971739E-2</v>
      </c>
      <c r="E31">
        <v>0.36838066709733502</v>
      </c>
      <c r="F31">
        <v>0.71871890853694198</v>
      </c>
      <c r="G31">
        <v>-4.2218495416250102E-3</v>
      </c>
      <c r="H31">
        <v>1.34780885447893E-2</v>
      </c>
      <c r="I31">
        <v>-0.31323800311856498</v>
      </c>
      <c r="J31">
        <v>0.75922803354803803</v>
      </c>
      <c r="K31">
        <v>-2.85543443781857E-2</v>
      </c>
      <c r="L31">
        <v>2.5706221926476099E-2</v>
      </c>
      <c r="M31">
        <v>-1.11079506198366</v>
      </c>
      <c r="N31">
        <v>0.28731489505503699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-2.1615203213533701E-2</v>
      </c>
      <c r="D32">
        <v>8.2175491954337904E-2</v>
      </c>
      <c r="E32">
        <v>-0.26303710144558201</v>
      </c>
      <c r="F32">
        <v>0.80280447597916504</v>
      </c>
      <c r="G32">
        <v>-2.3130349616936899E-2</v>
      </c>
      <c r="H32">
        <v>8.3941252117940998E-2</v>
      </c>
      <c r="I32">
        <v>-0.27555402181084598</v>
      </c>
      <c r="J32">
        <v>0.79372594671872898</v>
      </c>
      <c r="K32">
        <v>8.6680468437559093E-3</v>
      </c>
      <c r="L32">
        <v>8.4715626212922404E-2</v>
      </c>
      <c r="M32">
        <v>0.102319338606668</v>
      </c>
      <c r="N32">
        <v>0.92241347812664398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-9.0550335663420703E-2</v>
      </c>
      <c r="D33">
        <v>0.123517528196999</v>
      </c>
      <c r="E33">
        <v>-0.73309705096269095</v>
      </c>
      <c r="F33">
        <v>0.54128872083789903</v>
      </c>
      <c r="G33">
        <v>-0.13910050185710199</v>
      </c>
      <c r="H33">
        <v>0.123090932648274</v>
      </c>
      <c r="I33">
        <v>-1.13006294504709</v>
      </c>
      <c r="J33">
        <v>0.37825436993211298</v>
      </c>
      <c r="K33">
        <v>1.96219369878128E-2</v>
      </c>
      <c r="L33">
        <v>6.5956874634938906E-2</v>
      </c>
      <c r="M33">
        <v>0.297496464112606</v>
      </c>
      <c r="N33">
        <v>0.79512381457681203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5.4035441465295202E-2</v>
      </c>
      <c r="D34">
        <v>5.11993031908533E-2</v>
      </c>
      <c r="E34">
        <v>1.0553940795613901</v>
      </c>
      <c r="F34">
        <v>0.31379896337621099</v>
      </c>
      <c r="G34">
        <v>7.1257945793824107E-2</v>
      </c>
      <c r="H34">
        <v>5.6035735154245501E-2</v>
      </c>
      <c r="I34">
        <v>1.2716518414129401</v>
      </c>
      <c r="J34">
        <v>0.22976665981990199</v>
      </c>
      <c r="K34">
        <v>9.8007871775460206E-2</v>
      </c>
      <c r="L34">
        <v>6.7224574275057097E-2</v>
      </c>
      <c r="M34">
        <v>1.4579173290774601</v>
      </c>
      <c r="N34">
        <v>0.175312104087091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253</v>
      </c>
      <c r="C35">
        <v>3.1469977995345101E-2</v>
      </c>
      <c r="D35">
        <v>2.6117720613507301E-2</v>
      </c>
      <c r="E35">
        <v>1.20492819649314</v>
      </c>
      <c r="F35">
        <v>0.261778840507222</v>
      </c>
      <c r="G35">
        <v>4.5009051607659202E-2</v>
      </c>
      <c r="H35">
        <v>3.2415573378643502E-2</v>
      </c>
      <c r="I35">
        <v>1.3885008629004401</v>
      </c>
      <c r="J35">
        <v>0.201022909624341</v>
      </c>
      <c r="K35">
        <v>3.87630901409593E-2</v>
      </c>
      <c r="L35">
        <v>4.5878271372329298E-2</v>
      </c>
      <c r="M35">
        <v>0.84491174103692601</v>
      </c>
      <c r="N35">
        <v>0.423823539834215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256</v>
      </c>
      <c r="C36">
        <v>2.2747494435704799E-2</v>
      </c>
      <c r="D36">
        <v>5.5356198347008397E-2</v>
      </c>
      <c r="E36">
        <v>0.41092949145656299</v>
      </c>
      <c r="F36">
        <v>0.68804935449037596</v>
      </c>
      <c r="G36">
        <v>3.2694759069574399E-2</v>
      </c>
      <c r="H36">
        <v>5.6403494877134398E-2</v>
      </c>
      <c r="I36">
        <v>0.57965839068650704</v>
      </c>
      <c r="J36">
        <v>0.57236200983058605</v>
      </c>
      <c r="K36">
        <v>2.2492495233437802E-2</v>
      </c>
      <c r="L36">
        <v>4.98519993023386E-2</v>
      </c>
      <c r="M36">
        <v>0.45118541980687799</v>
      </c>
      <c r="N36">
        <v>0.66103039325222301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6.5174154681893207E-2</v>
      </c>
      <c r="D37">
        <v>6.8097689594181707E-2</v>
      </c>
      <c r="E37">
        <v>0.95706851539735205</v>
      </c>
      <c r="F37">
        <v>0.36040865238257003</v>
      </c>
      <c r="G37">
        <v>5.9666986024778997E-2</v>
      </c>
      <c r="H37">
        <v>7.7019501358528406E-2</v>
      </c>
      <c r="I37">
        <v>0.77469971854306297</v>
      </c>
      <c r="J37">
        <v>0.45633714234184503</v>
      </c>
      <c r="K37">
        <v>0.12747030436544601</v>
      </c>
      <c r="L37">
        <v>8.2158413703905295E-2</v>
      </c>
      <c r="M37">
        <v>1.55151856783461</v>
      </c>
      <c r="N37">
        <v>0.15498136602781401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5.5868927663547403E-2</v>
      </c>
      <c r="D38">
        <v>0.105814872056663</v>
      </c>
      <c r="E38">
        <v>0.52798748018737895</v>
      </c>
      <c r="F38">
        <v>0.60769260998432795</v>
      </c>
      <c r="G38">
        <v>0.13818103573657201</v>
      </c>
      <c r="H38">
        <v>0.10046103316483</v>
      </c>
      <c r="I38">
        <v>1.3754689891537699</v>
      </c>
      <c r="J38">
        <v>0.19527807570595301</v>
      </c>
      <c r="K38">
        <v>0.227840353658499</v>
      </c>
      <c r="L38">
        <v>0.110371256851753</v>
      </c>
      <c r="M38">
        <v>2.0643087716625899</v>
      </c>
      <c r="N38">
        <v>6.6485518942305602E-2</v>
      </c>
      <c r="AB38" t="str">
        <f t="shared" si="0"/>
        <v/>
      </c>
      <c r="AC38" t="str">
        <f t="shared" si="1"/>
        <v/>
      </c>
      <c r="AD38" t="str">
        <f t="shared" si="2"/>
        <v>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0.24862528804363301</v>
      </c>
      <c r="D39">
        <v>0.14254639489977899</v>
      </c>
      <c r="E39">
        <v>1.7441709993327801</v>
      </c>
      <c r="F39">
        <v>0.16255432404378301</v>
      </c>
      <c r="G39">
        <v>0.50376141902581095</v>
      </c>
      <c r="H39">
        <v>0.135179862573471</v>
      </c>
      <c r="I39">
        <v>3.7266010590298699</v>
      </c>
      <c r="J39">
        <v>2.10344148022319E-2</v>
      </c>
      <c r="K39">
        <v>0.58626826041712299</v>
      </c>
      <c r="L39">
        <v>9.4312949279652503E-2</v>
      </c>
      <c r="M39">
        <v>6.2162011144275304</v>
      </c>
      <c r="N39">
        <v>4.7413321291863804E-3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0.26396107710233302</v>
      </c>
      <c r="D40">
        <v>2.0393521826428299E-2</v>
      </c>
      <c r="E40">
        <v>12.943378752769499</v>
      </c>
      <c r="F40">
        <v>5.1112387874168198E-3</v>
      </c>
      <c r="G40">
        <v>0.21962291437445</v>
      </c>
      <c r="H40">
        <v>4.43446228674595E-2</v>
      </c>
      <c r="I40">
        <v>4.95263912900724</v>
      </c>
      <c r="J40">
        <v>3.8805560558964398E-2</v>
      </c>
      <c r="K40">
        <v>0.21551069491574101</v>
      </c>
      <c r="L40">
        <v>4.7807334985876901E-2</v>
      </c>
      <c r="M40">
        <v>4.5079001994025996</v>
      </c>
      <c r="N40">
        <v>4.5440567288301002E-2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0.31719784139420698</v>
      </c>
      <c r="D41">
        <v>3.6194077153292502E-2</v>
      </c>
      <c r="E41">
        <v>8.7638051952749407</v>
      </c>
      <c r="F41">
        <v>2.17713049871228E-3</v>
      </c>
      <c r="G41">
        <v>0.26953450382519301</v>
      </c>
      <c r="H41">
        <v>6.2635961381234895E-2</v>
      </c>
      <c r="I41">
        <v>4.3031909765807796</v>
      </c>
      <c r="J41">
        <v>2.08860029987279E-2</v>
      </c>
      <c r="K41">
        <v>0.27034911672553502</v>
      </c>
      <c r="L41">
        <v>6.8282907850073196E-2</v>
      </c>
      <c r="M41">
        <v>3.9592502023952001</v>
      </c>
      <c r="N41">
        <v>2.62622440241756E-2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0.36935264430383902</v>
      </c>
      <c r="D42">
        <v>0.112767173801883</v>
      </c>
      <c r="E42">
        <v>3.2753560442398002</v>
      </c>
      <c r="F42">
        <v>1.24617671520043E-2</v>
      </c>
      <c r="G42">
        <v>0.31338797716217998</v>
      </c>
      <c r="H42">
        <v>0.143140051079967</v>
      </c>
      <c r="I42">
        <v>2.1893800847332501</v>
      </c>
      <c r="J42">
        <v>6.2360203941037799E-2</v>
      </c>
      <c r="K42">
        <v>0.24361543009303799</v>
      </c>
      <c r="L42">
        <v>0.15601160030903299</v>
      </c>
      <c r="M42">
        <v>1.5615212561788701</v>
      </c>
      <c r="N42">
        <v>0.159726021523871</v>
      </c>
      <c r="AB42" t="str">
        <f t="shared" si="0"/>
        <v>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0.277927086189662</v>
      </c>
      <c r="D43">
        <v>6.6474467207850996E-2</v>
      </c>
      <c r="E43">
        <v>4.1809599664882597</v>
      </c>
      <c r="F43">
        <v>5.1352957038771499E-3</v>
      </c>
      <c r="G43">
        <v>0.21162628071097001</v>
      </c>
      <c r="H43">
        <v>8.5382289485841006E-2</v>
      </c>
      <c r="I43">
        <v>2.4785735072852999</v>
      </c>
      <c r="J43">
        <v>4.6344146809482401E-2</v>
      </c>
      <c r="K43">
        <v>0.16279095764503301</v>
      </c>
      <c r="L43">
        <v>8.9339267320198895E-2</v>
      </c>
      <c r="M43">
        <v>1.8221658015347</v>
      </c>
      <c r="N43">
        <v>0.11653966224652999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4.19637561080956E-2</v>
      </c>
      <c r="D44">
        <v>0.19328959848725799</v>
      </c>
      <c r="E44">
        <v>0.21710302280369201</v>
      </c>
      <c r="F44">
        <v>0.83308022142420701</v>
      </c>
      <c r="G44">
        <v>-3.9200998435484601E-2</v>
      </c>
      <c r="H44">
        <v>0.242732316705705</v>
      </c>
      <c r="I44">
        <v>-0.161498884728287</v>
      </c>
      <c r="J44">
        <v>0.87535391682870101</v>
      </c>
      <c r="K44">
        <v>-0.12866376974341001</v>
      </c>
      <c r="L44">
        <v>0.26729759936000802</v>
      </c>
      <c r="M44">
        <v>-0.48135026297082401</v>
      </c>
      <c r="N44">
        <v>0.64204140754813899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9.9907562308433002E-5</v>
      </c>
      <c r="D45">
        <v>1.31720873236942E-4</v>
      </c>
      <c r="E45">
        <v>0.75847934995631106</v>
      </c>
      <c r="F45">
        <v>0.47172833303209399</v>
      </c>
      <c r="G45">
        <v>2.4244175193736099E-4</v>
      </c>
      <c r="H45">
        <v>1.4695091384913601E-4</v>
      </c>
      <c r="I45">
        <v>1.64981452368686</v>
      </c>
      <c r="J45">
        <v>0.14090084085875201</v>
      </c>
      <c r="K45">
        <v>1.96733455475019E-5</v>
      </c>
      <c r="L45">
        <v>1.8160080978778701E-4</v>
      </c>
      <c r="M45">
        <v>0.108332917515575</v>
      </c>
      <c r="N45">
        <v>0.91660413403613095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1.14872872432459E-2</v>
      </c>
      <c r="D46">
        <v>2.9036156260408498E-3</v>
      </c>
      <c r="E46">
        <v>3.95620106884089</v>
      </c>
      <c r="F46">
        <v>2.1977719295215E-3</v>
      </c>
      <c r="G46">
        <v>6.3622141309487403E-3</v>
      </c>
      <c r="H46">
        <v>3.7323392720046899E-3</v>
      </c>
      <c r="I46">
        <v>1.70461838200778</v>
      </c>
      <c r="J46">
        <v>0.11602914463434801</v>
      </c>
      <c r="K46">
        <v>-2.8697451015467202E-3</v>
      </c>
      <c r="L46">
        <v>4.1875575583710601E-3</v>
      </c>
      <c r="M46">
        <v>-0.68530284337465697</v>
      </c>
      <c r="N46">
        <v>0.50716055707991103</v>
      </c>
      <c r="AB46" t="str">
        <f t="shared" si="0"/>
        <v>***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6.1761612423576898E-3</v>
      </c>
      <c r="D47">
        <v>2.9407101189706901E-3</v>
      </c>
      <c r="E47">
        <v>2.1002278335817302</v>
      </c>
      <c r="F47">
        <v>0.119606005866744</v>
      </c>
      <c r="G47">
        <v>9.7148009177671392E-3</v>
      </c>
      <c r="H47">
        <v>5.63535202571865E-3</v>
      </c>
      <c r="I47">
        <v>1.72390311615506</v>
      </c>
      <c r="J47">
        <v>0.17755148934115</v>
      </c>
      <c r="K47">
        <v>1.22445789269308E-2</v>
      </c>
      <c r="L47">
        <v>5.60779723329241E-3</v>
      </c>
      <c r="M47">
        <v>2.18349173793893</v>
      </c>
      <c r="N47">
        <v>0.11109153355017599</v>
      </c>
      <c r="AB47" t="str">
        <f t="shared" si="0"/>
        <v/>
      </c>
      <c r="AC47" t="str">
        <f t="shared" si="1"/>
        <v/>
      </c>
      <c r="AD47" t="str">
        <f t="shared" si="2"/>
        <v/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-5.5415539778280697E-3</v>
      </c>
      <c r="D48">
        <v>1.0917099229916599E-2</v>
      </c>
      <c r="E48">
        <v>-0.50760315181914994</v>
      </c>
      <c r="F48">
        <v>0.62692203943153602</v>
      </c>
      <c r="G48">
        <v>-1.0693408192357701E-2</v>
      </c>
      <c r="H48">
        <v>1.3699539379403901E-2</v>
      </c>
      <c r="I48">
        <v>-0.78056698814518199</v>
      </c>
      <c r="J48">
        <v>0.45933310662937898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-5.8606211628889897E-2</v>
      </c>
      <c r="D49">
        <v>6.3417300501518406E-2</v>
      </c>
      <c r="E49">
        <v>-0.92413601912125998</v>
      </c>
      <c r="F49">
        <v>0.37430999144975302</v>
      </c>
      <c r="G49">
        <v>-2.8727026645799601E-2</v>
      </c>
      <c r="H49">
        <v>7.1992173741477705E-2</v>
      </c>
      <c r="I49">
        <v>-0.39902985495281401</v>
      </c>
      <c r="J49">
        <v>0.69736960964401196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-2.5196532429612398E-2</v>
      </c>
      <c r="D50">
        <v>1.02608640004145E-2</v>
      </c>
      <c r="E50">
        <v>-2.45559559395726</v>
      </c>
      <c r="F50">
        <v>3.9699344713990503E-2</v>
      </c>
      <c r="G50">
        <v>-2.0444614848995801E-2</v>
      </c>
      <c r="H50">
        <v>1.13074188539086E-2</v>
      </c>
      <c r="I50">
        <v>-1.8080708880726399</v>
      </c>
      <c r="J50">
        <v>0.110746373080541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-1.8356113185808199E-3</v>
      </c>
      <c r="D51">
        <v>6.5088759349733903E-3</v>
      </c>
      <c r="E51">
        <v>-0.28201663957331602</v>
      </c>
      <c r="F51">
        <v>0.78263360656660697</v>
      </c>
      <c r="G51">
        <v>-5.2205440153506701E-4</v>
      </c>
      <c r="H51">
        <v>8.6151953979759603E-3</v>
      </c>
      <c r="I51">
        <v>-6.0596931052511897E-2</v>
      </c>
      <c r="J51">
        <v>0.95264460968980402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-2.3290329515216401E-3</v>
      </c>
      <c r="D52">
        <v>8.4989042756702005E-4</v>
      </c>
      <c r="E52">
        <v>-2.74039202699218</v>
      </c>
      <c r="F52">
        <v>0.19585024543971</v>
      </c>
      <c r="G52">
        <v>-2.3897265234266501E-3</v>
      </c>
      <c r="H52">
        <v>2.0919914703921498E-3</v>
      </c>
      <c r="I52">
        <v>-1.14232135132878</v>
      </c>
      <c r="J52">
        <v>0.43944955179283801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3.2440990627256402E-2</v>
      </c>
      <c r="D53">
        <v>1.6950945620273699E-2</v>
      </c>
      <c r="E53">
        <v>1.9138159813607201</v>
      </c>
      <c r="F53">
        <v>8.6815480442316101E-2</v>
      </c>
      <c r="G53">
        <v>4.27144506459292E-2</v>
      </c>
      <c r="H53">
        <v>1.55117118398942E-2</v>
      </c>
      <c r="I53">
        <v>2.75369031392608</v>
      </c>
      <c r="J53">
        <v>2.1448842318602099E-2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2.6539376107640199E-2</v>
      </c>
      <c r="D54">
        <v>2.7692219252365799E-2</v>
      </c>
      <c r="E54">
        <v>0.95836942015302495</v>
      </c>
      <c r="F54">
        <v>0.35752787267207697</v>
      </c>
      <c r="G54">
        <v>4.8738276095434199E-2</v>
      </c>
      <c r="H54">
        <v>3.5205743560361602E-2</v>
      </c>
      <c r="I54">
        <v>1.3843842273028699</v>
      </c>
      <c r="J54">
        <v>0.194231727909043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8.0988048855015798E-7</v>
      </c>
      <c r="D55">
        <v>5.29228101771267E-6</v>
      </c>
      <c r="E55">
        <v>0.15303051478929</v>
      </c>
      <c r="F55">
        <v>0.88115486331019599</v>
      </c>
      <c r="G55">
        <v>1.3436172454903401E-6</v>
      </c>
      <c r="H55">
        <v>7.5244935083653104E-6</v>
      </c>
      <c r="I55">
        <v>0.17856580565809199</v>
      </c>
      <c r="J55">
        <v>0.86151573430204798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9.7819242045707804E-6</v>
      </c>
      <c r="D56">
        <v>3.0475969518770199E-6</v>
      </c>
      <c r="E56">
        <v>3.2097171506048601</v>
      </c>
      <c r="F56">
        <v>8.0822575115152596E-3</v>
      </c>
      <c r="G56">
        <v>1.0740593749558099E-5</v>
      </c>
      <c r="H56">
        <v>4.0451259552928903E-6</v>
      </c>
      <c r="I56">
        <v>2.6551938971157201</v>
      </c>
      <c r="J56">
        <v>2.29263773075708E-2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-0.40178398479106803</v>
      </c>
      <c r="D57">
        <v>0.18909981710264201</v>
      </c>
      <c r="E57">
        <v>-2.1247190555080402</v>
      </c>
      <c r="F57">
        <v>7.1595613097846594E-2</v>
      </c>
      <c r="AB57" t="str">
        <f t="shared" si="0"/>
        <v>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-0.17443575983045201</v>
      </c>
      <c r="D58">
        <v>3.8855583616140298E-2</v>
      </c>
      <c r="E58">
        <v>-4.48933572980724</v>
      </c>
      <c r="F58">
        <v>1.2558443712099099E-3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-0.240313508321326</v>
      </c>
      <c r="D59">
        <v>0.156921340667771</v>
      </c>
      <c r="E59">
        <v>-1.53142655612476</v>
      </c>
      <c r="F59">
        <v>0.15174411156927201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0.21562911484764299</v>
      </c>
      <c r="D60">
        <v>0.11542944590728201</v>
      </c>
      <c r="E60">
        <v>1.8680598624795199</v>
      </c>
      <c r="F60">
        <v>9.0765907182788E-2</v>
      </c>
      <c r="AB60" t="str">
        <f t="shared" si="0"/>
        <v>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-0.52167129266288004</v>
      </c>
      <c r="D61">
        <v>0.145212924365412</v>
      </c>
      <c r="E61">
        <v>-3.5924577302096998</v>
      </c>
      <c r="F61">
        <v>1.7274224085736499E-2</v>
      </c>
      <c r="AB61" t="str">
        <f t="shared" si="0"/>
        <v>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03807-8259-4204-BF58-0FB645173BA4}">
  <dimension ref="A1:AG61"/>
  <sheetViews>
    <sheetView workbookViewId="0">
      <selection activeCell="B24" sqref="B24"/>
    </sheetView>
  </sheetViews>
  <sheetFormatPr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2.66963821992272</v>
      </c>
      <c r="D2">
        <v>13.852042236624399</v>
      </c>
      <c r="E2">
        <v>0.192725243997906</v>
      </c>
      <c r="F2">
        <v>0.85063175090741905</v>
      </c>
      <c r="G2">
        <v>0.72127773498776504</v>
      </c>
      <c r="H2">
        <v>19.366509173746199</v>
      </c>
      <c r="I2">
        <v>3.7243559410569997E-2</v>
      </c>
      <c r="J2">
        <v>0.97094454824376297</v>
      </c>
      <c r="K2">
        <v>12.323870778381499</v>
      </c>
      <c r="L2">
        <v>0.11307440673080101</v>
      </c>
      <c r="M2">
        <v>108.989037702592</v>
      </c>
      <c r="N2">
        <v>9.4247644136534497E-15</v>
      </c>
      <c r="O2">
        <v>12.732288608917299</v>
      </c>
      <c r="P2">
        <v>0.124732199488247</v>
      </c>
      <c r="Q2">
        <v>102.07699905201299</v>
      </c>
      <c r="R2">
        <v>2.5397054906061498E-16</v>
      </c>
      <c r="S2">
        <v>13.136293457219001</v>
      </c>
      <c r="T2">
        <v>4.24313112964139E-2</v>
      </c>
      <c r="U2">
        <v>309.58961804060903</v>
      </c>
      <c r="V2">
        <v>4.6953408371703005E-22</v>
      </c>
      <c r="W2">
        <v>13.252424721957</v>
      </c>
      <c r="X2">
        <v>5.9519447245939897E-2</v>
      </c>
      <c r="Y2">
        <v>222.65705303338501</v>
      </c>
      <c r="Z2">
        <v>3.4808040288975599E-21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1.09819479172739E-2</v>
      </c>
      <c r="D3">
        <v>1.09760685158341E-2</v>
      </c>
      <c r="E3">
        <v>1.00053565640842</v>
      </c>
      <c r="F3">
        <v>0.34123330731333701</v>
      </c>
      <c r="G3">
        <v>1.15135027586443E-3</v>
      </c>
      <c r="H3">
        <v>1.10103709550366E-2</v>
      </c>
      <c r="I3">
        <v>0.104569617187853</v>
      </c>
      <c r="J3">
        <v>0.91883600150053701</v>
      </c>
      <c r="K3">
        <v>-2.3587617238819002E-3</v>
      </c>
      <c r="L3">
        <v>1.4944660554904199E-2</v>
      </c>
      <c r="M3">
        <v>-0.15783307457644899</v>
      </c>
      <c r="N3">
        <v>0.87780539277825997</v>
      </c>
      <c r="O3">
        <v>-1.99775440681942E-2</v>
      </c>
      <c r="P3">
        <v>1.7835895544625301E-2</v>
      </c>
      <c r="Q3">
        <v>-1.1200751887232401</v>
      </c>
      <c r="R3">
        <v>0.289500991300563</v>
      </c>
      <c r="S3">
        <v>-3.75823053447603E-2</v>
      </c>
      <c r="T3">
        <v>3.4895237323790303E-2</v>
      </c>
      <c r="U3">
        <v>-1.0770038614736099</v>
      </c>
      <c r="V3">
        <v>0.30739995057934599</v>
      </c>
      <c r="W3">
        <v>-1.6584145902367099E-2</v>
      </c>
      <c r="X3">
        <v>2.70076724651915E-2</v>
      </c>
      <c r="Y3">
        <v>-0.61405313337316902</v>
      </c>
      <c r="Z3">
        <v>0.55187479757600899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-6.7458604959612304E-6</v>
      </c>
      <c r="D4">
        <v>6.05705066868319E-5</v>
      </c>
      <c r="E4">
        <v>-0.111372033435999</v>
      </c>
      <c r="F4">
        <v>0.91592031249846895</v>
      </c>
      <c r="G4">
        <v>1.8195563597352701E-5</v>
      </c>
      <c r="H4">
        <v>5.3391357670876902E-5</v>
      </c>
      <c r="I4">
        <v>0.340796046234983</v>
      </c>
      <c r="J4">
        <v>0.74792114317437197</v>
      </c>
      <c r="K4">
        <v>4.8068884356606603E-5</v>
      </c>
      <c r="L4">
        <v>9.5778622458415801E-5</v>
      </c>
      <c r="M4">
        <v>0.501874876906657</v>
      </c>
      <c r="N4">
        <v>0.63831859552134895</v>
      </c>
      <c r="O4">
        <v>2.58044327830906E-4</v>
      </c>
      <c r="P4">
        <v>1.2812850605245301E-4</v>
      </c>
      <c r="Q4">
        <v>2.0139493995603801</v>
      </c>
      <c r="R4">
        <v>0.10319982054433301</v>
      </c>
      <c r="S4">
        <v>9.5893977428746305E-4</v>
      </c>
      <c r="T4">
        <v>2.7883918803782302E-4</v>
      </c>
      <c r="U4">
        <v>3.4390423420591398</v>
      </c>
      <c r="V4">
        <v>2.0722190237503602E-2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5.2739830319580197E-2</v>
      </c>
      <c r="D5">
        <v>1.29173425192131E-2</v>
      </c>
      <c r="E5">
        <v>4.0828700052766802</v>
      </c>
      <c r="F5">
        <v>1.8718158749659801E-3</v>
      </c>
      <c r="G5">
        <v>4.5352539855356797E-2</v>
      </c>
      <c r="H5">
        <v>1.11250305913233E-2</v>
      </c>
      <c r="I5">
        <v>4.0766215861669997</v>
      </c>
      <c r="J5">
        <v>1.9075469157577899E-3</v>
      </c>
      <c r="K5">
        <v>4.0334134948203502E-2</v>
      </c>
      <c r="L5">
        <v>1.24834407894014E-2</v>
      </c>
      <c r="M5">
        <v>3.2310110352305901</v>
      </c>
      <c r="N5">
        <v>8.2040368233680105E-3</v>
      </c>
      <c r="O5">
        <v>5.7663502951503097E-2</v>
      </c>
      <c r="P5">
        <v>1.7726910379176401E-2</v>
      </c>
      <c r="Q5">
        <v>3.2528794763491198</v>
      </c>
      <c r="R5">
        <v>7.8756752471583601E-3</v>
      </c>
      <c r="S5">
        <v>0.121533155655213</v>
      </c>
      <c r="T5">
        <v>7.6573879536655107E-2</v>
      </c>
      <c r="U5">
        <v>1.5871359318687299</v>
      </c>
      <c r="V5">
        <v>0.14156068477740599</v>
      </c>
      <c r="AB5" t="str">
        <f t="shared" si="0"/>
        <v>***</v>
      </c>
      <c r="AC5" t="str">
        <f t="shared" si="1"/>
        <v>***</v>
      </c>
      <c r="AD5" t="str">
        <f t="shared" si="2"/>
        <v>***</v>
      </c>
      <c r="AE5" t="str">
        <f t="shared" si="3"/>
        <v>***</v>
      </c>
      <c r="AF5" t="str">
        <f t="shared" si="4"/>
        <v/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6.9778416988422895E-2</v>
      </c>
      <c r="D6">
        <v>1.5263441163998699E-2</v>
      </c>
      <c r="E6">
        <v>4.5716045443937396</v>
      </c>
      <c r="F6">
        <v>8.6719948585296401E-4</v>
      </c>
      <c r="G6">
        <v>6.5985623245825006E-2</v>
      </c>
      <c r="H6">
        <v>1.6137439221369999E-2</v>
      </c>
      <c r="I6">
        <v>4.08897733653078</v>
      </c>
      <c r="J6">
        <v>1.9071233789269401E-3</v>
      </c>
      <c r="K6">
        <v>5.33568097694231E-2</v>
      </c>
      <c r="L6">
        <v>1.7541741722333401E-2</v>
      </c>
      <c r="M6">
        <v>3.0417053570850001</v>
      </c>
      <c r="N6">
        <v>1.1559977043215101E-2</v>
      </c>
      <c r="O6">
        <v>6.6847324997571497E-2</v>
      </c>
      <c r="P6">
        <v>1.6930649857657999E-2</v>
      </c>
      <c r="Q6">
        <v>3.9483023722999802</v>
      </c>
      <c r="R6">
        <v>2.4074957121354998E-3</v>
      </c>
      <c r="S6">
        <v>7.8534539761121194E-2</v>
      </c>
      <c r="T6">
        <v>3.57146403484212E-2</v>
      </c>
      <c r="U6">
        <v>2.19894527832178</v>
      </c>
      <c r="V6">
        <v>5.0926894622244701E-2</v>
      </c>
      <c r="AB6" t="str">
        <f t="shared" si="0"/>
        <v>***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5.9704060933738597E-2</v>
      </c>
      <c r="D7">
        <v>1.5160773870570399E-2</v>
      </c>
      <c r="E7">
        <v>3.9380615688513201</v>
      </c>
      <c r="F7">
        <v>2.2799498221479902E-3</v>
      </c>
      <c r="G7">
        <v>5.1700891797719403E-2</v>
      </c>
      <c r="H7">
        <v>1.56834086296955E-2</v>
      </c>
      <c r="I7">
        <v>3.2965341284181799</v>
      </c>
      <c r="J7">
        <v>7.0464116101839301E-3</v>
      </c>
      <c r="K7">
        <v>4.4314321251183598E-2</v>
      </c>
      <c r="L7">
        <v>1.5987186456778199E-2</v>
      </c>
      <c r="M7">
        <v>2.7718649163809199</v>
      </c>
      <c r="N7">
        <v>1.80335795930993E-2</v>
      </c>
      <c r="O7">
        <v>5.5214002803720998E-2</v>
      </c>
      <c r="P7">
        <v>1.9769366712543798E-2</v>
      </c>
      <c r="Q7">
        <v>2.79290700640842</v>
      </c>
      <c r="R7">
        <v>1.7344598755179699E-2</v>
      </c>
      <c r="S7">
        <v>6.2522051129602796E-2</v>
      </c>
      <c r="T7">
        <v>2.9299697612914701E-2</v>
      </c>
      <c r="U7">
        <v>2.1338804227810302</v>
      </c>
      <c r="V7">
        <v>5.6001607522395802E-2</v>
      </c>
      <c r="AB7" t="str">
        <f t="shared" si="0"/>
        <v>***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2.3566840316859301E-2</v>
      </c>
      <c r="D8">
        <v>2.4857784953377302E-2</v>
      </c>
      <c r="E8">
        <v>0.94806678716791404</v>
      </c>
      <c r="F8">
        <v>0.366999256291204</v>
      </c>
      <c r="G8">
        <v>2.7152804953378899E-2</v>
      </c>
      <c r="H8">
        <v>2.6511336428917499E-2</v>
      </c>
      <c r="I8">
        <v>1.0241960086086701</v>
      </c>
      <c r="J8">
        <v>0.33154849655926399</v>
      </c>
      <c r="K8">
        <v>2.16315313550361E-2</v>
      </c>
      <c r="L8">
        <v>2.8774647157734399E-2</v>
      </c>
      <c r="M8">
        <v>0.75175661534468896</v>
      </c>
      <c r="N8">
        <v>0.47071706316970302</v>
      </c>
      <c r="O8">
        <v>3.9438765528506101E-2</v>
      </c>
      <c r="P8">
        <v>3.6853204158522203E-2</v>
      </c>
      <c r="Q8">
        <v>1.0701583872833</v>
      </c>
      <c r="R8">
        <v>0.31140670079273602</v>
      </c>
      <c r="S8">
        <v>6.2422198598919502E-2</v>
      </c>
      <c r="T8">
        <v>5.22674544813026E-2</v>
      </c>
      <c r="U8">
        <v>1.1942842676842</v>
      </c>
      <c r="V8">
        <v>0.26176120042513101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5.2343561360484403E-2</v>
      </c>
      <c r="D9">
        <v>3.2863154135082902E-2</v>
      </c>
      <c r="E9">
        <v>1.59277350997192</v>
      </c>
      <c r="F9">
        <v>0.14270023505676799</v>
      </c>
      <c r="G9">
        <v>5.7375827403656599E-2</v>
      </c>
      <c r="H9">
        <v>3.5003095190868798E-2</v>
      </c>
      <c r="I9">
        <v>1.63916439648526</v>
      </c>
      <c r="J9">
        <v>0.13260780290149801</v>
      </c>
      <c r="K9">
        <v>4.9346268783748003E-2</v>
      </c>
      <c r="L9">
        <v>3.6554116144076498E-2</v>
      </c>
      <c r="M9">
        <v>1.3499510859256401</v>
      </c>
      <c r="N9">
        <v>0.20715972869604901</v>
      </c>
      <c r="O9">
        <v>8.3917806532269199E-2</v>
      </c>
      <c r="P9">
        <v>4.16198109732836E-2</v>
      </c>
      <c r="Q9">
        <v>2.0162947541049001</v>
      </c>
      <c r="R9">
        <v>7.1778935012511397E-2</v>
      </c>
      <c r="S9">
        <v>0.10002641271686</v>
      </c>
      <c r="T9">
        <v>5.8016218423314697E-2</v>
      </c>
      <c r="U9">
        <v>1.7241112129546099</v>
      </c>
      <c r="V9">
        <v>0.115748181328616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9.4822539348805093E-2</v>
      </c>
      <c r="D10">
        <v>3.42334576181215E-2</v>
      </c>
      <c r="E10">
        <v>2.7698791166981298</v>
      </c>
      <c r="F10">
        <v>2.0185048394512999E-2</v>
      </c>
      <c r="G10">
        <v>9.8346305271400203E-2</v>
      </c>
      <c r="H10">
        <v>3.5228018885160799E-2</v>
      </c>
      <c r="I10">
        <v>2.79170695326347</v>
      </c>
      <c r="J10">
        <v>1.9450525856084502E-2</v>
      </c>
      <c r="K10">
        <v>8.6037150575088997E-2</v>
      </c>
      <c r="L10">
        <v>3.4328537208875701E-2</v>
      </c>
      <c r="M10">
        <v>2.5062865350651702</v>
      </c>
      <c r="N10">
        <v>3.1579490342988903E-2</v>
      </c>
      <c r="O10">
        <v>0.124602842470042</v>
      </c>
      <c r="P10">
        <v>4.28206398811459E-2</v>
      </c>
      <c r="Q10">
        <v>2.9098781058828802</v>
      </c>
      <c r="R10">
        <v>1.5883503822857001E-2</v>
      </c>
      <c r="S10">
        <v>0.11930452766559201</v>
      </c>
      <c r="T10">
        <v>6.8526044604816302E-2</v>
      </c>
      <c r="U10">
        <v>1.74100998173193</v>
      </c>
      <c r="V10">
        <v>0.11284359359542601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6.0461651689895E-2</v>
      </c>
      <c r="D11">
        <v>9.7729165575741794E-2</v>
      </c>
      <c r="E11">
        <v>0.61866538339607702</v>
      </c>
      <c r="F11">
        <v>0.55350826122393304</v>
      </c>
      <c r="G11">
        <v>6.07158393052478E-2</v>
      </c>
      <c r="H11">
        <v>0.11468595046962</v>
      </c>
      <c r="I11">
        <v>0.529409566356004</v>
      </c>
      <c r="J11">
        <v>0.61103960577237404</v>
      </c>
      <c r="K11">
        <v>4.7161973569940702E-2</v>
      </c>
      <c r="L11">
        <v>0.111936485658475</v>
      </c>
      <c r="M11">
        <v>0.42132798160051899</v>
      </c>
      <c r="N11">
        <v>0.68472379714939402</v>
      </c>
      <c r="O11">
        <v>9.7990420800299904E-2</v>
      </c>
      <c r="P11">
        <v>9.4165396970328802E-2</v>
      </c>
      <c r="Q11">
        <v>1.04062026979163</v>
      </c>
      <c r="R11">
        <v>0.32877147479912999</v>
      </c>
      <c r="S11">
        <v>0.13225496190785799</v>
      </c>
      <c r="T11">
        <v>0.13390976153513401</v>
      </c>
      <c r="U11">
        <v>0.98764242719645301</v>
      </c>
      <c r="V11">
        <v>0.35253727094572501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5.9655976178129899E-2</v>
      </c>
      <c r="D12">
        <v>2.7738519337231898E-2</v>
      </c>
      <c r="E12">
        <v>2.1506546709599199</v>
      </c>
      <c r="F12">
        <v>5.2149055318897797E-2</v>
      </c>
      <c r="G12">
        <v>5.0149861752078202E-2</v>
      </c>
      <c r="H12">
        <v>3.1485219000335102E-2</v>
      </c>
      <c r="I12">
        <v>1.59280650871587</v>
      </c>
      <c r="J12">
        <v>0.13641661258592899</v>
      </c>
      <c r="K12">
        <v>1.6142931089018899E-2</v>
      </c>
      <c r="L12">
        <v>2.7075363347446101E-2</v>
      </c>
      <c r="M12">
        <v>0.59622214047005895</v>
      </c>
      <c r="N12">
        <v>0.56162763360648105</v>
      </c>
      <c r="O12">
        <v>-3.5391385732407202E-2</v>
      </c>
      <c r="P12">
        <v>2.2937720335315399E-2</v>
      </c>
      <c r="Q12">
        <v>-1.54293387551325</v>
      </c>
      <c r="R12">
        <v>0.151889143369355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6.0565130986563402E-2</v>
      </c>
      <c r="D13">
        <v>2.9674763107241101E-2</v>
      </c>
      <c r="E13">
        <v>2.0409642620461099</v>
      </c>
      <c r="F13">
        <v>6.1563972252121797E-2</v>
      </c>
      <c r="G13">
        <v>6.7544594703992197E-2</v>
      </c>
      <c r="H13">
        <v>3.6979121935057098E-2</v>
      </c>
      <c r="I13">
        <v>1.82656026345391</v>
      </c>
      <c r="J13">
        <v>9.0287990290042294E-2</v>
      </c>
      <c r="K13">
        <v>8.6344914559823696E-2</v>
      </c>
      <c r="L13">
        <v>4.3241951957852402E-2</v>
      </c>
      <c r="M13">
        <v>1.9967857751653599</v>
      </c>
      <c r="N13">
        <v>6.6615175550524805E-2</v>
      </c>
      <c r="O13">
        <v>0.109548152716457</v>
      </c>
      <c r="P13">
        <v>4.2662112471259103E-2</v>
      </c>
      <c r="Q13">
        <v>2.5678089145317999</v>
      </c>
      <c r="R13">
        <v>2.3118705773272501E-2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2.2499836722322999E-2</v>
      </c>
      <c r="D14">
        <v>2.4864961048898699E-2</v>
      </c>
      <c r="E14">
        <v>0.90488123741981796</v>
      </c>
      <c r="F14">
        <v>0.38334163624099699</v>
      </c>
      <c r="G14">
        <v>1.89022690820266E-2</v>
      </c>
      <c r="H14">
        <v>2.6860752081530902E-2</v>
      </c>
      <c r="I14">
        <v>0.703713322123381</v>
      </c>
      <c r="J14">
        <v>0.49511419703465098</v>
      </c>
      <c r="K14">
        <v>5.0220652821136901E-3</v>
      </c>
      <c r="L14">
        <v>3.3618421441957397E-2</v>
      </c>
      <c r="M14">
        <v>0.14938432760099499</v>
      </c>
      <c r="N14">
        <v>0.883762600729463</v>
      </c>
      <c r="O14">
        <v>-4.4927235092101997E-3</v>
      </c>
      <c r="P14">
        <v>3.3109189537420397E-2</v>
      </c>
      <c r="Q14">
        <v>-0.13569415536832999</v>
      </c>
      <c r="R14">
        <v>0.89431261056286304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-3.1417930470207203E-2</v>
      </c>
      <c r="D15">
        <v>2.2897526386122601E-2</v>
      </c>
      <c r="E15">
        <v>-1.37211024197131</v>
      </c>
      <c r="F15">
        <v>0.20059671688576</v>
      </c>
      <c r="G15">
        <v>-3.2660538084016998E-2</v>
      </c>
      <c r="H15">
        <v>2.3284670497815699E-2</v>
      </c>
      <c r="I15">
        <v>-1.40266266972001</v>
      </c>
      <c r="J15">
        <v>0.191568850246888</v>
      </c>
      <c r="K15">
        <v>-3.52631417148443E-2</v>
      </c>
      <c r="L15">
        <v>2.7944635403749502E-2</v>
      </c>
      <c r="M15">
        <v>-1.2618930683959799</v>
      </c>
      <c r="N15">
        <v>0.23629710903753301</v>
      </c>
      <c r="O15">
        <v>-0.10756131261716501</v>
      </c>
      <c r="P15">
        <v>5.6655099515785498E-2</v>
      </c>
      <c r="Q15">
        <v>-1.89852835025372</v>
      </c>
      <c r="R15">
        <v>8.3291397251307506E-2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-6.0548081888434297E-3</v>
      </c>
      <c r="D16">
        <v>1.1700858573660501E-2</v>
      </c>
      <c r="E16">
        <v>-0.51746700045356098</v>
      </c>
      <c r="F16">
        <v>0.61662098574856194</v>
      </c>
      <c r="G16">
        <v>-7.4837468848304202E-3</v>
      </c>
      <c r="H16">
        <v>1.18815759331002E-2</v>
      </c>
      <c r="I16">
        <v>-0.62986147014234495</v>
      </c>
      <c r="J16">
        <v>0.54350604238223998</v>
      </c>
      <c r="K16">
        <v>1.9669046880284998E-3</v>
      </c>
      <c r="L16">
        <v>7.5138801776985604E-3</v>
      </c>
      <c r="M16">
        <v>0.26176950410605898</v>
      </c>
      <c r="N16">
        <v>0.79900039470720896</v>
      </c>
      <c r="O16">
        <v>8.2685320730100403E-2</v>
      </c>
      <c r="P16">
        <v>1.91165694370455E-2</v>
      </c>
      <c r="Q16">
        <v>4.3253221244741997</v>
      </c>
      <c r="R16">
        <v>1.2212821207475599E-3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5.1988084055759902E-4</v>
      </c>
      <c r="D17">
        <v>6.4047451877106499E-5</v>
      </c>
      <c r="E17">
        <v>8.1171198122782506</v>
      </c>
      <c r="F17">
        <v>2.8688740437302099E-5</v>
      </c>
      <c r="G17">
        <v>5.6486071759844804E-4</v>
      </c>
      <c r="H17">
        <v>7.0208908670921197E-5</v>
      </c>
      <c r="I17">
        <v>8.0454279704877294</v>
      </c>
      <c r="J17">
        <v>3.8082771430574902E-5</v>
      </c>
      <c r="K17">
        <v>6.5180838077307304E-4</v>
      </c>
      <c r="L17">
        <v>6.1883934364705999E-5</v>
      </c>
      <c r="M17">
        <v>10.5327559966002</v>
      </c>
      <c r="N17">
        <v>3.3179653821425301E-6</v>
      </c>
      <c r="O17">
        <v>7.1823734038304395E-4</v>
      </c>
      <c r="P17">
        <v>5.6175467535263498E-5</v>
      </c>
      <c r="Q17">
        <v>12.785605031808201</v>
      </c>
      <c r="R17">
        <v>1.01970809542984E-6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-2.2715864482951799E-2</v>
      </c>
      <c r="D18">
        <v>6.9194855925781302E-3</v>
      </c>
      <c r="E18">
        <v>-3.28288341366257</v>
      </c>
      <c r="F18">
        <v>1.2605093525985E-2</v>
      </c>
      <c r="G18">
        <v>-2.3579322307454499E-2</v>
      </c>
      <c r="H18">
        <v>5.9847469577452E-3</v>
      </c>
      <c r="I18">
        <v>-3.93990296898671</v>
      </c>
      <c r="J18">
        <v>5.4202445285699103E-3</v>
      </c>
      <c r="K18">
        <v>-2.09744901757597E-2</v>
      </c>
      <c r="L18">
        <v>7.3707291206942796E-3</v>
      </c>
      <c r="M18">
        <v>-2.8456465883234201</v>
      </c>
      <c r="N18">
        <v>2.4001478159106901E-2</v>
      </c>
      <c r="O18">
        <v>-2.4677835436615302E-2</v>
      </c>
      <c r="P18">
        <v>7.0153226985993997E-3</v>
      </c>
      <c r="Q18">
        <v>-3.5177049576838701</v>
      </c>
      <c r="R18">
        <v>9.5372780671185604E-3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0.23000769183227701</v>
      </c>
      <c r="D19">
        <v>9.4102536796505099E-2</v>
      </c>
      <c r="E19">
        <v>2.44422413743919</v>
      </c>
      <c r="F19">
        <v>4.3884035138751297E-2</v>
      </c>
      <c r="G19">
        <v>0.24963364209071001</v>
      </c>
      <c r="H19">
        <v>8.9267970147840603E-2</v>
      </c>
      <c r="I19">
        <v>2.7964525425780402</v>
      </c>
      <c r="J19">
        <v>2.6781387332542601E-2</v>
      </c>
      <c r="K19">
        <v>0.24975581282353199</v>
      </c>
      <c r="L19">
        <v>0.105439411944455</v>
      </c>
      <c r="M19">
        <v>2.3687140151644899</v>
      </c>
      <c r="N19">
        <v>4.9534247263976101E-2</v>
      </c>
      <c r="O19">
        <v>0.27876345634249799</v>
      </c>
      <c r="P19">
        <v>0.10987975115597599</v>
      </c>
      <c r="Q19">
        <v>2.5369866004409598</v>
      </c>
      <c r="R19">
        <v>3.9114412743609897E-2</v>
      </c>
      <c r="AB19" t="str">
        <f t="shared" si="0"/>
        <v>**</v>
      </c>
      <c r="AC19" t="str">
        <f t="shared" si="1"/>
        <v>**</v>
      </c>
      <c r="AD19" t="str">
        <f t="shared" si="2"/>
        <v>**</v>
      </c>
      <c r="AE19" t="str">
        <f t="shared" si="3"/>
        <v>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6.8033057505294797E-3</v>
      </c>
      <c r="D20">
        <v>0.12805329820046901</v>
      </c>
      <c r="E20">
        <v>5.3128703798622903E-2</v>
      </c>
      <c r="F20">
        <v>0.95937699293022805</v>
      </c>
      <c r="G20">
        <v>-1.28974399467444E-2</v>
      </c>
      <c r="H20">
        <v>0.149323794396055</v>
      </c>
      <c r="I20">
        <v>-8.6372302545006496E-2</v>
      </c>
      <c r="J20">
        <v>0.93401769544625601</v>
      </c>
      <c r="K20">
        <v>3.9452619038722998E-2</v>
      </c>
      <c r="L20">
        <v>0.132481421640289</v>
      </c>
      <c r="M20">
        <v>0.297797370757721</v>
      </c>
      <c r="N20">
        <v>0.776036804028019</v>
      </c>
      <c r="O20">
        <v>1.03561531483552E-2</v>
      </c>
      <c r="P20">
        <v>0.17396229877463801</v>
      </c>
      <c r="Q20">
        <v>5.95310203492498E-2</v>
      </c>
      <c r="R20">
        <v>0.95448934762169502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0.10107663522619501</v>
      </c>
      <c r="D21">
        <v>1.39971383129777E-2</v>
      </c>
      <c r="E21">
        <v>7.2212357244823604</v>
      </c>
      <c r="F21">
        <v>1.9340329566145602E-5</v>
      </c>
      <c r="G21">
        <v>0.104362638113513</v>
      </c>
      <c r="H21">
        <v>1.6994279820335599E-2</v>
      </c>
      <c r="I21">
        <v>6.1410450585043801</v>
      </c>
      <c r="J21">
        <v>8.2130565288965202E-5</v>
      </c>
      <c r="K21">
        <v>0.133499690724311</v>
      </c>
      <c r="L21">
        <v>1.7910995735566902E-2</v>
      </c>
      <c r="M21">
        <v>7.4535046903736903</v>
      </c>
      <c r="N21">
        <v>1.43139551024415E-5</v>
      </c>
      <c r="O21">
        <v>0.15691218285237701</v>
      </c>
      <c r="P21">
        <v>2.9302151470324399E-2</v>
      </c>
      <c r="Q21">
        <v>5.3549713921617403</v>
      </c>
      <c r="R21">
        <v>2.6043231178070098E-4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5.7497957162925099E-2</v>
      </c>
      <c r="D22">
        <v>5.2185158807036801E-3</v>
      </c>
      <c r="E22">
        <v>11.0180669135325</v>
      </c>
      <c r="F22">
        <v>2.35856180071646E-7</v>
      </c>
      <c r="G22">
        <v>5.9167003791814297E-2</v>
      </c>
      <c r="H22">
        <v>7.4543033593588897E-3</v>
      </c>
      <c r="I22">
        <v>7.93729486706897</v>
      </c>
      <c r="J22">
        <v>6.3075876059051201E-6</v>
      </c>
      <c r="K22">
        <v>7.2371304981966797E-2</v>
      </c>
      <c r="L22">
        <v>1.23998088168772E-2</v>
      </c>
      <c r="M22">
        <v>5.8364855499596997</v>
      </c>
      <c r="N22">
        <v>1.0513542028311901E-4</v>
      </c>
      <c r="O22">
        <v>7.7188906759711198E-2</v>
      </c>
      <c r="P22">
        <v>1.44536327599176E-2</v>
      </c>
      <c r="Q22">
        <v>5.3404502550922404</v>
      </c>
      <c r="R22">
        <v>2.2996155782008999E-4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-8.9581627299750194E-2</v>
      </c>
      <c r="D23">
        <v>1.16250073419408E-2</v>
      </c>
      <c r="E23">
        <v>-7.7059415675856897</v>
      </c>
      <c r="F23">
        <v>7.6252225666347201E-6</v>
      </c>
      <c r="G23">
        <v>-9.5612838980857207E-2</v>
      </c>
      <c r="H23">
        <v>1.16388452564539E-2</v>
      </c>
      <c r="I23">
        <v>-8.2149763893319694</v>
      </c>
      <c r="J23">
        <v>4.1058099228179602E-6</v>
      </c>
      <c r="K23">
        <v>-0.10582726825134101</v>
      </c>
      <c r="L23">
        <v>1.6628796347188501E-2</v>
      </c>
      <c r="M23">
        <v>-6.3640967176336298</v>
      </c>
      <c r="N23">
        <v>4.61165662168211E-5</v>
      </c>
      <c r="O23">
        <v>-9.1609941300429196E-2</v>
      </c>
      <c r="P23">
        <v>1.5728469687613499E-2</v>
      </c>
      <c r="Q23">
        <v>-5.8244662780241203</v>
      </c>
      <c r="R23">
        <v>1.01908131115583E-4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-2.42614702772165E-2</v>
      </c>
      <c r="D24">
        <v>2.0922207771131199E-2</v>
      </c>
      <c r="E24">
        <v>-1.1596037350653201</v>
      </c>
      <c r="F24">
        <v>0.272070995207077</v>
      </c>
      <c r="G24">
        <v>-2.1937232086599701E-2</v>
      </c>
      <c r="H24">
        <v>2.05608832104025E-2</v>
      </c>
      <c r="I24">
        <v>-1.0669401631298101</v>
      </c>
      <c r="J24">
        <v>0.31012772977237602</v>
      </c>
      <c r="K24">
        <v>-3.9472958727222599E-4</v>
      </c>
      <c r="L24">
        <v>2.5947019222505301E-2</v>
      </c>
      <c r="M24">
        <v>-1.52129068810284E-2</v>
      </c>
      <c r="N24">
        <v>0.98814916888450099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3.4947381522903803E-2</v>
      </c>
      <c r="D25">
        <v>6.2240719435001E-2</v>
      </c>
      <c r="E25">
        <v>0.56148742881097202</v>
      </c>
      <c r="F25">
        <v>0.59390561699724198</v>
      </c>
      <c r="G25">
        <v>2.4485252552792901E-2</v>
      </c>
      <c r="H25">
        <v>6.3827609937616797E-2</v>
      </c>
      <c r="I25">
        <v>0.38361537548913499</v>
      </c>
      <c r="J25">
        <v>0.71393805554475898</v>
      </c>
      <c r="K25">
        <v>4.0863314686106399E-2</v>
      </c>
      <c r="L25">
        <v>8.9293350425718399E-2</v>
      </c>
      <c r="M25">
        <v>0.457629985786006</v>
      </c>
      <c r="N25">
        <v>0.66273277162134903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-3.7373796242761499E-2</v>
      </c>
      <c r="D26">
        <v>1.25705287356909E-2</v>
      </c>
      <c r="E26">
        <v>-2.9731284203382802</v>
      </c>
      <c r="F26">
        <v>1.23198901655378E-2</v>
      </c>
      <c r="G26">
        <v>-3.5643680376838897E-2</v>
      </c>
      <c r="H26">
        <v>1.24559952996827E-2</v>
      </c>
      <c r="I26">
        <v>-2.8615682263260802</v>
      </c>
      <c r="J26">
        <v>1.50460712065401E-2</v>
      </c>
      <c r="K26">
        <v>-1.7897941646556999E-2</v>
      </c>
      <c r="L26">
        <v>1.45361329692327E-2</v>
      </c>
      <c r="M26">
        <v>-1.2312725595204701</v>
      </c>
      <c r="N26">
        <v>0.24325708059314699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5.7363560551822602E-2</v>
      </c>
      <c r="D27">
        <v>2.36599789358371E-2</v>
      </c>
      <c r="E27">
        <v>2.4244975326218801</v>
      </c>
      <c r="F27">
        <v>4.3427297479488002E-2</v>
      </c>
      <c r="G27">
        <v>7.7731518595140395E-2</v>
      </c>
      <c r="H27">
        <v>2.29409181465084E-2</v>
      </c>
      <c r="I27">
        <v>3.3883351180070802</v>
      </c>
      <c r="J27">
        <v>1.03590265290886E-2</v>
      </c>
      <c r="K27">
        <v>7.6496695023676106E-2</v>
      </c>
      <c r="L27">
        <v>2.6076821577417499E-2</v>
      </c>
      <c r="M27">
        <v>2.9335129972251699</v>
      </c>
      <c r="N27">
        <v>1.9816989460297599E-2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1.0584443950267201E-2</v>
      </c>
      <c r="D28">
        <v>2.8377955649794399E-2</v>
      </c>
      <c r="E28">
        <v>0.37298119994573598</v>
      </c>
      <c r="F28">
        <v>0.71561206553936996</v>
      </c>
      <c r="G28">
        <v>8.82998167171134E-3</v>
      </c>
      <c r="H28">
        <v>3.3919835837619997E-2</v>
      </c>
      <c r="I28">
        <v>0.26031911575226802</v>
      </c>
      <c r="J28">
        <v>0.79900209740988404</v>
      </c>
      <c r="K28">
        <v>-1.9066107284509502E-2</v>
      </c>
      <c r="L28">
        <v>4.2040807342593703E-2</v>
      </c>
      <c r="M28">
        <v>-0.45351429931253101</v>
      </c>
      <c r="N28">
        <v>0.65808187405497898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1.6408981933838E-2</v>
      </c>
      <c r="D29">
        <v>0.11011072667765</v>
      </c>
      <c r="E29">
        <v>0.14902255601196199</v>
      </c>
      <c r="F29">
        <v>0.89845077735536705</v>
      </c>
      <c r="G29">
        <v>3.6046729608081703E-2</v>
      </c>
      <c r="H29">
        <v>0.131320697919802</v>
      </c>
      <c r="I29">
        <v>0.27449389303501498</v>
      </c>
      <c r="J29">
        <v>0.81586959293467198</v>
      </c>
      <c r="K29">
        <v>4.4726110379131802E-2</v>
      </c>
      <c r="L29">
        <v>0.127299459239856</v>
      </c>
      <c r="M29">
        <v>0.351345643148881</v>
      </c>
      <c r="N29">
        <v>0.76737528140385203</v>
      </c>
      <c r="AB29" t="str">
        <f>IF(F29&lt;0.01,"***",IF(F29&lt;0.05,"**",IF(F29&lt;0.1,"*","")))</f>
        <v/>
      </c>
      <c r="AC29" t="str">
        <f>IF(J29&lt;0.01,"***",IF(J29&lt;0.05,"**",IF(J29&lt;0.1,"*","")))</f>
        <v/>
      </c>
      <c r="AD29" t="str">
        <f>IF(N29&lt;0.01,"***",IF(N29&lt;0.05,"**",IF(N29&lt;0.1,"*","")))</f>
        <v/>
      </c>
      <c r="AE29" t="str">
        <f>IF(R29&lt;0.01,"***",IF(R29&lt;0.05,"**",IF(R29&lt;0.1,"*","")))</f>
        <v>***</v>
      </c>
      <c r="AF29" t="str">
        <f>IF(V29&lt;0.01,"***",IF(V29&lt;0.05,"**",IF(V29&lt;0.1,"*","")))</f>
        <v>***</v>
      </c>
      <c r="AG29" t="str">
        <f>IF(Z29&lt;0.01,"***",IF(Z29&lt;0.05,"**",IF(Z29&lt;0.1,"*","")))</f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-2.23610518164783E-3</v>
      </c>
      <c r="D31">
        <v>1.1677347429933E-2</v>
      </c>
      <c r="E31">
        <v>-0.19149084970409799</v>
      </c>
      <c r="F31">
        <v>0.85119620538391105</v>
      </c>
      <c r="G31">
        <v>-1.11113987683141E-2</v>
      </c>
      <c r="H31">
        <v>1.2642860645906501E-2</v>
      </c>
      <c r="I31">
        <v>-0.87886745567441904</v>
      </c>
      <c r="J31">
        <v>0.39591264333794801</v>
      </c>
      <c r="K31">
        <v>-3.7315490873079303E-2</v>
      </c>
      <c r="L31">
        <v>2.6517107484881002E-2</v>
      </c>
      <c r="M31">
        <v>-1.4072232763077599</v>
      </c>
      <c r="N31">
        <v>0.18342970135353401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-2.9879256593650701E-2</v>
      </c>
      <c r="D32">
        <v>8.0503763277646898E-2</v>
      </c>
      <c r="E32">
        <v>-0.37115353838305698</v>
      </c>
      <c r="F32">
        <v>0.72667833237653101</v>
      </c>
      <c r="G32">
        <v>-3.2649984209089301E-2</v>
      </c>
      <c r="H32">
        <v>8.2531894582135404E-2</v>
      </c>
      <c r="I32">
        <v>-0.395604443280969</v>
      </c>
      <c r="J32">
        <v>0.70980118326508901</v>
      </c>
      <c r="K32">
        <v>-1.14919615888085E-2</v>
      </c>
      <c r="L32">
        <v>8.89071802572413E-2</v>
      </c>
      <c r="M32">
        <v>-0.129257969441366</v>
      </c>
      <c r="N32">
        <v>0.90252932941878605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-5.9838733982671803E-2</v>
      </c>
      <c r="D33">
        <v>0.13951981719225701</v>
      </c>
      <c r="E33">
        <v>-0.4288905704357</v>
      </c>
      <c r="F33">
        <v>0.71237286883178397</v>
      </c>
      <c r="G33">
        <v>-0.104684528724341</v>
      </c>
      <c r="H33">
        <v>0.14689695105419401</v>
      </c>
      <c r="I33">
        <v>-0.71263922071275698</v>
      </c>
      <c r="J33">
        <v>0.55465961798520202</v>
      </c>
      <c r="K33">
        <v>5.4874738985937803E-2</v>
      </c>
      <c r="L33">
        <v>5.9028109674576203E-2</v>
      </c>
      <c r="M33">
        <v>0.92963740984530896</v>
      </c>
      <c r="N33">
        <v>0.45796616295295101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5.9099403814124998E-2</v>
      </c>
      <c r="D34">
        <v>5.2740439977115E-2</v>
      </c>
      <c r="E34">
        <v>1.1205709288691801</v>
      </c>
      <c r="F34">
        <v>0.28614000711923299</v>
      </c>
      <c r="G34">
        <v>7.8345637207177396E-2</v>
      </c>
      <c r="H34">
        <v>5.6546431067203598E-2</v>
      </c>
      <c r="I34">
        <v>1.3855098496678999</v>
      </c>
      <c r="J34">
        <v>0.193227555035201</v>
      </c>
      <c r="K34">
        <v>0.110793827440024</v>
      </c>
      <c r="L34">
        <v>6.7293420108077706E-2</v>
      </c>
      <c r="M34">
        <v>1.6464288375012299</v>
      </c>
      <c r="N34">
        <v>0.13021440350067601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253</v>
      </c>
      <c r="C35">
        <v>3.4027912211995297E-2</v>
      </c>
      <c r="D35">
        <v>2.62559047588121E-2</v>
      </c>
      <c r="E35">
        <v>1.2960098889974401</v>
      </c>
      <c r="F35">
        <v>0.23006793893112601</v>
      </c>
      <c r="G35">
        <v>4.8916249767969801E-2</v>
      </c>
      <c r="H35">
        <v>3.1974698417027797E-2</v>
      </c>
      <c r="I35">
        <v>1.52984241258457</v>
      </c>
      <c r="J35">
        <v>0.163030100263997</v>
      </c>
      <c r="K35">
        <v>4.0880613235051502E-2</v>
      </c>
      <c r="L35">
        <v>4.6517246428010799E-2</v>
      </c>
      <c r="M35">
        <v>0.87882702382905598</v>
      </c>
      <c r="N35">
        <v>0.40613695951997503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256</v>
      </c>
      <c r="C36">
        <v>2.89438835024079E-2</v>
      </c>
      <c r="D36">
        <v>5.6956131299101299E-2</v>
      </c>
      <c r="E36">
        <v>0.50817853745035901</v>
      </c>
      <c r="F36">
        <v>0.62015418535076305</v>
      </c>
      <c r="G36">
        <v>3.8662203652040199E-2</v>
      </c>
      <c r="H36">
        <v>5.7774187733503402E-2</v>
      </c>
      <c r="I36">
        <v>0.66919510544013905</v>
      </c>
      <c r="J36">
        <v>0.51547522845382499</v>
      </c>
      <c r="K36">
        <v>3.3259930422074299E-2</v>
      </c>
      <c r="L36">
        <v>5.2591626860993002E-2</v>
      </c>
      <c r="M36">
        <v>0.63241874053420899</v>
      </c>
      <c r="N36">
        <v>0.54068311192085095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7.2434770430047798E-2</v>
      </c>
      <c r="D37">
        <v>6.7068623044799103E-2</v>
      </c>
      <c r="E37">
        <v>1.08000980401319</v>
      </c>
      <c r="F37">
        <v>0.30481576369167701</v>
      </c>
      <c r="G37">
        <v>6.9176670831733206E-2</v>
      </c>
      <c r="H37">
        <v>7.62792091863604E-2</v>
      </c>
      <c r="I37">
        <v>0.90688762468322404</v>
      </c>
      <c r="J37">
        <v>0.385750957850861</v>
      </c>
      <c r="K37">
        <v>0.14406568782476101</v>
      </c>
      <c r="L37">
        <v>8.1352316989372606E-2</v>
      </c>
      <c r="M37">
        <v>1.7708861057218701</v>
      </c>
      <c r="N37">
        <v>0.11017418809912401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6.1986011549574303E-2</v>
      </c>
      <c r="D38">
        <v>0.100783561504746</v>
      </c>
      <c r="E38">
        <v>0.61504089182892796</v>
      </c>
      <c r="F38">
        <v>0.55065416797106603</v>
      </c>
      <c r="G38">
        <v>0.143774919067063</v>
      </c>
      <c r="H38">
        <v>9.7617107238778006E-2</v>
      </c>
      <c r="I38">
        <v>1.4728455199494901</v>
      </c>
      <c r="J38">
        <v>0.16763005532612399</v>
      </c>
      <c r="K38">
        <v>0.24080030890211501</v>
      </c>
      <c r="L38">
        <v>0.107798131618676</v>
      </c>
      <c r="M38">
        <v>2.2338078154630798</v>
      </c>
      <c r="N38">
        <v>4.9943979927573302E-2</v>
      </c>
      <c r="AB38" t="str">
        <f t="shared" si="0"/>
        <v/>
      </c>
      <c r="AC38" t="str">
        <f t="shared" si="1"/>
        <v/>
      </c>
      <c r="AD38" t="str">
        <f t="shared" si="2"/>
        <v>**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0.24951224249506099</v>
      </c>
      <c r="D39">
        <v>0.14206965891346299</v>
      </c>
      <c r="E39">
        <v>1.75626692147577</v>
      </c>
      <c r="F39">
        <v>0.160504862596625</v>
      </c>
      <c r="G39">
        <v>0.50879669113535797</v>
      </c>
      <c r="H39">
        <v>0.13583251053739001</v>
      </c>
      <c r="I39">
        <v>3.7457652009995401</v>
      </c>
      <c r="J39">
        <v>2.0612749242455899E-2</v>
      </c>
      <c r="K39">
        <v>0.59680915638743204</v>
      </c>
      <c r="L39">
        <v>9.2587554164381899E-2</v>
      </c>
      <c r="M39">
        <v>6.4458896422282104</v>
      </c>
      <c r="N39">
        <v>4.1586188607027098E-3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0.26963045501825</v>
      </c>
      <c r="D40">
        <v>2.0091468603335199E-2</v>
      </c>
      <c r="E40">
        <v>13.420146647393</v>
      </c>
      <c r="F40">
        <v>4.7887612266067697E-3</v>
      </c>
      <c r="G40">
        <v>0.224539604056706</v>
      </c>
      <c r="H40">
        <v>4.3406039423889903E-2</v>
      </c>
      <c r="I40">
        <v>5.1730037348932401</v>
      </c>
      <c r="J40">
        <v>3.5948901786139797E-2</v>
      </c>
      <c r="K40">
        <v>0.21961965680676701</v>
      </c>
      <c r="L40">
        <v>4.6946096802094203E-2</v>
      </c>
      <c r="M40">
        <v>4.6781238860515799</v>
      </c>
      <c r="N40">
        <v>4.2693704483995697E-2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0.323930165652903</v>
      </c>
      <c r="D41">
        <v>3.6730240971071998E-2</v>
      </c>
      <c r="E41">
        <v>8.8191679958763203</v>
      </c>
      <c r="F41">
        <v>2.1693652592653201E-3</v>
      </c>
      <c r="G41">
        <v>0.27425587024901998</v>
      </c>
      <c r="H41">
        <v>6.23417437840285E-2</v>
      </c>
      <c r="I41">
        <v>4.3992332200255602</v>
      </c>
      <c r="J41">
        <v>1.9845067710203699E-2</v>
      </c>
      <c r="K41">
        <v>0.27444717763690302</v>
      </c>
      <c r="L41">
        <v>6.83929473890552E-2</v>
      </c>
      <c r="M41">
        <v>4.01279939107906</v>
      </c>
      <c r="N41">
        <v>2.5602807760389399E-2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0.38633085499325698</v>
      </c>
      <c r="D42">
        <v>0.114125739650261</v>
      </c>
      <c r="E42">
        <v>3.3851334166785798</v>
      </c>
      <c r="F42">
        <v>1.0269030113459201E-2</v>
      </c>
      <c r="G42">
        <v>0.33096248644113901</v>
      </c>
      <c r="H42">
        <v>0.14495507254124801</v>
      </c>
      <c r="I42">
        <v>2.2832073458275199</v>
      </c>
      <c r="J42">
        <v>5.3242785237067797E-2</v>
      </c>
      <c r="K42">
        <v>0.25805122408959602</v>
      </c>
      <c r="L42">
        <v>0.158536735370957</v>
      </c>
      <c r="M42">
        <v>1.6277061810676701</v>
      </c>
      <c r="N42">
        <v>0.14395514533946899</v>
      </c>
      <c r="AB42" t="str">
        <f t="shared" si="0"/>
        <v>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0.29442671244437402</v>
      </c>
      <c r="D43">
        <v>6.4343805218725098E-2</v>
      </c>
      <c r="E43">
        <v>4.5758361887911896</v>
      </c>
      <c r="F43">
        <v>3.1445419587126499E-3</v>
      </c>
      <c r="G43">
        <v>0.22721552712274601</v>
      </c>
      <c r="H43">
        <v>8.3334219382624697E-2</v>
      </c>
      <c r="I43">
        <v>2.7265573351026098</v>
      </c>
      <c r="J43">
        <v>3.2395940658147798E-2</v>
      </c>
      <c r="K43">
        <v>0.17468348908468101</v>
      </c>
      <c r="L43">
        <v>9.2250101722543401E-2</v>
      </c>
      <c r="M43">
        <v>1.89358586953182</v>
      </c>
      <c r="N43">
        <v>0.104530025747987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3.4447177236861998E-2</v>
      </c>
      <c r="D44">
        <v>0.19686739014121901</v>
      </c>
      <c r="E44">
        <v>0.174976552552213</v>
      </c>
      <c r="F44">
        <v>0.86543887611502501</v>
      </c>
      <c r="G44">
        <v>-4.64170152492576E-2</v>
      </c>
      <c r="H44">
        <v>0.246555706315503</v>
      </c>
      <c r="I44">
        <v>-0.188261776386795</v>
      </c>
      <c r="J44">
        <v>0.85535910486520506</v>
      </c>
      <c r="K44">
        <v>-0.14261401886526801</v>
      </c>
      <c r="L44">
        <v>0.26639498827244001</v>
      </c>
      <c r="M44">
        <v>-0.53534798004314599</v>
      </c>
      <c r="N44">
        <v>0.60697452058711698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1.05582488058278E-4</v>
      </c>
      <c r="D45">
        <v>1.3831628100753599E-4</v>
      </c>
      <c r="E45">
        <v>0.76334099853744297</v>
      </c>
      <c r="F45">
        <v>0.470152113381062</v>
      </c>
      <c r="G45">
        <v>2.5282372769854899E-4</v>
      </c>
      <c r="H45">
        <v>1.44233490405689E-4</v>
      </c>
      <c r="I45">
        <v>1.75287810748686</v>
      </c>
      <c r="J45">
        <v>0.123086699850995</v>
      </c>
      <c r="K45">
        <v>3.1659833474197499E-5</v>
      </c>
      <c r="L45">
        <v>2.02600311366044E-4</v>
      </c>
      <c r="M45">
        <v>0.15626744727453401</v>
      </c>
      <c r="N45">
        <v>0.88019963941176904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9.6786155025209101E-3</v>
      </c>
      <c r="D46">
        <v>3.2052319523959301E-3</v>
      </c>
      <c r="E46">
        <v>3.0196302939280502</v>
      </c>
      <c r="F46">
        <v>1.15883448062575E-2</v>
      </c>
      <c r="G46">
        <v>4.5357264153579801E-3</v>
      </c>
      <c r="H46">
        <v>3.9320721266743698E-3</v>
      </c>
      <c r="I46">
        <v>1.1535206550735799</v>
      </c>
      <c r="J46">
        <v>0.27302767150877599</v>
      </c>
      <c r="K46">
        <v>-5.0664005135776001E-3</v>
      </c>
      <c r="L46">
        <v>5.0538190178024203E-3</v>
      </c>
      <c r="M46">
        <v>-1.0024895026376801</v>
      </c>
      <c r="N46">
        <v>0.33749267509844599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6.6578381814059598E-3</v>
      </c>
      <c r="D47">
        <v>2.3172830572939398E-3</v>
      </c>
      <c r="E47">
        <v>2.8731225391087101</v>
      </c>
      <c r="F47">
        <v>5.9518648711537399E-2</v>
      </c>
      <c r="G47">
        <v>1.00161491881362E-2</v>
      </c>
      <c r="H47">
        <v>5.64710326752948E-3</v>
      </c>
      <c r="I47">
        <v>1.7736791260270399</v>
      </c>
      <c r="J47">
        <v>0.17102452226021</v>
      </c>
      <c r="K47">
        <v>1.30178802835231E-2</v>
      </c>
      <c r="L47">
        <v>5.4266953685764901E-3</v>
      </c>
      <c r="M47">
        <v>2.3988596004308</v>
      </c>
      <c r="N47">
        <v>9.2655919663251596E-2</v>
      </c>
      <c r="AB47" t="str">
        <f t="shared" si="0"/>
        <v>*</v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-5.8239282172711498E-3</v>
      </c>
      <c r="D48">
        <v>1.1232982838375601E-2</v>
      </c>
      <c r="E48">
        <v>-0.51846675999314196</v>
      </c>
      <c r="F48">
        <v>0.61965843809976995</v>
      </c>
      <c r="G48">
        <v>-1.1293950365329901E-2</v>
      </c>
      <c r="H48">
        <v>1.3985030910771501E-2</v>
      </c>
      <c r="I48">
        <v>-0.807574215415648</v>
      </c>
      <c r="J48">
        <v>0.444493749579289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-6.7402717620119998E-2</v>
      </c>
      <c r="D49">
        <v>6.1857184809781002E-2</v>
      </c>
      <c r="E49">
        <v>-1.08965058509197</v>
      </c>
      <c r="F49">
        <v>0.29808843543345298</v>
      </c>
      <c r="G49">
        <v>-3.7960270529544801E-2</v>
      </c>
      <c r="H49">
        <v>7.0274046974090607E-2</v>
      </c>
      <c r="I49">
        <v>-0.54017481793158195</v>
      </c>
      <c r="J49">
        <v>0.59966102489956996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-2.4813913427564799E-2</v>
      </c>
      <c r="D50">
        <v>9.9736596830730297E-3</v>
      </c>
      <c r="E50">
        <v>-2.48794466786131</v>
      </c>
      <c r="F50">
        <v>3.7708103363598297E-2</v>
      </c>
      <c r="G50">
        <v>-2.04157802889205E-2</v>
      </c>
      <c r="H50">
        <v>1.10550736527184E-2</v>
      </c>
      <c r="I50">
        <v>-1.84673399112998</v>
      </c>
      <c r="J50">
        <v>0.10442341822600699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-2.5274472069067798E-3</v>
      </c>
      <c r="D51">
        <v>6.5393978628824597E-3</v>
      </c>
      <c r="E51">
        <v>-0.38649540216118899</v>
      </c>
      <c r="F51">
        <v>0.70574168238484103</v>
      </c>
      <c r="G51">
        <v>-1.04317231950411E-3</v>
      </c>
      <c r="H51">
        <v>8.52488947314025E-3</v>
      </c>
      <c r="I51">
        <v>-0.122367840989714</v>
      </c>
      <c r="J51">
        <v>0.90456267908713595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-2.2931947256557999E-3</v>
      </c>
      <c r="D52">
        <v>8.54625367037989E-4</v>
      </c>
      <c r="E52">
        <v>-2.6832748173666898</v>
      </c>
      <c r="F52">
        <v>0.20030604556283699</v>
      </c>
      <c r="G52">
        <v>-2.32214241279147E-3</v>
      </c>
      <c r="H52">
        <v>2.0798063168186599E-3</v>
      </c>
      <c r="I52">
        <v>-1.1165185882998401</v>
      </c>
      <c r="J52">
        <v>0.44706846562918301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3.2903949337204703E-2</v>
      </c>
      <c r="D53">
        <v>1.6675251882737298E-2</v>
      </c>
      <c r="E53">
        <v>1.97322052875661</v>
      </c>
      <c r="F53">
        <v>7.8736478210706798E-2</v>
      </c>
      <c r="G53">
        <v>4.38085214221587E-2</v>
      </c>
      <c r="H53">
        <v>1.53923732715319E-2</v>
      </c>
      <c r="I53">
        <v>2.8461187010831099</v>
      </c>
      <c r="J53">
        <v>1.83111683446175E-2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2.6226196437164E-2</v>
      </c>
      <c r="D54">
        <v>2.7331033844107001E-2</v>
      </c>
      <c r="E54">
        <v>0.95957571845818501</v>
      </c>
      <c r="F54">
        <v>0.35690752551772398</v>
      </c>
      <c r="G54">
        <v>4.7336626696124297E-2</v>
      </c>
      <c r="H54">
        <v>3.4749151552480102E-2</v>
      </c>
      <c r="I54">
        <v>1.3622383448595601</v>
      </c>
      <c r="J54">
        <v>0.200822996910799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1.5721253909097701E-6</v>
      </c>
      <c r="D55">
        <v>5.2873534798823702E-6</v>
      </c>
      <c r="E55">
        <v>0.29733691853428801</v>
      </c>
      <c r="F55">
        <v>0.77176408515716299</v>
      </c>
      <c r="G55">
        <v>1.95278012318004E-6</v>
      </c>
      <c r="H55">
        <v>7.4288362658932103E-6</v>
      </c>
      <c r="I55">
        <v>0.26286487590869601</v>
      </c>
      <c r="J55">
        <v>0.79749624081263304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1.07327003622442E-5</v>
      </c>
      <c r="D56">
        <v>3.0335992840830401E-6</v>
      </c>
      <c r="E56">
        <v>3.53794267375967</v>
      </c>
      <c r="F56">
        <v>4.4990338113301302E-3</v>
      </c>
      <c r="G56">
        <v>1.15531715125556E-5</v>
      </c>
      <c r="H56">
        <v>3.9495155778861999E-6</v>
      </c>
      <c r="I56">
        <v>2.9252122911587399</v>
      </c>
      <c r="J56">
        <v>1.4256746508296199E-2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-0.38441571895606702</v>
      </c>
      <c r="D57">
        <v>0.211269725786353</v>
      </c>
      <c r="E57">
        <v>-1.8195494765057201</v>
      </c>
      <c r="F57">
        <v>0.112075925207924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-0.14405119022214599</v>
      </c>
      <c r="D58">
        <v>4.1692728998912201E-2</v>
      </c>
      <c r="E58">
        <v>-3.4550674345616499</v>
      </c>
      <c r="F58">
        <v>6.25638698285556E-3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-0.21831173095825801</v>
      </c>
      <c r="D59">
        <v>0.153859871370009</v>
      </c>
      <c r="E59">
        <v>-1.41889973658728</v>
      </c>
      <c r="F59">
        <v>0.181508214933809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0.20939937680058901</v>
      </c>
      <c r="D60">
        <v>0.117231292978378</v>
      </c>
      <c r="E60">
        <v>1.7862071762631699</v>
      </c>
      <c r="F60">
        <v>0.10367430174289</v>
      </c>
      <c r="AB60" t="str">
        <f t="shared" si="0"/>
        <v/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-0.54609786244081904</v>
      </c>
      <c r="D61">
        <v>0.15491914777128499</v>
      </c>
      <c r="E61">
        <v>-3.5250507784037799</v>
      </c>
      <c r="F61">
        <v>1.83775323195512E-2</v>
      </c>
      <c r="AB61" t="str">
        <f t="shared" si="0"/>
        <v>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B05E-DAA8-40A4-964B-2375082964A7}">
  <dimension ref="A2:H180"/>
  <sheetViews>
    <sheetView topLeftCell="A162" workbookViewId="0">
      <selection activeCell="D176" sqref="D176"/>
    </sheetView>
  </sheetViews>
  <sheetFormatPr defaultRowHeight="15" x14ac:dyDescent="0.25"/>
  <cols>
    <col min="2" max="2" width="26.5703125" bestFit="1" customWidth="1"/>
    <col min="3" max="3" width="29.7109375" bestFit="1" customWidth="1"/>
    <col min="4" max="4" width="27.5703125" bestFit="1" customWidth="1"/>
    <col min="5" max="5" width="31.7109375" bestFit="1" customWidth="1"/>
    <col min="6" max="6" width="29.7109375" bestFit="1" customWidth="1"/>
    <col min="7" max="8" width="31.7109375" bestFit="1" customWidth="1"/>
  </cols>
  <sheetData>
    <row r="2" spans="1:8" x14ac:dyDescent="0.25">
      <c r="B2" t="s">
        <v>192</v>
      </c>
      <c r="C2" t="s">
        <v>604</v>
      </c>
      <c r="D2" t="s">
        <v>193</v>
      </c>
      <c r="E2" t="s">
        <v>194</v>
      </c>
      <c r="F2" t="s">
        <v>604</v>
      </c>
      <c r="G2" t="s">
        <v>194</v>
      </c>
      <c r="H2" t="s">
        <v>194</v>
      </c>
    </row>
    <row r="3" spans="1:8" x14ac:dyDescent="0.25">
      <c r="E3" t="s">
        <v>605</v>
      </c>
      <c r="F3" t="s">
        <v>606</v>
      </c>
    </row>
    <row r="4" spans="1:8" x14ac:dyDescent="0.25">
      <c r="C4" t="s">
        <v>332</v>
      </c>
      <c r="D4" t="s">
        <v>197</v>
      </c>
      <c r="E4" t="s">
        <v>196</v>
      </c>
      <c r="F4" t="s">
        <v>6</v>
      </c>
      <c r="G4" t="s">
        <v>196</v>
      </c>
      <c r="H4" t="s">
        <v>196</v>
      </c>
    </row>
    <row r="5" spans="1:8" x14ac:dyDescent="0.25">
      <c r="E5" t="s">
        <v>607</v>
      </c>
      <c r="F5" t="s">
        <v>608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195</v>
      </c>
      <c r="C7" t="s">
        <v>6</v>
      </c>
      <c r="D7" t="s">
        <v>197</v>
      </c>
      <c r="E7" t="s">
        <v>196</v>
      </c>
      <c r="F7" t="s">
        <v>6</v>
      </c>
      <c r="G7" t="s">
        <v>196</v>
      </c>
      <c r="H7" t="s">
        <v>196</v>
      </c>
    </row>
    <row r="8" spans="1:8" x14ac:dyDescent="0.25">
      <c r="A8">
        <v>1</v>
      </c>
      <c r="B8" t="s">
        <v>11</v>
      </c>
      <c r="C8" t="s">
        <v>609</v>
      </c>
      <c r="D8" t="s">
        <v>457</v>
      </c>
      <c r="E8" t="s">
        <v>260</v>
      </c>
      <c r="F8" t="s">
        <v>371</v>
      </c>
      <c r="G8" t="s">
        <v>610</v>
      </c>
      <c r="H8" t="s">
        <v>611</v>
      </c>
    </row>
    <row r="9" spans="1:8" x14ac:dyDescent="0.25">
      <c r="A9">
        <v>2</v>
      </c>
      <c r="C9">
        <v>-6.0000000000000001E-3</v>
      </c>
      <c r="D9">
        <v>-2.3E-2</v>
      </c>
      <c r="E9">
        <v>-1.4999999999999999E-2</v>
      </c>
      <c r="F9">
        <v>-1.4E-2</v>
      </c>
      <c r="G9">
        <v>-1.0999999999999999E-2</v>
      </c>
      <c r="H9">
        <v>-1.0999999999999999E-2</v>
      </c>
    </row>
    <row r="11" spans="1:8" x14ac:dyDescent="0.25">
      <c r="A11">
        <f>A9+1</f>
        <v>3</v>
      </c>
      <c r="B11" t="s">
        <v>16</v>
      </c>
      <c r="D11" t="s">
        <v>612</v>
      </c>
      <c r="E11" t="s">
        <v>231</v>
      </c>
      <c r="F11" t="s">
        <v>230</v>
      </c>
      <c r="G11" t="s">
        <v>231</v>
      </c>
      <c r="H11" t="s">
        <v>266</v>
      </c>
    </row>
    <row r="12" spans="1:8" x14ac:dyDescent="0.25">
      <c r="A12">
        <f>A11+1</f>
        <v>4</v>
      </c>
      <c r="D12">
        <v>-1E-4</v>
      </c>
      <c r="E12">
        <v>-4.0000000000000003E-5</v>
      </c>
      <c r="F12">
        <v>-4.0000000000000003E-5</v>
      </c>
      <c r="G12">
        <v>-3.0000000000000001E-5</v>
      </c>
      <c r="H12">
        <v>-3.0000000000000001E-5</v>
      </c>
    </row>
    <row r="14" spans="1:8" x14ac:dyDescent="0.25">
      <c r="A14">
        <f>A12+1</f>
        <v>5</v>
      </c>
      <c r="B14" t="s">
        <v>200</v>
      </c>
      <c r="D14" t="s">
        <v>613</v>
      </c>
      <c r="E14" t="s">
        <v>614</v>
      </c>
      <c r="F14" t="s">
        <v>533</v>
      </c>
      <c r="G14" t="s">
        <v>615</v>
      </c>
      <c r="H14" t="s">
        <v>616</v>
      </c>
    </row>
    <row r="15" spans="1:8" x14ac:dyDescent="0.25">
      <c r="A15">
        <f>A14+1</f>
        <v>6</v>
      </c>
      <c r="D15">
        <v>-1.0999999999999999E-2</v>
      </c>
      <c r="E15">
        <v>-7.0000000000000001E-3</v>
      </c>
      <c r="F15">
        <v>-7.0000000000000001E-3</v>
      </c>
      <c r="G15">
        <v>-6.0000000000000001E-3</v>
      </c>
      <c r="H15">
        <v>-5.0000000000000001E-3</v>
      </c>
    </row>
    <row r="17" spans="1:8" x14ac:dyDescent="0.25">
      <c r="A17">
        <f t="shared" ref="A17" si="0">A15+1</f>
        <v>7</v>
      </c>
      <c r="B17" t="s">
        <v>203</v>
      </c>
      <c r="D17" t="s">
        <v>617</v>
      </c>
      <c r="E17" t="s">
        <v>277</v>
      </c>
      <c r="F17" t="s">
        <v>615</v>
      </c>
      <c r="G17" t="s">
        <v>611</v>
      </c>
      <c r="H17" t="s">
        <v>222</v>
      </c>
    </row>
    <row r="18" spans="1:8" x14ac:dyDescent="0.25">
      <c r="A18">
        <f t="shared" ref="A18" si="1">A17+1</f>
        <v>8</v>
      </c>
      <c r="D18">
        <v>-1.0999999999999999E-2</v>
      </c>
      <c r="E18">
        <v>-7.0000000000000001E-3</v>
      </c>
      <c r="F18">
        <v>-7.0000000000000001E-3</v>
      </c>
      <c r="G18">
        <v>-6.0000000000000001E-3</v>
      </c>
      <c r="H18">
        <v>-5.0000000000000001E-3</v>
      </c>
    </row>
    <row r="20" spans="1:8" x14ac:dyDescent="0.25">
      <c r="A20">
        <f t="shared" ref="A20" si="2">A18+1</f>
        <v>9</v>
      </c>
      <c r="B20" t="s">
        <v>207</v>
      </c>
      <c r="D20" t="s">
        <v>618</v>
      </c>
      <c r="E20">
        <v>5.0000000000000001E-3</v>
      </c>
      <c r="F20">
        <v>3.0000000000000001E-3</v>
      </c>
      <c r="G20" t="s">
        <v>619</v>
      </c>
      <c r="H20" t="s">
        <v>620</v>
      </c>
    </row>
    <row r="21" spans="1:8" x14ac:dyDescent="0.25">
      <c r="A21">
        <f t="shared" ref="A21" si="3">A20+1</f>
        <v>10</v>
      </c>
      <c r="D21">
        <v>-1.0999999999999999E-2</v>
      </c>
      <c r="E21">
        <v>-7.0000000000000001E-3</v>
      </c>
      <c r="F21">
        <v>-7.0000000000000001E-3</v>
      </c>
      <c r="G21">
        <v>-6.0000000000000001E-3</v>
      </c>
      <c r="H21">
        <v>-5.0000000000000001E-3</v>
      </c>
    </row>
    <row r="23" spans="1:8" x14ac:dyDescent="0.25">
      <c r="A23">
        <f t="shared" ref="A23" si="4">A21+1</f>
        <v>11</v>
      </c>
      <c r="B23" t="s">
        <v>210</v>
      </c>
      <c r="D23" t="s">
        <v>621</v>
      </c>
      <c r="E23">
        <v>-1.7999999999999999E-2</v>
      </c>
      <c r="F23">
        <v>-2.1000000000000001E-2</v>
      </c>
      <c r="G23">
        <v>-2.9999999999999997E-4</v>
      </c>
      <c r="H23">
        <v>4.0000000000000002E-4</v>
      </c>
    </row>
    <row r="24" spans="1:8" x14ac:dyDescent="0.25">
      <c r="A24">
        <f t="shared" ref="A24" si="5">A23+1</f>
        <v>12</v>
      </c>
      <c r="D24">
        <v>-2.1999999999999999E-2</v>
      </c>
      <c r="E24">
        <v>-1.4999999999999999E-2</v>
      </c>
      <c r="F24">
        <v>-1.4E-2</v>
      </c>
      <c r="G24">
        <v>-1.0999999999999999E-2</v>
      </c>
      <c r="H24">
        <v>-1.0999999999999999E-2</v>
      </c>
    </row>
    <row r="26" spans="1:8" x14ac:dyDescent="0.25">
      <c r="A26">
        <f t="shared" ref="A26" si="6">A24+1</f>
        <v>13</v>
      </c>
      <c r="B26" t="s">
        <v>211</v>
      </c>
      <c r="D26" t="s">
        <v>546</v>
      </c>
      <c r="E26" t="s">
        <v>622</v>
      </c>
      <c r="F26" t="s">
        <v>623</v>
      </c>
      <c r="G26" t="s">
        <v>370</v>
      </c>
      <c r="H26" t="s">
        <v>624</v>
      </c>
    </row>
    <row r="27" spans="1:8" x14ac:dyDescent="0.25">
      <c r="A27">
        <f t="shared" ref="A27" si="7">A26+1</f>
        <v>14</v>
      </c>
      <c r="D27">
        <v>-2.5000000000000001E-2</v>
      </c>
      <c r="E27">
        <v>-1.6E-2</v>
      </c>
      <c r="F27">
        <v>-1.6E-2</v>
      </c>
      <c r="G27">
        <v>-1.2999999999999999E-2</v>
      </c>
      <c r="H27">
        <v>-1.2E-2</v>
      </c>
    </row>
    <row r="29" spans="1:8" x14ac:dyDescent="0.25">
      <c r="A29">
        <f t="shared" ref="A29" si="8">A27+1</f>
        <v>15</v>
      </c>
      <c r="B29" t="s">
        <v>214</v>
      </c>
      <c r="D29" t="s">
        <v>625</v>
      </c>
      <c r="E29" t="s">
        <v>459</v>
      </c>
      <c r="F29" t="s">
        <v>626</v>
      </c>
      <c r="G29" t="s">
        <v>233</v>
      </c>
      <c r="H29" t="s">
        <v>627</v>
      </c>
    </row>
    <row r="30" spans="1:8" x14ac:dyDescent="0.25">
      <c r="A30">
        <f t="shared" ref="A30" si="9">A29+1</f>
        <v>16</v>
      </c>
      <c r="D30">
        <v>-2.5000000000000001E-2</v>
      </c>
      <c r="E30">
        <v>-1.6E-2</v>
      </c>
      <c r="F30">
        <v>-1.6E-2</v>
      </c>
      <c r="G30">
        <v>-1.2999999999999999E-2</v>
      </c>
      <c r="H30">
        <v>-1.2E-2</v>
      </c>
    </row>
    <row r="32" spans="1:8" x14ac:dyDescent="0.25">
      <c r="A32">
        <f t="shared" ref="A32" si="10">A30+1</f>
        <v>17</v>
      </c>
      <c r="B32" t="s">
        <v>219</v>
      </c>
      <c r="D32" t="s">
        <v>482</v>
      </c>
      <c r="E32">
        <v>2.5999999999999999E-2</v>
      </c>
      <c r="F32" t="s">
        <v>628</v>
      </c>
      <c r="G32" t="s">
        <v>458</v>
      </c>
      <c r="H32" t="s">
        <v>629</v>
      </c>
    </row>
    <row r="33" spans="1:8" x14ac:dyDescent="0.25">
      <c r="A33">
        <f t="shared" ref="A33" si="11">A32+1</f>
        <v>18</v>
      </c>
      <c r="D33">
        <v>-3.5000000000000003E-2</v>
      </c>
      <c r="E33">
        <v>-2.3E-2</v>
      </c>
      <c r="F33">
        <v>-0.03</v>
      </c>
      <c r="G33">
        <v>-2.4E-2</v>
      </c>
      <c r="H33">
        <v>-2.1999999999999999E-2</v>
      </c>
    </row>
    <row r="35" spans="1:8" x14ac:dyDescent="0.25">
      <c r="A35">
        <f t="shared" ref="A35" si="12">A33+1</f>
        <v>19</v>
      </c>
      <c r="B35" t="s">
        <v>15</v>
      </c>
      <c r="E35" t="s">
        <v>630</v>
      </c>
      <c r="F35" t="s">
        <v>630</v>
      </c>
      <c r="G35" t="s">
        <v>476</v>
      </c>
      <c r="H35" t="s">
        <v>535</v>
      </c>
    </row>
    <row r="36" spans="1:8" x14ac:dyDescent="0.25">
      <c r="A36">
        <f t="shared" ref="A36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628</v>
      </c>
      <c r="F38" t="s">
        <v>555</v>
      </c>
      <c r="G38" t="s">
        <v>631</v>
      </c>
      <c r="H38" t="s">
        <v>376</v>
      </c>
    </row>
    <row r="39" spans="1:8" x14ac:dyDescent="0.25">
      <c r="A39">
        <f t="shared" ref="A39" si="15">A38+1</f>
        <v>22</v>
      </c>
      <c r="E39">
        <v>-3.0000000000000001E-3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374</v>
      </c>
      <c r="F41" t="s">
        <v>364</v>
      </c>
      <c r="G41" t="s">
        <v>204</v>
      </c>
      <c r="H41" t="s">
        <v>206</v>
      </c>
    </row>
    <row r="42" spans="1:8" x14ac:dyDescent="0.25">
      <c r="A42">
        <f t="shared" ref="A42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632</v>
      </c>
      <c r="F44" t="s">
        <v>633</v>
      </c>
      <c r="G44" t="s">
        <v>634</v>
      </c>
      <c r="H44" t="s">
        <v>476</v>
      </c>
    </row>
    <row r="45" spans="1:8" x14ac:dyDescent="0.25">
      <c r="A45">
        <f t="shared" ref="A45" si="19">A44+1</f>
        <v>26</v>
      </c>
      <c r="E45">
        <v>-5.0000000000000001E-3</v>
      </c>
      <c r="F45">
        <v>-5.0000000000000001E-3</v>
      </c>
      <c r="G45">
        <v>-4.0000000000000001E-3</v>
      </c>
      <c r="H45">
        <v>-4.0000000000000001E-3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483</v>
      </c>
      <c r="F47" t="s">
        <v>258</v>
      </c>
      <c r="G47" t="s">
        <v>462</v>
      </c>
      <c r="H47" t="s">
        <v>635</v>
      </c>
    </row>
    <row r="48" spans="1:8" x14ac:dyDescent="0.25">
      <c r="A48">
        <f t="shared" ref="A48" si="21">A47+1</f>
        <v>28</v>
      </c>
      <c r="E48">
        <v>-8.9999999999999993E-3</v>
      </c>
      <c r="F48">
        <v>-0.01</v>
      </c>
      <c r="G48">
        <v>-8.0000000000000002E-3</v>
      </c>
      <c r="H48">
        <v>-8.0000000000000002E-3</v>
      </c>
    </row>
    <row r="50" spans="1:8" x14ac:dyDescent="0.25">
      <c r="A50">
        <f t="shared" ref="A50" si="22">A48+1</f>
        <v>29</v>
      </c>
      <c r="B50" t="s">
        <v>18</v>
      </c>
      <c r="E50" t="s">
        <v>230</v>
      </c>
      <c r="F50" t="s">
        <v>230</v>
      </c>
      <c r="G50" t="s">
        <v>231</v>
      </c>
      <c r="H50" t="s">
        <v>231</v>
      </c>
    </row>
    <row r="51" spans="1:8" x14ac:dyDescent="0.25">
      <c r="A51">
        <f t="shared" ref="A51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636</v>
      </c>
      <c r="F53" t="s">
        <v>637</v>
      </c>
      <c r="G53" t="s">
        <v>575</v>
      </c>
      <c r="H53" t="s">
        <v>276</v>
      </c>
    </row>
    <row r="54" spans="1:8" x14ac:dyDescent="0.25">
      <c r="A54">
        <f t="shared" ref="A54" si="25">A53+1</f>
        <v>32</v>
      </c>
      <c r="E54">
        <v>-2.9999999999999997E-4</v>
      </c>
      <c r="F54">
        <v>-2.9999999999999997E-4</v>
      </c>
      <c r="G54">
        <v>-2.9999999999999997E-4</v>
      </c>
      <c r="H54">
        <v>-2.9999999999999997E-4</v>
      </c>
    </row>
    <row r="56" spans="1:8" x14ac:dyDescent="0.25">
      <c r="A56">
        <f t="shared" ref="A56" si="26">A54+1</f>
        <v>33</v>
      </c>
      <c r="B56" t="s">
        <v>34</v>
      </c>
      <c r="E56">
        <v>3.0000000000000001E-3</v>
      </c>
      <c r="F56">
        <v>4.0000000000000001E-3</v>
      </c>
      <c r="G56" t="s">
        <v>222</v>
      </c>
      <c r="H56" t="s">
        <v>497</v>
      </c>
    </row>
    <row r="57" spans="1:8" x14ac:dyDescent="0.25">
      <c r="A57">
        <f t="shared" ref="A57" si="27">A56+1</f>
        <v>34</v>
      </c>
      <c r="E57">
        <v>-3.0000000000000001E-3</v>
      </c>
      <c r="F57">
        <v>-4.0000000000000001E-3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 t="s">
        <v>638</v>
      </c>
      <c r="F59" t="s">
        <v>535</v>
      </c>
      <c r="G59" t="s">
        <v>639</v>
      </c>
      <c r="H59" t="s">
        <v>633</v>
      </c>
    </row>
    <row r="60" spans="1:8" x14ac:dyDescent="0.25">
      <c r="A60">
        <f t="shared" ref="A60" si="29">A59+1</f>
        <v>36</v>
      </c>
      <c r="E60">
        <v>-1.2E-2</v>
      </c>
      <c r="F60">
        <v>-1.2E-2</v>
      </c>
      <c r="G60">
        <v>-8.9999999999999993E-3</v>
      </c>
      <c r="H60">
        <v>-8.9999999999999993E-3</v>
      </c>
    </row>
    <row r="62" spans="1:8" x14ac:dyDescent="0.25">
      <c r="A62">
        <f t="shared" ref="A62" si="30">A60+1</f>
        <v>37</v>
      </c>
      <c r="B62" t="s">
        <v>236</v>
      </c>
      <c r="E62" t="s">
        <v>465</v>
      </c>
      <c r="F62" t="s">
        <v>640</v>
      </c>
      <c r="G62" t="s">
        <v>238</v>
      </c>
      <c r="H62" t="s">
        <v>641</v>
      </c>
    </row>
    <row r="63" spans="1:8" x14ac:dyDescent="0.25">
      <c r="A63">
        <f t="shared" ref="A63" si="31">A62+1</f>
        <v>38</v>
      </c>
      <c r="E63">
        <v>-6.0000000000000001E-3</v>
      </c>
      <c r="F63">
        <v>-6.0000000000000001E-3</v>
      </c>
      <c r="G63">
        <v>-5.0000000000000001E-3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239</v>
      </c>
      <c r="E65" t="s">
        <v>642</v>
      </c>
      <c r="F65" t="s">
        <v>220</v>
      </c>
      <c r="G65" t="s">
        <v>376</v>
      </c>
      <c r="H65" t="s">
        <v>531</v>
      </c>
    </row>
    <row r="66" spans="1:8" x14ac:dyDescent="0.25">
      <c r="A66">
        <f t="shared" ref="A66" si="33">A65+1</f>
        <v>40</v>
      </c>
      <c r="E66">
        <v>-5.0000000000000001E-3</v>
      </c>
      <c r="F66">
        <v>-5.0000000000000001E-3</v>
      </c>
      <c r="G66">
        <v>-4.0000000000000001E-3</v>
      </c>
      <c r="H66">
        <v>-4.0000000000000001E-3</v>
      </c>
    </row>
    <row r="68" spans="1:8" x14ac:dyDescent="0.25">
      <c r="A68">
        <f t="shared" ref="A68" si="34">A66+1</f>
        <v>41</v>
      </c>
      <c r="B68" t="s">
        <v>243</v>
      </c>
      <c r="E68" t="s">
        <v>255</v>
      </c>
      <c r="F68" t="s">
        <v>255</v>
      </c>
      <c r="G68" t="s">
        <v>643</v>
      </c>
      <c r="H68" t="s">
        <v>644</v>
      </c>
    </row>
    <row r="69" spans="1:8" x14ac:dyDescent="0.25">
      <c r="A69">
        <f t="shared" ref="A69" si="35">A68+1</f>
        <v>42</v>
      </c>
      <c r="E69">
        <v>-8.0000000000000002E-3</v>
      </c>
      <c r="F69">
        <v>-8.0000000000000002E-3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364</v>
      </c>
      <c r="G71" t="s">
        <v>533</v>
      </c>
      <c r="H71" t="s">
        <v>645</v>
      </c>
    </row>
    <row r="72" spans="1:8" x14ac:dyDescent="0.25">
      <c r="A72">
        <f t="shared" ref="A72" si="37">A71+1</f>
        <v>44</v>
      </c>
      <c r="F72">
        <v>-0.01</v>
      </c>
      <c r="G72">
        <v>-8.0000000000000002E-3</v>
      </c>
      <c r="H72">
        <v>-7.0000000000000001E-3</v>
      </c>
    </row>
    <row r="74" spans="1:8" x14ac:dyDescent="0.25">
      <c r="A74">
        <f t="shared" ref="A74" si="38">A72+1</f>
        <v>45</v>
      </c>
      <c r="B74" t="s">
        <v>23</v>
      </c>
      <c r="F74" t="s">
        <v>646</v>
      </c>
      <c r="G74" t="s">
        <v>647</v>
      </c>
      <c r="H74" t="s">
        <v>476</v>
      </c>
    </row>
    <row r="75" spans="1:8" x14ac:dyDescent="0.25">
      <c r="A75">
        <f t="shared" ref="A75" si="39">A74+1</f>
        <v>46</v>
      </c>
      <c r="F75">
        <v>-1.9E-2</v>
      </c>
      <c r="G75">
        <v>-1.4999999999999999E-2</v>
      </c>
      <c r="H75">
        <v>-1.4E-2</v>
      </c>
    </row>
    <row r="77" spans="1:8" x14ac:dyDescent="0.25">
      <c r="A77">
        <f t="shared" ref="A77" si="40">A75+1</f>
        <v>47</v>
      </c>
      <c r="B77" t="s">
        <v>29</v>
      </c>
      <c r="F77" t="s">
        <v>648</v>
      </c>
      <c r="G77" t="s">
        <v>483</v>
      </c>
      <c r="H77" t="s">
        <v>649</v>
      </c>
    </row>
    <row r="78" spans="1:8" x14ac:dyDescent="0.25">
      <c r="A78">
        <f t="shared" ref="A78" si="41">A77+1</f>
        <v>48</v>
      </c>
      <c r="F78">
        <v>-1.4E-2</v>
      </c>
      <c r="G78">
        <v>-1.0999999999999999E-2</v>
      </c>
      <c r="H78">
        <v>-1.0999999999999999E-2</v>
      </c>
    </row>
    <row r="80" spans="1:8" x14ac:dyDescent="0.25">
      <c r="A80">
        <f t="shared" ref="A80" si="42">A78+1</f>
        <v>49</v>
      </c>
      <c r="B80" t="s">
        <v>28</v>
      </c>
      <c r="F80" t="s">
        <v>613</v>
      </c>
      <c r="G80" t="s">
        <v>372</v>
      </c>
      <c r="H80" t="s">
        <v>359</v>
      </c>
    </row>
    <row r="81" spans="1:8" x14ac:dyDescent="0.25">
      <c r="A81">
        <f t="shared" ref="A81" si="43">A80+1</f>
        <v>50</v>
      </c>
      <c r="F81">
        <v>-7.0000000000000001E-3</v>
      </c>
      <c r="G81">
        <v>-6.0000000000000001E-3</v>
      </c>
      <c r="H81">
        <v>-5.0000000000000001E-3</v>
      </c>
    </row>
    <row r="83" spans="1:8" x14ac:dyDescent="0.25">
      <c r="A83">
        <f t="shared" ref="A83" si="44">A81+1</f>
        <v>51</v>
      </c>
      <c r="B83" t="s">
        <v>250</v>
      </c>
      <c r="F83" t="s">
        <v>648</v>
      </c>
      <c r="G83">
        <v>-1.7999999999999999E-2</v>
      </c>
      <c r="H83" t="s">
        <v>650</v>
      </c>
    </row>
    <row r="84" spans="1:8" x14ac:dyDescent="0.25">
      <c r="A84">
        <f t="shared" ref="A84" si="45">A83+1</f>
        <v>52</v>
      </c>
      <c r="F84">
        <v>-1.4E-2</v>
      </c>
      <c r="G84">
        <v>-1.2E-2</v>
      </c>
      <c r="H84">
        <v>-1.0999999999999999E-2</v>
      </c>
    </row>
    <row r="86" spans="1:8" x14ac:dyDescent="0.25">
      <c r="A86">
        <f t="shared" ref="A86" si="46">A84+1</f>
        <v>53</v>
      </c>
      <c r="B86" t="s">
        <v>251</v>
      </c>
      <c r="F86" t="s">
        <v>651</v>
      </c>
      <c r="G86" t="s">
        <v>652</v>
      </c>
      <c r="H86">
        <v>0.159</v>
      </c>
    </row>
    <row r="87" spans="1:8" x14ac:dyDescent="0.25">
      <c r="A87">
        <f t="shared" ref="A87" si="47">A86+1</f>
        <v>54</v>
      </c>
      <c r="F87">
        <v>-0.159</v>
      </c>
      <c r="G87">
        <v>-0.126</v>
      </c>
      <c r="H87">
        <v>-0.11700000000000001</v>
      </c>
    </row>
    <row r="89" spans="1:8" x14ac:dyDescent="0.25">
      <c r="A89">
        <f t="shared" ref="A89" si="48">A87+1</f>
        <v>55</v>
      </c>
      <c r="B89" t="s">
        <v>253</v>
      </c>
      <c r="F89" t="s">
        <v>464</v>
      </c>
      <c r="G89" t="s">
        <v>632</v>
      </c>
      <c r="H89" t="s">
        <v>653</v>
      </c>
    </row>
    <row r="90" spans="1:8" x14ac:dyDescent="0.25">
      <c r="A90">
        <f t="shared" ref="A90" si="49">A89+1</f>
        <v>56</v>
      </c>
      <c r="F90">
        <v>-7.0000000000000001E-3</v>
      </c>
      <c r="G90">
        <v>-6.0000000000000001E-3</v>
      </c>
      <c r="H90">
        <v>-5.0000000000000001E-3</v>
      </c>
    </row>
    <row r="92" spans="1:8" x14ac:dyDescent="0.25">
      <c r="A92">
        <f t="shared" ref="A92" si="50">A90+1</f>
        <v>57</v>
      </c>
      <c r="B92" t="s">
        <v>256</v>
      </c>
      <c r="F92">
        <v>3.0000000000000001E-3</v>
      </c>
      <c r="G92">
        <v>1.6E-2</v>
      </c>
      <c r="H92">
        <v>4.0000000000000001E-3</v>
      </c>
    </row>
    <row r="93" spans="1:8" x14ac:dyDescent="0.25">
      <c r="A93">
        <f t="shared" ref="A93" si="51">A92+1</f>
        <v>58</v>
      </c>
      <c r="F93">
        <v>-1.4E-2</v>
      </c>
      <c r="G93">
        <v>-1.0999999999999999E-2</v>
      </c>
      <c r="H93">
        <v>-0.01</v>
      </c>
    </row>
    <row r="95" spans="1:8" x14ac:dyDescent="0.25">
      <c r="A95">
        <f t="shared" ref="A95" si="52">A93+1</f>
        <v>59</v>
      </c>
      <c r="B95" t="s">
        <v>257</v>
      </c>
      <c r="F95">
        <v>-2.4E-2</v>
      </c>
      <c r="G95">
        <v>-2.3E-2</v>
      </c>
      <c r="H95">
        <v>4.3999999999999997E-2</v>
      </c>
    </row>
    <row r="96" spans="1:8" x14ac:dyDescent="0.25">
      <c r="A96">
        <f t="shared" ref="A96" si="53">A95+1</f>
        <v>60</v>
      </c>
      <c r="F96">
        <v>-8.6999999999999994E-2</v>
      </c>
      <c r="G96">
        <v>-6.9000000000000006E-2</v>
      </c>
      <c r="H96">
        <v>-6.4000000000000001E-2</v>
      </c>
    </row>
    <row r="98" spans="1:8" x14ac:dyDescent="0.25">
      <c r="A98">
        <f t="shared" ref="A98" si="54">A96+1</f>
        <v>61</v>
      </c>
      <c r="B98" t="s">
        <v>259</v>
      </c>
      <c r="F98" t="s">
        <v>475</v>
      </c>
      <c r="G98" t="s">
        <v>206</v>
      </c>
      <c r="H98" t="s">
        <v>520</v>
      </c>
    </row>
    <row r="99" spans="1:8" x14ac:dyDescent="0.25">
      <c r="A99">
        <f t="shared" ref="A99" si="55">A98+1</f>
        <v>62</v>
      </c>
      <c r="F99">
        <v>-1.6E-2</v>
      </c>
      <c r="G99">
        <v>-1.2999999999999999E-2</v>
      </c>
      <c r="H99">
        <v>-1.2E-2</v>
      </c>
    </row>
    <row r="101" spans="1:8" x14ac:dyDescent="0.25">
      <c r="A101">
        <f t="shared" ref="A101" si="56">A99+1</f>
        <v>63</v>
      </c>
      <c r="B101" t="s">
        <v>261</v>
      </c>
      <c r="F101" t="s">
        <v>654</v>
      </c>
      <c r="G101" t="s">
        <v>655</v>
      </c>
      <c r="H101" t="s">
        <v>656</v>
      </c>
    </row>
    <row r="102" spans="1:8" x14ac:dyDescent="0.25">
      <c r="A102">
        <f t="shared" ref="A102" si="57">A101+1</f>
        <v>64</v>
      </c>
      <c r="F102">
        <v>-0.159</v>
      </c>
      <c r="G102">
        <v>-0.126</v>
      </c>
      <c r="H102">
        <v>-0.11700000000000001</v>
      </c>
    </row>
    <row r="104" spans="1:8" x14ac:dyDescent="0.25">
      <c r="A104">
        <f t="shared" ref="A104" si="58">A102+1</f>
        <v>65</v>
      </c>
      <c r="B104" t="s">
        <v>166</v>
      </c>
      <c r="F104" t="s">
        <v>657</v>
      </c>
      <c r="G104" t="s">
        <v>658</v>
      </c>
      <c r="H104" t="s">
        <v>659</v>
      </c>
    </row>
    <row r="105" spans="1:8" x14ac:dyDescent="0.25">
      <c r="A105">
        <f t="shared" ref="A105" si="59">A104+1</f>
        <v>66</v>
      </c>
      <c r="F105">
        <v>-0.03</v>
      </c>
      <c r="G105">
        <v>-2.4E-2</v>
      </c>
      <c r="H105">
        <v>-2.1999999999999999E-2</v>
      </c>
    </row>
    <row r="107" spans="1:8" x14ac:dyDescent="0.25">
      <c r="A107">
        <f t="shared" ref="A107" si="60">A105+1</f>
        <v>67</v>
      </c>
      <c r="B107" t="s">
        <v>167</v>
      </c>
      <c r="F107" t="s">
        <v>624</v>
      </c>
      <c r="G107" t="s">
        <v>660</v>
      </c>
      <c r="H107" t="s">
        <v>661</v>
      </c>
    </row>
    <row r="108" spans="1:8" x14ac:dyDescent="0.25">
      <c r="A108">
        <f t="shared" ref="A108" si="61">A107+1</f>
        <v>68</v>
      </c>
      <c r="F108">
        <v>-2.8000000000000001E-2</v>
      </c>
      <c r="G108">
        <v>-2.3E-2</v>
      </c>
      <c r="H108">
        <v>-2.1000000000000001E-2</v>
      </c>
    </row>
    <row r="110" spans="1:8" x14ac:dyDescent="0.25">
      <c r="A110">
        <f t="shared" ref="A110" si="62">A108+1</f>
        <v>69</v>
      </c>
      <c r="B110" t="s">
        <v>168</v>
      </c>
      <c r="F110" t="s">
        <v>389</v>
      </c>
      <c r="G110" t="s">
        <v>217</v>
      </c>
      <c r="H110" t="s">
        <v>623</v>
      </c>
    </row>
    <row r="111" spans="1:8" x14ac:dyDescent="0.25">
      <c r="A111">
        <f t="shared" ref="A111" si="63">A110+1</f>
        <v>70</v>
      </c>
      <c r="F111">
        <v>-2.9000000000000001E-2</v>
      </c>
      <c r="G111">
        <v>-2.3E-2</v>
      </c>
      <c r="H111">
        <v>-2.1000000000000001E-2</v>
      </c>
    </row>
    <row r="113" spans="1:8" x14ac:dyDescent="0.25">
      <c r="A113">
        <f t="shared" ref="A113" si="64">A111+1</f>
        <v>71</v>
      </c>
      <c r="B113" t="s">
        <v>169</v>
      </c>
      <c r="F113" t="s">
        <v>465</v>
      </c>
      <c r="G113" t="s">
        <v>662</v>
      </c>
      <c r="H113" t="s">
        <v>557</v>
      </c>
    </row>
    <row r="114" spans="1:8" x14ac:dyDescent="0.25">
      <c r="A114">
        <f t="shared" ref="A114" si="65">A113+1</f>
        <v>72</v>
      </c>
      <c r="F114">
        <v>-2.9000000000000001E-2</v>
      </c>
      <c r="G114">
        <v>-2.3E-2</v>
      </c>
      <c r="H114">
        <v>-2.1000000000000001E-2</v>
      </c>
    </row>
    <row r="116" spans="1:8" x14ac:dyDescent="0.25">
      <c r="A116">
        <f t="shared" ref="A116" si="66">A114+1</f>
        <v>73</v>
      </c>
      <c r="B116" t="s">
        <v>170</v>
      </c>
      <c r="F116" t="s">
        <v>663</v>
      </c>
      <c r="G116" t="s">
        <v>664</v>
      </c>
      <c r="H116" t="s">
        <v>629</v>
      </c>
    </row>
    <row r="117" spans="1:8" x14ac:dyDescent="0.25">
      <c r="A117">
        <f t="shared" ref="A117" si="67">A116+1</f>
        <v>74</v>
      </c>
      <c r="F117">
        <v>-2.9000000000000001E-2</v>
      </c>
      <c r="G117">
        <v>-2.3E-2</v>
      </c>
      <c r="H117">
        <v>-2.1000000000000001E-2</v>
      </c>
    </row>
    <row r="119" spans="1:8" x14ac:dyDescent="0.25">
      <c r="A119">
        <f t="shared" ref="A119" si="68">A117+1</f>
        <v>75</v>
      </c>
      <c r="B119" t="s">
        <v>50</v>
      </c>
      <c r="F119" t="s">
        <v>231</v>
      </c>
      <c r="G119" t="s">
        <v>230</v>
      </c>
      <c r="H119" t="s">
        <v>231</v>
      </c>
    </row>
    <row r="120" spans="1:8" x14ac:dyDescent="0.25">
      <c r="A120">
        <f t="shared" ref="A120" si="69">A119+1</f>
        <v>76</v>
      </c>
      <c r="F120">
        <v>-4.0000000000000003E-5</v>
      </c>
      <c r="G120">
        <v>-3.0000000000000001E-5</v>
      </c>
      <c r="H120">
        <v>-3.0000000000000001E-5</v>
      </c>
    </row>
    <row r="122" spans="1:8" x14ac:dyDescent="0.25">
      <c r="A122">
        <f t="shared" ref="A122" si="70">A120+1</f>
        <v>77</v>
      </c>
      <c r="B122" t="s">
        <v>52</v>
      </c>
      <c r="F122" t="s">
        <v>665</v>
      </c>
      <c r="G122">
        <v>-5.0000000000000001E-3</v>
      </c>
      <c r="H122">
        <v>-4.0000000000000001E-3</v>
      </c>
    </row>
    <row r="123" spans="1:8" x14ac:dyDescent="0.25">
      <c r="A123">
        <f t="shared" ref="A123" si="71">A122+1</f>
        <v>78</v>
      </c>
      <c r="F123">
        <v>-4.0000000000000001E-3</v>
      </c>
      <c r="G123">
        <v>-3.0000000000000001E-3</v>
      </c>
      <c r="H123">
        <v>-3.0000000000000001E-3</v>
      </c>
    </row>
    <row r="125" spans="1:8" x14ac:dyDescent="0.25">
      <c r="A125">
        <f t="shared" ref="A125" si="72">A123+1</f>
        <v>79</v>
      </c>
      <c r="B125" t="s">
        <v>51</v>
      </c>
      <c r="F125" t="s">
        <v>666</v>
      </c>
      <c r="G125" t="s">
        <v>639</v>
      </c>
      <c r="H125" t="s">
        <v>244</v>
      </c>
    </row>
    <row r="126" spans="1:8" x14ac:dyDescent="0.25">
      <c r="A126">
        <f t="shared" ref="A126" si="73">A125+1</f>
        <v>80</v>
      </c>
      <c r="F126">
        <v>-0.02</v>
      </c>
      <c r="G126">
        <v>-1.6E-2</v>
      </c>
      <c r="H126">
        <v>-1.4E-2</v>
      </c>
    </row>
    <row r="128" spans="1:8" x14ac:dyDescent="0.25">
      <c r="A128">
        <f t="shared" ref="A128" si="74">A126+1</f>
        <v>81</v>
      </c>
      <c r="B128" t="s">
        <v>164</v>
      </c>
      <c r="G128">
        <v>1E-3</v>
      </c>
      <c r="H128" t="s">
        <v>612</v>
      </c>
    </row>
    <row r="129" spans="1:8" x14ac:dyDescent="0.25">
      <c r="A129">
        <f t="shared" ref="A129" si="75">A128+1</f>
        <v>82</v>
      </c>
      <c r="G129">
        <v>-1E-3</v>
      </c>
      <c r="H129">
        <v>-1E-3</v>
      </c>
    </row>
    <row r="131" spans="1:8" x14ac:dyDescent="0.25">
      <c r="A131">
        <f t="shared" ref="A131" si="76">A129+1</f>
        <v>83</v>
      </c>
      <c r="B131" t="s">
        <v>39</v>
      </c>
      <c r="G131" t="s">
        <v>667</v>
      </c>
      <c r="H131" t="s">
        <v>668</v>
      </c>
    </row>
    <row r="132" spans="1:8" x14ac:dyDescent="0.25">
      <c r="A132">
        <f t="shared" ref="A132" si="77">A131+1</f>
        <v>84</v>
      </c>
      <c r="G132">
        <v>-5.0000000000000001E-3</v>
      </c>
      <c r="H132">
        <v>-4.0000000000000001E-3</v>
      </c>
    </row>
    <row r="134" spans="1:8" x14ac:dyDescent="0.25">
      <c r="A134">
        <f t="shared" ref="A134" si="78">A132+1</f>
        <v>85</v>
      </c>
      <c r="B134" t="s">
        <v>40</v>
      </c>
      <c r="G134" t="s">
        <v>669</v>
      </c>
      <c r="H134" t="s">
        <v>275</v>
      </c>
    </row>
    <row r="135" spans="1:8" x14ac:dyDescent="0.25">
      <c r="A135">
        <f t="shared" ref="A135" si="79">A134+1</f>
        <v>86</v>
      </c>
      <c r="G135">
        <v>-1E-3</v>
      </c>
      <c r="H135">
        <v>-1E-3</v>
      </c>
    </row>
    <row r="137" spans="1:8" x14ac:dyDescent="0.25">
      <c r="A137">
        <f t="shared" ref="A137" si="80">A135+1</f>
        <v>87</v>
      </c>
      <c r="B137" t="s">
        <v>41</v>
      </c>
      <c r="G137" t="s">
        <v>271</v>
      </c>
      <c r="H137" t="s">
        <v>395</v>
      </c>
    </row>
    <row r="138" spans="1:8" x14ac:dyDescent="0.25">
      <c r="A138">
        <f t="shared" ref="A138" si="81">A137+1</f>
        <v>88</v>
      </c>
      <c r="G138">
        <v>-1E-3</v>
      </c>
      <c r="H138">
        <v>-5.0000000000000001E-4</v>
      </c>
    </row>
    <row r="140" spans="1:8" x14ac:dyDescent="0.25">
      <c r="A140">
        <f t="shared" ref="A140" si="82">A138+1</f>
        <v>89</v>
      </c>
      <c r="B140" t="s">
        <v>173</v>
      </c>
      <c r="G140" t="s">
        <v>454</v>
      </c>
      <c r="H140" t="s">
        <v>202</v>
      </c>
    </row>
    <row r="141" spans="1:8" x14ac:dyDescent="0.25">
      <c r="A141">
        <f t="shared" ref="A141" si="83">A140+1</f>
        <v>90</v>
      </c>
      <c r="G141">
        <v>-2E-3</v>
      </c>
      <c r="H141">
        <v>-2E-3</v>
      </c>
    </row>
    <row r="143" spans="1:8" x14ac:dyDescent="0.25">
      <c r="A143">
        <f t="shared" ref="A143" si="84">A141+1</f>
        <v>91</v>
      </c>
      <c r="B143" t="s">
        <v>174</v>
      </c>
      <c r="G143" t="s">
        <v>274</v>
      </c>
      <c r="H143" t="s">
        <v>670</v>
      </c>
    </row>
    <row r="144" spans="1:8" x14ac:dyDescent="0.25">
      <c r="A144">
        <f t="shared" ref="A144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175</v>
      </c>
      <c r="G146" t="s">
        <v>269</v>
      </c>
      <c r="H146" t="s">
        <v>619</v>
      </c>
    </row>
    <row r="147" spans="1:8" x14ac:dyDescent="0.25">
      <c r="A147">
        <f t="shared" ref="A147" si="87">A146+1</f>
        <v>94</v>
      </c>
      <c r="G147">
        <v>-1E-3</v>
      </c>
      <c r="H147">
        <v>-1E-3</v>
      </c>
    </row>
    <row r="149" spans="1:8" x14ac:dyDescent="0.25">
      <c r="A149">
        <f t="shared" ref="A149" si="88">A147+1</f>
        <v>95</v>
      </c>
      <c r="B149" t="s">
        <v>53</v>
      </c>
      <c r="G149" t="s">
        <v>280</v>
      </c>
      <c r="H149" t="s">
        <v>281</v>
      </c>
    </row>
    <row r="150" spans="1:8" x14ac:dyDescent="0.25">
      <c r="A150">
        <f t="shared" ref="A150" si="89">A149+1</f>
        <v>96</v>
      </c>
      <c r="G150">
        <v>0</v>
      </c>
      <c r="H150">
        <v>0</v>
      </c>
    </row>
    <row r="152" spans="1:8" x14ac:dyDescent="0.25">
      <c r="A152">
        <f t="shared" ref="A152" si="90">A150+1</f>
        <v>97</v>
      </c>
      <c r="B152" t="s">
        <v>54</v>
      </c>
      <c r="G152" t="s">
        <v>671</v>
      </c>
      <c r="H152" t="s">
        <v>280</v>
      </c>
    </row>
    <row r="153" spans="1:8" x14ac:dyDescent="0.25">
      <c r="A153">
        <f t="shared" ref="A153" si="91">A152+1</f>
        <v>98</v>
      </c>
      <c r="G153">
        <v>0</v>
      </c>
      <c r="H153">
        <v>0</v>
      </c>
    </row>
    <row r="155" spans="1:8" x14ac:dyDescent="0.25">
      <c r="A155">
        <f t="shared" ref="A155" si="92">A153+1</f>
        <v>99</v>
      </c>
      <c r="B155" t="s">
        <v>43</v>
      </c>
      <c r="H155" t="s">
        <v>672</v>
      </c>
    </row>
    <row r="156" spans="1:8" x14ac:dyDescent="0.25">
      <c r="A156">
        <f t="shared" ref="A156" si="93">A155+1</f>
        <v>100</v>
      </c>
      <c r="H156">
        <v>-4.9000000000000002E-2</v>
      </c>
    </row>
    <row r="158" spans="1:8" x14ac:dyDescent="0.25">
      <c r="A158">
        <f t="shared" ref="A158" si="94">A156+1</f>
        <v>101</v>
      </c>
      <c r="B158" t="s">
        <v>44</v>
      </c>
      <c r="H158" t="s">
        <v>673</v>
      </c>
    </row>
    <row r="159" spans="1:8" x14ac:dyDescent="0.25">
      <c r="A159">
        <f t="shared" ref="A159" si="95">A158+1</f>
        <v>102</v>
      </c>
      <c r="H159">
        <v>-8.9999999999999993E-3</v>
      </c>
    </row>
    <row r="161" spans="1:8" x14ac:dyDescent="0.25">
      <c r="A161">
        <f t="shared" ref="A161" si="96">A159+1</f>
        <v>103</v>
      </c>
      <c r="B161" t="s">
        <v>45</v>
      </c>
      <c r="H161" t="s">
        <v>674</v>
      </c>
    </row>
    <row r="162" spans="1:8" x14ac:dyDescent="0.25">
      <c r="A162">
        <f t="shared" ref="A162" si="97">A161+1</f>
        <v>104</v>
      </c>
      <c r="H162">
        <v>-1.7000000000000001E-2</v>
      </c>
    </row>
    <row r="164" spans="1:8" x14ac:dyDescent="0.25">
      <c r="A164">
        <f t="shared" ref="A164" si="98">A162+1</f>
        <v>105</v>
      </c>
      <c r="B164" t="s">
        <v>48</v>
      </c>
      <c r="H164" t="s">
        <v>375</v>
      </c>
    </row>
    <row r="165" spans="1:8" x14ac:dyDescent="0.25">
      <c r="A165">
        <f t="shared" ref="A165" si="99">A164+1</f>
        <v>106</v>
      </c>
      <c r="H165">
        <v>-8.9999999999999993E-3</v>
      </c>
    </row>
    <row r="167" spans="1:8" x14ac:dyDescent="0.25">
      <c r="A167">
        <f t="shared" ref="A167" si="100">A165+1</f>
        <v>107</v>
      </c>
      <c r="B167" t="s">
        <v>46</v>
      </c>
      <c r="H167" t="s">
        <v>675</v>
      </c>
    </row>
    <row r="168" spans="1:8" x14ac:dyDescent="0.25">
      <c r="A168">
        <f t="shared" ref="A168" si="101">A167+1</f>
        <v>108</v>
      </c>
      <c r="H168">
        <v>-1.7999999999999999E-2</v>
      </c>
    </row>
    <row r="170" spans="1:8" x14ac:dyDescent="0.25">
      <c r="A170">
        <f t="shared" ref="A170" si="102">A168+1</f>
        <v>109</v>
      </c>
      <c r="B170" t="s">
        <v>282</v>
      </c>
      <c r="C170" t="s">
        <v>676</v>
      </c>
      <c r="D170" t="s">
        <v>677</v>
      </c>
      <c r="E170" t="s">
        <v>678</v>
      </c>
      <c r="F170" t="s">
        <v>679</v>
      </c>
      <c r="G170" t="s">
        <v>680</v>
      </c>
      <c r="H170" t="s">
        <v>681</v>
      </c>
    </row>
    <row r="171" spans="1:8" x14ac:dyDescent="0.25">
      <c r="A171">
        <f t="shared" ref="A171" si="103">A170+1</f>
        <v>110</v>
      </c>
      <c r="C171">
        <v>-4.0000000000000001E-3</v>
      </c>
      <c r="D171">
        <v>-8.9999999999999993E-3</v>
      </c>
      <c r="E171">
        <v>-1.0999999999999999E-2</v>
      </c>
      <c r="F171">
        <v>-3.1E-2</v>
      </c>
      <c r="G171">
        <v>-0.83299999999999996</v>
      </c>
      <c r="H171">
        <v>-0.81699999999999995</v>
      </c>
    </row>
    <row r="173" spans="1:8" x14ac:dyDescent="0.25">
      <c r="A173">
        <f t="shared" ref="A173" si="104">A171+1</f>
        <v>111</v>
      </c>
      <c r="B173" t="s">
        <v>195</v>
      </c>
      <c r="C173" t="s">
        <v>6</v>
      </c>
      <c r="D173" t="s">
        <v>197</v>
      </c>
      <c r="E173" t="s">
        <v>196</v>
      </c>
      <c r="F173" t="s">
        <v>6</v>
      </c>
      <c r="G173" t="s">
        <v>196</v>
      </c>
      <c r="H173" t="s">
        <v>196</v>
      </c>
    </row>
    <row r="174" spans="1:8" x14ac:dyDescent="0.25">
      <c r="A174">
        <f t="shared" ref="A174" si="105">A173+1</f>
        <v>112</v>
      </c>
      <c r="B174" t="s">
        <v>187</v>
      </c>
      <c r="C174" s="1">
        <v>22993</v>
      </c>
      <c r="D174" s="1">
        <v>22993</v>
      </c>
      <c r="E174" s="1">
        <v>22993</v>
      </c>
      <c r="F174" s="1">
        <v>22993</v>
      </c>
      <c r="G174" s="1">
        <v>22993</v>
      </c>
      <c r="H174" s="1">
        <v>22993</v>
      </c>
    </row>
    <row r="175" spans="1:8" x14ac:dyDescent="0.25">
      <c r="A175">
        <v>113</v>
      </c>
      <c r="B175" t="s">
        <v>283</v>
      </c>
      <c r="C175">
        <v>0.03</v>
      </c>
      <c r="D175">
        <v>9.0999999999999998E-2</v>
      </c>
      <c r="E175">
        <v>0.61899999999999999</v>
      </c>
      <c r="F175">
        <v>0.627</v>
      </c>
      <c r="G175">
        <v>0.76600000000000001</v>
      </c>
      <c r="H175">
        <v>0.79900000000000004</v>
      </c>
    </row>
    <row r="176" spans="1:8" x14ac:dyDescent="0.25">
      <c r="A176">
        <v>114</v>
      </c>
      <c r="B176" t="s">
        <v>284</v>
      </c>
      <c r="C176">
        <v>0.03</v>
      </c>
      <c r="D176">
        <v>9.0999999999999998E-2</v>
      </c>
      <c r="E176">
        <v>0.61899999999999999</v>
      </c>
      <c r="F176">
        <v>0.627</v>
      </c>
      <c r="G176">
        <v>0.76600000000000001</v>
      </c>
      <c r="H176">
        <v>0.79800000000000004</v>
      </c>
    </row>
    <row r="177" spans="1:8" x14ac:dyDescent="0.25">
      <c r="A177">
        <v>115</v>
      </c>
      <c r="B177" t="s">
        <v>285</v>
      </c>
      <c r="C177" t="s">
        <v>682</v>
      </c>
      <c r="D177" t="s">
        <v>683</v>
      </c>
      <c r="E177" t="s">
        <v>684</v>
      </c>
      <c r="F177" t="s">
        <v>685</v>
      </c>
      <c r="G177" t="s">
        <v>686</v>
      </c>
      <c r="H177" t="s">
        <v>687</v>
      </c>
    </row>
    <row r="178" spans="1:8" x14ac:dyDescent="0.25">
      <c r="A178">
        <v>116</v>
      </c>
      <c r="B178" t="s">
        <v>286</v>
      </c>
      <c r="C178" t="s">
        <v>688</v>
      </c>
      <c r="D178" t="s">
        <v>689</v>
      </c>
      <c r="E178" t="s">
        <v>690</v>
      </c>
      <c r="F178" t="s">
        <v>691</v>
      </c>
      <c r="G178" t="s">
        <v>692</v>
      </c>
      <c r="H178" t="s">
        <v>693</v>
      </c>
    </row>
    <row r="179" spans="1:8" x14ac:dyDescent="0.25">
      <c r="B179" t="s">
        <v>192</v>
      </c>
      <c r="C179" t="s">
        <v>604</v>
      </c>
      <c r="D179" t="s">
        <v>193</v>
      </c>
      <c r="E179" t="s">
        <v>194</v>
      </c>
      <c r="F179" t="s">
        <v>604</v>
      </c>
      <c r="G179" t="s">
        <v>194</v>
      </c>
      <c r="H179" t="s">
        <v>194</v>
      </c>
    </row>
    <row r="180" spans="1:8" x14ac:dyDescent="0.25">
      <c r="B180" t="s">
        <v>287</v>
      </c>
      <c r="H180" t="s">
        <v>288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DC513-0C03-4C24-AD96-2D61B9A99534}">
  <dimension ref="A1:AG66"/>
  <sheetViews>
    <sheetView topLeftCell="X1" workbookViewId="0">
      <selection activeCell="AB1" sqref="AB1:AG1048576"/>
    </sheetView>
  </sheetViews>
  <sheetFormatPr defaultColWidth="11.42578125"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1.3898121640080301</v>
      </c>
      <c r="D2">
        <v>15.3208291817937</v>
      </c>
      <c r="E2">
        <v>9.0713899849467899E-2</v>
      </c>
      <c r="F2">
        <v>0.92942655293466003</v>
      </c>
      <c r="G2">
        <v>-9.23375356581953</v>
      </c>
      <c r="H2">
        <v>19.017567493759302</v>
      </c>
      <c r="I2">
        <v>-0.48553809885778698</v>
      </c>
      <c r="J2">
        <v>0.63971149693714702</v>
      </c>
      <c r="K2">
        <v>12.8709064171866</v>
      </c>
      <c r="L2">
        <v>0.17970493925325501</v>
      </c>
      <c r="M2">
        <v>71.622441045139496</v>
      </c>
      <c r="N2">
        <v>3.3163510984720803E-17</v>
      </c>
      <c r="O2">
        <v>13.0818218436559</v>
      </c>
      <c r="P2">
        <v>7.9020044830744096E-2</v>
      </c>
      <c r="Q2">
        <v>165.55067605537701</v>
      </c>
      <c r="R2">
        <v>1.39819932463622E-22</v>
      </c>
      <c r="S2">
        <v>13.677708534164299</v>
      </c>
      <c r="T2">
        <v>7.5198653725273804E-2</v>
      </c>
      <c r="U2">
        <v>181.88767825729499</v>
      </c>
      <c r="V2">
        <v>9.2481728138458998E-23</v>
      </c>
      <c r="W2">
        <v>13.845232656951</v>
      </c>
      <c r="X2">
        <v>8.9828797981183095E-2</v>
      </c>
      <c r="Y2">
        <v>154.12910968541701</v>
      </c>
      <c r="Z2">
        <v>1.95862451927143E-20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3.6251440197416197E-2</v>
      </c>
      <c r="D3">
        <v>8.9895055623531398E-3</v>
      </c>
      <c r="E3">
        <v>4.0326400541129201</v>
      </c>
      <c r="F3">
        <v>2.13151560717568E-3</v>
      </c>
      <c r="G3">
        <v>4.5383962020515901E-2</v>
      </c>
      <c r="H3">
        <v>1.0660389829599101E-2</v>
      </c>
      <c r="I3">
        <v>4.2572516339416602</v>
      </c>
      <c r="J3">
        <v>1.4708355876832499E-3</v>
      </c>
      <c r="K3">
        <v>5.6977104182431099E-2</v>
      </c>
      <c r="L3">
        <v>1.4444102993462399E-2</v>
      </c>
      <c r="M3">
        <v>3.9446619986176898</v>
      </c>
      <c r="N3">
        <v>2.46561113190238E-3</v>
      </c>
      <c r="O3">
        <v>5.5714287112288402E-2</v>
      </c>
      <c r="P3">
        <v>1.3886487992830199E-2</v>
      </c>
      <c r="Q3">
        <v>4.0121222256523401</v>
      </c>
      <c r="R3">
        <v>2.2058392891641698E-3</v>
      </c>
      <c r="S3">
        <v>9.4188267710704904E-2</v>
      </c>
      <c r="T3">
        <v>2.0307528473453001E-2</v>
      </c>
      <c r="U3">
        <v>4.6380960555506503</v>
      </c>
      <c r="V3">
        <v>7.9576847222451901E-4</v>
      </c>
      <c r="W3">
        <v>0.158356398202531</v>
      </c>
      <c r="X3">
        <v>1.02381204439597E-2</v>
      </c>
      <c r="Y3">
        <v>15.4673310466824</v>
      </c>
      <c r="Z3">
        <v>2.7189956470463999E-9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8.9699321155340395E-5</v>
      </c>
      <c r="D4">
        <v>4.4866242184017402E-5</v>
      </c>
      <c r="E4">
        <v>1.9992608426496199</v>
      </c>
      <c r="F4">
        <v>6.4930729554864494E-2</v>
      </c>
      <c r="G4">
        <v>1.7222442564300799E-4</v>
      </c>
      <c r="H4">
        <v>7.6371768487354405E-5</v>
      </c>
      <c r="I4">
        <v>2.2550797114450098</v>
      </c>
      <c r="J4">
        <v>4.03270925580946E-2</v>
      </c>
      <c r="K4">
        <v>2.7595070942360099E-4</v>
      </c>
      <c r="L4">
        <v>1.2446934569659E-4</v>
      </c>
      <c r="M4">
        <v>2.2170174341260398</v>
      </c>
      <c r="N4">
        <v>4.3275177960141402E-2</v>
      </c>
      <c r="O4">
        <v>2.4531939408014398E-4</v>
      </c>
      <c r="P4">
        <v>1.4550343845122699E-4</v>
      </c>
      <c r="Q4">
        <v>1.6860041019743699</v>
      </c>
      <c r="R4">
        <v>0.11336593182167801</v>
      </c>
      <c r="S4">
        <v>1.86622116603001E-3</v>
      </c>
      <c r="T4">
        <v>2.8798359772048998E-4</v>
      </c>
      <c r="U4">
        <v>6.4803036728547401</v>
      </c>
      <c r="V4">
        <v>1.44682933323728E-5</v>
      </c>
      <c r="AB4" t="str">
        <f t="shared" si="0"/>
        <v>*</v>
      </c>
      <c r="AC4" t="str">
        <f t="shared" si="1"/>
        <v>**</v>
      </c>
      <c r="AD4" t="str">
        <f t="shared" si="2"/>
        <v>**</v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2.38369300944722E-2</v>
      </c>
      <c r="D5">
        <v>5.4286458143935597E-3</v>
      </c>
      <c r="E5">
        <v>4.3909532707532302</v>
      </c>
      <c r="F5">
        <v>9.0837936979540996E-4</v>
      </c>
      <c r="G5">
        <v>2.7774500672336899E-2</v>
      </c>
      <c r="H5">
        <v>6.3747415144910103E-3</v>
      </c>
      <c r="I5">
        <v>4.3569610797865499</v>
      </c>
      <c r="J5">
        <v>9.6246949781556099E-4</v>
      </c>
      <c r="K5">
        <v>2.30828583043594E-2</v>
      </c>
      <c r="L5">
        <v>1.0269612864855501E-2</v>
      </c>
      <c r="M5">
        <v>2.2476853420008802</v>
      </c>
      <c r="N5">
        <v>4.4473479967214499E-2</v>
      </c>
      <c r="O5">
        <v>2.1565075142996399E-2</v>
      </c>
      <c r="P5">
        <v>1.1865658071549099E-2</v>
      </c>
      <c r="Q5">
        <v>1.81743608428293</v>
      </c>
      <c r="R5">
        <v>9.4545880527281204E-2</v>
      </c>
      <c r="S5">
        <v>8.6924632111116895E-2</v>
      </c>
      <c r="T5">
        <v>1.65073191630845E-2</v>
      </c>
      <c r="U5">
        <v>5.2658236781116798</v>
      </c>
      <c r="V5">
        <v>2.0905111509441699E-4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3.06981118223295E-2</v>
      </c>
      <c r="D6">
        <v>7.2966736355727004E-3</v>
      </c>
      <c r="E6">
        <v>4.20713784876855</v>
      </c>
      <c r="F6">
        <v>1.2594517702482701E-3</v>
      </c>
      <c r="G6">
        <v>3.5549778063812397E-2</v>
      </c>
      <c r="H6">
        <v>7.9445459021160892E-3</v>
      </c>
      <c r="I6">
        <v>4.4747400923624197</v>
      </c>
      <c r="J6">
        <v>7.8946051271673698E-4</v>
      </c>
      <c r="K6">
        <v>2.7967029320841101E-2</v>
      </c>
      <c r="L6">
        <v>1.32150701555262E-2</v>
      </c>
      <c r="M6">
        <v>2.1162982104295498</v>
      </c>
      <c r="N6">
        <v>5.6275226900591203E-2</v>
      </c>
      <c r="O6">
        <v>2.74569498383085E-2</v>
      </c>
      <c r="P6">
        <v>1.4061309139700001E-2</v>
      </c>
      <c r="Q6">
        <v>1.95265956857374</v>
      </c>
      <c r="R6">
        <v>7.4983852619313396E-2</v>
      </c>
      <c r="S6">
        <v>0.115789869857211</v>
      </c>
      <c r="T6">
        <v>1.8577801304512899E-2</v>
      </c>
      <c r="U6">
        <v>6.2327004126738696</v>
      </c>
      <c r="V6">
        <v>4.6948313166878597E-5</v>
      </c>
      <c r="AB6" t="str">
        <f t="shared" si="0"/>
        <v>***</v>
      </c>
      <c r="AC6" t="str">
        <f t="shared" si="1"/>
        <v>***</v>
      </c>
      <c r="AD6" t="str">
        <f t="shared" si="2"/>
        <v>*</v>
      </c>
      <c r="AE6" t="str">
        <f t="shared" si="3"/>
        <v>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1.16359710670854E-2</v>
      </c>
      <c r="D7">
        <v>8.9142198371681292E-3</v>
      </c>
      <c r="E7">
        <v>1.3053269135868599</v>
      </c>
      <c r="F7">
        <v>0.21651535382009801</v>
      </c>
      <c r="G7">
        <v>1.5344605841349401E-2</v>
      </c>
      <c r="H7">
        <v>8.7591998872560105E-3</v>
      </c>
      <c r="I7">
        <v>1.7518273402659399</v>
      </c>
      <c r="J7">
        <v>0.105573427972854</v>
      </c>
      <c r="K7">
        <v>3.1248474378926098E-3</v>
      </c>
      <c r="L7">
        <v>1.0665885292933001E-2</v>
      </c>
      <c r="M7">
        <v>0.29297590889741598</v>
      </c>
      <c r="N7">
        <v>0.77460382517015303</v>
      </c>
      <c r="O7">
        <v>5.1941241531526603E-3</v>
      </c>
      <c r="P7">
        <v>1.06446785724022E-2</v>
      </c>
      <c r="Q7">
        <v>0.48795500191233199</v>
      </c>
      <c r="R7">
        <v>0.63448291634830101</v>
      </c>
      <c r="S7">
        <v>8.4956007304743994E-2</v>
      </c>
      <c r="T7">
        <v>1.22351368226931E-2</v>
      </c>
      <c r="U7">
        <v>6.9436090937023502</v>
      </c>
      <c r="V7">
        <v>1.6445841376290301E-5</v>
      </c>
      <c r="AB7" t="str">
        <f t="shared" si="0"/>
        <v/>
      </c>
      <c r="AC7" t="str">
        <f t="shared" si="1"/>
        <v/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3.8230686277653198E-4</v>
      </c>
      <c r="D8">
        <v>1.3310975149020901E-2</v>
      </c>
      <c r="E8">
        <v>2.8721176209592299E-2</v>
      </c>
      <c r="F8">
        <v>0.97761745124701604</v>
      </c>
      <c r="G8">
        <v>-2.9426976685519501E-4</v>
      </c>
      <c r="H8">
        <v>1.38853371492169E-2</v>
      </c>
      <c r="I8">
        <v>-2.1192842758721998E-2</v>
      </c>
      <c r="J8">
        <v>0.98348324987907898</v>
      </c>
      <c r="K8">
        <v>-2.1027807727241301E-2</v>
      </c>
      <c r="L8">
        <v>1.7739452017876901E-2</v>
      </c>
      <c r="M8">
        <v>-1.18536963295431</v>
      </c>
      <c r="N8">
        <v>0.26163139560154203</v>
      </c>
      <c r="O8">
        <v>-1.7816082806756499E-2</v>
      </c>
      <c r="P8">
        <v>1.77687536754026E-2</v>
      </c>
      <c r="Q8">
        <v>-1.0026636157053299</v>
      </c>
      <c r="R8">
        <v>0.33828684842661699</v>
      </c>
      <c r="S8">
        <v>4.85572771459487E-2</v>
      </c>
      <c r="T8">
        <v>2.29581364587443E-2</v>
      </c>
      <c r="U8">
        <v>2.1150356534035799</v>
      </c>
      <c r="V8">
        <v>5.8929021275560899E-2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0.129490784114737</v>
      </c>
      <c r="D9">
        <v>1.34115686855694E-2</v>
      </c>
      <c r="E9">
        <v>9.6551557204540206</v>
      </c>
      <c r="F9">
        <v>1.0981491995874499E-6</v>
      </c>
      <c r="G9">
        <v>0.124666029969628</v>
      </c>
      <c r="H9">
        <v>1.4663306325741299E-2</v>
      </c>
      <c r="I9">
        <v>8.5019044954941307</v>
      </c>
      <c r="J9">
        <v>3.7958482809449198E-6</v>
      </c>
      <c r="K9">
        <v>0.10560683169927999</v>
      </c>
      <c r="L9">
        <v>1.9010027315989299E-2</v>
      </c>
      <c r="M9">
        <v>5.5553224592399202</v>
      </c>
      <c r="N9">
        <v>1.7518191652927601E-4</v>
      </c>
      <c r="O9">
        <v>0.108472682646302</v>
      </c>
      <c r="P9">
        <v>1.9252000568660801E-2</v>
      </c>
      <c r="Q9">
        <v>5.63435899866312</v>
      </c>
      <c r="R9">
        <v>1.5708339030209799E-4</v>
      </c>
      <c r="S9">
        <v>0.22098064172875401</v>
      </c>
      <c r="T9">
        <v>2.7456512836508198E-2</v>
      </c>
      <c r="U9">
        <v>8.0483870273184301</v>
      </c>
      <c r="V9">
        <v>6.5172969065993197E-6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0.17303161445918699</v>
      </c>
      <c r="D10">
        <v>1.5461706813035899E-2</v>
      </c>
      <c r="E10">
        <v>11.1909775907342</v>
      </c>
      <c r="F10">
        <v>2.4778004281431498E-7</v>
      </c>
      <c r="G10">
        <v>0.17012196797443299</v>
      </c>
      <c r="H10">
        <v>1.6440627201910099E-2</v>
      </c>
      <c r="I10">
        <v>10.347656806831999</v>
      </c>
      <c r="J10">
        <v>5.4619524701025796E-7</v>
      </c>
      <c r="K10">
        <v>0.138093460402645</v>
      </c>
      <c r="L10">
        <v>2.0432993397915902E-2</v>
      </c>
      <c r="M10">
        <v>6.7583568258153397</v>
      </c>
      <c r="N10">
        <v>3.19852656947355E-5</v>
      </c>
      <c r="O10">
        <v>0.135476949503747</v>
      </c>
      <c r="P10">
        <v>2.1309491346741101E-2</v>
      </c>
      <c r="Q10">
        <v>6.3575872037164096</v>
      </c>
      <c r="R10">
        <v>5.5399735189204101E-5</v>
      </c>
      <c r="S10">
        <v>0.24406271083027301</v>
      </c>
      <c r="T10">
        <v>2.5707937439258099E-2</v>
      </c>
      <c r="U10">
        <v>9.4936714159561397</v>
      </c>
      <c r="V10">
        <v>1.30272595025783E-6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0.13888549324119401</v>
      </c>
      <c r="D11">
        <v>2.6779320135959898E-2</v>
      </c>
      <c r="E11">
        <v>5.1862964607042201</v>
      </c>
      <c r="F11">
        <v>1.5082938114455201E-4</v>
      </c>
      <c r="G11">
        <v>0.136813665081959</v>
      </c>
      <c r="H11">
        <v>2.7938296084761099E-2</v>
      </c>
      <c r="I11">
        <v>4.89699388491284</v>
      </c>
      <c r="J11">
        <v>2.5526577870907499E-4</v>
      </c>
      <c r="K11">
        <v>9.9399010677449204E-2</v>
      </c>
      <c r="L11">
        <v>4.5060735496273201E-2</v>
      </c>
      <c r="M11">
        <v>2.2058896638664498</v>
      </c>
      <c r="N11">
        <v>4.5105183524502997E-2</v>
      </c>
      <c r="O11">
        <v>2.6443458322832802E-2</v>
      </c>
      <c r="P11">
        <v>4.3493489909400197E-2</v>
      </c>
      <c r="Q11">
        <v>0.60798658323156696</v>
      </c>
      <c r="R11">
        <v>0.55391439081430005</v>
      </c>
      <c r="S11">
        <v>0.19929326360327701</v>
      </c>
      <c r="T11">
        <v>5.8319960155556003E-2</v>
      </c>
      <c r="U11">
        <v>3.4172393649053401</v>
      </c>
      <c r="V11">
        <v>4.74601391569455E-3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-3.1308619794542497E-2</v>
      </c>
      <c r="D12">
        <v>5.56021615199675E-3</v>
      </c>
      <c r="E12">
        <v>-5.6308278201197597</v>
      </c>
      <c r="F12">
        <v>4.0410626478232898E-5</v>
      </c>
      <c r="G12">
        <v>-4.5260115173179398E-2</v>
      </c>
      <c r="H12">
        <v>8.0621206767754802E-3</v>
      </c>
      <c r="I12">
        <v>-5.6139218188038296</v>
      </c>
      <c r="J12">
        <v>4.2539643516633698E-5</v>
      </c>
      <c r="K12">
        <v>-7.0951526124139006E-2</v>
      </c>
      <c r="L12">
        <v>9.2469062209441406E-3</v>
      </c>
      <c r="M12">
        <v>-7.6730015887296998</v>
      </c>
      <c r="N12">
        <v>1.2095376106059799E-6</v>
      </c>
      <c r="O12">
        <v>-7.0942653808452896E-2</v>
      </c>
      <c r="P12">
        <v>9.6080475270124196E-3</v>
      </c>
      <c r="Q12">
        <v>-7.3836701586875</v>
      </c>
      <c r="R12">
        <v>1.88146229072253E-6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6.3015520052514998E-2</v>
      </c>
      <c r="D13">
        <v>6.6848369125276797E-3</v>
      </c>
      <c r="E13">
        <v>9.4266353655421504</v>
      </c>
      <c r="F13">
        <v>9.1612904038103404E-8</v>
      </c>
      <c r="G13">
        <v>7.3934394242768306E-2</v>
      </c>
      <c r="H13">
        <v>6.8106104995313199E-3</v>
      </c>
      <c r="I13">
        <v>10.855766050320501</v>
      </c>
      <c r="J13">
        <v>1.36025183388195E-8</v>
      </c>
      <c r="K13">
        <v>0.101703443209313</v>
      </c>
      <c r="L13">
        <v>1.56160528495526E-2</v>
      </c>
      <c r="M13">
        <v>6.5127496806740899</v>
      </c>
      <c r="N13">
        <v>9.1696141052234804E-6</v>
      </c>
      <c r="O13">
        <v>9.8938352768526097E-2</v>
      </c>
      <c r="P13">
        <v>1.5849004539936699E-2</v>
      </c>
      <c r="Q13">
        <v>6.2425594313648496</v>
      </c>
      <c r="R13">
        <v>1.4879912747252501E-5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3.7166211496302497E-2</v>
      </c>
      <c r="D14">
        <v>7.5623994931212097E-3</v>
      </c>
      <c r="E14">
        <v>4.9146056790717001</v>
      </c>
      <c r="F14">
        <v>2.0813222092155799E-4</v>
      </c>
      <c r="G14">
        <v>4.4266844705289597E-2</v>
      </c>
      <c r="H14">
        <v>9.2777963018129996E-3</v>
      </c>
      <c r="I14">
        <v>4.77126714849725</v>
      </c>
      <c r="J14">
        <v>2.7239652953884002E-4</v>
      </c>
      <c r="K14">
        <v>3.1625394876586797E-2</v>
      </c>
      <c r="L14">
        <v>1.02033817838783E-2</v>
      </c>
      <c r="M14">
        <v>3.0995012777583302</v>
      </c>
      <c r="N14">
        <v>7.5840812453342003E-3</v>
      </c>
      <c r="O14">
        <v>2.8604823850385701E-2</v>
      </c>
      <c r="P14">
        <v>1.2432636245627401E-2</v>
      </c>
      <c r="Q14">
        <v>2.30078506965455</v>
      </c>
      <c r="R14">
        <v>3.7094247242494799E-2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-4.4703196117002998E-2</v>
      </c>
      <c r="D15">
        <v>8.8353739247039598E-3</v>
      </c>
      <c r="E15">
        <v>-5.0595703699660701</v>
      </c>
      <c r="F15">
        <v>1.3368237707456801E-4</v>
      </c>
      <c r="G15">
        <v>-5.0967598702260003E-2</v>
      </c>
      <c r="H15">
        <v>9.8727162177340896E-3</v>
      </c>
      <c r="I15">
        <v>-5.1624697376298796</v>
      </c>
      <c r="J15">
        <v>1.10721445711825E-4</v>
      </c>
      <c r="K15">
        <v>-4.23343906227285E-2</v>
      </c>
      <c r="L15">
        <v>2.2440543242909599E-2</v>
      </c>
      <c r="M15">
        <v>-1.8865136268973599</v>
      </c>
      <c r="N15">
        <v>7.8496870984646194E-2</v>
      </c>
      <c r="O15">
        <v>-4.6669180892675799E-2</v>
      </c>
      <c r="P15">
        <v>2.6103806142432601E-2</v>
      </c>
      <c r="Q15">
        <v>-1.78783050402805</v>
      </c>
      <c r="R15">
        <v>9.3914439325581703E-2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-7.5615385659982007E-2</v>
      </c>
      <c r="D16">
        <v>1.32747292264197E-2</v>
      </c>
      <c r="E16">
        <v>-5.6961904359970097</v>
      </c>
      <c r="F16">
        <v>6.9207291626537904E-5</v>
      </c>
      <c r="G16">
        <v>-9.7438520062903794E-2</v>
      </c>
      <c r="H16">
        <v>1.70217165540162E-2</v>
      </c>
      <c r="I16">
        <v>-5.7243650928915102</v>
      </c>
      <c r="J16">
        <v>6.6156224897141798E-5</v>
      </c>
      <c r="K16">
        <v>-4.61513126620565E-2</v>
      </c>
      <c r="L16">
        <v>3.9469222692002703E-2</v>
      </c>
      <c r="M16">
        <v>-1.16929874758866</v>
      </c>
      <c r="N16">
        <v>0.26317592492997599</v>
      </c>
      <c r="O16">
        <v>-3.7547644974020203E-2</v>
      </c>
      <c r="P16">
        <v>4.3316265916996298E-2</v>
      </c>
      <c r="Q16">
        <v>-0.86682552568058202</v>
      </c>
      <c r="R16">
        <v>0.40165359860789501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1.8410502565892499E-4</v>
      </c>
      <c r="D17">
        <v>9.1117207066316603E-6</v>
      </c>
      <c r="E17">
        <v>20.205297285388699</v>
      </c>
      <c r="F17">
        <v>1.8864462780530199E-11</v>
      </c>
      <c r="G17">
        <v>2.0301369085567E-4</v>
      </c>
      <c r="H17">
        <v>1.16111044962138E-5</v>
      </c>
      <c r="I17">
        <v>17.484442666231299</v>
      </c>
      <c r="J17">
        <v>1.63915043698025E-10</v>
      </c>
      <c r="K17">
        <v>2.5746236032241098E-4</v>
      </c>
      <c r="L17">
        <v>1.6996632934527598E-5</v>
      </c>
      <c r="M17">
        <v>15.1478449475362</v>
      </c>
      <c r="N17">
        <v>9.8617416139660207E-10</v>
      </c>
      <c r="O17">
        <v>2.65332927861464E-4</v>
      </c>
      <c r="P17">
        <v>1.6228328197672599E-5</v>
      </c>
      <c r="Q17">
        <v>16.349985323782001</v>
      </c>
      <c r="R17">
        <v>3.2068273070298599E-10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-8.6540654119996103E-4</v>
      </c>
      <c r="D18">
        <v>9.7656154370280503E-4</v>
      </c>
      <c r="E18">
        <v>-0.88617716597626806</v>
      </c>
      <c r="F18">
        <v>0.39083421896264098</v>
      </c>
      <c r="G18">
        <v>-1.8281627030552301E-3</v>
      </c>
      <c r="H18">
        <v>1.00423866636407E-3</v>
      </c>
      <c r="I18">
        <v>-1.8204464379710099</v>
      </c>
      <c r="J18">
        <v>9.0654518888550806E-2</v>
      </c>
      <c r="K18">
        <v>4.6357176717303303E-3</v>
      </c>
      <c r="L18">
        <v>2.00410687663657E-3</v>
      </c>
      <c r="M18">
        <v>2.31310900919132</v>
      </c>
      <c r="N18">
        <v>3.7574442637255998E-2</v>
      </c>
      <c r="O18">
        <v>4.4739590542044998E-3</v>
      </c>
      <c r="P18">
        <v>1.90384575037061E-3</v>
      </c>
      <c r="Q18">
        <v>2.3499587891159601</v>
      </c>
      <c r="R18">
        <v>3.5959673802082301E-2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1.9140374764810401E-2</v>
      </c>
      <c r="D19">
        <v>1.0352375677505301E-2</v>
      </c>
      <c r="E19">
        <v>1.8488871888991101</v>
      </c>
      <c r="F19">
        <v>8.6579270847184295E-2</v>
      </c>
      <c r="G19">
        <v>3.0834225962105801E-2</v>
      </c>
      <c r="H19">
        <v>1.1325341956556901E-2</v>
      </c>
      <c r="I19">
        <v>2.7225867510564599</v>
      </c>
      <c r="J19">
        <v>1.6708728667147899E-2</v>
      </c>
      <c r="K19">
        <v>3.89746094629447E-3</v>
      </c>
      <c r="L19">
        <v>2.2049570316723801E-2</v>
      </c>
      <c r="M19">
        <v>0.176759042934201</v>
      </c>
      <c r="N19">
        <v>0.86230513144589005</v>
      </c>
      <c r="O19">
        <v>3.0026210748374401E-3</v>
      </c>
      <c r="P19">
        <v>2.2321724150698E-2</v>
      </c>
      <c r="Q19">
        <v>0.13451564290312901</v>
      </c>
      <c r="R19">
        <v>0.894995994405129</v>
      </c>
      <c r="AB19" t="str">
        <f t="shared" si="0"/>
        <v>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-4.2456660420318801E-2</v>
      </c>
      <c r="D20">
        <v>1.4066682821357099E-2</v>
      </c>
      <c r="E20">
        <v>-3.0182425351809399</v>
      </c>
      <c r="F20">
        <v>1.3675795586274899E-2</v>
      </c>
      <c r="G20">
        <v>-6.0694114086060902E-2</v>
      </c>
      <c r="H20">
        <v>1.6131304751666201E-2</v>
      </c>
      <c r="I20">
        <v>-3.7625049566924802</v>
      </c>
      <c r="J20">
        <v>4.0413942576215901E-3</v>
      </c>
      <c r="K20">
        <v>-3.1212956286458201E-2</v>
      </c>
      <c r="L20">
        <v>3.2239100746897703E-2</v>
      </c>
      <c r="M20">
        <v>-0.96817081008258898</v>
      </c>
      <c r="N20">
        <v>0.35703405276551797</v>
      </c>
      <c r="O20">
        <v>-3.2840282197914399E-2</v>
      </c>
      <c r="P20">
        <v>3.30486320181161E-2</v>
      </c>
      <c r="Q20">
        <v>-0.99369565977534302</v>
      </c>
      <c r="R20">
        <v>0.34511218475199101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0.114727997195797</v>
      </c>
      <c r="D21">
        <v>1.0443370196481399E-2</v>
      </c>
      <c r="E21">
        <v>10.9857253968122</v>
      </c>
      <c r="F21">
        <v>7.9646484585844706E-8</v>
      </c>
      <c r="G21">
        <v>0.12012269381637</v>
      </c>
      <c r="H21">
        <v>1.23400273263934E-2</v>
      </c>
      <c r="I21">
        <v>9.7343944741067592</v>
      </c>
      <c r="J21">
        <v>3.1494045876005098E-7</v>
      </c>
      <c r="K21">
        <v>0.156047063099362</v>
      </c>
      <c r="L21">
        <v>2.2334642314805701E-2</v>
      </c>
      <c r="M21">
        <v>6.9867724273299796</v>
      </c>
      <c r="N21">
        <v>1.10859089749803E-5</v>
      </c>
      <c r="O21">
        <v>0.15355266750348301</v>
      </c>
      <c r="P21">
        <v>2.24623099987524E-2</v>
      </c>
      <c r="Q21">
        <v>6.8360140836811096</v>
      </c>
      <c r="R21">
        <v>1.2893426144631999E-5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5.9701577285818999E-2</v>
      </c>
      <c r="D22">
        <v>4.4514167966897599E-3</v>
      </c>
      <c r="E22">
        <v>13.4118147126136</v>
      </c>
      <c r="F22">
        <v>2.5050465649862399E-9</v>
      </c>
      <c r="G22">
        <v>6.2548073370525994E-2</v>
      </c>
      <c r="H22">
        <v>4.6073794823280499E-3</v>
      </c>
      <c r="I22">
        <v>13.5756287517522</v>
      </c>
      <c r="J22">
        <v>2.1385094634117498E-9</v>
      </c>
      <c r="K22">
        <v>7.8479798855749197E-2</v>
      </c>
      <c r="L22">
        <v>1.18329043744346E-2</v>
      </c>
      <c r="M22">
        <v>6.6323361004511598</v>
      </c>
      <c r="N22">
        <v>1.1900358062222101E-5</v>
      </c>
      <c r="O22">
        <v>7.6029973040118201E-2</v>
      </c>
      <c r="P22">
        <v>1.28839613632641E-2</v>
      </c>
      <c r="Q22">
        <v>5.9011332692211802</v>
      </c>
      <c r="R22">
        <v>3.8672784254103301E-5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-6.93143615462046E-2</v>
      </c>
      <c r="D23">
        <v>9.0094496653611404E-3</v>
      </c>
      <c r="E23">
        <v>-7.6935178197064902</v>
      </c>
      <c r="F23">
        <v>8.7791744902550297E-7</v>
      </c>
      <c r="G23">
        <v>-6.5278592637315697E-2</v>
      </c>
      <c r="H23">
        <v>1.06974428218278E-2</v>
      </c>
      <c r="I23">
        <v>-6.1022614212171096</v>
      </c>
      <c r="J23">
        <v>1.48237767722534E-5</v>
      </c>
      <c r="K23">
        <v>-6.2558045563929104E-2</v>
      </c>
      <c r="L23">
        <v>1.6231418188183699E-2</v>
      </c>
      <c r="M23">
        <v>-3.8541330670335801</v>
      </c>
      <c r="N23">
        <v>1.38703314418991E-3</v>
      </c>
      <c r="O23">
        <v>-6.2749582443895405E-2</v>
      </c>
      <c r="P23">
        <v>1.7029301033118699E-2</v>
      </c>
      <c r="Q23">
        <v>-3.6848008219397701</v>
      </c>
      <c r="R23">
        <v>1.9758407774728998E-3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1.74052733323397E-2</v>
      </c>
      <c r="D24">
        <v>1.42978341751139E-2</v>
      </c>
      <c r="E24">
        <v>1.21733635452525</v>
      </c>
      <c r="F24">
        <v>0.24546524332941999</v>
      </c>
      <c r="G24">
        <v>2.2865582906425298E-2</v>
      </c>
      <c r="H24">
        <v>1.4102831188603801E-2</v>
      </c>
      <c r="I24">
        <v>1.62134699058884</v>
      </c>
      <c r="J24">
        <v>0.12934845697240099</v>
      </c>
      <c r="K24">
        <v>3.2106589919548602E-2</v>
      </c>
      <c r="L24">
        <v>1.8421785247550299E-2</v>
      </c>
      <c r="M24">
        <v>1.74285985251174</v>
      </c>
      <c r="N24">
        <v>0.105426311288411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-4.5219392624015503E-2</v>
      </c>
      <c r="D25">
        <v>2.0310026854710402E-2</v>
      </c>
      <c r="E25">
        <v>-2.2264565649024699</v>
      </c>
      <c r="F25">
        <v>8.8138677738305499E-2</v>
      </c>
      <c r="G25">
        <v>-4.8450666848013198E-2</v>
      </c>
      <c r="H25">
        <v>2.3352216723579601E-2</v>
      </c>
      <c r="I25">
        <v>-2.0747780573263901</v>
      </c>
      <c r="J25">
        <v>0.10472353502427301</v>
      </c>
      <c r="K25">
        <v>-7.2519362260278594E-2</v>
      </c>
      <c r="L25">
        <v>2.8888063536376601E-2</v>
      </c>
      <c r="M25">
        <v>-2.5103573373466301</v>
      </c>
      <c r="N25">
        <v>6.4315734178006401E-2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</row>
    <row r="27" spans="1:33" x14ac:dyDescent="0.25">
      <c r="A27">
        <v>49</v>
      </c>
    </row>
    <row r="28" spans="1:33" x14ac:dyDescent="0.25">
      <c r="A28">
        <v>51</v>
      </c>
    </row>
    <row r="29" spans="1:33" x14ac:dyDescent="0.25">
      <c r="A29">
        <v>53</v>
      </c>
    </row>
    <row r="30" spans="1:33" x14ac:dyDescent="0.25">
      <c r="A30">
        <v>55</v>
      </c>
      <c r="B30" t="s">
        <v>29</v>
      </c>
      <c r="C30">
        <v>-2.1905463996950199E-2</v>
      </c>
      <c r="D30">
        <v>1.7966716111705999E-2</v>
      </c>
      <c r="E30">
        <v>-1.2192246964195099</v>
      </c>
      <c r="F30">
        <v>0.242521370107216</v>
      </c>
      <c r="G30">
        <v>-3.80023480837317E-2</v>
      </c>
      <c r="H30">
        <v>2.2661860254827099E-2</v>
      </c>
      <c r="I30">
        <v>-1.6769297690659299</v>
      </c>
      <c r="J30">
        <v>0.115294516371803</v>
      </c>
      <c r="K30">
        <v>-4.0716129867944199E-2</v>
      </c>
      <c r="L30">
        <v>2.5232768230738702E-2</v>
      </c>
      <c r="M30">
        <v>-1.6136212046026599</v>
      </c>
      <c r="N30">
        <v>0.128493371263569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</row>
    <row r="32" spans="1:33" x14ac:dyDescent="0.25">
      <c r="A32">
        <v>59</v>
      </c>
      <c r="B32" t="s">
        <v>28</v>
      </c>
      <c r="C32">
        <v>8.0030055866311095E-2</v>
      </c>
      <c r="D32">
        <v>1.7355984447512501E-2</v>
      </c>
      <c r="E32">
        <v>4.6110928543601597</v>
      </c>
      <c r="F32">
        <v>8.6706778497109898E-4</v>
      </c>
      <c r="G32">
        <v>9.2352388495712201E-2</v>
      </c>
      <c r="H32">
        <v>2.0953375345163502E-2</v>
      </c>
      <c r="I32">
        <v>4.4075184534423597</v>
      </c>
      <c r="J32">
        <v>1.2010089516258501E-3</v>
      </c>
      <c r="K32">
        <v>8.7351788235613695E-2</v>
      </c>
      <c r="L32">
        <v>4.3308517277416803E-2</v>
      </c>
      <c r="M32">
        <v>2.0169655699841602</v>
      </c>
      <c r="N32">
        <v>7.1277950696134906E-2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2.26870271101705E-2</v>
      </c>
      <c r="D33">
        <v>8.3482844626609501E-2</v>
      </c>
      <c r="E33">
        <v>0.27175675687192902</v>
      </c>
      <c r="F33">
        <v>0.806665759296191</v>
      </c>
      <c r="G33">
        <v>-1.8319387593869401E-2</v>
      </c>
      <c r="H33">
        <v>9.2712946143539796E-2</v>
      </c>
      <c r="I33">
        <v>-0.19759255158936401</v>
      </c>
      <c r="J33">
        <v>0.85857871112101602</v>
      </c>
      <c r="K33">
        <v>-4.0684072334875802E-2</v>
      </c>
      <c r="L33">
        <v>6.3186286729480498E-2</v>
      </c>
      <c r="M33">
        <v>-0.64387503112908895</v>
      </c>
      <c r="N33">
        <v>0.58964535014357899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0.15871890069102801</v>
      </c>
      <c r="D34">
        <v>0.106067520938864</v>
      </c>
      <c r="E34">
        <v>1.49639493113553</v>
      </c>
      <c r="F34">
        <v>0.37393236470602398</v>
      </c>
      <c r="G34">
        <v>0.241275222665219</v>
      </c>
      <c r="H34">
        <v>0.105547543515034</v>
      </c>
      <c r="I34">
        <v>2.2859387782042702</v>
      </c>
      <c r="J34">
        <v>0.26148880561583299</v>
      </c>
      <c r="K34">
        <v>0.32696330377209998</v>
      </c>
      <c r="L34">
        <v>0.10829076413142701</v>
      </c>
      <c r="M34">
        <v>3.0193092309818801</v>
      </c>
      <c r="N34">
        <v>0.20266538134140299</v>
      </c>
      <c r="AB34" t="str">
        <f>IF(F34&lt;0.01,"***",IF(F34&lt;0.05,"**",IF(F34&lt;0.1,"*","")))</f>
        <v/>
      </c>
      <c r="AC34" t="str">
        <f>IF(J34&lt;0.01,"***",IF(J34&lt;0.05,"**",IF(J34&lt;0.1,"*","")))</f>
        <v/>
      </c>
      <c r="AD34" t="str">
        <f>IF(N34&lt;0.01,"***",IF(N34&lt;0.05,"**",IF(N34&lt;0.1,"*","")))</f>
        <v/>
      </c>
      <c r="AE34" t="str">
        <f>IF(R34&lt;0.01,"***",IF(R34&lt;0.05,"**",IF(R34&lt;0.1,"*","")))</f>
        <v>***</v>
      </c>
      <c r="AF34" t="str">
        <f>IF(V34&lt;0.01,"***",IF(V34&lt;0.05,"**",IF(V34&lt;0.1,"*","")))</f>
        <v>***</v>
      </c>
      <c r="AG34" t="str">
        <f>IF(Z34&lt;0.01,"***",IF(Z34&lt;0.05,"**",IF(Z34&lt;0.1,"*","")))</f>
        <v>***</v>
      </c>
    </row>
    <row r="35" spans="1:33" x14ac:dyDescent="0.25">
      <c r="A35">
        <v>65</v>
      </c>
      <c r="B35" t="s">
        <v>253</v>
      </c>
      <c r="C35">
        <v>-8.4578507936314995E-2</v>
      </c>
      <c r="D35">
        <v>3.84603776418804E-2</v>
      </c>
      <c r="E35">
        <v>-2.19910757829417</v>
      </c>
      <c r="F35">
        <v>0.122926904806491</v>
      </c>
      <c r="G35">
        <v>-4.6732682721688401E-2</v>
      </c>
      <c r="H35">
        <v>4.0379930202781703E-2</v>
      </c>
      <c r="I35">
        <v>-1.15732450469835</v>
      </c>
      <c r="J35">
        <v>0.33815257694339701</v>
      </c>
      <c r="K35">
        <v>-4.8965030131236598E-2</v>
      </c>
      <c r="L35">
        <v>5.9140501637665703E-2</v>
      </c>
      <c r="M35">
        <v>-0.82794411233149801</v>
      </c>
      <c r="N35">
        <v>0.47604269240632902</v>
      </c>
    </row>
    <row r="36" spans="1:33" x14ac:dyDescent="0.25">
      <c r="A36">
        <v>67</v>
      </c>
      <c r="B36" t="s">
        <v>256</v>
      </c>
      <c r="C36">
        <v>4.1001872565127702E-3</v>
      </c>
      <c r="D36">
        <v>2.95662119014991E-2</v>
      </c>
      <c r="E36">
        <v>0.13867813943066801</v>
      </c>
      <c r="F36">
        <v>0.89302574913841903</v>
      </c>
      <c r="G36">
        <v>1.5966679894858199E-2</v>
      </c>
      <c r="H36">
        <v>2.9486557080905501E-2</v>
      </c>
      <c r="I36">
        <v>0.54149013908435295</v>
      </c>
      <c r="J36">
        <v>0.60264010616107799</v>
      </c>
      <c r="K36">
        <v>3.3973958209154902E-3</v>
      </c>
      <c r="L36">
        <v>4.51971151210886E-2</v>
      </c>
      <c r="M36">
        <v>7.5168421962628698E-2</v>
      </c>
      <c r="N36">
        <v>0.94193166165530495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4.3576322908356599E-2</v>
      </c>
      <c r="D37">
        <v>0.14486418112416799</v>
      </c>
      <c r="E37">
        <v>0.30080812641329202</v>
      </c>
      <c r="F37">
        <v>0.77334760606409203</v>
      </c>
      <c r="G37">
        <v>-2.3363781941688901E-2</v>
      </c>
      <c r="H37">
        <v>0.146318639870571</v>
      </c>
      <c r="I37">
        <v>-0.15967741336548599</v>
      </c>
      <c r="J37">
        <v>0.878205528407075</v>
      </c>
      <c r="K37">
        <v>-2.38500999757657E-2</v>
      </c>
      <c r="L37">
        <v>0.145066520574053</v>
      </c>
      <c r="M37">
        <v>-0.164408023859583</v>
      </c>
      <c r="N37">
        <v>0.87463787607124999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3.9124733890042403E-2</v>
      </c>
      <c r="D38">
        <v>4.56949957133597E-2</v>
      </c>
      <c r="E38">
        <v>0.85621484977191198</v>
      </c>
      <c r="F38">
        <v>0.43765270837223302</v>
      </c>
      <c r="G38">
        <v>3.6898819540518803E-2</v>
      </c>
      <c r="H38">
        <v>5.28501656395143E-2</v>
      </c>
      <c r="I38">
        <v>0.69817793556603003</v>
      </c>
      <c r="J38">
        <v>0.52163104725970999</v>
      </c>
      <c r="K38">
        <v>-9.8204055815659594E-2</v>
      </c>
      <c r="L38">
        <v>0.104231396901273</v>
      </c>
      <c r="M38">
        <v>-0.942173459583177</v>
      </c>
      <c r="N38">
        <v>0.40651167978769698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0.36549442502227297</v>
      </c>
      <c r="D39">
        <v>0.27029657577549998</v>
      </c>
      <c r="E39">
        <v>1.3521977626747299</v>
      </c>
      <c r="F39">
        <v>0.40422373010158402</v>
      </c>
      <c r="G39">
        <v>0.50900840904821998</v>
      </c>
      <c r="H39">
        <v>0.19421221016183199</v>
      </c>
      <c r="I39">
        <v>2.6208877836469502</v>
      </c>
      <c r="J39">
        <v>0.230830550536017</v>
      </c>
      <c r="K39">
        <v>0.34846320988530499</v>
      </c>
      <c r="L39">
        <v>0.22742106757211999</v>
      </c>
      <c r="M39">
        <v>1.53223803583984</v>
      </c>
      <c r="N39">
        <v>0.36719398304335998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4.3458599144751101E-2</v>
      </c>
      <c r="D40">
        <v>5.27764183712374E-2</v>
      </c>
      <c r="E40">
        <v>0.82344729873589895</v>
      </c>
      <c r="F40">
        <v>0.426140795539863</v>
      </c>
      <c r="G40">
        <v>4.9972953961785402E-2</v>
      </c>
      <c r="H40">
        <v>6.03491245236914E-2</v>
      </c>
      <c r="I40">
        <v>0.82806427361125101</v>
      </c>
      <c r="J40">
        <v>0.42362177979069299</v>
      </c>
      <c r="K40">
        <v>8.0844817860000598E-2</v>
      </c>
      <c r="L40">
        <v>7.3428818438822194E-2</v>
      </c>
      <c r="M40">
        <v>1.1009957613216499</v>
      </c>
      <c r="N40">
        <v>0.29228099549018999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0.108784979801577</v>
      </c>
      <c r="D41">
        <v>5.3727012086691797E-2</v>
      </c>
      <c r="E41">
        <v>2.0247725599563502</v>
      </c>
      <c r="F41">
        <v>6.6725704031391497E-2</v>
      </c>
      <c r="G41">
        <v>0.117606573269498</v>
      </c>
      <c r="H41">
        <v>6.0569007043723901E-2</v>
      </c>
      <c r="I41">
        <v>1.9416955801273099</v>
      </c>
      <c r="J41">
        <v>7.7056475181862399E-2</v>
      </c>
      <c r="K41">
        <v>0.12860116122499601</v>
      </c>
      <c r="L41">
        <v>6.9331691812583598E-2</v>
      </c>
      <c r="M41">
        <v>1.8548683562003501</v>
      </c>
      <c r="N41">
        <v>8.9428832957020005E-2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0.105938334438393</v>
      </c>
      <c r="D42">
        <v>5.7908556016690302E-2</v>
      </c>
      <c r="E42">
        <v>1.8294072884127901</v>
      </c>
      <c r="F42">
        <v>9.3080079919946795E-2</v>
      </c>
      <c r="G42">
        <v>0.116738576843906</v>
      </c>
      <c r="H42">
        <v>6.4234600683561002E-2</v>
      </c>
      <c r="I42">
        <v>1.81737841601905</v>
      </c>
      <c r="J42">
        <v>9.5005831382290601E-2</v>
      </c>
      <c r="K42">
        <v>0.13353323915455401</v>
      </c>
      <c r="L42">
        <v>7.7087394169682896E-2</v>
      </c>
      <c r="M42">
        <v>1.7322318466314099</v>
      </c>
      <c r="N42">
        <v>0.10967599748647699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0.135637586405919</v>
      </c>
      <c r="D43">
        <v>5.64878562062478E-2</v>
      </c>
      <c r="E43">
        <v>2.4011813426001001</v>
      </c>
      <c r="F43">
        <v>3.4092673207441998E-2</v>
      </c>
      <c r="G43">
        <v>0.14790546807174201</v>
      </c>
      <c r="H43">
        <v>6.5752473156166905E-2</v>
      </c>
      <c r="I43">
        <v>2.2494282111709398</v>
      </c>
      <c r="J43">
        <v>4.4772231579698701E-2</v>
      </c>
      <c r="K43">
        <v>0.15433619928515199</v>
      </c>
      <c r="L43">
        <v>7.1742823120904506E-2</v>
      </c>
      <c r="M43">
        <v>2.1512423483120702</v>
      </c>
      <c r="N43">
        <v>5.3331754918050298E-2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0.13855978331548999</v>
      </c>
      <c r="D44">
        <v>5.4633718071573197E-2</v>
      </c>
      <c r="E44">
        <v>2.5361587716576199</v>
      </c>
      <c r="F44">
        <v>2.63003229312423E-2</v>
      </c>
      <c r="G44">
        <v>0.14956902025204999</v>
      </c>
      <c r="H44">
        <v>6.2447854451112103E-2</v>
      </c>
      <c r="I44">
        <v>2.3951026270909099</v>
      </c>
      <c r="J44">
        <v>3.4024393644461998E-2</v>
      </c>
      <c r="K44">
        <v>0.154873439730003</v>
      </c>
      <c r="L44">
        <v>6.8270299296950596E-2</v>
      </c>
      <c r="M44">
        <v>2.26853318829555</v>
      </c>
      <c r="N44">
        <v>4.2787112355145603E-2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2.0017589935504801E-4</v>
      </c>
      <c r="D45">
        <v>1.2286807741966E-4</v>
      </c>
      <c r="E45">
        <v>1.6291937137694401</v>
      </c>
      <c r="F45">
        <v>0.15940907128314999</v>
      </c>
      <c r="G45">
        <v>2.8451056398435799E-4</v>
      </c>
      <c r="H45">
        <v>1.0553231017346E-4</v>
      </c>
      <c r="I45">
        <v>2.6959569397913898</v>
      </c>
      <c r="J45">
        <v>4.1086575589492302E-2</v>
      </c>
      <c r="K45">
        <v>2.1819806472129401E-4</v>
      </c>
      <c r="L45">
        <v>2.3344748993623101E-4</v>
      </c>
      <c r="M45">
        <v>0.93467727916413801</v>
      </c>
      <c r="N45">
        <v>0.39280703097177599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-4.0476024683267203E-3</v>
      </c>
      <c r="D46">
        <v>5.5387191337914598E-3</v>
      </c>
      <c r="E46">
        <v>-0.73078312341791896</v>
      </c>
      <c r="F46">
        <v>0.47782512677882399</v>
      </c>
      <c r="G46">
        <v>-5.2927510605259498E-3</v>
      </c>
      <c r="H46">
        <v>5.8689327486489001E-3</v>
      </c>
      <c r="I46">
        <v>-0.90182513366581096</v>
      </c>
      <c r="J46">
        <v>0.38347756136563499</v>
      </c>
      <c r="K46">
        <v>-1.8750742795899701E-2</v>
      </c>
      <c r="L46">
        <v>1.0595114296457601E-2</v>
      </c>
      <c r="M46">
        <v>-1.7697537064011499</v>
      </c>
      <c r="N46">
        <v>9.9996273214822198E-2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-5.3725323774950297E-2</v>
      </c>
      <c r="D47">
        <v>1.30945888760787E-2</v>
      </c>
      <c r="E47">
        <v>-4.1028644948980597</v>
      </c>
      <c r="F47">
        <v>1.0353981546897199E-3</v>
      </c>
      <c r="G47">
        <v>-6.1129155357584203E-2</v>
      </c>
      <c r="H47">
        <v>1.39528810011632E-2</v>
      </c>
      <c r="I47">
        <v>-4.3811135028305799</v>
      </c>
      <c r="J47">
        <v>6.0002938667983103E-4</v>
      </c>
      <c r="K47">
        <v>-7.1909929004811399E-2</v>
      </c>
      <c r="L47">
        <v>1.6907903889323499E-2</v>
      </c>
      <c r="M47">
        <v>-4.2530363003907903</v>
      </c>
      <c r="N47">
        <v>7.7011070129857603E-4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1.86548516765688E-3</v>
      </c>
      <c r="D48">
        <v>9.5146962354969097E-3</v>
      </c>
      <c r="E48">
        <v>0.19606355489282201</v>
      </c>
      <c r="F48">
        <v>0.84892536683669595</v>
      </c>
      <c r="G48">
        <v>5.0035435480503599E-4</v>
      </c>
      <c r="H48">
        <v>1.0722904247711801E-2</v>
      </c>
      <c r="I48">
        <v>4.6662204869712398E-2</v>
      </c>
      <c r="J48">
        <v>0.96381650144164299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-6.0004421931492698E-2</v>
      </c>
      <c r="D49">
        <v>2.98566337971687E-2</v>
      </c>
      <c r="E49">
        <v>-2.0097517469361499</v>
      </c>
      <c r="F49">
        <v>6.7069030547027703E-2</v>
      </c>
      <c r="G49">
        <v>-8.1814047048772404E-2</v>
      </c>
      <c r="H49">
        <v>3.9687083275674197E-2</v>
      </c>
      <c r="I49">
        <v>-2.0614779493992099</v>
      </c>
      <c r="J49">
        <v>6.0994144477826598E-2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-1.1352073894826699E-3</v>
      </c>
      <c r="D50">
        <v>8.1405829745636506E-3</v>
      </c>
      <c r="E50">
        <v>-0.139450380031723</v>
      </c>
      <c r="F50">
        <v>0.89184734443537195</v>
      </c>
      <c r="G50">
        <v>1.3695302194271499E-3</v>
      </c>
      <c r="H50">
        <v>9.8322082648156905E-3</v>
      </c>
      <c r="I50">
        <v>0.13929019631612</v>
      </c>
      <c r="J50">
        <v>0.89235229899128798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-4.5351412256742002E-3</v>
      </c>
      <c r="D51">
        <v>7.0666843314170303E-3</v>
      </c>
      <c r="E51">
        <v>-0.64176366354895698</v>
      </c>
      <c r="F51">
        <v>0.53253890321241604</v>
      </c>
      <c r="G51">
        <v>-7.3972810845368596E-3</v>
      </c>
      <c r="H51">
        <v>9.5412347086912905E-3</v>
      </c>
      <c r="I51">
        <v>-0.775295997885739</v>
      </c>
      <c r="J51">
        <v>0.45364120160322202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2.5073837621140901E-2</v>
      </c>
      <c r="D52">
        <v>1.27618495321435E-2</v>
      </c>
      <c r="E52">
        <v>1.9647495104833299</v>
      </c>
      <c r="F52">
        <v>8.88441162771723E-2</v>
      </c>
      <c r="G52">
        <v>3.9511677763799602E-2</v>
      </c>
      <c r="H52">
        <v>1.6106328412724E-2</v>
      </c>
      <c r="I52">
        <v>2.45317720782257</v>
      </c>
      <c r="J52">
        <v>4.2615621907107597E-2</v>
      </c>
      <c r="AB52" t="str">
        <f t="shared" si="0"/>
        <v>*</v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-7.53616357224169E-3</v>
      </c>
      <c r="D53">
        <v>1.0666783016938901E-2</v>
      </c>
      <c r="E53">
        <v>-0.70650762842688397</v>
      </c>
      <c r="F53">
        <v>0.49452466890147001</v>
      </c>
      <c r="G53">
        <v>-6.0386598606615403E-3</v>
      </c>
      <c r="H53">
        <v>1.40649545939407E-2</v>
      </c>
      <c r="I53">
        <v>-0.42934087133584198</v>
      </c>
      <c r="J53">
        <v>0.67580031618931202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1.45136513228236E-2</v>
      </c>
      <c r="D54">
        <v>7.2072193223472599E-3</v>
      </c>
      <c r="E54">
        <v>2.0137657359505501</v>
      </c>
      <c r="F54">
        <v>6.5733182976962901E-2</v>
      </c>
      <c r="G54">
        <v>1.30431038475402E-2</v>
      </c>
      <c r="H54">
        <v>1.04311790105813E-2</v>
      </c>
      <c r="I54">
        <v>1.25039593648133</v>
      </c>
      <c r="J54">
        <v>0.233453258112716</v>
      </c>
      <c r="AB54" t="str">
        <f t="shared" si="0"/>
        <v>*</v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2.14619795050134E-6</v>
      </c>
      <c r="D55">
        <v>5.8240851068832697E-6</v>
      </c>
      <c r="E55">
        <v>0.36850387848296201</v>
      </c>
      <c r="F55">
        <v>0.72022811043077595</v>
      </c>
      <c r="G55">
        <v>5.4127715556836999E-6</v>
      </c>
      <c r="H55">
        <v>7.2340561520711797E-6</v>
      </c>
      <c r="I55">
        <v>0.74823466142628403</v>
      </c>
      <c r="J55">
        <v>0.475446261859863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1.23068130922138E-5</v>
      </c>
      <c r="D56">
        <v>2.91910837535659E-6</v>
      </c>
      <c r="E56">
        <v>4.2159493618356798</v>
      </c>
      <c r="F56">
        <v>9.8049105159254491E-4</v>
      </c>
      <c r="G56">
        <v>1.5803678999495699E-5</v>
      </c>
      <c r="H56">
        <v>3.59962009192803E-6</v>
      </c>
      <c r="I56">
        <v>4.3903741494650301</v>
      </c>
      <c r="J56">
        <v>8.3518040151433299E-4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-0.34572257408081702</v>
      </c>
      <c r="D57">
        <v>0.30853824759048099</v>
      </c>
      <c r="E57">
        <v>-1.1205177211601001</v>
      </c>
      <c r="F57">
        <v>0.31503538955608701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-0.21775060766388299</v>
      </c>
      <c r="D58">
        <v>6.5682860141812599E-2</v>
      </c>
      <c r="E58">
        <v>-3.3151815739105901</v>
      </c>
      <c r="F58">
        <v>6.6337117767323898E-3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-0.61447782158439801</v>
      </c>
      <c r="D59">
        <v>0.13595106973997201</v>
      </c>
      <c r="E59">
        <v>-4.5198454323285802</v>
      </c>
      <c r="F59">
        <v>7.2635360165370104E-4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8.9537819547359399E-2</v>
      </c>
      <c r="D60">
        <v>4.2909052256536601E-2</v>
      </c>
      <c r="E60">
        <v>2.0866883521930801</v>
      </c>
      <c r="F60">
        <v>5.7452007260764999E-2</v>
      </c>
      <c r="AB60" t="str">
        <f t="shared" si="0"/>
        <v>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-0.71574123762500397</v>
      </c>
      <c r="D61">
        <v>0.12366846736677301</v>
      </c>
      <c r="E61">
        <v>-5.7875807217880002</v>
      </c>
      <c r="F61">
        <v>7.5063163973400893E-5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1548-9780-4D37-9CC0-FD18615336BD}">
  <dimension ref="A1:AG66"/>
  <sheetViews>
    <sheetView topLeftCell="X1" workbookViewId="0">
      <selection activeCell="AB1" sqref="AB1:AG1048576"/>
    </sheetView>
  </sheetViews>
  <sheetFormatPr defaultColWidth="11.42578125"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1.3162800640776799</v>
      </c>
      <c r="D2">
        <v>15.294525516434099</v>
      </c>
      <c r="E2">
        <v>8.6062170589295106E-2</v>
      </c>
      <c r="F2">
        <v>0.93302243657501704</v>
      </c>
      <c r="G2">
        <v>-9.1742947527459293</v>
      </c>
      <c r="H2">
        <v>18.980886161085198</v>
      </c>
      <c r="I2">
        <v>-0.48334385838924399</v>
      </c>
      <c r="J2">
        <v>0.641134187743027</v>
      </c>
      <c r="K2">
        <v>12.9099592426402</v>
      </c>
      <c r="L2">
        <v>0.16397591924170299</v>
      </c>
      <c r="M2">
        <v>78.730824027951996</v>
      </c>
      <c r="N2">
        <v>1.43075833843583E-18</v>
      </c>
      <c r="O2">
        <v>13.1007007947792</v>
      </c>
      <c r="P2">
        <v>7.80495638516297E-2</v>
      </c>
      <c r="Q2">
        <v>167.85104423752099</v>
      </c>
      <c r="R2">
        <v>1.1028152242462499E-23</v>
      </c>
      <c r="S2">
        <v>13.6908946679858</v>
      </c>
      <c r="T2">
        <v>7.0156064988100397E-2</v>
      </c>
      <c r="U2">
        <v>195.149124602527</v>
      </c>
      <c r="V2">
        <v>1.0556476618763401E-25</v>
      </c>
      <c r="W2">
        <v>13.8685706275621</v>
      </c>
      <c r="X2">
        <v>8.4939058681319596E-2</v>
      </c>
      <c r="Y2">
        <v>163.276716776379</v>
      </c>
      <c r="Z2">
        <v>7.4967131502556994E-23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3.8112624365184998E-2</v>
      </c>
      <c r="D3">
        <v>9.5445181018139896E-3</v>
      </c>
      <c r="E3">
        <v>3.9931428657400199</v>
      </c>
      <c r="F3">
        <v>1.9750841079099299E-3</v>
      </c>
      <c r="G3">
        <v>4.6552718717751802E-2</v>
      </c>
      <c r="H3">
        <v>1.12000380504926E-2</v>
      </c>
      <c r="I3">
        <v>4.15647862157972</v>
      </c>
      <c r="J3">
        <v>1.4870960963161699E-3</v>
      </c>
      <c r="K3">
        <v>5.2534959408349603E-2</v>
      </c>
      <c r="L3">
        <v>1.33895062954472E-2</v>
      </c>
      <c r="M3">
        <v>3.9235919718872001</v>
      </c>
      <c r="N3">
        <v>2.2276159870879501E-3</v>
      </c>
      <c r="O3">
        <v>5.0016768042072002E-2</v>
      </c>
      <c r="P3">
        <v>1.25723031163984E-2</v>
      </c>
      <c r="Q3">
        <v>3.97832979200395</v>
      </c>
      <c r="R3">
        <v>2.0268817886449999E-3</v>
      </c>
      <c r="S3">
        <v>8.3327844007058796E-2</v>
      </c>
      <c r="T3">
        <v>1.9232413156974E-2</v>
      </c>
      <c r="U3">
        <v>4.3326775130578197</v>
      </c>
      <c r="V3">
        <v>1.0999344035256299E-3</v>
      </c>
      <c r="W3">
        <v>0.14109813174681399</v>
      </c>
      <c r="X3">
        <v>9.9034546253040298E-3</v>
      </c>
      <c r="Y3">
        <v>14.2473648928827</v>
      </c>
      <c r="Z3">
        <v>3.4501139530765798E-9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8.8223310911313295E-5</v>
      </c>
      <c r="D4">
        <v>4.4379815589868099E-5</v>
      </c>
      <c r="E4">
        <v>1.98791522088827</v>
      </c>
      <c r="F4">
        <v>6.5405896814044101E-2</v>
      </c>
      <c r="G4">
        <v>1.7298842150615201E-4</v>
      </c>
      <c r="H4">
        <v>7.5356234689358606E-5</v>
      </c>
      <c r="I4">
        <v>2.29560861445988</v>
      </c>
      <c r="J4">
        <v>3.6579910166702201E-2</v>
      </c>
      <c r="K4">
        <v>2.8630298667632701E-4</v>
      </c>
      <c r="L4">
        <v>1.10792818234236E-4</v>
      </c>
      <c r="M4">
        <v>2.5841294701162898</v>
      </c>
      <c r="N4">
        <v>2.0741183165654702E-2</v>
      </c>
      <c r="O4">
        <v>2.5478267439754199E-4</v>
      </c>
      <c r="P4">
        <v>1.2901640726343099E-4</v>
      </c>
      <c r="Q4">
        <v>1.9748083193582899</v>
      </c>
      <c r="R4">
        <v>6.6918860392429294E-2</v>
      </c>
      <c r="S4">
        <v>1.91632728340791E-3</v>
      </c>
      <c r="T4">
        <v>2.8911155215002301E-4</v>
      </c>
      <c r="U4">
        <v>6.6283317603771001</v>
      </c>
      <c r="V4">
        <v>9.0507134516457197E-6</v>
      </c>
      <c r="AB4" t="str">
        <f t="shared" si="0"/>
        <v>*</v>
      </c>
      <c r="AC4" t="str">
        <f t="shared" si="1"/>
        <v>**</v>
      </c>
      <c r="AD4" t="str">
        <f t="shared" si="2"/>
        <v>**</v>
      </c>
      <c r="AE4" t="str">
        <f t="shared" si="3"/>
        <v>*</v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2.7309745009292102E-2</v>
      </c>
      <c r="D5">
        <v>6.8883727214632201E-3</v>
      </c>
      <c r="E5">
        <v>3.9646148827282102</v>
      </c>
      <c r="F5">
        <v>1.47376070187949E-3</v>
      </c>
      <c r="G5">
        <v>3.1246070735608499E-2</v>
      </c>
      <c r="H5">
        <v>7.3218362437461101E-3</v>
      </c>
      <c r="I5">
        <v>4.2675183786440298</v>
      </c>
      <c r="J5">
        <v>8.2177686918963495E-4</v>
      </c>
      <c r="K5">
        <v>3.1168925691586899E-2</v>
      </c>
      <c r="L5">
        <v>1.0051777507045501E-2</v>
      </c>
      <c r="M5">
        <v>3.10083720712481</v>
      </c>
      <c r="N5">
        <v>8.0104236791093304E-3</v>
      </c>
      <c r="O5">
        <v>2.93773447553408E-2</v>
      </c>
      <c r="P5">
        <v>1.0860983543174401E-2</v>
      </c>
      <c r="Q5">
        <v>2.70485123548531</v>
      </c>
      <c r="R5">
        <v>1.7383104570534401E-2</v>
      </c>
      <c r="S5">
        <v>9.53286685082778E-2</v>
      </c>
      <c r="T5">
        <v>1.6955555695431099E-2</v>
      </c>
      <c r="U5">
        <v>5.6222674278947702</v>
      </c>
      <c r="V5">
        <v>6.8895382974526004E-5</v>
      </c>
      <c r="AB5" t="str">
        <f t="shared" si="0"/>
        <v>***</v>
      </c>
      <c r="AC5" t="str">
        <f t="shared" si="1"/>
        <v>***</v>
      </c>
      <c r="AD5" t="str">
        <f t="shared" si="2"/>
        <v>***</v>
      </c>
      <c r="AE5" t="str">
        <f t="shared" si="3"/>
        <v>**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3.6123721809574197E-2</v>
      </c>
      <c r="D6">
        <v>8.0946226859263497E-3</v>
      </c>
      <c r="E6">
        <v>4.46268136405918</v>
      </c>
      <c r="F6">
        <v>6.0143385789323297E-4</v>
      </c>
      <c r="G6">
        <v>4.1420958721027697E-2</v>
      </c>
      <c r="H6">
        <v>8.5221408960064592E-3</v>
      </c>
      <c r="I6">
        <v>4.8603935591393297</v>
      </c>
      <c r="J6">
        <v>2.8923883638518999E-4</v>
      </c>
      <c r="K6">
        <v>3.7330908528841598E-2</v>
      </c>
      <c r="L6">
        <v>1.13063115588418E-2</v>
      </c>
      <c r="M6">
        <v>3.3017760331969499</v>
      </c>
      <c r="N6">
        <v>5.5535903203948302E-3</v>
      </c>
      <c r="O6">
        <v>3.6389232602537298E-2</v>
      </c>
      <c r="P6">
        <v>1.1394201549295499E-2</v>
      </c>
      <c r="Q6">
        <v>3.19366235932408</v>
      </c>
      <c r="R6">
        <v>6.8503210567404599E-3</v>
      </c>
      <c r="S6">
        <v>0.13115530231459099</v>
      </c>
      <c r="T6">
        <v>2.0402247307512E-2</v>
      </c>
      <c r="U6">
        <v>6.4284733116778003</v>
      </c>
      <c r="V6">
        <v>1.9799321019237802E-5</v>
      </c>
      <c r="AB6" t="str">
        <f t="shared" si="0"/>
        <v>***</v>
      </c>
      <c r="AC6" t="str">
        <f t="shared" si="1"/>
        <v>***</v>
      </c>
      <c r="AD6" t="str">
        <f t="shared" si="2"/>
        <v>***</v>
      </c>
      <c r="AE6" t="str">
        <f t="shared" si="3"/>
        <v>***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1.24721135475974E-2</v>
      </c>
      <c r="D7">
        <v>9.6416471021021997E-3</v>
      </c>
      <c r="E7">
        <v>1.29356669203108</v>
      </c>
      <c r="F7">
        <v>0.21778898356467699</v>
      </c>
      <c r="G7">
        <v>1.71147089249062E-2</v>
      </c>
      <c r="H7">
        <v>9.2132184196501102E-3</v>
      </c>
      <c r="I7">
        <v>1.85762544046537</v>
      </c>
      <c r="J7">
        <v>8.5459624008346599E-2</v>
      </c>
      <c r="K7">
        <v>7.79854855903667E-3</v>
      </c>
      <c r="L7">
        <v>1.04877978002105E-2</v>
      </c>
      <c r="M7">
        <v>0.74358303884159205</v>
      </c>
      <c r="N7">
        <v>0.47004583951608397</v>
      </c>
      <c r="O7">
        <v>9.2760334860694897E-3</v>
      </c>
      <c r="P7">
        <v>1.00196791949532E-2</v>
      </c>
      <c r="Q7">
        <v>0.92578148517387204</v>
      </c>
      <c r="R7">
        <v>0.37101980195052198</v>
      </c>
      <c r="S7">
        <v>8.8832877275004496E-2</v>
      </c>
      <c r="T7">
        <v>1.48966206268169E-2</v>
      </c>
      <c r="U7">
        <v>5.9632905677336998</v>
      </c>
      <c r="V7">
        <v>4.2247991248565601E-5</v>
      </c>
      <c r="AB7" t="str">
        <f t="shared" si="0"/>
        <v/>
      </c>
      <c r="AC7" t="str">
        <f t="shared" si="1"/>
        <v>*</v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-1.3547161695362899E-3</v>
      </c>
      <c r="D8">
        <v>1.4996517355960999E-2</v>
      </c>
      <c r="E8">
        <v>-9.0335385035099705E-2</v>
      </c>
      <c r="F8">
        <v>0.92955353565134902</v>
      </c>
      <c r="G8">
        <v>-1.9776815584524301E-4</v>
      </c>
      <c r="H8">
        <v>1.4962994707715E-2</v>
      </c>
      <c r="I8">
        <v>-1.32171506913167E-2</v>
      </c>
      <c r="J8">
        <v>0.98967801096116903</v>
      </c>
      <c r="K8">
        <v>-1.42900153683862E-2</v>
      </c>
      <c r="L8">
        <v>1.5959633029432901E-2</v>
      </c>
      <c r="M8">
        <v>-0.89538495916743999</v>
      </c>
      <c r="N8">
        <v>0.38869886112591101</v>
      </c>
      <c r="O8">
        <v>-1.04334902505201E-2</v>
      </c>
      <c r="P8">
        <v>1.48290102657441E-2</v>
      </c>
      <c r="Q8">
        <v>-0.70358642037102503</v>
      </c>
      <c r="R8">
        <v>0.49552746012158899</v>
      </c>
      <c r="S8">
        <v>5.4564819860999897E-2</v>
      </c>
      <c r="T8">
        <v>2.3180904429467401E-2</v>
      </c>
      <c r="U8">
        <v>2.35386932494478</v>
      </c>
      <c r="V8">
        <v>3.70694317086665E-2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**</v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0.12569802913244299</v>
      </c>
      <c r="D9">
        <v>1.4981219670889801E-2</v>
      </c>
      <c r="E9">
        <v>8.3903735405928792</v>
      </c>
      <c r="F9">
        <v>2.5911574975227402E-6</v>
      </c>
      <c r="G9">
        <v>0.12230014891756</v>
      </c>
      <c r="H9">
        <v>1.6131261007094E-2</v>
      </c>
      <c r="I9">
        <v>7.5815615942098802</v>
      </c>
      <c r="J9">
        <v>7.2064434303494599E-6</v>
      </c>
      <c r="K9">
        <v>0.109618643660678</v>
      </c>
      <c r="L9">
        <v>1.7884810292469602E-2</v>
      </c>
      <c r="M9">
        <v>6.1291476883505496</v>
      </c>
      <c r="N9">
        <v>5.5082489016160301E-5</v>
      </c>
      <c r="O9">
        <v>0.11280847140467901</v>
      </c>
      <c r="P9">
        <v>1.71192967794573E-2</v>
      </c>
      <c r="Q9">
        <v>6.5895505439245499</v>
      </c>
      <c r="R9">
        <v>2.8351740460877099E-5</v>
      </c>
      <c r="S9">
        <v>0.21848793410273701</v>
      </c>
      <c r="T9">
        <v>2.8483646167098298E-2</v>
      </c>
      <c r="U9">
        <v>7.6706448612998797</v>
      </c>
      <c r="V9">
        <v>6.4964421498862697E-6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0.16871174288365801</v>
      </c>
      <c r="D10">
        <v>1.6764472499994298E-2</v>
      </c>
      <c r="E10">
        <v>10.0636475668241</v>
      </c>
      <c r="F10">
        <v>3.9674094681797102E-7</v>
      </c>
      <c r="G10">
        <v>0.16747707741111201</v>
      </c>
      <c r="H10">
        <v>1.7427776017222899E-2</v>
      </c>
      <c r="I10">
        <v>9.6097790817143398</v>
      </c>
      <c r="J10">
        <v>6.4770981373262704E-7</v>
      </c>
      <c r="K10">
        <v>0.14201934176130299</v>
      </c>
      <c r="L10">
        <v>1.92631180081295E-2</v>
      </c>
      <c r="M10">
        <v>7.3726040457919204</v>
      </c>
      <c r="N10">
        <v>9.6545009436303892E-6</v>
      </c>
      <c r="O10">
        <v>0.139694473837328</v>
      </c>
      <c r="P10">
        <v>1.91767573612305E-2</v>
      </c>
      <c r="Q10">
        <v>7.28457221447393</v>
      </c>
      <c r="R10">
        <v>1.0890856731292701E-5</v>
      </c>
      <c r="S10">
        <v>0.242870031350991</v>
      </c>
      <c r="T10">
        <v>2.653362751587E-2</v>
      </c>
      <c r="U10">
        <v>9.1532916562474504</v>
      </c>
      <c r="V10">
        <v>1.08007739397607E-6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0.13379096963482801</v>
      </c>
      <c r="D11">
        <v>2.67551962795856E-2</v>
      </c>
      <c r="E11">
        <v>5.0005601991008897</v>
      </c>
      <c r="F11">
        <v>2.04056596523299E-4</v>
      </c>
      <c r="G11">
        <v>0.13301046020913601</v>
      </c>
      <c r="H11">
        <v>2.7566255660252899E-2</v>
      </c>
      <c r="I11">
        <v>4.8251188644717002</v>
      </c>
      <c r="J11">
        <v>2.8239306505439701E-4</v>
      </c>
      <c r="K11">
        <v>0.10264120631133999</v>
      </c>
      <c r="L11">
        <v>4.4236754083133503E-2</v>
      </c>
      <c r="M11">
        <v>2.3202698398360702</v>
      </c>
      <c r="N11">
        <v>3.62126283454864E-2</v>
      </c>
      <c r="O11">
        <v>3.1937518638635802E-2</v>
      </c>
      <c r="P11">
        <v>4.0939539135128697E-2</v>
      </c>
      <c r="Q11">
        <v>0.78011426882994395</v>
      </c>
      <c r="R11">
        <v>0.44926144211025698</v>
      </c>
      <c r="S11">
        <v>0.194557803149143</v>
      </c>
      <c r="T11">
        <v>5.7549137354608301E-2</v>
      </c>
      <c r="U11">
        <v>3.3807249264278298</v>
      </c>
      <c r="V11">
        <v>4.9192992167602402E-3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-3.1543957428672401E-2</v>
      </c>
      <c r="D12">
        <v>5.36643979236643E-3</v>
      </c>
      <c r="E12">
        <v>-5.8780045335722502</v>
      </c>
      <c r="F12">
        <v>2.4398299137092601E-5</v>
      </c>
      <c r="G12">
        <v>-4.5759200492099701E-2</v>
      </c>
      <c r="H12">
        <v>7.8797346795622305E-3</v>
      </c>
      <c r="I12">
        <v>-5.8072006676552101</v>
      </c>
      <c r="J12">
        <v>2.8828355455992202E-5</v>
      </c>
      <c r="K12">
        <v>-7.0823177485221406E-2</v>
      </c>
      <c r="L12">
        <v>9.3534769351382597E-3</v>
      </c>
      <c r="M12">
        <v>-7.5718556827952899</v>
      </c>
      <c r="N12">
        <v>1.4108243622776599E-6</v>
      </c>
      <c r="O12">
        <v>-7.1019669271253694E-2</v>
      </c>
      <c r="P12">
        <v>9.3809771113656792E-3</v>
      </c>
      <c r="Q12">
        <v>-7.5706046852207596</v>
      </c>
      <c r="R12">
        <v>1.37926209545105E-6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6.3937906035100495E-2</v>
      </c>
      <c r="D13">
        <v>6.4921365371063298E-3</v>
      </c>
      <c r="E13">
        <v>9.8485153030374892</v>
      </c>
      <c r="F13">
        <v>4.9010963673355299E-8</v>
      </c>
      <c r="G13">
        <v>7.5616085046096501E-2</v>
      </c>
      <c r="H13">
        <v>6.7521601484218704E-3</v>
      </c>
      <c r="I13">
        <v>11.198799107833601</v>
      </c>
      <c r="J13">
        <v>8.3717575756094192E-9</v>
      </c>
      <c r="K13">
        <v>0.103206468201688</v>
      </c>
      <c r="L13">
        <v>1.5292581503800501E-2</v>
      </c>
      <c r="M13">
        <v>6.7487930782673198</v>
      </c>
      <c r="N13">
        <v>5.9171512220082901E-6</v>
      </c>
      <c r="O13">
        <v>0.10070197114252399</v>
      </c>
      <c r="P13">
        <v>1.5652139428392799E-2</v>
      </c>
      <c r="Q13">
        <v>6.4337512199675597</v>
      </c>
      <c r="R13">
        <v>1.03014107609132E-5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3.7921347911933197E-2</v>
      </c>
      <c r="D14">
        <v>6.6921631055723496E-3</v>
      </c>
      <c r="E14">
        <v>5.66653073359155</v>
      </c>
      <c r="F14">
        <v>4.4054629985035502E-5</v>
      </c>
      <c r="G14">
        <v>4.51021392236216E-2</v>
      </c>
      <c r="H14">
        <v>8.2940733056089799E-3</v>
      </c>
      <c r="I14">
        <v>5.4378756446631202</v>
      </c>
      <c r="J14">
        <v>6.7192128394081597E-5</v>
      </c>
      <c r="K14">
        <v>3.2208336748588903E-2</v>
      </c>
      <c r="L14">
        <v>8.6656292539949494E-3</v>
      </c>
      <c r="M14">
        <v>3.71679145328546</v>
      </c>
      <c r="N14">
        <v>2.0477025846374801E-3</v>
      </c>
      <c r="O14">
        <v>2.9679855123493099E-2</v>
      </c>
      <c r="P14">
        <v>1.05511785442284E-2</v>
      </c>
      <c r="Q14">
        <v>2.8129421750453001</v>
      </c>
      <c r="R14">
        <v>1.3228435835707399E-2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-4.3273166151567698E-2</v>
      </c>
      <c r="D15">
        <v>8.4757268305637005E-3</v>
      </c>
      <c r="E15">
        <v>-5.10554044704738</v>
      </c>
      <c r="F15">
        <v>1.1575866416585601E-4</v>
      </c>
      <c r="G15">
        <v>-4.9910161081534198E-2</v>
      </c>
      <c r="H15">
        <v>9.4901916656651396E-3</v>
      </c>
      <c r="I15">
        <v>-5.2591309891143396</v>
      </c>
      <c r="J15">
        <v>8.6385550275548402E-5</v>
      </c>
      <c r="K15">
        <v>-4.0247856649213001E-2</v>
      </c>
      <c r="L15">
        <v>2.2681713137066101E-2</v>
      </c>
      <c r="M15">
        <v>-1.7744628197171199</v>
      </c>
      <c r="N15">
        <v>9.5686120989252901E-2</v>
      </c>
      <c r="O15">
        <v>-4.3737248737559499E-2</v>
      </c>
      <c r="P15">
        <v>2.63472449298775E-2</v>
      </c>
      <c r="Q15">
        <v>-1.6600312045515599</v>
      </c>
      <c r="R15">
        <v>0.11716801842626499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/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-7.0057084622839799E-2</v>
      </c>
      <c r="D16">
        <v>1.3929915686541399E-2</v>
      </c>
      <c r="E16">
        <v>-5.0292540313454097</v>
      </c>
      <c r="F16">
        <v>2.1882484011314499E-4</v>
      </c>
      <c r="G16">
        <v>-9.0679838808487803E-2</v>
      </c>
      <c r="H16">
        <v>1.7211451970352301E-2</v>
      </c>
      <c r="I16">
        <v>-5.2685757694754196</v>
      </c>
      <c r="J16">
        <v>1.4338584668548799E-4</v>
      </c>
      <c r="K16">
        <v>-4.1547044210657601E-2</v>
      </c>
      <c r="L16">
        <v>4.1202745027168697E-2</v>
      </c>
      <c r="M16">
        <v>-1.0083562195494999</v>
      </c>
      <c r="N16">
        <v>0.331555129051813</v>
      </c>
      <c r="O16">
        <v>-3.1167771884643699E-2</v>
      </c>
      <c r="P16">
        <v>4.4845494306537302E-2</v>
      </c>
      <c r="Q16">
        <v>-0.69500341933125398</v>
      </c>
      <c r="R16">
        <v>0.49916916901686698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1.8119942775097E-4</v>
      </c>
      <c r="D17">
        <v>9.3177464144243302E-6</v>
      </c>
      <c r="E17">
        <v>19.446700917988601</v>
      </c>
      <c r="F17">
        <v>2.2023394624496101E-11</v>
      </c>
      <c r="G17">
        <v>1.9943230458331301E-4</v>
      </c>
      <c r="H17">
        <v>1.20987450045093E-5</v>
      </c>
      <c r="I17">
        <v>16.4837183120219</v>
      </c>
      <c r="J17">
        <v>2.5450912425597499E-10</v>
      </c>
      <c r="K17">
        <v>2.5118026670265599E-4</v>
      </c>
      <c r="L17">
        <v>1.7057525846481199E-5</v>
      </c>
      <c r="M17">
        <v>14.725480644924399</v>
      </c>
      <c r="N17">
        <v>1.05793833681466E-9</v>
      </c>
      <c r="O17">
        <v>2.5825423244930701E-4</v>
      </c>
      <c r="P17">
        <v>1.6290896313327E-5</v>
      </c>
      <c r="Q17">
        <v>15.852671791793201</v>
      </c>
      <c r="R17">
        <v>3.50491739642105E-10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-8.4837122397614102E-4</v>
      </c>
      <c r="D18">
        <v>9.1787062944195395E-4</v>
      </c>
      <c r="E18">
        <v>-0.92428191595141596</v>
      </c>
      <c r="F18">
        <v>0.370899477972289</v>
      </c>
      <c r="G18">
        <v>-1.8200271720972001E-3</v>
      </c>
      <c r="H18">
        <v>9.1445544942772604E-4</v>
      </c>
      <c r="I18">
        <v>-1.99028522738444</v>
      </c>
      <c r="J18">
        <v>6.6336893203083599E-2</v>
      </c>
      <c r="K18">
        <v>4.3481749585891896E-3</v>
      </c>
      <c r="L18">
        <v>1.9648529065375499E-3</v>
      </c>
      <c r="M18">
        <v>2.2129773399941199</v>
      </c>
      <c r="N18">
        <v>4.4688940021475998E-2</v>
      </c>
      <c r="O18">
        <v>4.2223783283824303E-3</v>
      </c>
      <c r="P18">
        <v>1.8570450090962601E-3</v>
      </c>
      <c r="Q18">
        <v>2.2737081264590699</v>
      </c>
      <c r="R18">
        <v>4.0800469086039397E-2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1.8663132238509499E-2</v>
      </c>
      <c r="D19">
        <v>1.0010872700875599E-2</v>
      </c>
      <c r="E19">
        <v>1.86428624118626</v>
      </c>
      <c r="F19">
        <v>8.4078361248665301E-2</v>
      </c>
      <c r="G19">
        <v>3.04194456395715E-2</v>
      </c>
      <c r="H19">
        <v>1.08979365178941E-2</v>
      </c>
      <c r="I19">
        <v>2.7913032517324301</v>
      </c>
      <c r="J19">
        <v>1.4529813751108201E-2</v>
      </c>
      <c r="K19">
        <v>5.0509518560722397E-3</v>
      </c>
      <c r="L19">
        <v>2.1372599925515001E-2</v>
      </c>
      <c r="M19">
        <v>0.23632837715931401</v>
      </c>
      <c r="N19">
        <v>0.81668237636556196</v>
      </c>
      <c r="O19">
        <v>4.17427657557268E-3</v>
      </c>
      <c r="P19">
        <v>2.1435750577880799E-2</v>
      </c>
      <c r="Q19">
        <v>0.194734332273863</v>
      </c>
      <c r="R19">
        <v>0.84851163708567801</v>
      </c>
      <c r="AB19" t="str">
        <f t="shared" si="0"/>
        <v>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-3.9875620114682798E-2</v>
      </c>
      <c r="D20">
        <v>1.3381297632414999E-2</v>
      </c>
      <c r="E20">
        <v>-2.9799516616450998</v>
      </c>
      <c r="F20">
        <v>1.4332467583749399E-2</v>
      </c>
      <c r="G20">
        <v>-5.7200743609111503E-2</v>
      </c>
      <c r="H20">
        <v>1.56988817412053E-2</v>
      </c>
      <c r="I20">
        <v>-3.6436189884133601</v>
      </c>
      <c r="J20">
        <v>4.7636810816975902E-3</v>
      </c>
      <c r="K20">
        <v>-3.2124792898675703E-2</v>
      </c>
      <c r="L20">
        <v>3.1142127245513199E-2</v>
      </c>
      <c r="M20">
        <v>-1.03155422381444</v>
      </c>
      <c r="N20">
        <v>0.327507422612758</v>
      </c>
      <c r="O20">
        <v>-3.2805247822203801E-2</v>
      </c>
      <c r="P20">
        <v>3.1769068050392001E-2</v>
      </c>
      <c r="Q20">
        <v>-1.0326159952242899</v>
      </c>
      <c r="R20">
        <v>0.32705209194673102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0.115942086294194</v>
      </c>
      <c r="D21">
        <v>9.7545838640335503E-3</v>
      </c>
      <c r="E21">
        <v>11.8859079905692</v>
      </c>
      <c r="F21">
        <v>1.6597178204601E-8</v>
      </c>
      <c r="G21">
        <v>0.12104615303508701</v>
      </c>
      <c r="H21">
        <v>1.1954414035893601E-2</v>
      </c>
      <c r="I21">
        <v>10.1256450271541</v>
      </c>
      <c r="J21">
        <v>1.16834383102789E-7</v>
      </c>
      <c r="K21">
        <v>0.155340937952926</v>
      </c>
      <c r="L21">
        <v>2.1460881999619399E-2</v>
      </c>
      <c r="M21">
        <v>7.2383296248346598</v>
      </c>
      <c r="N21">
        <v>5.4494353170709E-6</v>
      </c>
      <c r="O21">
        <v>0.15304232044073601</v>
      </c>
      <c r="P21">
        <v>2.2112388243540899E-2</v>
      </c>
      <c r="Q21">
        <v>6.9211122179640601</v>
      </c>
      <c r="R21">
        <v>8.5111410505598805E-6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5.9010314160886798E-2</v>
      </c>
      <c r="D22">
        <v>3.77898127250695E-3</v>
      </c>
      <c r="E22">
        <v>15.615402645734701</v>
      </c>
      <c r="F22">
        <v>1.6756042235988001E-10</v>
      </c>
      <c r="G22">
        <v>6.1577408922877198E-2</v>
      </c>
      <c r="H22">
        <v>4.0591951944167299E-3</v>
      </c>
      <c r="I22">
        <v>15.1698565783618</v>
      </c>
      <c r="J22">
        <v>2.5087134052168002E-10</v>
      </c>
      <c r="K22">
        <v>7.5899224333398199E-2</v>
      </c>
      <c r="L22">
        <v>9.4235158705542905E-3</v>
      </c>
      <c r="M22">
        <v>8.0542363780126802</v>
      </c>
      <c r="N22">
        <v>9.6902752525412001E-7</v>
      </c>
      <c r="O22">
        <v>7.3748057399394898E-2</v>
      </c>
      <c r="P22">
        <v>1.0856574131085499E-2</v>
      </c>
      <c r="Q22">
        <v>6.7929400664462802</v>
      </c>
      <c r="R22">
        <v>6.7832416923212904E-6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-5.2803915512754901E-2</v>
      </c>
      <c r="D23">
        <v>9.4783630788104097E-3</v>
      </c>
      <c r="E23">
        <v>-5.5709952313181601</v>
      </c>
      <c r="F23">
        <v>3.7985174703880502E-5</v>
      </c>
      <c r="G23">
        <v>-4.7256289431624299E-2</v>
      </c>
      <c r="H23">
        <v>1.2579600882093599E-2</v>
      </c>
      <c r="I23">
        <v>-3.7565809817457101</v>
      </c>
      <c r="J23">
        <v>1.6492993429466499E-3</v>
      </c>
      <c r="K23">
        <v>-4.18286094306154E-2</v>
      </c>
      <c r="L23">
        <v>1.67352320129667E-2</v>
      </c>
      <c r="M23">
        <v>-2.4994340919926401</v>
      </c>
      <c r="N23">
        <v>2.33492214547435E-2</v>
      </c>
      <c r="O23">
        <v>-4.1429581798976399E-2</v>
      </c>
      <c r="P23">
        <v>1.7610516965012101E-2</v>
      </c>
      <c r="Q23">
        <v>-2.3525477350430499</v>
      </c>
      <c r="R23">
        <v>3.1321776808040401E-2</v>
      </c>
      <c r="AB23" t="str">
        <f t="shared" si="0"/>
        <v>***</v>
      </c>
      <c r="AC23" t="str">
        <f t="shared" si="1"/>
        <v>***</v>
      </c>
      <c r="AD23" t="str">
        <f t="shared" si="2"/>
        <v>**</v>
      </c>
      <c r="AE23" t="str">
        <f t="shared" si="3"/>
        <v>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1.7705013033935901E-2</v>
      </c>
      <c r="D24">
        <v>1.43746742634941E-2</v>
      </c>
      <c r="E24">
        <v>1.2316809904277</v>
      </c>
      <c r="F24">
        <v>0.239656963548634</v>
      </c>
      <c r="G24">
        <v>2.3126894004653099E-2</v>
      </c>
      <c r="H24">
        <v>1.4164672175905099E-2</v>
      </c>
      <c r="I24">
        <v>1.63271650183287</v>
      </c>
      <c r="J24">
        <v>0.12627425797043501</v>
      </c>
      <c r="K24">
        <v>3.2939164249270202E-2</v>
      </c>
      <c r="L24">
        <v>1.77231924227274E-2</v>
      </c>
      <c r="M24">
        <v>1.8585344820287899</v>
      </c>
      <c r="N24">
        <v>8.5711312067860604E-2</v>
      </c>
      <c r="AB24" t="str">
        <f t="shared" si="0"/>
        <v/>
      </c>
      <c r="AC24" t="str">
        <f t="shared" si="1"/>
        <v/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-4.8363747534512301E-2</v>
      </c>
      <c r="D25">
        <v>2.2668240711458499E-2</v>
      </c>
      <c r="E25">
        <v>-2.1335465839686898</v>
      </c>
      <c r="F25">
        <v>9.8273960507132593E-2</v>
      </c>
      <c r="G25">
        <v>-4.87838403215047E-2</v>
      </c>
      <c r="H25">
        <v>2.6678605327800899E-2</v>
      </c>
      <c r="I25">
        <v>-1.8285753592474601</v>
      </c>
      <c r="J25">
        <v>0.139830573968411</v>
      </c>
      <c r="K25">
        <v>-7.34319700402183E-2</v>
      </c>
      <c r="L25">
        <v>3.2243137926380699E-2</v>
      </c>
      <c r="M25">
        <v>-2.27744490030351</v>
      </c>
      <c r="N25">
        <v>8.3487461483362196E-2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</row>
    <row r="27" spans="1:33" x14ac:dyDescent="0.25">
      <c r="A27">
        <v>49</v>
      </c>
    </row>
    <row r="28" spans="1:33" x14ac:dyDescent="0.25">
      <c r="A28">
        <v>51</v>
      </c>
    </row>
    <row r="29" spans="1:33" x14ac:dyDescent="0.25">
      <c r="A29">
        <v>53</v>
      </c>
    </row>
    <row r="30" spans="1:33" x14ac:dyDescent="0.25">
      <c r="A30">
        <v>55</v>
      </c>
      <c r="B30" t="s">
        <v>29</v>
      </c>
      <c r="C30">
        <v>-2.23175287061931E-2</v>
      </c>
      <c r="D30">
        <v>1.6922999296747999E-2</v>
      </c>
      <c r="E30">
        <v>-1.3187691091189599</v>
      </c>
      <c r="F30">
        <v>0.20643079628653099</v>
      </c>
      <c r="G30">
        <v>-3.8840945194711797E-2</v>
      </c>
      <c r="H30">
        <v>2.2218169154017201E-2</v>
      </c>
      <c r="I30">
        <v>-1.7481613775403799</v>
      </c>
      <c r="J30">
        <v>0.10023733916746599</v>
      </c>
      <c r="K30">
        <v>-4.0193705168779598E-2</v>
      </c>
      <c r="L30">
        <v>2.4499430054874798E-2</v>
      </c>
      <c r="M30">
        <v>-1.64059755997393</v>
      </c>
      <c r="N30">
        <v>0.121062291730333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</row>
    <row r="32" spans="1:33" x14ac:dyDescent="0.25">
      <c r="A32">
        <v>59</v>
      </c>
      <c r="B32" t="s">
        <v>28</v>
      </c>
      <c r="C32">
        <v>7.9152224568252605E-2</v>
      </c>
      <c r="D32">
        <v>1.67665442370032E-2</v>
      </c>
      <c r="E32">
        <v>4.7208430938061801</v>
      </c>
      <c r="F32">
        <v>5.2920652915380796E-4</v>
      </c>
      <c r="G32">
        <v>9.0969792459477894E-2</v>
      </c>
      <c r="H32">
        <v>2.0100451898141799E-2</v>
      </c>
      <c r="I32">
        <v>4.52575857102436</v>
      </c>
      <c r="J32">
        <v>7.3751157198238403E-4</v>
      </c>
      <c r="K32">
        <v>7.7815201829190703E-2</v>
      </c>
      <c r="L32">
        <v>3.8666236192457397E-2</v>
      </c>
      <c r="M32">
        <v>2.01248452116914</v>
      </c>
      <c r="N32">
        <v>6.8379940010502696E-2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2.11281633018039E-2</v>
      </c>
      <c r="D33">
        <v>8.5681200938174301E-2</v>
      </c>
      <c r="E33">
        <v>0.246590419724036</v>
      </c>
      <c r="F33">
        <v>0.82404267497241401</v>
      </c>
      <c r="G33">
        <v>-2.01685572900367E-2</v>
      </c>
      <c r="H33">
        <v>9.5607435356770201E-2</v>
      </c>
      <c r="I33">
        <v>-0.21095176556902101</v>
      </c>
      <c r="J33">
        <v>0.84920430081419596</v>
      </c>
      <c r="K33">
        <v>-5.2278381870836103E-2</v>
      </c>
      <c r="L33">
        <v>6.1441445972022501E-2</v>
      </c>
      <c r="M33">
        <v>-0.85086509674009203</v>
      </c>
      <c r="N33">
        <v>0.48930398757266103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0.15029080136542999</v>
      </c>
      <c r="D34">
        <v>0.10361457794790099</v>
      </c>
      <c r="E34">
        <v>1.45047930843282</v>
      </c>
      <c r="F34">
        <v>0.38302119280428099</v>
      </c>
      <c r="G34">
        <v>0.232401174482052</v>
      </c>
      <c r="H34">
        <v>0.10319513375155499</v>
      </c>
      <c r="I34">
        <v>2.2520555575959902</v>
      </c>
      <c r="J34">
        <v>0.26485579305732598</v>
      </c>
      <c r="K34">
        <v>0.31132418520963201</v>
      </c>
      <c r="L34">
        <v>0.105105974548816</v>
      </c>
      <c r="M34">
        <v>2.9620027457624598</v>
      </c>
      <c r="N34">
        <v>0.206200198867794</v>
      </c>
      <c r="AB34" t="str">
        <f>IF(F34&lt;0.01,"***",IF(F34&lt;0.05,"**",IF(F34&lt;0.1,"*","")))</f>
        <v/>
      </c>
      <c r="AC34" t="str">
        <f>IF(J34&lt;0.01,"***",IF(J34&lt;0.05,"**",IF(J34&lt;0.1,"*","")))</f>
        <v/>
      </c>
      <c r="AD34" t="str">
        <f>IF(N34&lt;0.01,"***",IF(N34&lt;0.05,"**",IF(N34&lt;0.1,"*","")))</f>
        <v/>
      </c>
      <c r="AE34" t="str">
        <f>IF(R34&lt;0.01,"***",IF(R34&lt;0.05,"**",IF(R34&lt;0.1,"*","")))</f>
        <v>***</v>
      </c>
      <c r="AF34" t="str">
        <f>IF(V34&lt;0.01,"***",IF(V34&lt;0.05,"**",IF(V34&lt;0.1,"*","")))</f>
        <v>***</v>
      </c>
      <c r="AG34" t="str">
        <f>IF(Z34&lt;0.01,"***",IF(Z34&lt;0.05,"**",IF(Z34&lt;0.1,"*","")))</f>
        <v>***</v>
      </c>
    </row>
    <row r="35" spans="1:33" x14ac:dyDescent="0.25">
      <c r="A35">
        <v>65</v>
      </c>
      <c r="B35" t="s">
        <v>253</v>
      </c>
      <c r="C35">
        <v>-8.2271952464834194E-2</v>
      </c>
      <c r="D35">
        <v>4.1418933113930398E-2</v>
      </c>
      <c r="E35">
        <v>-1.98633683389502</v>
      </c>
      <c r="F35">
        <v>0.14368647033995299</v>
      </c>
      <c r="G35">
        <v>-4.39631551624554E-2</v>
      </c>
      <c r="H35">
        <v>4.31591082091249E-2</v>
      </c>
      <c r="I35">
        <v>-1.0186298324199501</v>
      </c>
      <c r="J35">
        <v>0.38583612939177497</v>
      </c>
      <c r="K35">
        <v>-5.3447106287775797E-2</v>
      </c>
      <c r="L35">
        <v>5.9319822392296002E-2</v>
      </c>
      <c r="M35">
        <v>-0.90099909494532004</v>
      </c>
      <c r="N35">
        <v>0.438312964753379</v>
      </c>
    </row>
    <row r="36" spans="1:33" x14ac:dyDescent="0.25">
      <c r="A36">
        <v>67</v>
      </c>
      <c r="B36" t="s">
        <v>256</v>
      </c>
      <c r="C36">
        <v>4.0227284116927699E-3</v>
      </c>
      <c r="D36">
        <v>2.9576714368389899E-2</v>
      </c>
      <c r="E36">
        <v>0.136009982771854</v>
      </c>
      <c r="F36">
        <v>0.89497892912407995</v>
      </c>
      <c r="G36">
        <v>1.21206701699616E-2</v>
      </c>
      <c r="H36">
        <v>2.87256744297433E-2</v>
      </c>
      <c r="I36">
        <v>0.42194553863673701</v>
      </c>
      <c r="J36">
        <v>0.68370613375262201</v>
      </c>
      <c r="K36">
        <v>2.3706543168990602E-3</v>
      </c>
      <c r="L36">
        <v>4.6449798895201899E-2</v>
      </c>
      <c r="M36">
        <v>5.1036912393261899E-2</v>
      </c>
      <c r="N36">
        <v>0.96051847527284295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4.1870588168880202E-2</v>
      </c>
      <c r="D37">
        <v>0.143846602818202</v>
      </c>
      <c r="E37">
        <v>0.29107804667307702</v>
      </c>
      <c r="F37">
        <v>0.78042910836667501</v>
      </c>
      <c r="G37">
        <v>-2.5824860435234898E-2</v>
      </c>
      <c r="H37">
        <v>0.14546847177588701</v>
      </c>
      <c r="I37">
        <v>-0.17752891825949399</v>
      </c>
      <c r="J37">
        <v>0.86474163192605602</v>
      </c>
      <c r="K37">
        <v>-3.4807012240521198E-2</v>
      </c>
      <c r="L37">
        <v>0.14379561175691399</v>
      </c>
      <c r="M37">
        <v>-0.24205893222501301</v>
      </c>
      <c r="N37">
        <v>0.81653562832585802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4.1420190295390902E-2</v>
      </c>
      <c r="D38">
        <v>4.5410586540462997E-2</v>
      </c>
      <c r="E38">
        <v>0.91212630029527497</v>
      </c>
      <c r="F38">
        <v>0.41130914932165902</v>
      </c>
      <c r="G38">
        <v>3.8312003222480497E-2</v>
      </c>
      <c r="H38">
        <v>5.1000854096701201E-2</v>
      </c>
      <c r="I38">
        <v>0.75120316906533102</v>
      </c>
      <c r="J38">
        <v>0.49276797946204898</v>
      </c>
      <c r="K38">
        <v>-9.2557085066214406E-2</v>
      </c>
      <c r="L38">
        <v>0.103944939089857</v>
      </c>
      <c r="M38">
        <v>-0.89044340086824503</v>
      </c>
      <c r="N38">
        <v>0.43118507165298497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0.37023313436393601</v>
      </c>
      <c r="D39">
        <v>0.27608102855206101</v>
      </c>
      <c r="E39">
        <v>1.3410306977834201</v>
      </c>
      <c r="F39">
        <v>0.406644652960931</v>
      </c>
      <c r="G39">
        <v>0.51449579160529701</v>
      </c>
      <c r="H39">
        <v>0.20152887192976601</v>
      </c>
      <c r="I39">
        <v>2.55296318923773</v>
      </c>
      <c r="J39">
        <v>0.23634715109905599</v>
      </c>
      <c r="K39">
        <v>0.35915185657019799</v>
      </c>
      <c r="L39">
        <v>0.239662799101724</v>
      </c>
      <c r="M39">
        <v>1.4985715677039999</v>
      </c>
      <c r="N39">
        <v>0.37363247158937601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4.2805794450385799E-2</v>
      </c>
      <c r="D40">
        <v>5.0906269357804998E-2</v>
      </c>
      <c r="E40">
        <v>0.84087470935095698</v>
      </c>
      <c r="F40">
        <v>0.41610610974720802</v>
      </c>
      <c r="G40">
        <v>4.3795256215770399E-2</v>
      </c>
      <c r="H40">
        <v>5.4479334684759399E-2</v>
      </c>
      <c r="I40">
        <v>0.80388750099810102</v>
      </c>
      <c r="J40">
        <v>0.436384434036866</v>
      </c>
      <c r="K40">
        <v>7.7050841760313293E-2</v>
      </c>
      <c r="L40">
        <v>6.7764693368778398E-2</v>
      </c>
      <c r="M40">
        <v>1.13703520122196</v>
      </c>
      <c r="N40">
        <v>0.27673661488298401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0.103102217966687</v>
      </c>
      <c r="D41">
        <v>5.2149407010146399E-2</v>
      </c>
      <c r="E41">
        <v>1.9770544648116</v>
      </c>
      <c r="F41">
        <v>7.1399445375597698E-2</v>
      </c>
      <c r="G41">
        <v>0.10828583087657299</v>
      </c>
      <c r="H41">
        <v>5.6072678004155101E-2</v>
      </c>
      <c r="I41">
        <v>1.93116923840428</v>
      </c>
      <c r="J41">
        <v>7.7363121124810294E-2</v>
      </c>
      <c r="K41">
        <v>0.117329949137225</v>
      </c>
      <c r="L41">
        <v>6.5446295799090198E-2</v>
      </c>
      <c r="M41">
        <v>1.79276684348049</v>
      </c>
      <c r="N41">
        <v>9.8193795289765504E-2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9.9221253330059905E-2</v>
      </c>
      <c r="D42">
        <v>5.4904909149992E-2</v>
      </c>
      <c r="E42">
        <v>1.8071472089864</v>
      </c>
      <c r="F42">
        <v>9.5555918190361799E-2</v>
      </c>
      <c r="G42">
        <v>0.10663272061703399</v>
      </c>
      <c r="H42">
        <v>5.8289230608193701E-2</v>
      </c>
      <c r="I42">
        <v>1.8293725874303199</v>
      </c>
      <c r="J42">
        <v>9.1990388477640003E-2</v>
      </c>
      <c r="K42">
        <v>0.119511929607014</v>
      </c>
      <c r="L42">
        <v>7.0710781667953998E-2</v>
      </c>
      <c r="M42">
        <v>1.6901514420844901</v>
      </c>
      <c r="N42">
        <v>0.116506228447379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0.12877493940242701</v>
      </c>
      <c r="D43">
        <v>5.4433299083745397E-2</v>
      </c>
      <c r="E43">
        <v>2.3657382809795799</v>
      </c>
      <c r="F43">
        <v>3.5475257156383402E-2</v>
      </c>
      <c r="G43">
        <v>0.13774185253663901</v>
      </c>
      <c r="H43">
        <v>6.0407308625264201E-2</v>
      </c>
      <c r="I43">
        <v>2.2802183323729701</v>
      </c>
      <c r="J43">
        <v>4.1462695434906202E-2</v>
      </c>
      <c r="K43">
        <v>0.141666817017259</v>
      </c>
      <c r="L43">
        <v>6.7093794322636402E-2</v>
      </c>
      <c r="M43">
        <v>2.1114742197470702</v>
      </c>
      <c r="N43">
        <v>5.61917499619504E-2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0.13337707173685301</v>
      </c>
      <c r="D44">
        <v>5.3011540756145399E-2</v>
      </c>
      <c r="E44">
        <v>2.5160006639005501</v>
      </c>
      <c r="F44">
        <v>2.6593259813775399E-2</v>
      </c>
      <c r="G44">
        <v>0.14083325906246799</v>
      </c>
      <c r="H44">
        <v>5.7774861761125902E-2</v>
      </c>
      <c r="I44">
        <v>2.43762174013938</v>
      </c>
      <c r="J44">
        <v>3.0751955378618401E-2</v>
      </c>
      <c r="K44">
        <v>0.143819711434479</v>
      </c>
      <c r="L44">
        <v>6.3416736129964194E-2</v>
      </c>
      <c r="M44">
        <v>2.2678510470759501</v>
      </c>
      <c r="N44">
        <v>4.20032761322943E-2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2.0369523885382899E-4</v>
      </c>
      <c r="D45">
        <v>1.2207042361554599E-4</v>
      </c>
      <c r="E45">
        <v>1.6686698777695399</v>
      </c>
      <c r="F45">
        <v>0.149597482529368</v>
      </c>
      <c r="G45">
        <v>2.8606957012919799E-4</v>
      </c>
      <c r="H45">
        <v>1.06587361493801E-4</v>
      </c>
      <c r="I45">
        <v>2.6838976602853299</v>
      </c>
      <c r="J45">
        <v>4.02373174849451E-2</v>
      </c>
      <c r="K45">
        <v>2.1425511153460699E-4</v>
      </c>
      <c r="L45">
        <v>2.40363055637693E-4</v>
      </c>
      <c r="M45">
        <v>0.89138121066974696</v>
      </c>
      <c r="N45">
        <v>0.411990343041089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-5.3797691492445997E-3</v>
      </c>
      <c r="D46">
        <v>5.7722123840199899E-3</v>
      </c>
      <c r="E46">
        <v>-0.93201164325452801</v>
      </c>
      <c r="F46">
        <v>0.36744985446107598</v>
      </c>
      <c r="G46">
        <v>-6.1236574078639399E-3</v>
      </c>
      <c r="H46">
        <v>5.9280878150133696E-3</v>
      </c>
      <c r="I46">
        <v>-1.0329903333002699</v>
      </c>
      <c r="J46">
        <v>0.31947099602595203</v>
      </c>
      <c r="K46">
        <v>-1.7749979927439302E-2</v>
      </c>
      <c r="L46">
        <v>1.0039568691513101E-2</v>
      </c>
      <c r="M46">
        <v>-1.7680022392241099</v>
      </c>
      <c r="N46">
        <v>9.91892882721402E-2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-5.2834994607133E-2</v>
      </c>
      <c r="D47">
        <v>1.29255968034765E-2</v>
      </c>
      <c r="E47">
        <v>-4.08762515266781</v>
      </c>
      <c r="F47">
        <v>1.06552184258939E-3</v>
      </c>
      <c r="G47">
        <v>-6.0779547416704903E-2</v>
      </c>
      <c r="H47">
        <v>1.37357313867999E-2</v>
      </c>
      <c r="I47">
        <v>-4.4249225399904502</v>
      </c>
      <c r="J47">
        <v>5.5007066282925096E-4</v>
      </c>
      <c r="K47">
        <v>-7.0221226670818607E-2</v>
      </c>
      <c r="L47">
        <v>1.6856180268468302E-2</v>
      </c>
      <c r="M47">
        <v>-4.1659038733809002</v>
      </c>
      <c r="N47">
        <v>9.12485521462635E-4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1.4053768523291201E-3</v>
      </c>
      <c r="D48">
        <v>9.4160145190482301E-3</v>
      </c>
      <c r="E48">
        <v>0.149253896060387</v>
      </c>
      <c r="F48">
        <v>0.88469194034019005</v>
      </c>
      <c r="G48">
        <v>1.4785215360052501E-4</v>
      </c>
      <c r="H48">
        <v>1.0668268774546999E-2</v>
      </c>
      <c r="I48">
        <v>1.3859057802638099E-2</v>
      </c>
      <c r="J48">
        <v>0.98925157793158303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-6.0576264164938699E-2</v>
      </c>
      <c r="D49">
        <v>3.07463621637734E-2</v>
      </c>
      <c r="E49">
        <v>-1.9701928911873701</v>
      </c>
      <c r="F49">
        <v>7.1032888371396596E-2</v>
      </c>
      <c r="G49">
        <v>-8.4006571668407803E-2</v>
      </c>
      <c r="H49">
        <v>4.0043606543147398E-2</v>
      </c>
      <c r="I49">
        <v>-2.09787726232625</v>
      </c>
      <c r="J49">
        <v>5.63602778882316E-2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-9.5836725804525997E-4</v>
      </c>
      <c r="D50">
        <v>8.0127761077913393E-3</v>
      </c>
      <c r="E50">
        <v>-0.119604896624202</v>
      </c>
      <c r="F50">
        <v>0.90714531502444196</v>
      </c>
      <c r="G50">
        <v>1.9056015813666901E-3</v>
      </c>
      <c r="H50">
        <v>9.6732081838737504E-3</v>
      </c>
      <c r="I50">
        <v>0.19699788789240799</v>
      </c>
      <c r="J50">
        <v>0.84834053660736497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-4.4232066620004699E-3</v>
      </c>
      <c r="D51">
        <v>6.9332924042637299E-3</v>
      </c>
      <c r="E51">
        <v>-0.63796626538934897</v>
      </c>
      <c r="F51">
        <v>0.53496010738237398</v>
      </c>
      <c r="G51">
        <v>-7.1922404361572899E-3</v>
      </c>
      <c r="H51">
        <v>9.3917860667081295E-3</v>
      </c>
      <c r="I51">
        <v>-0.76580113570221098</v>
      </c>
      <c r="J51">
        <v>0.45897742561712201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2.4579949140402398E-2</v>
      </c>
      <c r="D52">
        <v>1.25270165082815E-2</v>
      </c>
      <c r="E52">
        <v>1.9621550849041201</v>
      </c>
      <c r="F52">
        <v>8.7012970427747194E-2</v>
      </c>
      <c r="G52">
        <v>3.8454288014358899E-2</v>
      </c>
      <c r="H52">
        <v>1.5461018358087299E-2</v>
      </c>
      <c r="I52">
        <v>2.4871769196395999</v>
      </c>
      <c r="J52">
        <v>3.8840706568348399E-2</v>
      </c>
      <c r="AB52" t="str">
        <f t="shared" si="0"/>
        <v>*</v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-7.9085403598699207E-3</v>
      </c>
      <c r="D53">
        <v>1.09276686854332E-2</v>
      </c>
      <c r="E53">
        <v>-0.72371706971791605</v>
      </c>
      <c r="F53">
        <v>0.484237445346898</v>
      </c>
      <c r="G53">
        <v>-5.9867069288491101E-3</v>
      </c>
      <c r="H53">
        <v>1.4478538947372801E-2</v>
      </c>
      <c r="I53">
        <v>-0.413488332670156</v>
      </c>
      <c r="J53">
        <v>0.686986505234916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1.4777395611418101E-2</v>
      </c>
      <c r="D54">
        <v>7.4868284272607598E-3</v>
      </c>
      <c r="E54">
        <v>1.9737857966146499</v>
      </c>
      <c r="F54">
        <v>7.0463696148815397E-2</v>
      </c>
      <c r="G54">
        <v>1.3470317325081801E-2</v>
      </c>
      <c r="H54">
        <v>1.0703240602095701E-2</v>
      </c>
      <c r="I54">
        <v>1.2585270037230001</v>
      </c>
      <c r="J54">
        <v>0.23047492445516801</v>
      </c>
      <c r="AB54" t="str">
        <f t="shared" si="0"/>
        <v>*</v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2.19604515501477E-6</v>
      </c>
      <c r="D55">
        <v>5.8248496560780103E-6</v>
      </c>
      <c r="E55">
        <v>0.37701319084232199</v>
      </c>
      <c r="F55">
        <v>0.71403396214314496</v>
      </c>
      <c r="G55">
        <v>5.4259341104960804E-6</v>
      </c>
      <c r="H55">
        <v>7.2317539580699302E-6</v>
      </c>
      <c r="I55">
        <v>0.75029296377558097</v>
      </c>
      <c r="J55">
        <v>0.47418911640074002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1.22359890286726E-5</v>
      </c>
      <c r="D56">
        <v>2.8863112845226698E-6</v>
      </c>
      <c r="E56">
        <v>4.2393171846314397</v>
      </c>
      <c r="F56">
        <v>9.47609810249386E-4</v>
      </c>
      <c r="G56">
        <v>1.5679039866168099E-5</v>
      </c>
      <c r="H56">
        <v>3.56646145961733E-6</v>
      </c>
      <c r="I56">
        <v>4.3962454224446796</v>
      </c>
      <c r="J56">
        <v>8.4715140757628705E-4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-0.31797850601556499</v>
      </c>
      <c r="D57">
        <v>0.29841501817310601</v>
      </c>
      <c r="E57">
        <v>-1.06555798686751</v>
      </c>
      <c r="F57">
        <v>0.33443819450582501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-0.223803199175344</v>
      </c>
      <c r="D58">
        <v>6.5835956458902598E-2</v>
      </c>
      <c r="E58">
        <v>-3.3994068167757301</v>
      </c>
      <c r="F58">
        <v>5.5760476537010202E-3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-0.61812197940660496</v>
      </c>
      <c r="D59">
        <v>0.133127911815422</v>
      </c>
      <c r="E59">
        <v>-4.6430682414940296</v>
      </c>
      <c r="F59">
        <v>5.2510266686171402E-4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9.4732840044873395E-2</v>
      </c>
      <c r="D60">
        <v>4.2459424278245103E-2</v>
      </c>
      <c r="E60">
        <v>2.2311381196332301</v>
      </c>
      <c r="F60">
        <v>4.3240225734157901E-2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-0.70390659613154705</v>
      </c>
      <c r="D61">
        <v>0.122537178825807</v>
      </c>
      <c r="E61">
        <v>-5.7444328560247504</v>
      </c>
      <c r="F61">
        <v>7.4632250796971501E-5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19E9A-391A-4ACF-A2F4-76559AB307B8}">
  <dimension ref="A1:AG66"/>
  <sheetViews>
    <sheetView topLeftCell="X1" workbookViewId="0">
      <selection activeCell="AJ22" sqref="AJ22"/>
    </sheetView>
  </sheetViews>
  <sheetFormatPr defaultColWidth="11.42578125" defaultRowHeight="15" x14ac:dyDescent="0.25"/>
  <sheetData>
    <row r="1" spans="1:33" x14ac:dyDescent="0.25">
      <c r="B1" t="s">
        <v>298</v>
      </c>
      <c r="C1" t="s">
        <v>299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  <c r="M1" t="s">
        <v>309</v>
      </c>
      <c r="N1" t="s">
        <v>310</v>
      </c>
      <c r="O1" t="s">
        <v>311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321</v>
      </c>
      <c r="Z1" t="s">
        <v>322</v>
      </c>
    </row>
    <row r="2" spans="1:33" x14ac:dyDescent="0.25">
      <c r="A2">
        <v>119</v>
      </c>
      <c r="B2" t="s">
        <v>297</v>
      </c>
      <c r="C2">
        <v>0.53447624535753102</v>
      </c>
      <c r="D2">
        <v>15.549695021994699</v>
      </c>
      <c r="E2">
        <v>3.4372136855515503E-2</v>
      </c>
      <c r="F2">
        <v>0.97321629246445995</v>
      </c>
      <c r="G2">
        <v>-9.9570238592633604</v>
      </c>
      <c r="H2">
        <v>19.292458165447702</v>
      </c>
      <c r="I2">
        <v>-0.51610965144380305</v>
      </c>
      <c r="J2">
        <v>0.61893693538096695</v>
      </c>
      <c r="K2">
        <v>12.870608810346001</v>
      </c>
      <c r="L2">
        <v>0.18581945606879899</v>
      </c>
      <c r="M2">
        <v>69.264053843644504</v>
      </c>
      <c r="N2">
        <v>6.8475638819608201E-17</v>
      </c>
      <c r="O2">
        <v>13.086032967739699</v>
      </c>
      <c r="P2">
        <v>8.1470180134450204E-2</v>
      </c>
      <c r="Q2">
        <v>160.623591922147</v>
      </c>
      <c r="R2">
        <v>1.26900798188442E-22</v>
      </c>
      <c r="S2">
        <v>13.680926301736401</v>
      </c>
      <c r="T2">
        <v>7.5168839811232402E-2</v>
      </c>
      <c r="U2">
        <v>182.002626834371</v>
      </c>
      <c r="V2">
        <v>6.9018939385383902E-23</v>
      </c>
      <c r="W2">
        <v>13.8489960397792</v>
      </c>
      <c r="X2">
        <v>8.8446375743080993E-2</v>
      </c>
      <c r="Y2">
        <v>156.58070693600601</v>
      </c>
      <c r="Z2">
        <v>5.2767508971531197E-21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3.56090642291087E-2</v>
      </c>
      <c r="D3">
        <v>1.01427039825108E-2</v>
      </c>
      <c r="E3">
        <v>3.5108058255974002</v>
      </c>
      <c r="F3">
        <v>4.6449505470305798E-3</v>
      </c>
      <c r="G3">
        <v>4.4349862939812898E-2</v>
      </c>
      <c r="H3">
        <v>1.1322253833969301E-2</v>
      </c>
      <c r="I3">
        <v>3.9170525224185901</v>
      </c>
      <c r="J3">
        <v>2.2603534892350098E-3</v>
      </c>
      <c r="K3">
        <v>5.5395931919966099E-2</v>
      </c>
      <c r="L3">
        <v>1.5727503364438102E-2</v>
      </c>
      <c r="M3">
        <v>3.5222330357419098</v>
      </c>
      <c r="N3">
        <v>4.5458319177656501E-3</v>
      </c>
      <c r="O3">
        <v>5.4372450218027203E-2</v>
      </c>
      <c r="P3">
        <v>1.46331953708517E-2</v>
      </c>
      <c r="Q3">
        <v>3.7156922216956998</v>
      </c>
      <c r="R3">
        <v>3.2254041666698002E-3</v>
      </c>
      <c r="S3">
        <v>8.9966212972284701E-2</v>
      </c>
      <c r="T3">
        <v>2.04234238325748E-2</v>
      </c>
      <c r="U3">
        <v>4.4050504807519602</v>
      </c>
      <c r="V3">
        <v>9.7542185540249696E-4</v>
      </c>
      <c r="W3">
        <v>0.164624209610582</v>
      </c>
      <c r="X3">
        <v>1.6719112385710999E-2</v>
      </c>
      <c r="Y3">
        <v>9.8464682701264401</v>
      </c>
      <c r="Z3">
        <v>1.73352152190285E-7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1.0950843871761901E-4</v>
      </c>
      <c r="D4">
        <v>4.6510594218296998E-5</v>
      </c>
      <c r="E4">
        <v>2.3544837591977799</v>
      </c>
      <c r="F4">
        <v>3.3286470238666002E-2</v>
      </c>
      <c r="G4">
        <v>1.9037465633777001E-4</v>
      </c>
      <c r="H4">
        <v>7.6944041597649398E-5</v>
      </c>
      <c r="I4">
        <v>2.47419621305135</v>
      </c>
      <c r="J4">
        <v>2.64649144343586E-2</v>
      </c>
      <c r="K4">
        <v>2.8839297753187001E-4</v>
      </c>
      <c r="L4">
        <v>1.3112159238023299E-4</v>
      </c>
      <c r="M4">
        <v>2.1994316290453102</v>
      </c>
      <c r="N4">
        <v>4.4715317610244297E-2</v>
      </c>
      <c r="O4">
        <v>2.6100265678657302E-4</v>
      </c>
      <c r="P4">
        <v>1.5176647398907101E-4</v>
      </c>
      <c r="Q4">
        <v>1.71976491201455</v>
      </c>
      <c r="R4">
        <v>0.106883986135868</v>
      </c>
      <c r="S4">
        <v>1.8226401031271201E-3</v>
      </c>
      <c r="T4">
        <v>2.8237330951608598E-4</v>
      </c>
      <c r="U4">
        <v>6.45471806896568</v>
      </c>
      <c r="V4">
        <v>1.4908892536656E-5</v>
      </c>
      <c r="AB4" t="str">
        <f t="shared" si="0"/>
        <v>**</v>
      </c>
      <c r="AC4" t="str">
        <f t="shared" si="1"/>
        <v>**</v>
      </c>
      <c r="AD4" t="str">
        <f t="shared" si="2"/>
        <v>**</v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200</v>
      </c>
      <c r="C5">
        <v>2.4401991515425499E-2</v>
      </c>
      <c r="D5">
        <v>5.4265968714446097E-3</v>
      </c>
      <c r="E5">
        <v>4.4967393181224997</v>
      </c>
      <c r="F5">
        <v>7.4654803913311296E-4</v>
      </c>
      <c r="G5">
        <v>2.8492076467983001E-2</v>
      </c>
      <c r="H5">
        <v>6.2599562304562597E-3</v>
      </c>
      <c r="I5">
        <v>4.5514817387000104</v>
      </c>
      <c r="J5">
        <v>6.7812703324334996E-4</v>
      </c>
      <c r="K5">
        <v>2.34940932379918E-2</v>
      </c>
      <c r="L5">
        <v>1.06475277219641E-2</v>
      </c>
      <c r="M5">
        <v>2.2065303656855</v>
      </c>
      <c r="N5">
        <v>4.7765491731802702E-2</v>
      </c>
      <c r="O5">
        <v>2.23427133479028E-2</v>
      </c>
      <c r="P5">
        <v>1.22670337825538E-2</v>
      </c>
      <c r="Q5">
        <v>1.82136233941727</v>
      </c>
      <c r="R5">
        <v>9.3786385615155995E-2</v>
      </c>
      <c r="S5">
        <v>8.7012859481193097E-2</v>
      </c>
      <c r="T5">
        <v>1.66843809709303E-2</v>
      </c>
      <c r="U5">
        <v>5.2152285201829196</v>
      </c>
      <c r="V5">
        <v>2.2322447678121699E-4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203</v>
      </c>
      <c r="C6">
        <v>3.0914506091847899E-2</v>
      </c>
      <c r="D6">
        <v>7.6638415570793898E-3</v>
      </c>
      <c r="E6">
        <v>4.0338133117184496</v>
      </c>
      <c r="F6">
        <v>1.65908580511008E-3</v>
      </c>
      <c r="G6">
        <v>3.6162004303016103E-2</v>
      </c>
      <c r="H6">
        <v>8.1657301656194899E-3</v>
      </c>
      <c r="I6">
        <v>4.4285083598856296</v>
      </c>
      <c r="J6">
        <v>8.2338132894424303E-4</v>
      </c>
      <c r="K6">
        <v>3.0736586120228199E-2</v>
      </c>
      <c r="L6">
        <v>1.22769018966394E-2</v>
      </c>
      <c r="M6">
        <v>2.5036109581230699</v>
      </c>
      <c r="N6">
        <v>2.77435271057043E-2</v>
      </c>
      <c r="O6">
        <v>3.1388548033979002E-2</v>
      </c>
      <c r="P6">
        <v>1.2823644050416499E-2</v>
      </c>
      <c r="Q6">
        <v>2.4477089281778301</v>
      </c>
      <c r="R6">
        <v>3.07430183112509E-2</v>
      </c>
      <c r="S6">
        <v>0.12035666848752199</v>
      </c>
      <c r="T6">
        <v>1.6756512064361701E-2</v>
      </c>
      <c r="U6">
        <v>7.1826802633646096</v>
      </c>
      <c r="V6">
        <v>1.1216538460338499E-5</v>
      </c>
      <c r="AB6" t="str">
        <f t="shared" si="0"/>
        <v>***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207</v>
      </c>
      <c r="C7">
        <v>1.1804830162143599E-2</v>
      </c>
      <c r="D7">
        <v>8.4464734151938302E-3</v>
      </c>
      <c r="E7">
        <v>1.3976046074931801</v>
      </c>
      <c r="F7">
        <v>0.18684892694024999</v>
      </c>
      <c r="G7">
        <v>1.49920768472722E-2</v>
      </c>
      <c r="H7">
        <v>8.7773223389044797E-3</v>
      </c>
      <c r="I7">
        <v>1.7080467446001799</v>
      </c>
      <c r="J7">
        <v>0.112640916660674</v>
      </c>
      <c r="K7">
        <v>5.7237157399992796E-3</v>
      </c>
      <c r="L7">
        <v>9.7706362255914996E-3</v>
      </c>
      <c r="M7">
        <v>0.58580788475243595</v>
      </c>
      <c r="N7">
        <v>0.56857355562641199</v>
      </c>
      <c r="O7">
        <v>8.5919713506246494E-3</v>
      </c>
      <c r="P7">
        <v>9.97776736820199E-3</v>
      </c>
      <c r="Q7">
        <v>0.861111612804913</v>
      </c>
      <c r="R7">
        <v>0.40563034413037702</v>
      </c>
      <c r="S7">
        <v>8.9606461690728501E-2</v>
      </c>
      <c r="T7">
        <v>1.21464209967988E-2</v>
      </c>
      <c r="U7">
        <v>7.3771905085740404</v>
      </c>
      <c r="V7">
        <v>7.3520281796611701E-6</v>
      </c>
      <c r="AB7" t="str">
        <f t="shared" si="0"/>
        <v/>
      </c>
      <c r="AC7" t="str">
        <f t="shared" si="1"/>
        <v/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210</v>
      </c>
      <c r="C8">
        <v>3.2376661064460798E-4</v>
      </c>
      <c r="D8">
        <v>1.4669271631800099E-2</v>
      </c>
      <c r="E8">
        <v>2.2071076108696901E-2</v>
      </c>
      <c r="F8">
        <v>0.98277809979877995</v>
      </c>
      <c r="G8">
        <v>-1.1190508212514201E-3</v>
      </c>
      <c r="H8">
        <v>1.53464420473556E-2</v>
      </c>
      <c r="I8">
        <v>-7.2919235468279303E-2</v>
      </c>
      <c r="J8">
        <v>0.94315149898697004</v>
      </c>
      <c r="K8">
        <v>-1.4300020922843999E-2</v>
      </c>
      <c r="L8">
        <v>1.6669970216998699E-2</v>
      </c>
      <c r="M8">
        <v>-0.85783122205353801</v>
      </c>
      <c r="N8">
        <v>0.40890647229768801</v>
      </c>
      <c r="O8">
        <v>-1.06320855205381E-2</v>
      </c>
      <c r="P8">
        <v>1.6668248491167201E-2</v>
      </c>
      <c r="Q8">
        <v>-0.63786459184192401</v>
      </c>
      <c r="R8">
        <v>0.53636331652736202</v>
      </c>
      <c r="S8">
        <v>6.1672682726574599E-2</v>
      </c>
      <c r="T8">
        <v>2.4315550540720401E-2</v>
      </c>
      <c r="U8">
        <v>2.5363473725710399</v>
      </c>
      <c r="V8">
        <v>2.73286049129737E-2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**</v>
      </c>
      <c r="AG8" t="str">
        <f t="shared" si="5"/>
        <v>***</v>
      </c>
    </row>
    <row r="9" spans="1:33" x14ac:dyDescent="0.25">
      <c r="A9">
        <v>13</v>
      </c>
      <c r="B9" t="s">
        <v>211</v>
      </c>
      <c r="C9">
        <v>0.12837116749317301</v>
      </c>
      <c r="D9">
        <v>1.6298863576925299E-2</v>
      </c>
      <c r="E9">
        <v>7.8760808621596503</v>
      </c>
      <c r="F9">
        <v>5.0301143420049196E-6</v>
      </c>
      <c r="G9">
        <v>0.121962119708525</v>
      </c>
      <c r="H9">
        <v>1.76200630166981E-2</v>
      </c>
      <c r="I9">
        <v>6.9217754552264896</v>
      </c>
      <c r="J9">
        <v>1.7855542358358298E-5</v>
      </c>
      <c r="K9">
        <v>0.10985613387747099</v>
      </c>
      <c r="L9">
        <v>1.74785247756391E-2</v>
      </c>
      <c r="M9">
        <v>6.2852062910128597</v>
      </c>
      <c r="N9">
        <v>4.43082853007227E-5</v>
      </c>
      <c r="O9">
        <v>0.114035895550262</v>
      </c>
      <c r="P9">
        <v>1.7260552637343999E-2</v>
      </c>
      <c r="Q9">
        <v>6.6067349027713398</v>
      </c>
      <c r="R9">
        <v>2.8004434288930401E-5</v>
      </c>
      <c r="S9">
        <v>0.23607860488417001</v>
      </c>
      <c r="T9">
        <v>2.8055390110234699E-2</v>
      </c>
      <c r="U9">
        <v>8.4147325685572305</v>
      </c>
      <c r="V9">
        <v>2.6343929760502499E-6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214</v>
      </c>
      <c r="C10">
        <v>0.17392142151318199</v>
      </c>
      <c r="D10">
        <v>1.79912835484346E-2</v>
      </c>
      <c r="E10">
        <v>9.6669824053945508</v>
      </c>
      <c r="F10">
        <v>5.6617716683244698E-7</v>
      </c>
      <c r="G10">
        <v>0.168712852953701</v>
      </c>
      <c r="H10">
        <v>1.9144926834767199E-2</v>
      </c>
      <c r="I10">
        <v>8.8124052084293307</v>
      </c>
      <c r="J10">
        <v>1.4971978675415499E-6</v>
      </c>
      <c r="K10">
        <v>0.13727314797620099</v>
      </c>
      <c r="L10">
        <v>2.0267635046215201E-2</v>
      </c>
      <c r="M10">
        <v>6.7730224894608497</v>
      </c>
      <c r="N10">
        <v>2.0988741930928501E-5</v>
      </c>
      <c r="O10">
        <v>0.13462009585562601</v>
      </c>
      <c r="P10">
        <v>2.07457270753389E-2</v>
      </c>
      <c r="Q10">
        <v>6.4890517149265303</v>
      </c>
      <c r="R10">
        <v>3.1849598564652798E-5</v>
      </c>
      <c r="S10">
        <v>0.249480717920152</v>
      </c>
      <c r="T10">
        <v>2.4432454024723101E-2</v>
      </c>
      <c r="U10">
        <v>10.2110380589565</v>
      </c>
      <c r="V10">
        <v>3.2654767571499799E-7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219</v>
      </c>
      <c r="C11">
        <v>0.14414398102833401</v>
      </c>
      <c r="D11">
        <v>3.2248207096961599E-2</v>
      </c>
      <c r="E11">
        <v>4.46982930229058</v>
      </c>
      <c r="F11">
        <v>4.46192636542185E-4</v>
      </c>
      <c r="G11">
        <v>0.14289323482657401</v>
      </c>
      <c r="H11">
        <v>3.2620941936469201E-2</v>
      </c>
      <c r="I11">
        <v>4.3804141249159896</v>
      </c>
      <c r="J11">
        <v>5.3375203212178805E-4</v>
      </c>
      <c r="K11">
        <v>0.11253870121533401</v>
      </c>
      <c r="L11">
        <v>5.0480686883466401E-2</v>
      </c>
      <c r="M11">
        <v>2.22934171785593</v>
      </c>
      <c r="N11">
        <v>4.14402367173973E-2</v>
      </c>
      <c r="O11">
        <v>1.7211949503977801E-2</v>
      </c>
      <c r="P11">
        <v>4.2265062382000597E-2</v>
      </c>
      <c r="Q11">
        <v>0.40723823730372299</v>
      </c>
      <c r="R11">
        <v>0.69013749063701102</v>
      </c>
      <c r="S11">
        <v>0.192035567451494</v>
      </c>
      <c r="T11">
        <v>5.1207990621980198E-2</v>
      </c>
      <c r="U11">
        <v>3.7501094090785498</v>
      </c>
      <c r="V11">
        <v>2.2429220409304999E-3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-3.2749493520247801E-2</v>
      </c>
      <c r="D12">
        <v>5.3894316490663702E-3</v>
      </c>
      <c r="E12">
        <v>-6.0766135749993504</v>
      </c>
      <c r="F12">
        <v>1.6873974211588099E-5</v>
      </c>
      <c r="G12">
        <v>-4.6672879889572798E-2</v>
      </c>
      <c r="H12">
        <v>7.8510038231853398E-3</v>
      </c>
      <c r="I12">
        <v>-5.9448295964064997</v>
      </c>
      <c r="J12">
        <v>2.22544124992066E-5</v>
      </c>
      <c r="K12">
        <v>-7.1688158714182507E-2</v>
      </c>
      <c r="L12">
        <v>9.3748864534580392E-3</v>
      </c>
      <c r="M12">
        <v>-7.6468295450916601</v>
      </c>
      <c r="N12">
        <v>1.24729625912603E-6</v>
      </c>
      <c r="O12">
        <v>-7.1393463615784997E-2</v>
      </c>
      <c r="P12">
        <v>9.4580732367407997E-3</v>
      </c>
      <c r="Q12">
        <v>-7.5484151823280596</v>
      </c>
      <c r="R12">
        <v>1.42933234076463E-6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6.8165143936676706E-2</v>
      </c>
      <c r="D13">
        <v>6.4003318166490899E-3</v>
      </c>
      <c r="E13">
        <v>10.6502515634205</v>
      </c>
      <c r="F13">
        <v>2.1087310307728799E-8</v>
      </c>
      <c r="G13">
        <v>7.96228772421603E-2</v>
      </c>
      <c r="H13">
        <v>6.9819897709473598E-3</v>
      </c>
      <c r="I13">
        <v>11.404038082879699</v>
      </c>
      <c r="J13">
        <v>8.2303658456273197E-9</v>
      </c>
      <c r="K13">
        <v>0.107650409476338</v>
      </c>
      <c r="L13">
        <v>1.6141154776759301E-2</v>
      </c>
      <c r="M13">
        <v>6.6693127576806202</v>
      </c>
      <c r="N13">
        <v>7.59016192020766E-6</v>
      </c>
      <c r="O13">
        <v>0.10533101871337799</v>
      </c>
      <c r="P13">
        <v>1.6543415998658599E-2</v>
      </c>
      <c r="Q13">
        <v>6.36694493579314</v>
      </c>
      <c r="R13">
        <v>1.2958947414967899E-5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4.0127747207399901E-2</v>
      </c>
      <c r="D14">
        <v>6.6797330823534203E-3</v>
      </c>
      <c r="E14">
        <v>6.0073878271288601</v>
      </c>
      <c r="F14">
        <v>2.4222653806211501E-5</v>
      </c>
      <c r="G14">
        <v>4.73672043323074E-2</v>
      </c>
      <c r="H14">
        <v>8.3080899073830396E-3</v>
      </c>
      <c r="I14">
        <v>5.7013350674279897</v>
      </c>
      <c r="J14">
        <v>4.2020714027220401E-5</v>
      </c>
      <c r="K14">
        <v>3.4742948665742103E-2</v>
      </c>
      <c r="L14">
        <v>8.6732745093346299E-3</v>
      </c>
      <c r="M14">
        <v>4.0057476133552399</v>
      </c>
      <c r="N14">
        <v>1.1463375086371199E-3</v>
      </c>
      <c r="O14">
        <v>3.2595825795703803E-2</v>
      </c>
      <c r="P14">
        <v>1.0598286300975901E-2</v>
      </c>
      <c r="Q14">
        <v>3.0755751326233001</v>
      </c>
      <c r="R14">
        <v>7.8250497678385607E-3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-4.5046498226594699E-2</v>
      </c>
      <c r="D15">
        <v>8.6919903357156308E-3</v>
      </c>
      <c r="E15">
        <v>-5.1825297183658199</v>
      </c>
      <c r="F15">
        <v>9.9304814174278598E-5</v>
      </c>
      <c r="G15">
        <v>-5.2412495810009299E-2</v>
      </c>
      <c r="H15">
        <v>1.00228463722322E-2</v>
      </c>
      <c r="I15">
        <v>-5.2293025218081004</v>
      </c>
      <c r="J15">
        <v>9.1434640586341302E-5</v>
      </c>
      <c r="K15">
        <v>-4.2560058554998698E-2</v>
      </c>
      <c r="L15">
        <v>2.1830055410345502E-2</v>
      </c>
      <c r="M15">
        <v>-1.9496083612700801</v>
      </c>
      <c r="N15">
        <v>6.9611046078054406E-2</v>
      </c>
      <c r="O15">
        <v>-4.6201159476118803E-2</v>
      </c>
      <c r="P15">
        <v>2.5517031376639899E-2</v>
      </c>
      <c r="Q15">
        <v>-1.8106008804149001</v>
      </c>
      <c r="R15">
        <v>8.9807241552905606E-2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-7.5299876696666004E-2</v>
      </c>
      <c r="D16">
        <v>1.69350457017792E-2</v>
      </c>
      <c r="E16">
        <v>-4.4463934743769302</v>
      </c>
      <c r="F16">
        <v>6.1961342716394395E-4</v>
      </c>
      <c r="G16">
        <v>-9.6530286483304403E-2</v>
      </c>
      <c r="H16">
        <v>2.0559595813615401E-2</v>
      </c>
      <c r="I16">
        <v>-4.6951451457707201</v>
      </c>
      <c r="J16">
        <v>3.91119349374924E-4</v>
      </c>
      <c r="K16">
        <v>-4.6540218640824901E-2</v>
      </c>
      <c r="L16">
        <v>4.1005814378313701E-2</v>
      </c>
      <c r="M16">
        <v>-1.1349663296880701</v>
      </c>
      <c r="N16">
        <v>0.27656647537241602</v>
      </c>
      <c r="O16">
        <v>-3.4735865097204902E-2</v>
      </c>
      <c r="P16">
        <v>4.5392124983050598E-2</v>
      </c>
      <c r="Q16">
        <v>-0.765239898113941</v>
      </c>
      <c r="R16">
        <v>0.45754784980880397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1.7839308674087899E-4</v>
      </c>
      <c r="D17">
        <v>8.8974306607496E-6</v>
      </c>
      <c r="E17">
        <v>20.049955267181499</v>
      </c>
      <c r="F17">
        <v>1.9181068372508699E-11</v>
      </c>
      <c r="G17">
        <v>1.9659368990620099E-4</v>
      </c>
      <c r="H17">
        <v>1.1579724127440201E-5</v>
      </c>
      <c r="I17">
        <v>16.9774070385958</v>
      </c>
      <c r="J17">
        <v>2.1710479135023999E-10</v>
      </c>
      <c r="K17">
        <v>2.4786756970316499E-4</v>
      </c>
      <c r="L17">
        <v>1.6833438663448799E-5</v>
      </c>
      <c r="M17">
        <v>14.724713984990601</v>
      </c>
      <c r="N17">
        <v>1.25701395162887E-9</v>
      </c>
      <c r="O17">
        <v>2.5523303743071001E-4</v>
      </c>
      <c r="P17">
        <v>1.60960309875377E-5</v>
      </c>
      <c r="Q17">
        <v>15.8568927724061</v>
      </c>
      <c r="R17">
        <v>4.0963973626457201E-10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-9.2433850216065998E-4</v>
      </c>
      <c r="D18">
        <v>1.0084761847044901E-3</v>
      </c>
      <c r="E18">
        <v>-0.91656948987002296</v>
      </c>
      <c r="F18">
        <v>0.37482317845672902</v>
      </c>
      <c r="G18">
        <v>-1.8318297334919301E-3</v>
      </c>
      <c r="H18">
        <v>9.8895948349480905E-4</v>
      </c>
      <c r="I18">
        <v>-1.8522798598569199</v>
      </c>
      <c r="J18">
        <v>8.5101980564342095E-2</v>
      </c>
      <c r="K18">
        <v>4.6813616700027002E-3</v>
      </c>
      <c r="L18">
        <v>1.9768239235296498E-3</v>
      </c>
      <c r="M18">
        <v>2.3681227317625999</v>
      </c>
      <c r="N18">
        <v>3.3438884994076302E-2</v>
      </c>
      <c r="O18">
        <v>4.43706093647312E-3</v>
      </c>
      <c r="P18">
        <v>1.86240652044076E-3</v>
      </c>
      <c r="Q18">
        <v>2.3824341720104401</v>
      </c>
      <c r="R18">
        <v>3.3544942184491701E-2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2.0077736031370402E-2</v>
      </c>
      <c r="D19">
        <v>1.05242981508432E-2</v>
      </c>
      <c r="E19">
        <v>1.9077505923529701</v>
      </c>
      <c r="F19">
        <v>7.7863787055206496E-2</v>
      </c>
      <c r="G19">
        <v>3.1497338963200401E-2</v>
      </c>
      <c r="H19">
        <v>1.1205419166434199E-2</v>
      </c>
      <c r="I19">
        <v>2.8109023406773299</v>
      </c>
      <c r="J19">
        <v>1.39955253465442E-2</v>
      </c>
      <c r="K19">
        <v>3.7815612162402398E-3</v>
      </c>
      <c r="L19">
        <v>2.14527766331131E-2</v>
      </c>
      <c r="M19">
        <v>0.176273742131975</v>
      </c>
      <c r="N19">
        <v>0.86266733561745301</v>
      </c>
      <c r="O19">
        <v>3.51831027856082E-3</v>
      </c>
      <c r="P19">
        <v>2.1540187969332401E-2</v>
      </c>
      <c r="Q19">
        <v>0.16333702767914399</v>
      </c>
      <c r="R19">
        <v>0.87268959157814596</v>
      </c>
      <c r="AB19" t="str">
        <f t="shared" si="0"/>
        <v>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-4.00675937885763E-2</v>
      </c>
      <c r="D20">
        <v>1.25995010825829E-2</v>
      </c>
      <c r="E20">
        <v>-3.1800936819604901</v>
      </c>
      <c r="F20">
        <v>1.0674038951313299E-2</v>
      </c>
      <c r="G20">
        <v>-5.7167607021112898E-2</v>
      </c>
      <c r="H20">
        <v>1.43518034060083E-2</v>
      </c>
      <c r="I20">
        <v>-3.98330477389203</v>
      </c>
      <c r="J20">
        <v>2.9480648185422099E-3</v>
      </c>
      <c r="K20">
        <v>-2.6582855939880801E-2</v>
      </c>
      <c r="L20">
        <v>3.1591086315999301E-2</v>
      </c>
      <c r="M20">
        <v>-0.84146697818422</v>
      </c>
      <c r="N20">
        <v>0.421166219074257</v>
      </c>
      <c r="O20">
        <v>-2.7942066261885799E-2</v>
      </c>
      <c r="P20">
        <v>3.22110460433001E-2</v>
      </c>
      <c r="Q20">
        <v>-0.86746845241611603</v>
      </c>
      <c r="R20">
        <v>0.40751332134537599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236</v>
      </c>
      <c r="C21">
        <v>0.113350497642435</v>
      </c>
      <c r="D21">
        <v>9.8181860158463308E-3</v>
      </c>
      <c r="E21">
        <v>11.5449531572828</v>
      </c>
      <c r="F21">
        <v>3.1211349447009299E-8</v>
      </c>
      <c r="G21">
        <v>0.118177031797814</v>
      </c>
      <c r="H21">
        <v>1.15145127118257E-2</v>
      </c>
      <c r="I21">
        <v>10.2633115925473</v>
      </c>
      <c r="J21">
        <v>1.2605292504512199E-7</v>
      </c>
      <c r="K21">
        <v>0.15604249669770301</v>
      </c>
      <c r="L21">
        <v>2.09098145185002E-2</v>
      </c>
      <c r="M21">
        <v>7.4626437532309504</v>
      </c>
      <c r="N21">
        <v>4.5767394829200502E-6</v>
      </c>
      <c r="O21">
        <v>0.15241520434060901</v>
      </c>
      <c r="P21">
        <v>2.1818701698717601E-2</v>
      </c>
      <c r="Q21">
        <v>6.9855304153852202</v>
      </c>
      <c r="R21">
        <v>8.8663713673197892E-6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239</v>
      </c>
      <c r="C22">
        <v>6.0544022165627799E-2</v>
      </c>
      <c r="D22">
        <v>4.3084480067843399E-3</v>
      </c>
      <c r="E22">
        <v>14.0523970743738</v>
      </c>
      <c r="F22">
        <v>7.3221653589004402E-10</v>
      </c>
      <c r="G22">
        <v>6.2729556134067693E-2</v>
      </c>
      <c r="H22">
        <v>4.2891262970926602E-3</v>
      </c>
      <c r="I22">
        <v>14.6252527412374</v>
      </c>
      <c r="J22">
        <v>4.2761600389137098E-10</v>
      </c>
      <c r="K22">
        <v>8.0402092249944004E-2</v>
      </c>
      <c r="L22">
        <v>1.1731449093778899E-2</v>
      </c>
      <c r="M22">
        <v>6.8535516462821597</v>
      </c>
      <c r="N22">
        <v>6.5041344261632201E-6</v>
      </c>
      <c r="O22">
        <v>7.7363936506677999E-2</v>
      </c>
      <c r="P22">
        <v>1.35227425342369E-2</v>
      </c>
      <c r="Q22">
        <v>5.7210241421669901</v>
      </c>
      <c r="R22">
        <v>4.4957751163530001E-5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243</v>
      </c>
      <c r="C23">
        <v>-6.8678178156373296E-2</v>
      </c>
      <c r="D23">
        <v>9.1450013879495196E-3</v>
      </c>
      <c r="E23">
        <v>-7.50991445959444</v>
      </c>
      <c r="F23">
        <v>1.16528471270366E-6</v>
      </c>
      <c r="G23">
        <v>-6.4713447817318207E-2</v>
      </c>
      <c r="H23">
        <v>1.08349593311839E-2</v>
      </c>
      <c r="I23">
        <v>-5.97265258126696</v>
      </c>
      <c r="J23">
        <v>1.8619027511527201E-5</v>
      </c>
      <c r="K23">
        <v>-6.3182351230988407E-2</v>
      </c>
      <c r="L23">
        <v>1.7568785134462701E-2</v>
      </c>
      <c r="M23">
        <v>-3.59628458925431</v>
      </c>
      <c r="N23">
        <v>2.3814162371675E-3</v>
      </c>
      <c r="O23">
        <v>-6.4177014582229505E-2</v>
      </c>
      <c r="P23">
        <v>1.8626976022496199E-2</v>
      </c>
      <c r="Q23">
        <v>-3.4453802111905598</v>
      </c>
      <c r="R23">
        <v>3.2667165527790398E-3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2.0265169713288098E-2</v>
      </c>
      <c r="D24">
        <v>1.37156802330881E-2</v>
      </c>
      <c r="E24">
        <v>1.47751838544616</v>
      </c>
      <c r="F24">
        <v>0.163485402605974</v>
      </c>
      <c r="G24">
        <v>2.5671941914431499E-2</v>
      </c>
      <c r="H24">
        <v>1.3804521787822099E-2</v>
      </c>
      <c r="I24">
        <v>1.85967629368215</v>
      </c>
      <c r="J24">
        <v>8.58601105485053E-2</v>
      </c>
      <c r="K24">
        <v>3.8374338113055101E-2</v>
      </c>
      <c r="L24">
        <v>1.8241873501161899E-2</v>
      </c>
      <c r="M24">
        <v>2.10364018315394</v>
      </c>
      <c r="N24">
        <v>5.5653976225812203E-2</v>
      </c>
      <c r="AB24" t="str">
        <f t="shared" si="0"/>
        <v/>
      </c>
      <c r="AC24" t="str">
        <f t="shared" si="1"/>
        <v>*</v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-5.0398468822264501E-2</v>
      </c>
      <c r="D25">
        <v>2.0907847963203299E-2</v>
      </c>
      <c r="E25">
        <v>-2.4105048454036502</v>
      </c>
      <c r="F25">
        <v>6.9196217820055E-2</v>
      </c>
      <c r="G25">
        <v>-4.8675233508078099E-2</v>
      </c>
      <c r="H25">
        <v>2.3955459335174598E-2</v>
      </c>
      <c r="I25">
        <v>-2.0319056640507198</v>
      </c>
      <c r="J25">
        <v>0.10720252138250801</v>
      </c>
      <c r="K25">
        <v>-7.6545097431957004E-2</v>
      </c>
      <c r="L25">
        <v>3.1827639006806102E-2</v>
      </c>
      <c r="M25">
        <v>-2.4049882372861102</v>
      </c>
      <c r="N25">
        <v>6.9607238421404496E-2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</row>
    <row r="27" spans="1:33" x14ac:dyDescent="0.25">
      <c r="A27">
        <v>49</v>
      </c>
    </row>
    <row r="28" spans="1:33" x14ac:dyDescent="0.25">
      <c r="A28">
        <v>51</v>
      </c>
    </row>
    <row r="29" spans="1:33" x14ac:dyDescent="0.25">
      <c r="A29">
        <v>53</v>
      </c>
    </row>
    <row r="30" spans="1:33" x14ac:dyDescent="0.25">
      <c r="A30">
        <v>55</v>
      </c>
      <c r="B30" t="s">
        <v>29</v>
      </c>
      <c r="C30">
        <v>-1.8041270753223999E-2</v>
      </c>
      <c r="D30">
        <v>1.9396714074854299E-2</v>
      </c>
      <c r="E30">
        <v>-0.93011995143097903</v>
      </c>
      <c r="F30">
        <v>0.36682529138386599</v>
      </c>
      <c r="G30">
        <v>-3.2489807408192302E-2</v>
      </c>
      <c r="H30">
        <v>2.49540015788321E-2</v>
      </c>
      <c r="I30">
        <v>-1.30198787178697</v>
      </c>
      <c r="J30">
        <v>0.21227740404595699</v>
      </c>
      <c r="K30">
        <v>-3.5148316498267697E-2</v>
      </c>
      <c r="L30">
        <v>2.5994123074152501E-2</v>
      </c>
      <c r="M30">
        <v>-1.35216396406224</v>
      </c>
      <c r="N30">
        <v>0.196050551841252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</row>
    <row r="32" spans="1:33" x14ac:dyDescent="0.25">
      <c r="A32">
        <v>59</v>
      </c>
      <c r="B32" t="s">
        <v>28</v>
      </c>
      <c r="C32">
        <v>7.9718445344421393E-2</v>
      </c>
      <c r="D32">
        <v>1.85751267142019E-2</v>
      </c>
      <c r="E32">
        <v>4.2916770674555602</v>
      </c>
      <c r="F32">
        <v>1.15445089911153E-3</v>
      </c>
      <c r="G32">
        <v>9.2474152015551703E-2</v>
      </c>
      <c r="H32">
        <v>2.24497529761029E-2</v>
      </c>
      <c r="I32">
        <v>4.11916122702943</v>
      </c>
      <c r="J32">
        <v>1.5597717876342199E-3</v>
      </c>
      <c r="K32">
        <v>8.0138727933551299E-2</v>
      </c>
      <c r="L32">
        <v>4.2811252066144598E-2</v>
      </c>
      <c r="M32">
        <v>1.8719080630889899</v>
      </c>
      <c r="N32">
        <v>8.7518595788571699E-2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250</v>
      </c>
      <c r="C33">
        <v>2.5220697324072901E-2</v>
      </c>
      <c r="D33">
        <v>9.0013661065164396E-2</v>
      </c>
      <c r="E33">
        <v>0.28018744072430002</v>
      </c>
      <c r="F33">
        <v>0.80052114193554802</v>
      </c>
      <c r="G33">
        <v>-1.6427377019462501E-2</v>
      </c>
      <c r="H33">
        <v>9.8433981330146594E-2</v>
      </c>
      <c r="I33">
        <v>-0.16688725577770999</v>
      </c>
      <c r="J33">
        <v>0.88003541849769096</v>
      </c>
      <c r="K33">
        <v>-4.7680858284709901E-2</v>
      </c>
      <c r="L33">
        <v>6.2176288443580301E-2</v>
      </c>
      <c r="M33">
        <v>-0.766865624794833</v>
      </c>
      <c r="N33">
        <v>0.52680518916726804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251</v>
      </c>
      <c r="C34">
        <v>0.16111607173485201</v>
      </c>
      <c r="D34">
        <v>0.106142222762274</v>
      </c>
      <c r="E34">
        <v>1.51792630248288</v>
      </c>
      <c r="F34">
        <v>0.36961830404617402</v>
      </c>
      <c r="G34">
        <v>0.24314263487313201</v>
      </c>
      <c r="H34">
        <v>0.107306507268454</v>
      </c>
      <c r="I34">
        <v>2.2658703657630901</v>
      </c>
      <c r="J34">
        <v>0.26345563394720001</v>
      </c>
      <c r="K34">
        <v>0.33009730359676898</v>
      </c>
      <c r="L34">
        <v>0.109618136727654</v>
      </c>
      <c r="M34">
        <v>3.0113383920846499</v>
      </c>
      <c r="N34">
        <v>0.20307701357705801</v>
      </c>
      <c r="AB34" t="str">
        <f>IF(F34&lt;0.01,"***",IF(F34&lt;0.05,"**",IF(F34&lt;0.1,"*","")))</f>
        <v/>
      </c>
      <c r="AC34" t="str">
        <f>IF(J34&lt;0.01,"***",IF(J34&lt;0.05,"**",IF(J34&lt;0.1,"*","")))</f>
        <v/>
      </c>
      <c r="AD34" t="str">
        <f>IF(N34&lt;0.01,"***",IF(N34&lt;0.05,"**",IF(N34&lt;0.1,"*","")))</f>
        <v/>
      </c>
      <c r="AE34" t="str">
        <f>IF(R34&lt;0.01,"***",IF(R34&lt;0.05,"**",IF(R34&lt;0.1,"*","")))</f>
        <v>***</v>
      </c>
      <c r="AF34" t="str">
        <f>IF(V34&lt;0.01,"***",IF(V34&lt;0.05,"**",IF(V34&lt;0.1,"*","")))</f>
        <v>***</v>
      </c>
      <c r="AG34" t="str">
        <f>IF(Z34&lt;0.01,"***",IF(Z34&lt;0.05,"**",IF(Z34&lt;0.1,"*","")))</f>
        <v>***</v>
      </c>
    </row>
    <row r="35" spans="1:33" x14ac:dyDescent="0.25">
      <c r="A35">
        <v>65</v>
      </c>
      <c r="B35" t="s">
        <v>253</v>
      </c>
      <c r="C35">
        <v>-8.06055607484778E-2</v>
      </c>
      <c r="D35">
        <v>4.0705747678824497E-2</v>
      </c>
      <c r="E35">
        <v>-1.98020096288293</v>
      </c>
      <c r="F35">
        <v>0.143206352627371</v>
      </c>
      <c r="G35">
        <v>-4.19415793616204E-2</v>
      </c>
      <c r="H35">
        <v>4.26288231429739E-2</v>
      </c>
      <c r="I35">
        <v>-0.98387842472102705</v>
      </c>
      <c r="J35">
        <v>0.39921222099495202</v>
      </c>
      <c r="K35">
        <v>-4.8589817952198702E-2</v>
      </c>
      <c r="L35">
        <v>5.99470038857585E-2</v>
      </c>
      <c r="M35">
        <v>-0.81054622921266795</v>
      </c>
      <c r="N35">
        <v>0.48007895326736</v>
      </c>
    </row>
    <row r="36" spans="1:33" x14ac:dyDescent="0.25">
      <c r="A36">
        <v>67</v>
      </c>
      <c r="B36" t="s">
        <v>256</v>
      </c>
      <c r="C36">
        <v>1.0314239884547299E-2</v>
      </c>
      <c r="D36">
        <v>2.9031264713140301E-2</v>
      </c>
      <c r="E36">
        <v>0.35528041876449301</v>
      </c>
      <c r="F36">
        <v>0.73104158086397097</v>
      </c>
      <c r="G36">
        <v>1.80066009654395E-2</v>
      </c>
      <c r="H36">
        <v>2.9197055685705998E-2</v>
      </c>
      <c r="I36">
        <v>0.61672660282163205</v>
      </c>
      <c r="J36">
        <v>0.55387948299290102</v>
      </c>
      <c r="K36">
        <v>9.4487791482433595E-3</v>
      </c>
      <c r="L36">
        <v>4.9048682756396997E-2</v>
      </c>
      <c r="M36">
        <v>0.192640833907227</v>
      </c>
      <c r="N36">
        <v>0.85194859282913205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257</v>
      </c>
      <c r="C37">
        <v>4.2701666229183199E-2</v>
      </c>
      <c r="D37">
        <v>0.14568456130090199</v>
      </c>
      <c r="E37">
        <v>0.29311044250588603</v>
      </c>
      <c r="F37">
        <v>0.77894621001682196</v>
      </c>
      <c r="G37">
        <v>-2.4803952971719001E-2</v>
      </c>
      <c r="H37">
        <v>0.14643458895314901</v>
      </c>
      <c r="I37">
        <v>-0.16938588860077899</v>
      </c>
      <c r="J37">
        <v>0.87087600597819104</v>
      </c>
      <c r="K37">
        <v>-2.8296218088634899E-2</v>
      </c>
      <c r="L37">
        <v>0.146185079460665</v>
      </c>
      <c r="M37">
        <v>-0.193564337708273</v>
      </c>
      <c r="N37">
        <v>0.85269787449195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259</v>
      </c>
      <c r="C38">
        <v>3.4681704895213099E-2</v>
      </c>
      <c r="D38">
        <v>4.5937299669498798E-2</v>
      </c>
      <c r="E38">
        <v>0.75497918129133901</v>
      </c>
      <c r="F38">
        <v>0.48981160150674402</v>
      </c>
      <c r="G38">
        <v>3.0979802520876301E-2</v>
      </c>
      <c r="H38">
        <v>5.23409243007045E-2</v>
      </c>
      <c r="I38">
        <v>0.59188489570596603</v>
      </c>
      <c r="J38">
        <v>0.58396356949671802</v>
      </c>
      <c r="K38">
        <v>-9.95281268493486E-2</v>
      </c>
      <c r="L38">
        <v>0.10427148843095201</v>
      </c>
      <c r="M38">
        <v>-0.954509505398068</v>
      </c>
      <c r="N38">
        <v>0.40093446087099599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261</v>
      </c>
      <c r="C39">
        <v>0.37525233072110598</v>
      </c>
      <c r="D39">
        <v>0.27224710155012299</v>
      </c>
      <c r="E39">
        <v>1.37835197724601</v>
      </c>
      <c r="F39">
        <v>0.39814114547567903</v>
      </c>
      <c r="G39">
        <v>0.52118996767525505</v>
      </c>
      <c r="H39">
        <v>0.19479878929552</v>
      </c>
      <c r="I39">
        <v>2.6755298098110001</v>
      </c>
      <c r="J39">
        <v>0.22621647182683499</v>
      </c>
      <c r="K39">
        <v>0.36433801184397702</v>
      </c>
      <c r="L39">
        <v>0.236742370773245</v>
      </c>
      <c r="M39">
        <v>1.5389641096098701</v>
      </c>
      <c r="N39">
        <v>0.365701492341311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4.1596198322464799E-2</v>
      </c>
      <c r="D40">
        <v>5.0186582842346297E-2</v>
      </c>
      <c r="E40">
        <v>0.82883105337402896</v>
      </c>
      <c r="F40">
        <v>0.423648702611299</v>
      </c>
      <c r="G40">
        <v>5.1681644007904898E-2</v>
      </c>
      <c r="H40">
        <v>5.4162511443774E-2</v>
      </c>
      <c r="I40">
        <v>0.95419585669611096</v>
      </c>
      <c r="J40">
        <v>0.35912474970237601</v>
      </c>
      <c r="K40">
        <v>8.9476411732863498E-2</v>
      </c>
      <c r="L40">
        <v>7.5179100845892605E-2</v>
      </c>
      <c r="M40">
        <v>1.1901766677986501</v>
      </c>
      <c r="N40">
        <v>0.25740598356820299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0.105683035383101</v>
      </c>
      <c r="D41">
        <v>5.0586764922545699E-2</v>
      </c>
      <c r="E41">
        <v>2.0891439795550002</v>
      </c>
      <c r="F41">
        <v>6.02043652642602E-2</v>
      </c>
      <c r="G41">
        <v>0.12024760778445399</v>
      </c>
      <c r="H41">
        <v>5.5385105416517803E-2</v>
      </c>
      <c r="I41">
        <v>2.1711181531595001</v>
      </c>
      <c r="J41">
        <v>5.2181035103549302E-2</v>
      </c>
      <c r="K41">
        <v>0.138528007116203</v>
      </c>
      <c r="L41">
        <v>7.5222400819631996E-2</v>
      </c>
      <c r="M41">
        <v>1.84157917863277</v>
      </c>
      <c r="N41">
        <v>9.21084405179661E-2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0.104519599238665</v>
      </c>
      <c r="D42">
        <v>5.3831448586794499E-2</v>
      </c>
      <c r="E42">
        <v>1.94160852034558</v>
      </c>
      <c r="F42">
        <v>7.7295609682670102E-2</v>
      </c>
      <c r="G42">
        <v>0.120913967041494</v>
      </c>
      <c r="H42">
        <v>5.8239547828649797E-2</v>
      </c>
      <c r="I42">
        <v>2.0761487949261301</v>
      </c>
      <c r="J42">
        <v>6.1233346742825899E-2</v>
      </c>
      <c r="K42">
        <v>0.14592972897390499</v>
      </c>
      <c r="L42">
        <v>8.15546428422457E-2</v>
      </c>
      <c r="M42">
        <v>1.7893491270163799</v>
      </c>
      <c r="N42">
        <v>0.10016091480579099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0.13374289365498501</v>
      </c>
      <c r="D43">
        <v>5.3391705142481601E-2</v>
      </c>
      <c r="E43">
        <v>2.5049376733347799</v>
      </c>
      <c r="F43">
        <v>2.8656038731084001E-2</v>
      </c>
      <c r="G43">
        <v>0.152782014526673</v>
      </c>
      <c r="H43">
        <v>6.1082312533171597E-2</v>
      </c>
      <c r="I43">
        <v>2.5012480403996298</v>
      </c>
      <c r="J43">
        <v>2.8861015072074898E-2</v>
      </c>
      <c r="K43">
        <v>0.16682001121908099</v>
      </c>
      <c r="L43">
        <v>7.9232179904925301E-2</v>
      </c>
      <c r="M43">
        <v>2.1054578003439599</v>
      </c>
      <c r="N43">
        <v>5.8330064331089303E-2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0.14367620008509699</v>
      </c>
      <c r="D44">
        <v>5.1182871342519698E-2</v>
      </c>
      <c r="E44">
        <v>2.80711488661129</v>
      </c>
      <c r="F44">
        <v>1.6223174431935699E-2</v>
      </c>
      <c r="G44">
        <v>0.16240661191922801</v>
      </c>
      <c r="H44">
        <v>5.7652035453864298E-2</v>
      </c>
      <c r="I44">
        <v>2.8170143628179898</v>
      </c>
      <c r="J44">
        <v>1.59382554841037E-2</v>
      </c>
      <c r="K44">
        <v>0.17500131733558599</v>
      </c>
      <c r="L44">
        <v>7.6008286167083994E-2</v>
      </c>
      <c r="M44">
        <v>2.30239788528967</v>
      </c>
      <c r="N44">
        <v>4.0633391226339598E-2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2.1208634032574101E-4</v>
      </c>
      <c r="D45">
        <v>1.33665978221332E-4</v>
      </c>
      <c r="E45">
        <v>1.5866890225017201</v>
      </c>
      <c r="F45">
        <v>0.166794396966711</v>
      </c>
      <c r="G45">
        <v>2.9338271888672501E-4</v>
      </c>
      <c r="H45">
        <v>1.15024365189991E-4</v>
      </c>
      <c r="I45">
        <v>2.5506136756515101</v>
      </c>
      <c r="J45">
        <v>4.7537225958074199E-2</v>
      </c>
      <c r="K45">
        <v>2.2578087702860601E-4</v>
      </c>
      <c r="L45">
        <v>2.5287650473767502E-4</v>
      </c>
      <c r="M45">
        <v>0.89285035500954602</v>
      </c>
      <c r="N45">
        <v>0.411216824200905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-5.8441963567711598E-3</v>
      </c>
      <c r="D46">
        <v>5.94960193637116E-3</v>
      </c>
      <c r="E46">
        <v>-0.98228359128438003</v>
      </c>
      <c r="F46">
        <v>0.34248519093479501</v>
      </c>
      <c r="G46">
        <v>-6.9661040070983201E-3</v>
      </c>
      <c r="H46">
        <v>6.5397096525049896E-3</v>
      </c>
      <c r="I46">
        <v>-1.0652008081780799</v>
      </c>
      <c r="J46">
        <v>0.30464204130100703</v>
      </c>
      <c r="K46">
        <v>-2.1098543952127999E-2</v>
      </c>
      <c r="L46">
        <v>1.15089260698342E-2</v>
      </c>
      <c r="M46">
        <v>-1.83323307701393</v>
      </c>
      <c r="N46">
        <v>8.7814890773928594E-2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-7.1284168983727206E-2</v>
      </c>
      <c r="D47">
        <v>1.71054830577397E-2</v>
      </c>
      <c r="E47">
        <v>-4.1673286128843499</v>
      </c>
      <c r="F47">
        <v>7.4721224977340696E-4</v>
      </c>
      <c r="G47">
        <v>-7.8569082719500305E-2</v>
      </c>
      <c r="H47">
        <v>1.7148965857999202E-2</v>
      </c>
      <c r="I47">
        <v>-4.58156388962961</v>
      </c>
      <c r="J47">
        <v>3.1812204052488602E-4</v>
      </c>
      <c r="K47">
        <v>-9.3173021397013597E-2</v>
      </c>
      <c r="L47">
        <v>2.32890553052282E-2</v>
      </c>
      <c r="M47">
        <v>-4.0007213764526099</v>
      </c>
      <c r="N47">
        <v>1.05714453759442E-3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1.6404802077550999E-3</v>
      </c>
      <c r="D48">
        <v>9.6137544821838106E-3</v>
      </c>
      <c r="E48">
        <v>0.17063887067172701</v>
      </c>
      <c r="F48">
        <v>0.86833554070372898</v>
      </c>
      <c r="G48">
        <v>4.4803693764472902E-4</v>
      </c>
      <c r="H48">
        <v>1.0830525990866299E-2</v>
      </c>
      <c r="I48">
        <v>4.1367975851087299E-2</v>
      </c>
      <c r="J48">
        <v>0.96792485520615201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-6.2201782184185102E-2</v>
      </c>
      <c r="D49">
        <v>3.1350504310181201E-2</v>
      </c>
      <c r="E49">
        <v>-1.98407596792581</v>
      </c>
      <c r="F49">
        <v>6.9313043852857401E-2</v>
      </c>
      <c r="G49">
        <v>-8.5968801970539896E-2</v>
      </c>
      <c r="H49">
        <v>4.0955178138713903E-2</v>
      </c>
      <c r="I49">
        <v>-2.0990948123669799</v>
      </c>
      <c r="J49">
        <v>5.6245370189605098E-2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-1.4009652710678701E-3</v>
      </c>
      <c r="D50">
        <v>8.2051849324275197E-3</v>
      </c>
      <c r="E50">
        <v>-0.170741461966463</v>
      </c>
      <c r="F50">
        <v>0.86780126756072395</v>
      </c>
      <c r="G50">
        <v>1.35223024162252E-3</v>
      </c>
      <c r="H50">
        <v>9.9195408976034908E-3</v>
      </c>
      <c r="I50">
        <v>0.136319841369797</v>
      </c>
      <c r="J50">
        <v>0.89465929359599194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-4.7923545323337001E-3</v>
      </c>
      <c r="D51">
        <v>7.0812032463485296E-3</v>
      </c>
      <c r="E51">
        <v>-0.67677121607897806</v>
      </c>
      <c r="F51">
        <v>0.51083814436036301</v>
      </c>
      <c r="G51">
        <v>-7.64318685842521E-3</v>
      </c>
      <c r="H51">
        <v>9.5562973547325993E-3</v>
      </c>
      <c r="I51">
        <v>-0.79980630308035106</v>
      </c>
      <c r="J51">
        <v>0.43979988577166601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2.53601685525391E-2</v>
      </c>
      <c r="D52">
        <v>1.28866729732153E-2</v>
      </c>
      <c r="E52">
        <v>1.96793762092432</v>
      </c>
      <c r="F52">
        <v>8.6371933581030402E-2</v>
      </c>
      <c r="G52">
        <v>3.8931117893763301E-2</v>
      </c>
      <c r="H52">
        <v>1.5746399337310601E-2</v>
      </c>
      <c r="I52">
        <v>2.4723822290926698</v>
      </c>
      <c r="J52">
        <v>3.9823597347337099E-2</v>
      </c>
      <c r="AB52" t="str">
        <f t="shared" si="0"/>
        <v>*</v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-7.4468455723417596E-3</v>
      </c>
      <c r="D53">
        <v>1.09340777500926E-2</v>
      </c>
      <c r="E53">
        <v>-0.68106755252208595</v>
      </c>
      <c r="F53">
        <v>0.50980796600521106</v>
      </c>
      <c r="G53">
        <v>-5.5735640484317296E-3</v>
      </c>
      <c r="H53">
        <v>1.4376201020888E-2</v>
      </c>
      <c r="I53">
        <v>-0.38769380313572199</v>
      </c>
      <c r="J53">
        <v>0.70544856421174895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1.47929356876625E-2</v>
      </c>
      <c r="D54">
        <v>7.4766719290774797E-3</v>
      </c>
      <c r="E54">
        <v>1.97854551169102</v>
      </c>
      <c r="F54">
        <v>6.9887590855031795E-2</v>
      </c>
      <c r="G54">
        <v>1.35432631025678E-2</v>
      </c>
      <c r="H54">
        <v>1.0747356933089E-2</v>
      </c>
      <c r="I54">
        <v>1.2601482566258499</v>
      </c>
      <c r="J54">
        <v>0.22992167296511401</v>
      </c>
      <c r="AB54" t="str">
        <f t="shared" si="0"/>
        <v>*</v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2.4774514193742099E-6</v>
      </c>
      <c r="D55">
        <v>5.92012736170089E-6</v>
      </c>
      <c r="E55">
        <v>0.41847941235210601</v>
      </c>
      <c r="F55">
        <v>0.68438080094820397</v>
      </c>
      <c r="G55">
        <v>5.6875492819506104E-6</v>
      </c>
      <c r="H55">
        <v>7.3508672922870702E-6</v>
      </c>
      <c r="I55">
        <v>0.77372493010699495</v>
      </c>
      <c r="J55">
        <v>0.46081304286513602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1.2437083376918899E-5</v>
      </c>
      <c r="D56">
        <v>2.92909543292424E-6</v>
      </c>
      <c r="E56">
        <v>4.2460492195375199</v>
      </c>
      <c r="F56">
        <v>9.3589903398676405E-4</v>
      </c>
      <c r="G56">
        <v>1.5927039763572001E-5</v>
      </c>
      <c r="H56">
        <v>3.6036740306968899E-6</v>
      </c>
      <c r="I56">
        <v>4.4196671585448399</v>
      </c>
      <c r="J56">
        <v>8.1657728322527502E-4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-0.35158538393618999</v>
      </c>
      <c r="D57">
        <v>0.31022549049494003</v>
      </c>
      <c r="E57">
        <v>-1.1333220341605801</v>
      </c>
      <c r="F57">
        <v>0.30747409981482698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-0.21151521124900699</v>
      </c>
      <c r="D58">
        <v>6.7505841007797995E-2</v>
      </c>
      <c r="E58">
        <v>-3.1332875509924198</v>
      </c>
      <c r="F58">
        <v>9.0580781030259894E-3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-0.61862031849349597</v>
      </c>
      <c r="D59">
        <v>0.13745977116274899</v>
      </c>
      <c r="E59">
        <v>-4.5003735511902301</v>
      </c>
      <c r="F59">
        <v>6.6946096339773103E-4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9.42653442052305E-2</v>
      </c>
      <c r="D60">
        <v>4.2509959805802099E-2</v>
      </c>
      <c r="E60">
        <v>2.21748843414254</v>
      </c>
      <c r="F60">
        <v>4.4336822932515202E-2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-0.71947219438803101</v>
      </c>
      <c r="D61">
        <v>0.125518203300576</v>
      </c>
      <c r="E61">
        <v>-5.7320147633497003</v>
      </c>
      <c r="F61">
        <v>7.7170733775684197E-5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8912-95E2-479A-9706-D8CFD2413081}">
  <dimension ref="A1:K134"/>
  <sheetViews>
    <sheetView topLeftCell="C92" workbookViewId="0">
      <selection activeCell="E129" sqref="E129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1" max="11" width="12.7109375" bestFit="1" customWidth="1"/>
  </cols>
  <sheetData>
    <row r="1" spans="1:11" ht="15.75" thickBot="1" x14ac:dyDescent="0.3">
      <c r="B1" t="s">
        <v>197</v>
      </c>
      <c r="D1" s="3">
        <v>3</v>
      </c>
      <c r="E1" s="3">
        <v>3</v>
      </c>
      <c r="F1" s="3">
        <v>3</v>
      </c>
      <c r="G1" s="3">
        <v>3</v>
      </c>
      <c r="H1" s="3">
        <v>3</v>
      </c>
      <c r="I1" s="3">
        <v>3</v>
      </c>
    </row>
    <row r="2" spans="1:11" ht="29.25" thickTop="1" x14ac:dyDescent="0.45">
      <c r="C2" s="46" t="s">
        <v>339</v>
      </c>
      <c r="D2" s="46"/>
      <c r="E2" s="46"/>
      <c r="F2" s="46"/>
      <c r="G2" s="46"/>
      <c r="H2" s="46"/>
      <c r="I2" s="46"/>
    </row>
    <row r="3" spans="1:11" ht="21" x14ac:dyDescent="0.35">
      <c r="C3" s="47" t="s">
        <v>599</v>
      </c>
      <c r="D3" s="47"/>
      <c r="E3" s="47"/>
      <c r="F3" s="47"/>
      <c r="G3" s="47"/>
      <c r="H3" s="47"/>
      <c r="I3" s="47"/>
    </row>
    <row r="4" spans="1:11" ht="21" x14ac:dyDescent="0.35">
      <c r="C4" s="17"/>
      <c r="D4" s="47" t="s">
        <v>603</v>
      </c>
      <c r="E4" s="47"/>
      <c r="F4" s="47"/>
      <c r="G4" s="47" t="s">
        <v>696</v>
      </c>
      <c r="H4" s="47"/>
      <c r="I4" s="47"/>
    </row>
    <row r="5" spans="1:11" x14ac:dyDescent="0.25">
      <c r="C5" s="19" t="s">
        <v>451</v>
      </c>
      <c r="D5" s="20" t="s">
        <v>600</v>
      </c>
      <c r="E5" s="20" t="s">
        <v>601</v>
      </c>
      <c r="F5" s="20" t="s">
        <v>602</v>
      </c>
      <c r="G5" s="20" t="s">
        <v>600</v>
      </c>
      <c r="H5" s="20" t="s">
        <v>601</v>
      </c>
      <c r="I5" s="20" t="s">
        <v>602</v>
      </c>
    </row>
    <row r="6" spans="1:11" x14ac:dyDescent="0.25">
      <c r="A6">
        <v>1</v>
      </c>
      <c r="B6" t="s">
        <v>11</v>
      </c>
      <c r="C6" t="s">
        <v>11</v>
      </c>
      <c r="D6" s="3" t="str">
        <f>_xlfn.CONCAT(FIXED(VLOOKUP($A6,Reg1_ct_Robust!$A:$AG,D$1,0),4),VLOOKUP($A6,Reg1_ct_Robust!$A:$AG,D$1+25,0))</f>
        <v>0.0143</v>
      </c>
      <c r="E6" s="3" t="str">
        <f>_xlfn.CONCAT(FIXED(VLOOKUP($A6,Reg2_ct_last_rob!$A:$AG,E$1,0),4),VLOOKUP($A6,Reg2_ct_last_rob!$A:$AG,E$1+25,0))</f>
        <v>0.0049</v>
      </c>
      <c r="F6" s="3" t="str">
        <f>_xlfn.CONCAT(FIXED(VLOOKUP($A6,Reg2_ct_first_rob!$A:$AG,F$1,0),4),VLOOKUP($A6,Reg2_ct_first_rob!$A:$AG,F$1+25,0))</f>
        <v>0.0110</v>
      </c>
      <c r="G6" s="3" t="str">
        <f>_xlfn.CONCAT(FIXED(VLOOKUP($A6,Reg1_sf_Robust!$A:$AG,G$1,0),4),VLOOKUP($A6,Reg1_sf_Robust!$A:$AG,G$1+25,0))</f>
        <v>0.0363***</v>
      </c>
      <c r="H6" s="3" t="str">
        <f>_xlfn.CONCAT(FIXED(VLOOKUP($A6,Reg2_sf_last_rob!$A:$AG,H$1,0),4),VLOOKUP($A6,Reg2_sf_last_rob!$A:$AG,H$1+25,0))</f>
        <v>0.0356***</v>
      </c>
      <c r="I6" s="3" t="str">
        <f>_xlfn.CONCAT(FIXED(VLOOKUP($A6,Reg2_sf_first_rob!$A:$AG,I$1,0),4),VLOOKUP($A6,Reg2_sf_first_rob!$A:$AG,I$1+25,0))</f>
        <v>0.0381***</v>
      </c>
      <c r="K6">
        <f>EXP(0.0381)-1</f>
        <v>3.8835111195614891E-2</v>
      </c>
    </row>
    <row r="7" spans="1:11" x14ac:dyDescent="0.25">
      <c r="A7">
        <v>2</v>
      </c>
      <c r="D7" s="3" t="str">
        <f>_xlfn.CONCAT("(",FIXED(ABS(VLOOKUP($A6,Reg1_ct_Robust!$A:$AG,D$1+1,0)),4),")")</f>
        <v>(0.0086)</v>
      </c>
      <c r="E7" s="3" t="str">
        <f>_xlfn.CONCAT("(",FIXED(ABS(VLOOKUP($A6,Reg2_ct_last_rob!$A:$AG,E$1+1,0)),4),")")</f>
        <v>(0.0087)</v>
      </c>
      <c r="F7" s="3" t="str">
        <f>_xlfn.CONCAT("(",FIXED(ABS(VLOOKUP($A6,Reg2_ct_first_rob!$A:$AG,F$1+1,0)),4),")")</f>
        <v>(0.0110)</v>
      </c>
      <c r="G7" s="3" t="str">
        <f>_xlfn.CONCAT("(",FIXED(ABS(VLOOKUP($A6,Reg1_sf_Robust!$A:$AG,G$1+1,0)),4),")")</f>
        <v>(0.0090)</v>
      </c>
      <c r="H7" s="3" t="str">
        <f>_xlfn.CONCAT("(",FIXED(ABS(VLOOKUP($A6,Reg2_sf_last_rob!$A:$AG,H$1+1,0)),4),")")</f>
        <v>(0.0101)</v>
      </c>
      <c r="I7" s="3" t="str">
        <f>_xlfn.CONCAT("(",FIXED(ABS(VLOOKUP($A6,Reg2_sf_first_rob!$A:$AG,I$1+1,0)),4),")")</f>
        <v>(0.0095)</v>
      </c>
      <c r="K7" s="26">
        <f>K6*'Full Sample-Townhouse'!C14</f>
        <v>25861.752978318673</v>
      </c>
    </row>
    <row r="8" spans="1:11" x14ac:dyDescent="0.25">
      <c r="A8">
        <v>3</v>
      </c>
      <c r="B8" t="s">
        <v>16</v>
      </c>
      <c r="C8" t="s">
        <v>16</v>
      </c>
      <c r="D8" s="3" t="str">
        <f>_xlfn.CONCAT(FIXED(VLOOKUP($A8,Reg1_ct_Robust!$A:$AG,D$1,0),5),VLOOKUP($A8,Reg1_ct_Robust!$A:$AG,D$1+25,0))</f>
        <v>-0.00002</v>
      </c>
      <c r="E8" s="3" t="str">
        <f>_xlfn.CONCAT(FIXED(VLOOKUP($A8,Reg2_ct_last_rob!$A:$AG,E$1,0),5),VLOOKUP($A8,Reg2_ct_last_rob!$A:$AG,E$1+25,0))</f>
        <v>-0.00002</v>
      </c>
      <c r="F8" s="3" t="str">
        <f>_xlfn.CONCAT(FIXED(VLOOKUP($A8,Reg2_ct_first_rob!$A:$AG,F$1,0),5),VLOOKUP($A8,Reg2_ct_first_rob!$A:$AG,F$1+25,0))</f>
        <v>-0.00001</v>
      </c>
      <c r="G8" s="3" t="str">
        <f>_xlfn.CONCAT(FIXED(VLOOKUP($A8,Reg1_sf_Robust!$A:$AG,G$1,0),5),VLOOKUP($A8,Reg1_sf_Robust!$A:$AG,G$1+25,0))</f>
        <v>0.00009*</v>
      </c>
      <c r="H8" s="3" t="str">
        <f>_xlfn.CONCAT(FIXED(VLOOKUP($A8,Reg2_sf_last_rob!$A:$AG,H$1,0),5),VLOOKUP($A8,Reg2_sf_last_rob!$A:$AG,H$1+25,0))</f>
        <v>0.00011**</v>
      </c>
      <c r="I8" s="3" t="str">
        <f>_xlfn.CONCAT(FIXED(VLOOKUP($A8,Reg2_sf_first_rob!$A:$AG,I$1,0),5),VLOOKUP($A8,Reg2_sf_first_rob!$A:$AG,I$1+25,0))</f>
        <v>0.00009*</v>
      </c>
    </row>
    <row r="9" spans="1:11" x14ac:dyDescent="0.25">
      <c r="A9">
        <v>4</v>
      </c>
      <c r="D9" s="3" t="str">
        <f>_xlfn.CONCAT("(",FIXED(ABS(VLOOKUP($A8,Reg1_ct_Robust!$A:$AG,D$1+1,0)),4),")")</f>
        <v>(0.0001)</v>
      </c>
      <c r="E9" s="3" t="str">
        <f>_xlfn.CONCAT("(",FIXED(ABS(VLOOKUP($A8,Reg2_ct_last_rob!$A:$AG,E$1+1,0)),4),")")</f>
        <v>(0.0001)</v>
      </c>
      <c r="F9" s="3" t="str">
        <f>_xlfn.CONCAT("(",FIXED(ABS(VLOOKUP($A8,Reg2_ct_first_rob!$A:$AG,F$1+1,0)),4),")")</f>
        <v>(0.0001)</v>
      </c>
      <c r="G9" s="3" t="str">
        <f>_xlfn.CONCAT("(",FIXED(ABS(VLOOKUP($A8,Reg1_sf_Robust!$A:$AG,G$1+1,0)),4),")")</f>
        <v>(0.0000)</v>
      </c>
      <c r="H9" s="3" t="str">
        <f>_xlfn.CONCAT("(",FIXED(ABS(VLOOKUP($A8,Reg2_sf_last_rob!$A:$AG,H$1+1,0)),4),")")</f>
        <v>(0.0000)</v>
      </c>
      <c r="I9" s="3" t="str">
        <f>_xlfn.CONCAT("(",FIXED(ABS(VLOOKUP($A8,Reg2_sf_first_rob!$A:$AG,I$1+1,0)),4),")")</f>
        <v>(0.0000)</v>
      </c>
    </row>
    <row r="10" spans="1:11" hidden="1" x14ac:dyDescent="0.25">
      <c r="A10">
        <v>5</v>
      </c>
      <c r="B10" t="s">
        <v>200</v>
      </c>
      <c r="D10" s="3" t="str">
        <f>_xlfn.CONCAT(FIXED(VLOOKUP($A10,Reg1_ct_Robust!$A:$AG,D$1,0),4),VLOOKUP($A10,Reg1_ct_Robust!$A:$AG,D$1+25,0))</f>
        <v>0.0509***</v>
      </c>
      <c r="E10" s="3" t="str">
        <f>_xlfn.CONCAT(FIXED(VLOOKUP($A10,Reg2_ct_last_rob!$A:$AG,E$1,0),4),VLOOKUP($A10,Reg2_ct_last_rob!$A:$AG,E$1+25,0))</f>
        <v>0.0496***</v>
      </c>
      <c r="F10" s="3" t="str">
        <f>_xlfn.CONCAT(FIXED(VLOOKUP($A10,Reg2_ct_first_rob!$A:$AG,F$1,0),4),VLOOKUP($A10,Reg2_ct_first_rob!$A:$AG,F$1+25,0))</f>
        <v>0.0527***</v>
      </c>
      <c r="G10" s="3" t="str">
        <f>_xlfn.CONCAT(FIXED(VLOOKUP($A10,Reg1_sf_Robust!$A:$AG,G$1,0),4),VLOOKUP($A10,Reg1_sf_Robust!$A:$AG,G$1+25,0))</f>
        <v>0.0238***</v>
      </c>
      <c r="H10" s="3" t="str">
        <f>_xlfn.CONCAT(FIXED(VLOOKUP($A10,Reg2_sf_last_rob!$A:$AG,H$1,0),4),VLOOKUP($A10,Reg2_sf_last_rob!$A:$AG,H$1+25,0))</f>
        <v>0.0244***</v>
      </c>
      <c r="I10" s="3" t="str">
        <f>_xlfn.CONCAT(FIXED(VLOOKUP($A10,Reg2_sf_first_rob!$A:$AG,I$1,0),4),VLOOKUP($A10,Reg2_sf_first_rob!$A:$AG,I$1+25,0))</f>
        <v>0.0273***</v>
      </c>
    </row>
    <row r="11" spans="1:11" hidden="1" x14ac:dyDescent="0.25">
      <c r="A11">
        <v>6</v>
      </c>
      <c r="D11" s="3" t="str">
        <f>_xlfn.CONCAT("(",FIXED(ABS(VLOOKUP($A10,Reg1_ct_Robust!$A:$AG,D$1+1,0)),4),")")</f>
        <v>(0.0123)</v>
      </c>
      <c r="E11" s="3" t="str">
        <f>_xlfn.CONCAT("(",FIXED(ABS(VLOOKUP($A10,Reg2_ct_last_rob!$A:$AG,E$1+1,0)),4),")")</f>
        <v>(0.0142)</v>
      </c>
      <c r="F11" s="3" t="str">
        <f>_xlfn.CONCAT("(",FIXED(ABS(VLOOKUP($A10,Reg2_ct_first_rob!$A:$AG,F$1+1,0)),4),")")</f>
        <v>(0.0129)</v>
      </c>
      <c r="G11" s="3" t="str">
        <f>_xlfn.CONCAT("(",FIXED(ABS(VLOOKUP($A10,Reg1_sf_Robust!$A:$AG,G$1+1,0)),4),")")</f>
        <v>(0.0054)</v>
      </c>
      <c r="H11" s="3" t="str">
        <f>_xlfn.CONCAT("(",FIXED(ABS(VLOOKUP($A10,Reg2_sf_last_rob!$A:$AG,H$1+1,0)),4),")")</f>
        <v>(0.0054)</v>
      </c>
      <c r="I11" s="3" t="str">
        <f>_xlfn.CONCAT("(",FIXED(ABS(VLOOKUP($A10,Reg2_sf_first_rob!$A:$AG,I$1+1,0)),4),")")</f>
        <v>(0.0069)</v>
      </c>
    </row>
    <row r="12" spans="1:11" hidden="1" x14ac:dyDescent="0.25">
      <c r="A12">
        <v>7</v>
      </c>
      <c r="B12" t="s">
        <v>203</v>
      </c>
      <c r="D12" s="3" t="str">
        <f>_xlfn.CONCAT(FIXED(VLOOKUP($A12,Reg1_ct_Robust!$A:$AG,D$1,0),4),VLOOKUP($A12,Reg1_ct_Robust!$A:$AG,D$1+25,0))</f>
        <v>0.0694***</v>
      </c>
      <c r="E12" s="3" t="str">
        <f>_xlfn.CONCAT(FIXED(VLOOKUP($A12,Reg2_ct_last_rob!$A:$AG,E$1,0),4),VLOOKUP($A12,Reg2_ct_last_rob!$A:$AG,E$1+25,0))</f>
        <v>0.0652***</v>
      </c>
      <c r="F12" s="3" t="str">
        <f>_xlfn.CONCAT(FIXED(VLOOKUP($A12,Reg2_ct_first_rob!$A:$AG,F$1,0),4),VLOOKUP($A12,Reg2_ct_first_rob!$A:$AG,F$1+25,0))</f>
        <v>0.0698***</v>
      </c>
      <c r="G12" s="3" t="str">
        <f>_xlfn.CONCAT(FIXED(VLOOKUP($A12,Reg1_sf_Robust!$A:$AG,G$1,0),4),VLOOKUP($A12,Reg1_sf_Robust!$A:$AG,G$1+25,0))</f>
        <v>0.0307***</v>
      </c>
      <c r="H12" s="3" t="str">
        <f>_xlfn.CONCAT(FIXED(VLOOKUP($A12,Reg2_sf_last_rob!$A:$AG,H$1,0),4),VLOOKUP($A12,Reg2_sf_last_rob!$A:$AG,H$1+25,0))</f>
        <v>0.0309***</v>
      </c>
      <c r="I12" s="3" t="str">
        <f>_xlfn.CONCAT(FIXED(VLOOKUP($A12,Reg2_sf_first_rob!$A:$AG,I$1,0),4),VLOOKUP($A12,Reg2_sf_first_rob!$A:$AG,I$1+25,0))</f>
        <v>0.0361***</v>
      </c>
    </row>
    <row r="13" spans="1:11" hidden="1" x14ac:dyDescent="0.25">
      <c r="A13">
        <v>8</v>
      </c>
      <c r="D13" s="3" t="str">
        <f>_xlfn.CONCAT("(",FIXED(ABS(VLOOKUP($A12,Reg1_ct_Robust!$A:$AG,D$1+1,0)),4),")")</f>
        <v>(0.0164)</v>
      </c>
      <c r="E13" s="3" t="str">
        <f>_xlfn.CONCAT("(",FIXED(ABS(VLOOKUP($A12,Reg2_ct_last_rob!$A:$AG,E$1+1,0)),4),")")</f>
        <v>(0.0190)</v>
      </c>
      <c r="F13" s="3" t="str">
        <f>_xlfn.CONCAT("(",FIXED(ABS(VLOOKUP($A12,Reg2_ct_first_rob!$A:$AG,F$1+1,0)),4),")")</f>
        <v>(0.0153)</v>
      </c>
      <c r="G13" s="3" t="str">
        <f>_xlfn.CONCAT("(",FIXED(ABS(VLOOKUP($A12,Reg1_sf_Robust!$A:$AG,G$1+1,0)),4),")")</f>
        <v>(0.0073)</v>
      </c>
      <c r="H13" s="3" t="str">
        <f>_xlfn.CONCAT("(",FIXED(ABS(VLOOKUP($A12,Reg2_sf_last_rob!$A:$AG,H$1+1,0)),4),")")</f>
        <v>(0.0077)</v>
      </c>
      <c r="I13" s="3" t="str">
        <f>_xlfn.CONCAT("(",FIXED(ABS(VLOOKUP($A12,Reg2_sf_first_rob!$A:$AG,I$1+1,0)),4),")")</f>
        <v>(0.0081)</v>
      </c>
    </row>
    <row r="14" spans="1:11" hidden="1" x14ac:dyDescent="0.25">
      <c r="A14">
        <v>9</v>
      </c>
      <c r="B14" t="s">
        <v>207</v>
      </c>
      <c r="D14" s="3" t="str">
        <f>_xlfn.CONCAT(FIXED(VLOOKUP($A14,Reg1_ct_Robust!$A:$AG,D$1,0),4),VLOOKUP($A14,Reg1_ct_Robust!$A:$AG,D$1+25,0))</f>
        <v>0.0595***</v>
      </c>
      <c r="E14" s="3" t="str">
        <f>_xlfn.CONCAT(FIXED(VLOOKUP($A14,Reg2_ct_last_rob!$A:$AG,E$1,0),4),VLOOKUP($A14,Reg2_ct_last_rob!$A:$AG,E$1+25,0))</f>
        <v>0.0505**</v>
      </c>
      <c r="F14" s="3" t="str">
        <f>_xlfn.CONCAT(FIXED(VLOOKUP($A14,Reg2_ct_first_rob!$A:$AG,F$1,0),4),VLOOKUP($A14,Reg2_ct_first_rob!$A:$AG,F$1+25,0))</f>
        <v>0.0597***</v>
      </c>
      <c r="G14" s="3" t="str">
        <f>_xlfn.CONCAT(FIXED(VLOOKUP($A14,Reg1_sf_Robust!$A:$AG,G$1,0),4),VLOOKUP($A14,Reg1_sf_Robust!$A:$AG,G$1+25,0))</f>
        <v>0.0116</v>
      </c>
      <c r="H14" s="3" t="str">
        <f>_xlfn.CONCAT(FIXED(VLOOKUP($A14,Reg2_sf_last_rob!$A:$AG,H$1,0),4),VLOOKUP($A14,Reg2_sf_last_rob!$A:$AG,H$1+25,0))</f>
        <v>0.0118</v>
      </c>
      <c r="I14" s="3" t="str">
        <f>_xlfn.CONCAT(FIXED(VLOOKUP($A14,Reg2_sf_first_rob!$A:$AG,I$1,0),4),VLOOKUP($A14,Reg2_sf_first_rob!$A:$AG,I$1+25,0))</f>
        <v>0.0125</v>
      </c>
    </row>
    <row r="15" spans="1:11" hidden="1" x14ac:dyDescent="0.25">
      <c r="A15">
        <v>10</v>
      </c>
      <c r="D15" s="3" t="str">
        <f>_xlfn.CONCAT("(",FIXED(ABS(VLOOKUP($A14,Reg1_ct_Robust!$A:$AG,D$1+1,0)),4),")")</f>
        <v>(0.0159)</v>
      </c>
      <c r="E15" s="3" t="str">
        <f>_xlfn.CONCAT("(",FIXED(ABS(VLOOKUP($A14,Reg2_ct_last_rob!$A:$AG,E$1+1,0)),4),")")</f>
        <v>(0.0179)</v>
      </c>
      <c r="F15" s="3" t="str">
        <f>_xlfn.CONCAT("(",FIXED(ABS(VLOOKUP($A14,Reg2_ct_first_rob!$A:$AG,F$1+1,0)),4),")")</f>
        <v>(0.0152)</v>
      </c>
      <c r="G15" s="3" t="str">
        <f>_xlfn.CONCAT("(",FIXED(ABS(VLOOKUP($A14,Reg1_sf_Robust!$A:$AG,G$1+1,0)),4),")")</f>
        <v>(0.0089)</v>
      </c>
      <c r="H15" s="3" t="str">
        <f>_xlfn.CONCAT("(",FIXED(ABS(VLOOKUP($A14,Reg2_sf_last_rob!$A:$AG,H$1+1,0)),4),")")</f>
        <v>(0.0084)</v>
      </c>
      <c r="I15" s="3" t="str">
        <f>_xlfn.CONCAT("(",FIXED(ABS(VLOOKUP($A14,Reg2_sf_first_rob!$A:$AG,I$1+1,0)),4),")")</f>
        <v>(0.0096)</v>
      </c>
    </row>
    <row r="16" spans="1:11" hidden="1" x14ac:dyDescent="0.25">
      <c r="A16">
        <v>11</v>
      </c>
      <c r="B16" t="s">
        <v>210</v>
      </c>
      <c r="D16" s="3" t="str">
        <f>_xlfn.CONCAT(FIXED(VLOOKUP($A16,Reg1_ct_Robust!$A:$AG,D$1,0),4),VLOOKUP($A16,Reg1_ct_Robust!$A:$AG,D$1+25,0))</f>
        <v>0.0242</v>
      </c>
      <c r="E16" s="3" t="str">
        <f>_xlfn.CONCAT(FIXED(VLOOKUP($A16,Reg2_ct_last_rob!$A:$AG,E$1,0),4),VLOOKUP($A16,Reg2_ct_last_rob!$A:$AG,E$1+25,0))</f>
        <v>0.0210</v>
      </c>
      <c r="F16" s="3" t="str">
        <f>_xlfn.CONCAT(FIXED(VLOOKUP($A16,Reg2_ct_first_rob!$A:$AG,F$1,0),4),VLOOKUP($A16,Reg2_ct_first_rob!$A:$AG,F$1+25,0))</f>
        <v>0.0236</v>
      </c>
      <c r="G16" s="3" t="str">
        <f>_xlfn.CONCAT(FIXED(VLOOKUP($A16,Reg1_sf_Robust!$A:$AG,G$1,0),4),VLOOKUP($A16,Reg1_sf_Robust!$A:$AG,G$1+25,0))</f>
        <v>0.0004</v>
      </c>
      <c r="H16" s="3" t="str">
        <f>_xlfn.CONCAT(FIXED(VLOOKUP($A16,Reg2_sf_last_rob!$A:$AG,H$1,0),4),VLOOKUP($A16,Reg2_sf_last_rob!$A:$AG,H$1+25,0))</f>
        <v>0.0003</v>
      </c>
      <c r="I16" s="3" t="str">
        <f>_xlfn.CONCAT(FIXED(VLOOKUP($A16,Reg2_sf_first_rob!$A:$AG,I$1,0),4),VLOOKUP($A16,Reg2_sf_first_rob!$A:$AG,I$1+25,0))</f>
        <v>-0.0014</v>
      </c>
    </row>
    <row r="17" spans="1:9" hidden="1" x14ac:dyDescent="0.25">
      <c r="A17">
        <v>12</v>
      </c>
      <c r="D17" s="3" t="str">
        <f>_xlfn.CONCAT("(",FIXED(ABS(VLOOKUP($A16,Reg1_ct_Robust!$A:$AG,D$1+1,0)),4),")")</f>
        <v>(0.0240)</v>
      </c>
      <c r="E17" s="3" t="str">
        <f>_xlfn.CONCAT("(",FIXED(ABS(VLOOKUP($A16,Reg2_ct_last_rob!$A:$AG,E$1+1,0)),4),")")</f>
        <v>(0.0255)</v>
      </c>
      <c r="F17" s="3" t="str">
        <f>_xlfn.CONCAT("(",FIXED(ABS(VLOOKUP($A16,Reg2_ct_first_rob!$A:$AG,F$1+1,0)),4),")")</f>
        <v>(0.0249)</v>
      </c>
      <c r="G17" s="3" t="str">
        <f>_xlfn.CONCAT("(",FIXED(ABS(VLOOKUP($A16,Reg1_sf_Robust!$A:$AG,G$1+1,0)),4),")")</f>
        <v>(0.0133)</v>
      </c>
      <c r="H17" s="3" t="str">
        <f>_xlfn.CONCAT("(",FIXED(ABS(VLOOKUP($A16,Reg2_sf_last_rob!$A:$AG,H$1+1,0)),4),")")</f>
        <v>(0.0147)</v>
      </c>
      <c r="I17" s="3" t="str">
        <f>_xlfn.CONCAT("(",FIXED(ABS(VLOOKUP($A16,Reg2_sf_first_rob!$A:$AG,I$1+1,0)),4),")")</f>
        <v>(0.0150)</v>
      </c>
    </row>
    <row r="18" spans="1:9" hidden="1" x14ac:dyDescent="0.25">
      <c r="A18">
        <v>13</v>
      </c>
      <c r="B18" t="s">
        <v>211</v>
      </c>
      <c r="D18" s="3" t="str">
        <f>_xlfn.CONCAT(FIXED(VLOOKUP($A18,Reg1_ct_Robust!$A:$AG,D$1,0),4),VLOOKUP($A18,Reg1_ct_Robust!$A:$AG,D$1+25,0))</f>
        <v>0.0592</v>
      </c>
      <c r="E18" s="3" t="str">
        <f>_xlfn.CONCAT(FIXED(VLOOKUP($A18,Reg2_ct_last_rob!$A:$AG,E$1,0),4),VLOOKUP($A18,Reg2_ct_last_rob!$A:$AG,E$1+25,0))</f>
        <v>0.0559</v>
      </c>
      <c r="F18" s="3" t="str">
        <f>_xlfn.CONCAT(FIXED(VLOOKUP($A18,Reg2_ct_first_rob!$A:$AG,F$1,0),4),VLOOKUP($A18,Reg2_ct_first_rob!$A:$AG,F$1+25,0))</f>
        <v>0.0523</v>
      </c>
      <c r="G18" s="3" t="str">
        <f>_xlfn.CONCAT(FIXED(VLOOKUP($A18,Reg1_sf_Robust!$A:$AG,G$1,0),4),VLOOKUP($A18,Reg1_sf_Robust!$A:$AG,G$1+25,0))</f>
        <v>0.1295***</v>
      </c>
      <c r="H18" s="3" t="str">
        <f>_xlfn.CONCAT(FIXED(VLOOKUP($A18,Reg2_sf_last_rob!$A:$AG,H$1,0),4),VLOOKUP($A18,Reg2_sf_last_rob!$A:$AG,H$1+25,0))</f>
        <v>0.1284***</v>
      </c>
      <c r="I18" s="3" t="str">
        <f>_xlfn.CONCAT(FIXED(VLOOKUP($A18,Reg2_sf_first_rob!$A:$AG,I$1,0),4),VLOOKUP($A18,Reg2_sf_first_rob!$A:$AG,I$1+25,0))</f>
        <v>0.1257***</v>
      </c>
    </row>
    <row r="19" spans="1:9" hidden="1" x14ac:dyDescent="0.25">
      <c r="A19">
        <v>14</v>
      </c>
      <c r="D19" s="3" t="str">
        <f>_xlfn.CONCAT("(",FIXED(ABS(VLOOKUP($A18,Reg1_ct_Robust!$A:$AG,D$1+1,0)),4),")")</f>
        <v>(0.0348)</v>
      </c>
      <c r="E19" s="3" t="str">
        <f>_xlfn.CONCAT("(",FIXED(ABS(VLOOKUP($A18,Reg2_ct_last_rob!$A:$AG,E$1+1,0)),4),")")</f>
        <v>(0.0358)</v>
      </c>
      <c r="F19" s="3" t="str">
        <f>_xlfn.CONCAT("(",FIXED(ABS(VLOOKUP($A18,Reg2_ct_first_rob!$A:$AG,F$1+1,0)),4),")")</f>
        <v>(0.0329)</v>
      </c>
      <c r="G19" s="3" t="str">
        <f>_xlfn.CONCAT("(",FIXED(ABS(VLOOKUP($A18,Reg1_sf_Robust!$A:$AG,G$1+1,0)),4),")")</f>
        <v>(0.0134)</v>
      </c>
      <c r="H19" s="3" t="str">
        <f>_xlfn.CONCAT("(",FIXED(ABS(VLOOKUP($A18,Reg2_sf_last_rob!$A:$AG,H$1+1,0)),4),")")</f>
        <v>(0.0163)</v>
      </c>
      <c r="I19" s="3" t="str">
        <f>_xlfn.CONCAT("(",FIXED(ABS(VLOOKUP($A18,Reg2_sf_first_rob!$A:$AG,I$1+1,0)),4),")")</f>
        <v>(0.0150)</v>
      </c>
    </row>
    <row r="20" spans="1:9" hidden="1" x14ac:dyDescent="0.25">
      <c r="A20">
        <v>15</v>
      </c>
      <c r="B20" t="s">
        <v>214</v>
      </c>
      <c r="D20" s="3" t="str">
        <f>_xlfn.CONCAT(FIXED(VLOOKUP($A20,Reg1_ct_Robust!$A:$AG,D$1,0),4),VLOOKUP($A20,Reg1_ct_Robust!$A:$AG,D$1+25,0))</f>
        <v>0.1032**</v>
      </c>
      <c r="E20" s="3" t="str">
        <f>_xlfn.CONCAT(FIXED(VLOOKUP($A20,Reg2_ct_last_rob!$A:$AG,E$1,0),4),VLOOKUP($A20,Reg2_ct_last_rob!$A:$AG,E$1+25,0))</f>
        <v>0.0992**</v>
      </c>
      <c r="F20" s="3" t="str">
        <f>_xlfn.CONCAT(FIXED(VLOOKUP($A20,Reg2_ct_first_rob!$A:$AG,F$1,0),4),VLOOKUP($A20,Reg2_ct_first_rob!$A:$AG,F$1+25,0))</f>
        <v>0.0948**</v>
      </c>
      <c r="G20" s="3" t="str">
        <f>_xlfn.CONCAT(FIXED(VLOOKUP($A20,Reg1_sf_Robust!$A:$AG,G$1,0),4),VLOOKUP($A20,Reg1_sf_Robust!$A:$AG,G$1+25,0))</f>
        <v>0.1730***</v>
      </c>
      <c r="H20" s="3" t="str">
        <f>_xlfn.CONCAT(FIXED(VLOOKUP($A20,Reg2_sf_last_rob!$A:$AG,H$1,0),4),VLOOKUP($A20,Reg2_sf_last_rob!$A:$AG,H$1+25,0))</f>
        <v>0.1739***</v>
      </c>
      <c r="I20" s="3" t="str">
        <f>_xlfn.CONCAT(FIXED(VLOOKUP($A20,Reg2_sf_first_rob!$A:$AG,I$1,0),4),VLOOKUP($A20,Reg2_sf_first_rob!$A:$AG,I$1+25,0))</f>
        <v>0.1687***</v>
      </c>
    </row>
    <row r="21" spans="1:9" hidden="1" x14ac:dyDescent="0.25">
      <c r="A21">
        <v>16</v>
      </c>
      <c r="D21" s="3" t="str">
        <f>_xlfn.CONCAT("(",FIXED(ABS(VLOOKUP($A20,Reg1_ct_Robust!$A:$AG,D$1+1,0)),4),")")</f>
        <v>(0.0370)</v>
      </c>
      <c r="E21" s="3" t="str">
        <f>_xlfn.CONCAT("(",FIXED(ABS(VLOOKUP($A20,Reg2_ct_last_rob!$A:$AG,E$1+1,0)),4),")")</f>
        <v>(0.0374)</v>
      </c>
      <c r="F21" s="3" t="str">
        <f>_xlfn.CONCAT("(",FIXED(ABS(VLOOKUP($A20,Reg2_ct_first_rob!$A:$AG,F$1+1,0)),4),")")</f>
        <v>(0.0342)</v>
      </c>
      <c r="G21" s="3" t="str">
        <f>_xlfn.CONCAT("(",FIXED(ABS(VLOOKUP($A20,Reg1_sf_Robust!$A:$AG,G$1+1,0)),4),")")</f>
        <v>(0.0155)</v>
      </c>
      <c r="H21" s="3" t="str">
        <f>_xlfn.CONCAT("(",FIXED(ABS(VLOOKUP($A20,Reg2_sf_last_rob!$A:$AG,H$1+1,0)),4),")")</f>
        <v>(0.0180)</v>
      </c>
      <c r="I21" s="3" t="str">
        <f>_xlfn.CONCAT("(",FIXED(ABS(VLOOKUP($A20,Reg2_sf_first_rob!$A:$AG,I$1+1,0)),4),")")</f>
        <v>(0.0168)</v>
      </c>
    </row>
    <row r="22" spans="1:9" hidden="1" x14ac:dyDescent="0.25">
      <c r="A22">
        <v>17</v>
      </c>
      <c r="B22" t="s">
        <v>219</v>
      </c>
      <c r="D22" s="3" t="str">
        <f>_xlfn.CONCAT(FIXED(VLOOKUP($A22,Reg1_ct_Robust!$A:$AG,D$1,0),4),VLOOKUP($A22,Reg1_ct_Robust!$A:$AG,D$1+25,0))</f>
        <v>0.0568</v>
      </c>
      <c r="E22" s="3" t="str">
        <f>_xlfn.CONCAT(FIXED(VLOOKUP($A22,Reg2_ct_last_rob!$A:$AG,E$1,0),4),VLOOKUP($A22,Reg2_ct_last_rob!$A:$AG,E$1+25,0))</f>
        <v>0.0428</v>
      </c>
      <c r="F22" s="3" t="str">
        <f>_xlfn.CONCAT(FIXED(VLOOKUP($A22,Reg2_ct_first_rob!$A:$AG,F$1,0),4),VLOOKUP($A22,Reg2_ct_first_rob!$A:$AG,F$1+25,0))</f>
        <v>0.0605</v>
      </c>
      <c r="G22" s="3" t="str">
        <f>_xlfn.CONCAT(FIXED(VLOOKUP($A22,Reg1_sf_Robust!$A:$AG,G$1,0),4),VLOOKUP($A22,Reg1_sf_Robust!$A:$AG,G$1+25,0))</f>
        <v>0.1389***</v>
      </c>
      <c r="H22" s="3" t="str">
        <f>_xlfn.CONCAT(FIXED(VLOOKUP($A22,Reg2_sf_last_rob!$A:$AG,H$1,0),4),VLOOKUP($A22,Reg2_sf_last_rob!$A:$AG,H$1+25,0))</f>
        <v>0.1441***</v>
      </c>
      <c r="I22" s="3" t="str">
        <f>_xlfn.CONCAT(FIXED(VLOOKUP($A22,Reg2_sf_first_rob!$A:$AG,I$1,0),4),VLOOKUP($A22,Reg2_sf_first_rob!$A:$AG,I$1+25,0))</f>
        <v>0.1338***</v>
      </c>
    </row>
    <row r="23" spans="1:9" hidden="1" x14ac:dyDescent="0.25">
      <c r="A23">
        <v>18</v>
      </c>
      <c r="D23" s="3" t="str">
        <f>_xlfn.CONCAT("(",FIXED(ABS(VLOOKUP($A22,Reg1_ct_Robust!$A:$AG,D$1+1,0)),4),")")</f>
        <v>(0.0815)</v>
      </c>
      <c r="E23" s="3" t="str">
        <f>_xlfn.CONCAT("(",FIXED(ABS(VLOOKUP($A22,Reg2_ct_last_rob!$A:$AG,E$1+1,0)),4),")")</f>
        <v>(0.0825)</v>
      </c>
      <c r="F23" s="3" t="str">
        <f>_xlfn.CONCAT("(",FIXED(ABS(VLOOKUP($A22,Reg2_ct_first_rob!$A:$AG,F$1+1,0)),4),")")</f>
        <v>(0.0977)</v>
      </c>
      <c r="G23" s="3" t="str">
        <f>_xlfn.CONCAT("(",FIXED(ABS(VLOOKUP($A22,Reg1_sf_Robust!$A:$AG,G$1+1,0)),4),")")</f>
        <v>(0.0268)</v>
      </c>
      <c r="H23" s="3" t="str">
        <f>_xlfn.CONCAT("(",FIXED(ABS(VLOOKUP($A22,Reg2_sf_last_rob!$A:$AG,H$1+1,0)),4),")")</f>
        <v>(0.0322)</v>
      </c>
      <c r="I23" s="3" t="str">
        <f>_xlfn.CONCAT("(",FIXED(ABS(VLOOKUP($A22,Reg2_sf_first_rob!$A:$AG,I$1+1,0)),4),")")</f>
        <v>(0.0268)</v>
      </c>
    </row>
    <row r="24" spans="1:9" x14ac:dyDescent="0.25">
      <c r="A24">
        <v>19</v>
      </c>
      <c r="B24" t="s">
        <v>15</v>
      </c>
      <c r="C24" t="s">
        <v>410</v>
      </c>
      <c r="D24" s="3" t="str">
        <f>_xlfn.CONCAT(FIXED(VLOOKUP($A24,Reg1_ct_Robust!$A:$AG,D$1,0),4),VLOOKUP($A24,Reg1_ct_Robust!$A:$AG,D$1+25,0))</f>
        <v>0.0597*</v>
      </c>
      <c r="E24" s="3" t="str">
        <f>_xlfn.CONCAT(FIXED(VLOOKUP($A24,Reg2_ct_last_rob!$A:$AG,E$1,0),4),VLOOKUP($A24,Reg2_ct_last_rob!$A:$AG,E$1+25,0))</f>
        <v>0.0596*</v>
      </c>
      <c r="F24" s="3" t="str">
        <f>_xlfn.CONCAT(FIXED(VLOOKUP($A24,Reg2_ct_first_rob!$A:$AG,F$1,0),4),VLOOKUP($A24,Reg2_ct_first_rob!$A:$AG,F$1+25,0))</f>
        <v>0.0597*</v>
      </c>
      <c r="G24" s="3" t="str">
        <f>_xlfn.CONCAT(FIXED(VLOOKUP($A24,Reg1_sf_Robust!$A:$AG,G$1,0),4),VLOOKUP($A24,Reg1_sf_Robust!$A:$AG,G$1+25,0))</f>
        <v>-0.0313***</v>
      </c>
      <c r="H24" s="3" t="str">
        <f>_xlfn.CONCAT(FIXED(VLOOKUP($A24,Reg2_sf_last_rob!$A:$AG,H$1,0),4),VLOOKUP($A24,Reg2_sf_last_rob!$A:$AG,H$1+25,0))</f>
        <v>-0.0327***</v>
      </c>
      <c r="I24" s="3" t="str">
        <f>_xlfn.CONCAT(FIXED(VLOOKUP($A24,Reg2_sf_first_rob!$A:$AG,I$1,0),4),VLOOKUP($A24,Reg2_sf_first_rob!$A:$AG,I$1+25,0))</f>
        <v>-0.0315***</v>
      </c>
    </row>
    <row r="25" spans="1:9" x14ac:dyDescent="0.25">
      <c r="A25">
        <v>20</v>
      </c>
      <c r="D25" s="3" t="str">
        <f>_xlfn.CONCAT("(",FIXED(ABS(VLOOKUP($A24,Reg1_ct_Robust!$A:$AG,D$1+1,0)),4),")")</f>
        <v>(0.0276)</v>
      </c>
      <c r="E25" s="3" t="str">
        <f>_xlfn.CONCAT("(",FIXED(ABS(VLOOKUP($A24,Reg2_ct_last_rob!$A:$AG,E$1+1,0)),4),")")</f>
        <v>(0.0278)</v>
      </c>
      <c r="F25" s="3" t="str">
        <f>_xlfn.CONCAT("(",FIXED(ABS(VLOOKUP($A24,Reg2_ct_first_rob!$A:$AG,F$1+1,0)),4),")")</f>
        <v>(0.0277)</v>
      </c>
      <c r="G25" s="3" t="str">
        <f>_xlfn.CONCAT("(",FIXED(ABS(VLOOKUP($A24,Reg1_sf_Robust!$A:$AG,G$1+1,0)),4),")")</f>
        <v>(0.0056)</v>
      </c>
      <c r="H25" s="3" t="str">
        <f>_xlfn.CONCAT("(",FIXED(ABS(VLOOKUP($A24,Reg2_sf_last_rob!$A:$AG,H$1+1,0)),4),")")</f>
        <v>(0.0054)</v>
      </c>
      <c r="I25" s="3" t="str">
        <f>_xlfn.CONCAT("(",FIXED(ABS(VLOOKUP($A24,Reg2_sf_first_rob!$A:$AG,I$1+1,0)),4),")")</f>
        <v>(0.0054)</v>
      </c>
    </row>
    <row r="26" spans="1:9" x14ac:dyDescent="0.25">
      <c r="A26">
        <v>21</v>
      </c>
      <c r="B26" t="s">
        <v>13</v>
      </c>
      <c r="C26" t="s">
        <v>411</v>
      </c>
      <c r="D26" s="3" t="str">
        <f>_xlfn.CONCAT(FIXED(VLOOKUP($A26,Reg1_ct_Robust!$A:$AG,D$1,0),4),VLOOKUP($A26,Reg1_ct_Robust!$A:$AG,D$1+25,0))</f>
        <v>0.0589*</v>
      </c>
      <c r="E26" s="3" t="str">
        <f>_xlfn.CONCAT(FIXED(VLOOKUP($A26,Reg2_ct_last_rob!$A:$AG,E$1,0),4),VLOOKUP($A26,Reg2_ct_last_rob!$A:$AG,E$1+25,0))</f>
        <v>0.0623*</v>
      </c>
      <c r="F26" s="3" t="str">
        <f>_xlfn.CONCAT(FIXED(VLOOKUP($A26,Reg2_ct_first_rob!$A:$AG,F$1,0),4),VLOOKUP($A26,Reg2_ct_first_rob!$A:$AG,F$1+25,0))</f>
        <v>0.0606*</v>
      </c>
      <c r="G26" s="3" t="str">
        <f>_xlfn.CONCAT(FIXED(VLOOKUP($A26,Reg1_sf_Robust!$A:$AG,G$1,0),4),VLOOKUP($A26,Reg1_sf_Robust!$A:$AG,G$1+25,0))</f>
        <v>0.0630***</v>
      </c>
      <c r="H26" s="3" t="str">
        <f>_xlfn.CONCAT(FIXED(VLOOKUP($A26,Reg2_sf_last_rob!$A:$AG,H$1,0),4),VLOOKUP($A26,Reg2_sf_last_rob!$A:$AG,H$1+25,0))</f>
        <v>0.0682***</v>
      </c>
      <c r="I26" s="3" t="str">
        <f>_xlfn.CONCAT(FIXED(VLOOKUP($A26,Reg2_sf_first_rob!$A:$AG,I$1,0),4),VLOOKUP($A26,Reg2_sf_first_rob!$A:$AG,I$1+25,0))</f>
        <v>0.0639***</v>
      </c>
    </row>
    <row r="27" spans="1:9" x14ac:dyDescent="0.25">
      <c r="A27">
        <v>22</v>
      </c>
      <c r="D27" s="3" t="str">
        <f>_xlfn.CONCAT("(",FIXED(ABS(VLOOKUP($A26,Reg1_ct_Robust!$A:$AG,D$1+1,0)),4),")")</f>
        <v>(0.0291)</v>
      </c>
      <c r="E27" s="3" t="str">
        <f>_xlfn.CONCAT("(",FIXED(ABS(VLOOKUP($A26,Reg2_ct_last_rob!$A:$AG,E$1+1,0)),4),")")</f>
        <v>(0.0291)</v>
      </c>
      <c r="F27" s="3" t="str">
        <f>_xlfn.CONCAT("(",FIXED(ABS(VLOOKUP($A26,Reg2_ct_first_rob!$A:$AG,F$1+1,0)),4),")")</f>
        <v>(0.0297)</v>
      </c>
      <c r="G27" s="3" t="str">
        <f>_xlfn.CONCAT("(",FIXED(ABS(VLOOKUP($A26,Reg1_sf_Robust!$A:$AG,G$1+1,0)),4),")")</f>
        <v>(0.0067)</v>
      </c>
      <c r="H27" s="3" t="str">
        <f>_xlfn.CONCAT("(",FIXED(ABS(VLOOKUP($A26,Reg2_sf_last_rob!$A:$AG,H$1+1,0)),4),")")</f>
        <v>(0.0064)</v>
      </c>
      <c r="I27" s="3" t="str">
        <f>_xlfn.CONCAT("(",FIXED(ABS(VLOOKUP($A26,Reg2_sf_first_rob!$A:$AG,I$1+1,0)),4),")")</f>
        <v>(0.0065)</v>
      </c>
    </row>
    <row r="28" spans="1:9" x14ac:dyDescent="0.25">
      <c r="A28">
        <v>23</v>
      </c>
      <c r="B28" t="s">
        <v>14</v>
      </c>
      <c r="C28" t="s">
        <v>412</v>
      </c>
      <c r="D28" s="3" t="str">
        <f>_xlfn.CONCAT(FIXED(VLOOKUP($A28,Reg1_ct_Robust!$A:$AG,D$1,0),4),VLOOKUP($A28,Reg1_ct_Robust!$A:$AG,D$1+25,0))</f>
        <v>0.0273</v>
      </c>
      <c r="E28" s="3" t="str">
        <f>_xlfn.CONCAT(FIXED(VLOOKUP($A28,Reg2_ct_last_rob!$A:$AG,E$1,0),4),VLOOKUP($A28,Reg2_ct_last_rob!$A:$AG,E$1+25,0))</f>
        <v>0.0260</v>
      </c>
      <c r="F28" s="3" t="str">
        <f>_xlfn.CONCAT(FIXED(VLOOKUP($A28,Reg2_ct_first_rob!$A:$AG,F$1,0),4),VLOOKUP($A28,Reg2_ct_first_rob!$A:$AG,F$1+25,0))</f>
        <v>0.0225</v>
      </c>
      <c r="G28" s="3" t="str">
        <f>_xlfn.CONCAT(FIXED(VLOOKUP($A28,Reg1_sf_Robust!$A:$AG,G$1,0),4),VLOOKUP($A28,Reg1_sf_Robust!$A:$AG,G$1+25,0))</f>
        <v>0.0372***</v>
      </c>
      <c r="H28" s="3" t="str">
        <f>_xlfn.CONCAT(FIXED(VLOOKUP($A28,Reg2_sf_last_rob!$A:$AG,H$1,0),4),VLOOKUP($A28,Reg2_sf_last_rob!$A:$AG,H$1+25,0))</f>
        <v>0.0401***</v>
      </c>
      <c r="I28" s="3" t="str">
        <f>_xlfn.CONCAT(FIXED(VLOOKUP($A28,Reg2_sf_first_rob!$A:$AG,I$1,0),4),VLOOKUP($A28,Reg2_sf_first_rob!$A:$AG,I$1+25,0))</f>
        <v>0.0379***</v>
      </c>
    </row>
    <row r="29" spans="1:9" x14ac:dyDescent="0.25">
      <c r="A29">
        <v>24</v>
      </c>
      <c r="D29" s="3" t="str">
        <f>_xlfn.CONCAT("(",FIXED(ABS(VLOOKUP($A28,Reg1_ct_Robust!$A:$AG,D$1+1,0)),4),")")</f>
        <v>(0.0236)</v>
      </c>
      <c r="E29" s="3" t="str">
        <f>_xlfn.CONCAT("(",FIXED(ABS(VLOOKUP($A28,Reg2_ct_last_rob!$A:$AG,E$1+1,0)),4),")")</f>
        <v>(0.0250)</v>
      </c>
      <c r="F29" s="3" t="str">
        <f>_xlfn.CONCAT("(",FIXED(ABS(VLOOKUP($A28,Reg2_ct_first_rob!$A:$AG,F$1+1,0)),4),")")</f>
        <v>(0.0249)</v>
      </c>
      <c r="G29" s="3" t="str">
        <f>_xlfn.CONCAT("(",FIXED(ABS(VLOOKUP($A28,Reg1_sf_Robust!$A:$AG,G$1+1,0)),4),")")</f>
        <v>(0.0076)</v>
      </c>
      <c r="H29" s="3" t="str">
        <f>_xlfn.CONCAT("(",FIXED(ABS(VLOOKUP($A28,Reg2_sf_last_rob!$A:$AG,H$1+1,0)),4),")")</f>
        <v>(0.0067)</v>
      </c>
      <c r="I29" s="3" t="str">
        <f>_xlfn.CONCAT("(",FIXED(ABS(VLOOKUP($A28,Reg2_sf_first_rob!$A:$AG,I$1+1,0)),4),")")</f>
        <v>(0.0067)</v>
      </c>
    </row>
    <row r="30" spans="1:9" x14ac:dyDescent="0.25">
      <c r="A30">
        <v>25</v>
      </c>
      <c r="B30" t="s">
        <v>59</v>
      </c>
      <c r="C30" t="s">
        <v>413</v>
      </c>
      <c r="D30" s="3" t="str">
        <f>_xlfn.CONCAT(FIXED(VLOOKUP($A30,Reg1_ct_Robust!$A:$AG,D$1,0),4),VLOOKUP($A30,Reg1_ct_Robust!$A:$AG,D$1+25,0))</f>
        <v>-0.0315</v>
      </c>
      <c r="E30" s="3" t="str">
        <f>_xlfn.CONCAT(FIXED(VLOOKUP($A30,Reg2_ct_last_rob!$A:$AG,E$1,0),4),VLOOKUP($A30,Reg2_ct_last_rob!$A:$AG,E$1+25,0))</f>
        <v>-0.0300</v>
      </c>
      <c r="F30" s="3" t="str">
        <f>_xlfn.CONCAT(FIXED(VLOOKUP($A30,Reg2_ct_first_rob!$A:$AG,F$1,0),4),VLOOKUP($A30,Reg2_ct_first_rob!$A:$AG,F$1+25,0))</f>
        <v>-0.0314</v>
      </c>
      <c r="G30" s="3" t="str">
        <f>_xlfn.CONCAT(FIXED(VLOOKUP($A30,Reg1_sf_Robust!$A:$AG,G$1,0),4),VLOOKUP($A30,Reg1_sf_Robust!$A:$AG,G$1+25,0))</f>
        <v>-0.0447***</v>
      </c>
      <c r="H30" s="3" t="str">
        <f>_xlfn.CONCAT(FIXED(VLOOKUP($A30,Reg2_sf_last_rob!$A:$AG,H$1,0),4),VLOOKUP($A30,Reg2_sf_last_rob!$A:$AG,H$1+25,0))</f>
        <v>-0.0450***</v>
      </c>
      <c r="I30" s="3" t="str">
        <f>_xlfn.CONCAT(FIXED(VLOOKUP($A30,Reg2_sf_first_rob!$A:$AG,I$1,0),4),VLOOKUP($A30,Reg2_sf_first_rob!$A:$AG,I$1+25,0))</f>
        <v>-0.0433***</v>
      </c>
    </row>
    <row r="31" spans="1:9" x14ac:dyDescent="0.25">
      <c r="A31">
        <v>26</v>
      </c>
      <c r="D31" s="3" t="str">
        <f>_xlfn.CONCAT("(",FIXED(ABS(VLOOKUP($A30,Reg1_ct_Robust!$A:$AG,D$1+1,0)),4),")")</f>
        <v>(0.0220)</v>
      </c>
      <c r="E31" s="3" t="str">
        <f>_xlfn.CONCAT("(",FIXED(ABS(VLOOKUP($A30,Reg2_ct_last_rob!$A:$AG,E$1+1,0)),4),")")</f>
        <v>(0.0223)</v>
      </c>
      <c r="F31" s="3" t="str">
        <f>_xlfn.CONCAT("(",FIXED(ABS(VLOOKUP($A30,Reg2_ct_first_rob!$A:$AG,F$1+1,0)),4),")")</f>
        <v>(0.0229)</v>
      </c>
      <c r="G31" s="3" t="str">
        <f>_xlfn.CONCAT("(",FIXED(ABS(VLOOKUP($A30,Reg1_sf_Robust!$A:$AG,G$1+1,0)),4),")")</f>
        <v>(0.0088)</v>
      </c>
      <c r="H31" s="3" t="str">
        <f>_xlfn.CONCAT("(",FIXED(ABS(VLOOKUP($A30,Reg2_sf_last_rob!$A:$AG,H$1+1,0)),4),")")</f>
        <v>(0.0087)</v>
      </c>
      <c r="I31" s="3" t="str">
        <f>_xlfn.CONCAT("(",FIXED(ABS(VLOOKUP($A30,Reg2_sf_first_rob!$A:$AG,I$1+1,0)),4),")")</f>
        <v>(0.0085)</v>
      </c>
    </row>
    <row r="32" spans="1:9" x14ac:dyDescent="0.25">
      <c r="A32">
        <v>27</v>
      </c>
      <c r="B32" t="s">
        <v>60</v>
      </c>
      <c r="C32" t="s">
        <v>414</v>
      </c>
      <c r="D32" s="3" t="str">
        <f>_xlfn.CONCAT(FIXED(VLOOKUP($A32,Reg1_ct_Robust!$A:$AG,D$1,0),4),VLOOKUP($A32,Reg1_ct_Robust!$A:$AG,D$1+25,0))</f>
        <v>-0.0071</v>
      </c>
      <c r="E32" s="3" t="str">
        <f>_xlfn.CONCAT(FIXED(VLOOKUP($A32,Reg2_ct_last_rob!$A:$AG,E$1,0),4),VLOOKUP($A32,Reg2_ct_last_rob!$A:$AG,E$1+25,0))</f>
        <v>-0.0043</v>
      </c>
      <c r="F32" s="3" t="str">
        <f>_xlfn.CONCAT(FIXED(VLOOKUP($A32,Reg2_ct_first_rob!$A:$AG,F$1,0),4),VLOOKUP($A32,Reg2_ct_first_rob!$A:$AG,F$1+25,0))</f>
        <v>-0.0061</v>
      </c>
      <c r="G32" s="3" t="str">
        <f>_xlfn.CONCAT(FIXED(VLOOKUP($A32,Reg1_sf_Robust!$A:$AG,G$1,0),4),VLOOKUP($A32,Reg1_sf_Robust!$A:$AG,G$1+25,0))</f>
        <v>-0.0756***</v>
      </c>
      <c r="H32" s="3" t="str">
        <f>_xlfn.CONCAT(FIXED(VLOOKUP($A32,Reg2_sf_last_rob!$A:$AG,H$1,0),4),VLOOKUP($A32,Reg2_sf_last_rob!$A:$AG,H$1+25,0))</f>
        <v>-0.0753***</v>
      </c>
      <c r="I32" s="3" t="str">
        <f>_xlfn.CONCAT(FIXED(VLOOKUP($A32,Reg2_sf_first_rob!$A:$AG,I$1,0),4),VLOOKUP($A32,Reg2_sf_first_rob!$A:$AG,I$1+25,0))</f>
        <v>-0.0701***</v>
      </c>
    </row>
    <row r="33" spans="1:9" x14ac:dyDescent="0.25">
      <c r="A33">
        <v>28</v>
      </c>
      <c r="D33" s="3" t="str">
        <f>_xlfn.CONCAT("(",FIXED(ABS(VLOOKUP($A32,Reg1_ct_Robust!$A:$AG,D$1+1,0)),4),")")</f>
        <v>(0.0116)</v>
      </c>
      <c r="E33" s="3" t="str">
        <f>_xlfn.CONCAT("(",FIXED(ABS(VLOOKUP($A32,Reg2_ct_last_rob!$A:$AG,E$1+1,0)),4),")")</f>
        <v>(0.0125)</v>
      </c>
      <c r="F33" s="3" t="str">
        <f>_xlfn.CONCAT("(",FIXED(ABS(VLOOKUP($A32,Reg2_ct_first_rob!$A:$AG,F$1+1,0)),4),")")</f>
        <v>(0.0117)</v>
      </c>
      <c r="G33" s="3" t="str">
        <f>_xlfn.CONCAT("(",FIXED(ABS(VLOOKUP($A32,Reg1_sf_Robust!$A:$AG,G$1+1,0)),4),")")</f>
        <v>(0.0133)</v>
      </c>
      <c r="H33" s="3" t="str">
        <f>_xlfn.CONCAT("(",FIXED(ABS(VLOOKUP($A32,Reg2_sf_last_rob!$A:$AG,H$1+1,0)),4),")")</f>
        <v>(0.0169)</v>
      </c>
      <c r="I33" s="3" t="str">
        <f>_xlfn.CONCAT("(",FIXED(ABS(VLOOKUP($A32,Reg2_sf_first_rob!$A:$AG,I$1+1,0)),4),")")</f>
        <v>(0.0139)</v>
      </c>
    </row>
    <row r="34" spans="1:9" x14ac:dyDescent="0.25">
      <c r="A34">
        <v>29</v>
      </c>
      <c r="B34" t="s">
        <v>18</v>
      </c>
      <c r="C34" t="s">
        <v>415</v>
      </c>
      <c r="D34" s="3" t="str">
        <f>_xlfn.CONCAT(FIXED(VLOOKUP($A34,Reg1_ct_Robust!$A:$AG,D$1,0),4),VLOOKUP($A34,Reg1_ct_Robust!$A:$AG,D$1+25,0))</f>
        <v>0.0005***</v>
      </c>
      <c r="E34" s="3" t="str">
        <f>_xlfn.CONCAT(FIXED(VLOOKUP($A34,Reg2_ct_last_rob!$A:$AG,E$1,0),4),VLOOKUP($A34,Reg2_ct_last_rob!$A:$AG,E$1+25,0))</f>
        <v>0.0005***</v>
      </c>
      <c r="F34" s="3" t="str">
        <f>_xlfn.CONCAT(FIXED(VLOOKUP($A34,Reg2_ct_first_rob!$A:$AG,F$1,0),4),VLOOKUP($A34,Reg2_ct_first_rob!$A:$AG,F$1+25,0))</f>
        <v>0.0005***</v>
      </c>
      <c r="G34" s="3" t="str">
        <f>_xlfn.CONCAT(FIXED(VLOOKUP($A34,Reg1_sf_Robust!$A:$AG,G$1,0),4),VLOOKUP($A34,Reg1_sf_Robust!$A:$AG,G$1+25,0))</f>
        <v>0.0002***</v>
      </c>
      <c r="H34" s="3" t="str">
        <f>_xlfn.CONCAT(FIXED(VLOOKUP($A34,Reg2_sf_last_rob!$A:$AG,H$1,0),4),VLOOKUP($A34,Reg2_sf_last_rob!$A:$AG,H$1+25,0))</f>
        <v>0.0002***</v>
      </c>
      <c r="I34" s="3" t="str">
        <f>_xlfn.CONCAT(FIXED(VLOOKUP($A34,Reg2_sf_first_rob!$A:$AG,I$1,0),4),VLOOKUP($A34,Reg2_sf_first_rob!$A:$AG,I$1+25,0))</f>
        <v>0.0002***</v>
      </c>
    </row>
    <row r="35" spans="1:9" x14ac:dyDescent="0.25">
      <c r="A35">
        <v>30</v>
      </c>
      <c r="D35" s="3" t="str">
        <f>_xlfn.CONCAT("(",FIXED(ABS(VLOOKUP($A34,Reg1_ct_Robust!$A:$AG,D$1+1,0)),4),")")</f>
        <v>(0.0001)</v>
      </c>
      <c r="E35" s="3" t="str">
        <f>_xlfn.CONCAT("(",FIXED(ABS(VLOOKUP($A34,Reg2_ct_last_rob!$A:$AG,E$1+1,0)),4),")")</f>
        <v>(0.0001)</v>
      </c>
      <c r="F35" s="3" t="str">
        <f>_xlfn.CONCAT("(",FIXED(ABS(VLOOKUP($A34,Reg2_ct_first_rob!$A:$AG,F$1+1,0)),4),")")</f>
        <v>(0.0001)</v>
      </c>
      <c r="G35" s="3" t="str">
        <f>_xlfn.CONCAT("(",FIXED(ABS(VLOOKUP($A34,Reg1_sf_Robust!$A:$AG,G$1+1,0)),4),")")</f>
        <v>(0.0000)</v>
      </c>
      <c r="H35" s="3" t="str">
        <f>_xlfn.CONCAT("(",FIXED(ABS(VLOOKUP($A34,Reg2_sf_last_rob!$A:$AG,H$1+1,0)),4),")")</f>
        <v>(0.0000)</v>
      </c>
      <c r="I35" s="3" t="str">
        <f>_xlfn.CONCAT("(",FIXED(ABS(VLOOKUP($A34,Reg2_sf_first_rob!$A:$AG,I$1+1,0)),4),")")</f>
        <v>(0.0000)</v>
      </c>
    </row>
    <row r="36" spans="1:9" x14ac:dyDescent="0.25">
      <c r="A36">
        <v>31</v>
      </c>
      <c r="B36" t="s">
        <v>33</v>
      </c>
      <c r="C36" t="s">
        <v>33</v>
      </c>
      <c r="D36" s="3" t="str">
        <f>_xlfn.CONCAT(FIXED(VLOOKUP($A36,Reg1_ct_Robust!$A:$AG,D$1,0),4),VLOOKUP($A36,Reg1_ct_Robust!$A:$AG,D$1+25,0))</f>
        <v>-0.0223**</v>
      </c>
      <c r="E36" s="3" t="str">
        <f>_xlfn.CONCAT(FIXED(VLOOKUP($A36,Reg2_ct_last_rob!$A:$AG,E$1,0),4),VLOOKUP($A36,Reg2_ct_last_rob!$A:$AG,E$1+25,0))</f>
        <v>-0.0231**</v>
      </c>
      <c r="F36" s="3" t="str">
        <f>_xlfn.CONCAT(FIXED(VLOOKUP($A36,Reg2_ct_first_rob!$A:$AG,F$1,0),4),VLOOKUP($A36,Reg2_ct_first_rob!$A:$AG,F$1+25,0))</f>
        <v>-0.0227**</v>
      </c>
      <c r="G36" s="3" t="str">
        <f>_xlfn.CONCAT(FIXED(VLOOKUP($A36,Reg1_sf_Robust!$A:$AG,G$1,0),4),VLOOKUP($A36,Reg1_sf_Robust!$A:$AG,G$1+25,0))</f>
        <v>-0.0009</v>
      </c>
      <c r="H36" s="3" t="str">
        <f>_xlfn.CONCAT(FIXED(VLOOKUP($A36,Reg2_sf_last_rob!$A:$AG,H$1,0),4),VLOOKUP($A36,Reg2_sf_last_rob!$A:$AG,H$1+25,0))</f>
        <v>-0.0009</v>
      </c>
      <c r="I36" s="3" t="str">
        <f>_xlfn.CONCAT(FIXED(VLOOKUP($A36,Reg2_sf_first_rob!$A:$AG,I$1,0),4),VLOOKUP($A36,Reg2_sf_first_rob!$A:$AG,I$1+25,0))</f>
        <v>-0.0008</v>
      </c>
    </row>
    <row r="37" spans="1:9" x14ac:dyDescent="0.25">
      <c r="A37">
        <v>32</v>
      </c>
      <c r="D37" s="3" t="str">
        <f>_xlfn.CONCAT("(",FIXED(ABS(VLOOKUP($A36,Reg1_ct_Robust!$A:$AG,D$1+1,0)),4),")")</f>
        <v>(0.0069)</v>
      </c>
      <c r="E37" s="3" t="str">
        <f>_xlfn.CONCAT("(",FIXED(ABS(VLOOKUP($A36,Reg2_ct_last_rob!$A:$AG,E$1+1,0)),4),")")</f>
        <v>(0.0071)</v>
      </c>
      <c r="F37" s="3" t="str">
        <f>_xlfn.CONCAT("(",FIXED(ABS(VLOOKUP($A36,Reg2_ct_first_rob!$A:$AG,F$1+1,0)),4),")")</f>
        <v>(0.0069)</v>
      </c>
      <c r="G37" s="3" t="str">
        <f>_xlfn.CONCAT("(",FIXED(ABS(VLOOKUP($A36,Reg1_sf_Robust!$A:$AG,G$1+1,0)),4),")")</f>
        <v>(0.0010)</v>
      </c>
      <c r="H37" s="3" t="str">
        <f>_xlfn.CONCAT("(",FIXED(ABS(VLOOKUP($A36,Reg2_sf_last_rob!$A:$AG,H$1+1,0)),4),")")</f>
        <v>(0.0010)</v>
      </c>
      <c r="I37" s="3" t="str">
        <f>_xlfn.CONCAT("(",FIXED(ABS(VLOOKUP($A36,Reg2_sf_first_rob!$A:$AG,I$1+1,0)),4),")")</f>
        <v>(0.0009)</v>
      </c>
    </row>
    <row r="38" spans="1:9" x14ac:dyDescent="0.25">
      <c r="A38">
        <v>33</v>
      </c>
      <c r="B38" t="s">
        <v>34</v>
      </c>
      <c r="C38" t="s">
        <v>34</v>
      </c>
      <c r="D38" s="3" t="str">
        <f>_xlfn.CONCAT(FIXED(VLOOKUP($A38,Reg1_ct_Robust!$A:$AG,D$1,0),4),VLOOKUP($A38,Reg1_ct_Robust!$A:$AG,D$1+25,0))</f>
        <v>0.2209**</v>
      </c>
      <c r="E38" s="3" t="str">
        <f>_xlfn.CONCAT(FIXED(VLOOKUP($A38,Reg2_ct_last_rob!$A:$AG,E$1,0),4),VLOOKUP($A38,Reg2_ct_last_rob!$A:$AG,E$1+25,0))</f>
        <v>0.2313**</v>
      </c>
      <c r="F38" s="3" t="str">
        <f>_xlfn.CONCAT(FIXED(VLOOKUP($A38,Reg2_ct_first_rob!$A:$AG,F$1,0),4),VLOOKUP($A38,Reg2_ct_first_rob!$A:$AG,F$1+25,0))</f>
        <v>0.2300**</v>
      </c>
      <c r="G38" s="3" t="str">
        <f>_xlfn.CONCAT(FIXED(VLOOKUP($A38,Reg1_sf_Robust!$A:$AG,G$1,0),4),VLOOKUP($A38,Reg1_sf_Robust!$A:$AG,G$1+25,0))</f>
        <v>0.0191*</v>
      </c>
      <c r="H38" s="3" t="str">
        <f>_xlfn.CONCAT(FIXED(VLOOKUP($A38,Reg2_sf_last_rob!$A:$AG,H$1,0),4),VLOOKUP($A38,Reg2_sf_last_rob!$A:$AG,H$1+25,0))</f>
        <v>0.0201*</v>
      </c>
      <c r="I38" s="3" t="str">
        <f>_xlfn.CONCAT(FIXED(VLOOKUP($A38,Reg2_sf_first_rob!$A:$AG,I$1,0),4),VLOOKUP($A38,Reg2_sf_first_rob!$A:$AG,I$1+25,0))</f>
        <v>0.0187*</v>
      </c>
    </row>
    <row r="39" spans="1:9" x14ac:dyDescent="0.25">
      <c r="A39">
        <v>34</v>
      </c>
      <c r="D39" s="3" t="str">
        <f>_xlfn.CONCAT("(",FIXED(ABS(VLOOKUP($A38,Reg1_ct_Robust!$A:$AG,D$1+1,0)),4),")")</f>
        <v>(0.0932)</v>
      </c>
      <c r="E39" s="3" t="str">
        <f>_xlfn.CONCAT("(",FIXED(ABS(VLOOKUP($A38,Reg2_ct_last_rob!$A:$AG,E$1+1,0)),4),")")</f>
        <v>(0.0953)</v>
      </c>
      <c r="F39" s="3" t="str">
        <f>_xlfn.CONCAT("(",FIXED(ABS(VLOOKUP($A38,Reg2_ct_first_rob!$A:$AG,F$1+1,0)),4),")")</f>
        <v>(0.0941)</v>
      </c>
      <c r="G39" s="3" t="str">
        <f>_xlfn.CONCAT("(",FIXED(ABS(VLOOKUP($A38,Reg1_sf_Robust!$A:$AG,G$1+1,0)),4),")")</f>
        <v>(0.0104)</v>
      </c>
      <c r="H39" s="3" t="str">
        <f>_xlfn.CONCAT("(",FIXED(ABS(VLOOKUP($A38,Reg2_sf_last_rob!$A:$AG,H$1+1,0)),4),")")</f>
        <v>(0.0105)</v>
      </c>
      <c r="I39" s="3" t="str">
        <f>_xlfn.CONCAT("(",FIXED(ABS(VLOOKUP($A38,Reg2_sf_first_rob!$A:$AG,I$1+1,0)),4),")")</f>
        <v>(0.0100)</v>
      </c>
    </row>
    <row r="40" spans="1:9" x14ac:dyDescent="0.25">
      <c r="A40">
        <v>35</v>
      </c>
      <c r="B40" t="s">
        <v>21</v>
      </c>
      <c r="C40" t="s">
        <v>21</v>
      </c>
      <c r="D40" s="3" t="str">
        <f>_xlfn.CONCAT(FIXED(VLOOKUP($A40,Reg1_ct_Robust!$A:$AG,D$1,0),4),VLOOKUP($A40,Reg1_ct_Robust!$A:$AG,D$1+25,0))</f>
        <v>0.0053</v>
      </c>
      <c r="E40" s="3" t="str">
        <f>_xlfn.CONCAT(FIXED(VLOOKUP($A40,Reg2_ct_last_rob!$A:$AG,E$1,0),4),VLOOKUP($A40,Reg2_ct_last_rob!$A:$AG,E$1+25,0))</f>
        <v>-0.0010</v>
      </c>
      <c r="F40" s="3" t="str">
        <f>_xlfn.CONCAT(FIXED(VLOOKUP($A40,Reg2_ct_first_rob!$A:$AG,F$1,0),4),VLOOKUP($A40,Reg2_ct_first_rob!$A:$AG,F$1+25,0))</f>
        <v>0.0068</v>
      </c>
      <c r="G40" s="3" t="str">
        <f>_xlfn.CONCAT(FIXED(VLOOKUP($A40,Reg1_sf_Robust!$A:$AG,G$1,0),4),VLOOKUP($A40,Reg1_sf_Robust!$A:$AG,G$1+25,0))</f>
        <v>-0.0425**</v>
      </c>
      <c r="H40" s="3" t="str">
        <f>_xlfn.CONCAT(FIXED(VLOOKUP($A40,Reg2_sf_last_rob!$A:$AG,H$1,0),4),VLOOKUP($A40,Reg2_sf_last_rob!$A:$AG,H$1+25,0))</f>
        <v>-0.0401**</v>
      </c>
      <c r="I40" s="3" t="str">
        <f>_xlfn.CONCAT(FIXED(VLOOKUP($A40,Reg2_sf_first_rob!$A:$AG,I$1,0),4),VLOOKUP($A40,Reg2_sf_first_rob!$A:$AG,I$1+25,0))</f>
        <v>-0.0399**</v>
      </c>
    </row>
    <row r="41" spans="1:9" x14ac:dyDescent="0.25">
      <c r="A41">
        <v>36</v>
      </c>
      <c r="D41" s="3" t="str">
        <f>_xlfn.CONCAT("(",FIXED(ABS(VLOOKUP($A40,Reg1_ct_Robust!$A:$AG,D$1+1,0)),4),")")</f>
        <v>(0.0947)</v>
      </c>
      <c r="E41" s="3" t="str">
        <f>_xlfn.CONCAT("(",FIXED(ABS(VLOOKUP($A40,Reg2_ct_last_rob!$A:$AG,E$1+1,0)),4),")")</f>
        <v>(0.1139)</v>
      </c>
      <c r="F41" s="3" t="str">
        <f>_xlfn.CONCAT("(",FIXED(ABS(VLOOKUP($A40,Reg2_ct_first_rob!$A:$AG,F$1+1,0)),4),")")</f>
        <v>(0.1281)</v>
      </c>
      <c r="G41" s="3" t="str">
        <f>_xlfn.CONCAT("(",FIXED(ABS(VLOOKUP($A40,Reg1_sf_Robust!$A:$AG,G$1+1,0)),4),")")</f>
        <v>(0.0141)</v>
      </c>
      <c r="H41" s="3" t="str">
        <f>_xlfn.CONCAT("(",FIXED(ABS(VLOOKUP($A40,Reg2_sf_last_rob!$A:$AG,H$1+1,0)),4),")")</f>
        <v>(0.0126)</v>
      </c>
      <c r="I41" s="3" t="str">
        <f>_xlfn.CONCAT("(",FIXED(ABS(VLOOKUP($A40,Reg2_sf_first_rob!$A:$AG,I$1+1,0)),4),")")</f>
        <v>(0.0134)</v>
      </c>
    </row>
    <row r="42" spans="1:9" x14ac:dyDescent="0.25">
      <c r="A42">
        <v>37</v>
      </c>
      <c r="B42" t="s">
        <v>236</v>
      </c>
      <c r="C42" t="s">
        <v>416</v>
      </c>
      <c r="D42" s="3" t="str">
        <f>_xlfn.CONCAT(FIXED(VLOOKUP($A42,Reg1_ct_Robust!$A:$AG,D$1,0),4),VLOOKUP($A42,Reg1_ct_Robust!$A:$AG,D$1+25,0))</f>
        <v>0.0996***</v>
      </c>
      <c r="E42" s="3" t="str">
        <f>_xlfn.CONCAT(FIXED(VLOOKUP($A42,Reg2_ct_last_rob!$A:$AG,E$1,0),4),VLOOKUP($A42,Reg2_ct_last_rob!$A:$AG,E$1+25,0))</f>
        <v>0.0980***</v>
      </c>
      <c r="F42" s="3" t="str">
        <f>_xlfn.CONCAT(FIXED(VLOOKUP($A42,Reg2_ct_first_rob!$A:$AG,F$1,0),4),VLOOKUP($A42,Reg2_ct_first_rob!$A:$AG,F$1+25,0))</f>
        <v>0.1011***</v>
      </c>
      <c r="G42" s="3" t="str">
        <f>_xlfn.CONCAT(FIXED(VLOOKUP($A42,Reg1_sf_Robust!$A:$AG,G$1,0),4),VLOOKUP($A42,Reg1_sf_Robust!$A:$AG,G$1+25,0))</f>
        <v>0.1147***</v>
      </c>
      <c r="H42" s="3" t="str">
        <f>_xlfn.CONCAT(FIXED(VLOOKUP($A42,Reg2_sf_last_rob!$A:$AG,H$1,0),4),VLOOKUP($A42,Reg2_sf_last_rob!$A:$AG,H$1+25,0))</f>
        <v>0.1134***</v>
      </c>
      <c r="I42" s="3" t="str">
        <f>_xlfn.CONCAT(FIXED(VLOOKUP($A42,Reg2_sf_first_rob!$A:$AG,I$1,0),4),VLOOKUP($A42,Reg2_sf_first_rob!$A:$AG,I$1+25,0))</f>
        <v>0.1159***</v>
      </c>
    </row>
    <row r="43" spans="1:9" x14ac:dyDescent="0.25">
      <c r="A43">
        <v>38</v>
      </c>
      <c r="D43" s="3" t="str">
        <f>_xlfn.CONCAT("(",FIXED(ABS(VLOOKUP($A42,Reg1_ct_Robust!$A:$AG,D$1+1,0)),4),")")</f>
        <v>(0.0130)</v>
      </c>
      <c r="E43" s="3" t="str">
        <f>_xlfn.CONCAT("(",FIXED(ABS(VLOOKUP($A42,Reg2_ct_last_rob!$A:$AG,E$1+1,0)),4),")")</f>
        <v>(0.0132)</v>
      </c>
      <c r="F43" s="3" t="str">
        <f>_xlfn.CONCAT("(",FIXED(ABS(VLOOKUP($A42,Reg2_ct_first_rob!$A:$AG,F$1+1,0)),4),")")</f>
        <v>(0.0140)</v>
      </c>
      <c r="G43" s="3" t="str">
        <f>_xlfn.CONCAT("(",FIXED(ABS(VLOOKUP($A42,Reg1_sf_Robust!$A:$AG,G$1+1,0)),4),")")</f>
        <v>(0.0104)</v>
      </c>
      <c r="H43" s="3" t="str">
        <f>_xlfn.CONCAT("(",FIXED(ABS(VLOOKUP($A42,Reg2_sf_last_rob!$A:$AG,H$1+1,0)),4),")")</f>
        <v>(0.0098)</v>
      </c>
      <c r="I43" s="3" t="str">
        <f>_xlfn.CONCAT("(",FIXED(ABS(VLOOKUP($A42,Reg2_sf_first_rob!$A:$AG,I$1+1,0)),4),")")</f>
        <v>(0.0098)</v>
      </c>
    </row>
    <row r="44" spans="1:9" x14ac:dyDescent="0.25">
      <c r="A44">
        <v>39</v>
      </c>
      <c r="B44" t="s">
        <v>239</v>
      </c>
      <c r="C44" t="s">
        <v>417</v>
      </c>
      <c r="D44" s="3" t="str">
        <f>_xlfn.CONCAT(FIXED(VLOOKUP($A44,Reg1_ct_Robust!$A:$AG,D$1,0),4),VLOOKUP($A44,Reg1_ct_Robust!$A:$AG,D$1+25,0))</f>
        <v>0.0551***</v>
      </c>
      <c r="E44" s="3" t="str">
        <f>_xlfn.CONCAT(FIXED(VLOOKUP($A44,Reg2_ct_last_rob!$A:$AG,E$1,0),4),VLOOKUP($A44,Reg2_ct_last_rob!$A:$AG,E$1+25,0))</f>
        <v>0.0538***</v>
      </c>
      <c r="F44" s="3" t="str">
        <f>_xlfn.CONCAT(FIXED(VLOOKUP($A44,Reg2_ct_first_rob!$A:$AG,F$1,0),4),VLOOKUP($A44,Reg2_ct_first_rob!$A:$AG,F$1+25,0))</f>
        <v>0.0575***</v>
      </c>
      <c r="G44" s="3" t="str">
        <f>_xlfn.CONCAT(FIXED(VLOOKUP($A44,Reg1_sf_Robust!$A:$AG,G$1,0),4),VLOOKUP($A44,Reg1_sf_Robust!$A:$AG,G$1+25,0))</f>
        <v>0.0597***</v>
      </c>
      <c r="H44" s="3" t="str">
        <f>_xlfn.CONCAT(FIXED(VLOOKUP($A44,Reg2_sf_last_rob!$A:$AG,H$1,0),4),VLOOKUP($A44,Reg2_sf_last_rob!$A:$AG,H$1+25,0))</f>
        <v>0.0605***</v>
      </c>
      <c r="I44" s="3" t="str">
        <f>_xlfn.CONCAT(FIXED(VLOOKUP($A44,Reg2_sf_first_rob!$A:$AG,I$1,0),4),VLOOKUP($A44,Reg2_sf_first_rob!$A:$AG,I$1+25,0))</f>
        <v>0.0590***</v>
      </c>
    </row>
    <row r="45" spans="1:9" x14ac:dyDescent="0.25">
      <c r="A45">
        <v>40</v>
      </c>
      <c r="D45" s="3" t="str">
        <f>_xlfn.CONCAT("(",FIXED(ABS(VLOOKUP($A44,Reg1_ct_Robust!$A:$AG,D$1+1,0)),4),")")</f>
        <v>(0.0048)</v>
      </c>
      <c r="E45" s="3" t="str">
        <f>_xlfn.CONCAT("(",FIXED(ABS(VLOOKUP($A44,Reg2_ct_last_rob!$A:$AG,E$1+1,0)),4),")")</f>
        <v>(0.0053)</v>
      </c>
      <c r="F45" s="3" t="str">
        <f>_xlfn.CONCAT("(",FIXED(ABS(VLOOKUP($A44,Reg2_ct_first_rob!$A:$AG,F$1+1,0)),4),")")</f>
        <v>(0.0052)</v>
      </c>
      <c r="G45" s="3" t="str">
        <f>_xlfn.CONCAT("(",FIXED(ABS(VLOOKUP($A44,Reg1_sf_Robust!$A:$AG,G$1+1,0)),4),")")</f>
        <v>(0.0045)</v>
      </c>
      <c r="H45" s="3" t="str">
        <f>_xlfn.CONCAT("(",FIXED(ABS(VLOOKUP($A44,Reg2_sf_last_rob!$A:$AG,H$1+1,0)),4),")")</f>
        <v>(0.0043)</v>
      </c>
      <c r="I45" s="3" t="str">
        <f>_xlfn.CONCAT("(",FIXED(ABS(VLOOKUP($A44,Reg2_sf_first_rob!$A:$AG,I$1+1,0)),4),")")</f>
        <v>(0.0038)</v>
      </c>
    </row>
    <row r="46" spans="1:9" x14ac:dyDescent="0.25">
      <c r="A46">
        <v>41</v>
      </c>
      <c r="B46" t="s">
        <v>243</v>
      </c>
      <c r="C46" t="s">
        <v>418</v>
      </c>
      <c r="D46" s="3" t="str">
        <f>_xlfn.CONCAT(FIXED(VLOOKUP($A46,Reg1_ct_Robust!$A:$AG,D$1,0),4),VLOOKUP($A46,Reg1_ct_Robust!$A:$AG,D$1+25,0))</f>
        <v>-0.0917***</v>
      </c>
      <c r="E46" s="3" t="str">
        <f>_xlfn.CONCAT(FIXED(VLOOKUP($A46,Reg2_ct_last_rob!$A:$AG,E$1,0),4),VLOOKUP($A46,Reg2_ct_last_rob!$A:$AG,E$1+25,0))</f>
        <v>-0.0729***</v>
      </c>
      <c r="F46" s="3" t="str">
        <f>_xlfn.CONCAT(FIXED(VLOOKUP($A46,Reg2_ct_first_rob!$A:$AG,F$1,0),4),VLOOKUP($A46,Reg2_ct_first_rob!$A:$AG,F$1+25,0))</f>
        <v>-0.0896***</v>
      </c>
      <c r="G46" s="3" t="str">
        <f>_xlfn.CONCAT(FIXED(VLOOKUP($A46,Reg1_sf_Robust!$A:$AG,G$1,0),4),VLOOKUP($A46,Reg1_sf_Robust!$A:$AG,G$1+25,0))</f>
        <v>-0.0693***</v>
      </c>
      <c r="H46" s="3" t="str">
        <f>_xlfn.CONCAT(FIXED(VLOOKUP($A46,Reg2_sf_last_rob!$A:$AG,H$1,0),4),VLOOKUP($A46,Reg2_sf_last_rob!$A:$AG,H$1+25,0))</f>
        <v>-0.0687***</v>
      </c>
      <c r="I46" s="3" t="str">
        <f>_xlfn.CONCAT(FIXED(VLOOKUP($A46,Reg2_sf_first_rob!$A:$AG,I$1,0),4),VLOOKUP($A46,Reg2_sf_first_rob!$A:$AG,I$1+25,0))</f>
        <v>-0.0528***</v>
      </c>
    </row>
    <row r="47" spans="1:9" x14ac:dyDescent="0.25">
      <c r="A47">
        <v>42</v>
      </c>
      <c r="D47" s="3" t="str">
        <f>_xlfn.CONCAT("(",FIXED(ABS(VLOOKUP($A46,Reg1_ct_Robust!$A:$AG,D$1+1,0)),4),")")</f>
        <v>(0.0120)</v>
      </c>
      <c r="E47" s="3" t="str">
        <f>_xlfn.CONCAT("(",FIXED(ABS(VLOOKUP($A46,Reg2_ct_last_rob!$A:$AG,E$1+1,0)),4),")")</f>
        <v>(0.0129)</v>
      </c>
      <c r="F47" s="3" t="str">
        <f>_xlfn.CONCAT("(",FIXED(ABS(VLOOKUP($A46,Reg2_ct_first_rob!$A:$AG,F$1+1,0)),4),")")</f>
        <v>(0.0116)</v>
      </c>
      <c r="G47" s="3" t="str">
        <f>_xlfn.CONCAT("(",FIXED(ABS(VLOOKUP($A46,Reg1_sf_Robust!$A:$AG,G$1+1,0)),4),")")</f>
        <v>(0.0090)</v>
      </c>
      <c r="H47" s="3" t="str">
        <f>_xlfn.CONCAT("(",FIXED(ABS(VLOOKUP($A46,Reg2_sf_last_rob!$A:$AG,H$1+1,0)),4),")")</f>
        <v>(0.0091)</v>
      </c>
      <c r="I47" s="3" t="str">
        <f>_xlfn.CONCAT("(",FIXED(ABS(VLOOKUP($A46,Reg2_sf_first_rob!$A:$AG,I$1+1,0)),4),")")</f>
        <v>(0.0095)</v>
      </c>
    </row>
    <row r="48" spans="1:9" x14ac:dyDescent="0.25">
      <c r="A48">
        <v>43</v>
      </c>
      <c r="B48" t="s">
        <v>22</v>
      </c>
      <c r="C48" t="s">
        <v>419</v>
      </c>
      <c r="D48" s="3" t="str">
        <f>_xlfn.CONCAT(FIXED(VLOOKUP($A48,Reg1_ct_Robust!$A:$AG,D$1,0),4),VLOOKUP($A48,Reg1_ct_Robust!$A:$AG,D$1+25,0))</f>
        <v>-0.0201</v>
      </c>
      <c r="E48" s="3" t="str">
        <f>_xlfn.CONCAT(FIXED(VLOOKUP($A48,Reg2_ct_last_rob!$A:$AG,E$1,0),4),VLOOKUP($A48,Reg2_ct_last_rob!$A:$AG,E$1+25,0))</f>
        <v>-0.0261</v>
      </c>
      <c r="F48" s="3" t="str">
        <f>_xlfn.CONCAT(FIXED(VLOOKUP($A48,Reg2_ct_first_rob!$A:$AG,F$1,0),4),VLOOKUP($A48,Reg2_ct_first_rob!$A:$AG,F$1+25,0))</f>
        <v>-0.0243</v>
      </c>
      <c r="G48" s="3" t="str">
        <f>_xlfn.CONCAT(FIXED(VLOOKUP($A48,Reg1_sf_Robust!$A:$AG,G$1,0),4),VLOOKUP($A48,Reg1_sf_Robust!$A:$AG,G$1+25,0))</f>
        <v>0.0174</v>
      </c>
      <c r="H48" s="3" t="str">
        <f>_xlfn.CONCAT(FIXED(VLOOKUP($A48,Reg2_sf_last_rob!$A:$AG,H$1,0),4),VLOOKUP($A48,Reg2_sf_last_rob!$A:$AG,H$1+25,0))</f>
        <v>0.0203</v>
      </c>
      <c r="I48" s="3" t="str">
        <f>_xlfn.CONCAT(FIXED(VLOOKUP($A48,Reg2_sf_first_rob!$A:$AG,I$1,0),4),VLOOKUP($A48,Reg2_sf_first_rob!$A:$AG,I$1+25,0))</f>
        <v>0.0177</v>
      </c>
    </row>
    <row r="49" spans="1:9" x14ac:dyDescent="0.25">
      <c r="A49">
        <v>44</v>
      </c>
      <c r="D49" s="3" t="str">
        <f>_xlfn.CONCAT("(",FIXED(ABS(VLOOKUP($A48,Reg1_ct_Robust!$A:$AG,D$1+1,0)),4),")")</f>
        <v>(0.0208)</v>
      </c>
      <c r="E49" s="3" t="str">
        <f>_xlfn.CONCAT("(",FIXED(ABS(VLOOKUP($A48,Reg2_ct_last_rob!$A:$AG,E$1+1,0)),4),")")</f>
        <v>(0.0215)</v>
      </c>
      <c r="F49" s="3" t="str">
        <f>_xlfn.CONCAT("(",FIXED(ABS(VLOOKUP($A48,Reg2_ct_first_rob!$A:$AG,F$1+1,0)),4),")")</f>
        <v>(0.0209)</v>
      </c>
      <c r="G49" s="3" t="str">
        <f>_xlfn.CONCAT("(",FIXED(ABS(VLOOKUP($A48,Reg1_sf_Robust!$A:$AG,G$1+1,0)),4),")")</f>
        <v>(0.0143)</v>
      </c>
      <c r="H49" s="3" t="str">
        <f>_xlfn.CONCAT("(",FIXED(ABS(VLOOKUP($A48,Reg2_sf_last_rob!$A:$AG,H$1+1,0)),4),")")</f>
        <v>(0.0137)</v>
      </c>
      <c r="I49" s="3" t="str">
        <f>_xlfn.CONCAT("(",FIXED(ABS(VLOOKUP($A48,Reg2_sf_first_rob!$A:$AG,I$1+1,0)),4),")")</f>
        <v>(0.0144)</v>
      </c>
    </row>
    <row r="50" spans="1:9" x14ac:dyDescent="0.25">
      <c r="A50">
        <v>45</v>
      </c>
      <c r="B50" t="s">
        <v>23</v>
      </c>
      <c r="C50" t="s">
        <v>23</v>
      </c>
      <c r="D50" s="3" t="str">
        <f>_xlfn.CONCAT(FIXED(VLOOKUP($A50,Reg1_ct_Robust!$A:$AG,D$1,0),4),VLOOKUP($A50,Reg1_ct_Robust!$A:$AG,D$1+25,0))</f>
        <v>0.0260</v>
      </c>
      <c r="E50" s="3" t="str">
        <f>_xlfn.CONCAT(FIXED(VLOOKUP($A50,Reg2_ct_last_rob!$A:$AG,E$1,0),4),VLOOKUP($A50,Reg2_ct_last_rob!$A:$AG,E$1+25,0))</f>
        <v>0.0284</v>
      </c>
      <c r="F50" s="3" t="str">
        <f>_xlfn.CONCAT(FIXED(VLOOKUP($A50,Reg2_ct_first_rob!$A:$AG,F$1,0),4),VLOOKUP($A50,Reg2_ct_first_rob!$A:$AG,F$1+25,0))</f>
        <v>0.0349</v>
      </c>
      <c r="G50" s="3" t="str">
        <f>_xlfn.CONCAT(FIXED(VLOOKUP($A50,Reg1_sf_Robust!$A:$AG,G$1,0),4),VLOOKUP($A50,Reg1_sf_Robust!$A:$AG,G$1+25,0))</f>
        <v>-0.0452*</v>
      </c>
      <c r="H50" s="3" t="str">
        <f>_xlfn.CONCAT(FIXED(VLOOKUP($A50,Reg2_sf_last_rob!$A:$AG,H$1,0),4),VLOOKUP($A50,Reg2_sf_last_rob!$A:$AG,H$1+25,0))</f>
        <v>-0.0504*</v>
      </c>
      <c r="I50" s="3" t="str">
        <f>_xlfn.CONCAT(FIXED(VLOOKUP($A50,Reg2_sf_first_rob!$A:$AG,I$1,0),4),VLOOKUP($A50,Reg2_sf_first_rob!$A:$AG,I$1+25,0))</f>
        <v>-0.0484*</v>
      </c>
    </row>
    <row r="51" spans="1:9" x14ac:dyDescent="0.25">
      <c r="A51">
        <v>46</v>
      </c>
      <c r="D51" s="3" t="str">
        <f>_xlfn.CONCAT("(",FIXED(ABS(VLOOKUP($A50,Reg1_ct_Robust!$A:$AG,D$1+1,0)),4),")")</f>
        <v>(0.0606)</v>
      </c>
      <c r="E51" s="3" t="str">
        <f>_xlfn.CONCAT("(",FIXED(ABS(VLOOKUP($A50,Reg2_ct_last_rob!$A:$AG,E$1+1,0)),4),")")</f>
        <v>(0.0635)</v>
      </c>
      <c r="F51" s="3" t="str">
        <f>_xlfn.CONCAT("(",FIXED(ABS(VLOOKUP($A50,Reg2_ct_first_rob!$A:$AG,F$1+1,0)),4),")")</f>
        <v>(0.0622)</v>
      </c>
      <c r="G51" s="3" t="str">
        <f>_xlfn.CONCAT("(",FIXED(ABS(VLOOKUP($A50,Reg1_sf_Robust!$A:$AG,G$1+1,0)),4),")")</f>
        <v>(0.0203)</v>
      </c>
      <c r="H51" s="3" t="str">
        <f>_xlfn.CONCAT("(",FIXED(ABS(VLOOKUP($A50,Reg2_sf_last_rob!$A:$AG,H$1+1,0)),4),")")</f>
        <v>(0.0209)</v>
      </c>
      <c r="I51" s="3" t="str">
        <f>_xlfn.CONCAT("(",FIXED(ABS(VLOOKUP($A50,Reg2_sf_first_rob!$A:$AG,I$1+1,0)),4),")")</f>
        <v>(0.0227)</v>
      </c>
    </row>
    <row r="52" spans="1:9" x14ac:dyDescent="0.25">
      <c r="A52">
        <v>47</v>
      </c>
      <c r="B52" t="s">
        <v>24</v>
      </c>
      <c r="C52" t="s">
        <v>420</v>
      </c>
      <c r="D52" s="3" t="str">
        <f>_xlfn.CONCAT(FIXED(VLOOKUP($A52,Reg1_ct_Robust!$A:$AG,D$1,0),4),VLOOKUP($A52,Reg1_ct_Robust!$A:$AG,D$1+25,0))</f>
        <v>-0.0369**</v>
      </c>
      <c r="E52" s="3" t="str">
        <f>_xlfn.CONCAT(FIXED(VLOOKUP($A52,Reg2_ct_last_rob!$A:$AG,E$1,0),4),VLOOKUP($A52,Reg2_ct_last_rob!$A:$AG,E$1+25,0))</f>
        <v>-0.0384***</v>
      </c>
      <c r="F52" s="3" t="str">
        <f>_xlfn.CONCAT(FIXED(VLOOKUP($A52,Reg2_ct_first_rob!$A:$AG,F$1,0),4),VLOOKUP($A52,Reg2_ct_first_rob!$A:$AG,F$1+25,0))</f>
        <v>-0.0374**</v>
      </c>
      <c r="G52" s="48" t="s">
        <v>341</v>
      </c>
      <c r="H52" s="48" t="s">
        <v>341</v>
      </c>
      <c r="I52" s="48" t="s">
        <v>341</v>
      </c>
    </row>
    <row r="53" spans="1:9" x14ac:dyDescent="0.25">
      <c r="A53">
        <v>48</v>
      </c>
      <c r="D53" s="3" t="str">
        <f>_xlfn.CONCAT("(",FIXED(ABS(VLOOKUP($A52,Reg1_ct_Robust!$A:$AG,D$1+1,0)),4),")")</f>
        <v>(0.0119)</v>
      </c>
      <c r="E53" s="3" t="str">
        <f>_xlfn.CONCAT("(",FIXED(ABS(VLOOKUP($A52,Reg2_ct_last_rob!$A:$AG,E$1+1,0)),4),")")</f>
        <v>(0.0124)</v>
      </c>
      <c r="F53" s="3" t="str">
        <f>_xlfn.CONCAT("(",FIXED(ABS(VLOOKUP($A52,Reg2_ct_first_rob!$A:$AG,F$1+1,0)),4),")")</f>
        <v>(0.0126)</v>
      </c>
      <c r="G53" s="48"/>
      <c r="H53" s="48"/>
      <c r="I53" s="48"/>
    </row>
    <row r="54" spans="1:9" x14ac:dyDescent="0.25">
      <c r="A54">
        <v>49</v>
      </c>
      <c r="B54" t="s">
        <v>25</v>
      </c>
      <c r="C54" t="s">
        <v>421</v>
      </c>
      <c r="D54" s="3" t="str">
        <f>_xlfn.CONCAT(FIXED(VLOOKUP($A54,Reg1_ct_Robust!$A:$AG,D$1,0),4),VLOOKUP($A54,Reg1_ct_Robust!$A:$AG,D$1+25,0))</f>
        <v>0.0604**</v>
      </c>
      <c r="E54" s="3" t="str">
        <f>_xlfn.CONCAT(FIXED(VLOOKUP($A54,Reg2_ct_last_rob!$A:$AG,E$1,0),4),VLOOKUP($A54,Reg2_ct_last_rob!$A:$AG,E$1+25,0))</f>
        <v>0.0573**</v>
      </c>
      <c r="F54" s="3" t="str">
        <f>_xlfn.CONCAT(FIXED(VLOOKUP($A54,Reg2_ct_first_rob!$A:$AG,F$1,0),4),VLOOKUP($A54,Reg2_ct_first_rob!$A:$AG,F$1+25,0))</f>
        <v>0.0574**</v>
      </c>
      <c r="G54" s="48" t="s">
        <v>341</v>
      </c>
      <c r="H54" s="48" t="s">
        <v>341</v>
      </c>
      <c r="I54" s="48" t="s">
        <v>341</v>
      </c>
    </row>
    <row r="55" spans="1:9" x14ac:dyDescent="0.25">
      <c r="A55">
        <v>50</v>
      </c>
      <c r="D55" s="3" t="str">
        <f>_xlfn.CONCAT("(",FIXED(ABS(VLOOKUP($A54,Reg1_ct_Robust!$A:$AG,D$1+1,0)),4),")")</f>
        <v>(0.0233)</v>
      </c>
      <c r="E55" s="3" t="str">
        <f>_xlfn.CONCAT("(",FIXED(ABS(VLOOKUP($A54,Reg2_ct_last_rob!$A:$AG,E$1+1,0)),4),")")</f>
        <v>(0.0224)</v>
      </c>
      <c r="F55" s="3" t="str">
        <f>_xlfn.CONCAT("(",FIXED(ABS(VLOOKUP($A54,Reg2_ct_first_rob!$A:$AG,F$1+1,0)),4),")")</f>
        <v>(0.0237)</v>
      </c>
      <c r="G55" s="48"/>
      <c r="H55" s="48"/>
      <c r="I55" s="48"/>
    </row>
    <row r="56" spans="1:9" x14ac:dyDescent="0.25">
      <c r="A56">
        <v>51</v>
      </c>
      <c r="B56" t="s">
        <v>26</v>
      </c>
      <c r="C56" t="s">
        <v>26</v>
      </c>
      <c r="D56" s="3" t="str">
        <f>_xlfn.CONCAT(FIXED(VLOOKUP($A56,Reg1_ct_Robust!$A:$AG,D$1,0),4),VLOOKUP($A56,Reg1_ct_Robust!$A:$AG,D$1+25,0))</f>
        <v>0.0101</v>
      </c>
      <c r="E56" s="3" t="str">
        <f>_xlfn.CONCAT(FIXED(VLOOKUP($A56,Reg2_ct_last_rob!$A:$AG,E$1,0),4),VLOOKUP($A56,Reg2_ct_last_rob!$A:$AG,E$1+25,0))</f>
        <v>0.0117</v>
      </c>
      <c r="F56" s="3" t="str">
        <f>_xlfn.CONCAT(FIXED(VLOOKUP($A56,Reg2_ct_first_rob!$A:$AG,F$1,0),4),VLOOKUP($A56,Reg2_ct_first_rob!$A:$AG,F$1+25,0))</f>
        <v>0.0106</v>
      </c>
      <c r="G56" s="48" t="s">
        <v>341</v>
      </c>
      <c r="H56" s="48" t="s">
        <v>341</v>
      </c>
      <c r="I56" s="48" t="s">
        <v>341</v>
      </c>
    </row>
    <row r="57" spans="1:9" x14ac:dyDescent="0.25">
      <c r="A57">
        <v>52</v>
      </c>
      <c r="D57" s="3" t="str">
        <f>_xlfn.CONCAT("(",FIXED(ABS(VLOOKUP($A56,Reg1_ct_Robust!$A:$AG,D$1+1,0)),4),")")</f>
        <v>(0.0274)</v>
      </c>
      <c r="E57" s="3" t="str">
        <f>_xlfn.CONCAT("(",FIXED(ABS(VLOOKUP($A56,Reg2_ct_last_rob!$A:$AG,E$1+1,0)),4),")")</f>
        <v>(0.0261)</v>
      </c>
      <c r="F57" s="3" t="str">
        <f>_xlfn.CONCAT("(",FIXED(ABS(VLOOKUP($A56,Reg2_ct_first_rob!$A:$AG,F$1+1,0)),4),")")</f>
        <v>(0.0284)</v>
      </c>
      <c r="G57" s="48"/>
      <c r="H57" s="48"/>
      <c r="I57" s="48"/>
    </row>
    <row r="58" spans="1:9" x14ac:dyDescent="0.25">
      <c r="A58">
        <v>53</v>
      </c>
      <c r="B58" t="s">
        <v>27</v>
      </c>
      <c r="C58" t="s">
        <v>422</v>
      </c>
      <c r="D58" s="3" t="str">
        <f>_xlfn.CONCAT(FIXED(VLOOKUP($A58,Reg1_ct_Robust!$A:$AG,D$1,0),4),VLOOKUP($A58,Reg1_ct_Robust!$A:$AG,D$1+25,0))</f>
        <v>0.0128</v>
      </c>
      <c r="E58" s="3" t="str">
        <f>_xlfn.CONCAT(FIXED(VLOOKUP($A58,Reg2_ct_last_rob!$A:$AG,E$1,0),4),VLOOKUP($A58,Reg2_ct_last_rob!$A:$AG,E$1+25,0))</f>
        <v>0.0158</v>
      </c>
      <c r="F58" s="3" t="str">
        <f>_xlfn.CONCAT(FIXED(VLOOKUP($A58,Reg2_ct_first_rob!$A:$AG,F$1,0),4),VLOOKUP($A58,Reg2_ct_first_rob!$A:$AG,F$1+25,0))</f>
        <v>0.0164</v>
      </c>
      <c r="G58" s="48" t="s">
        <v>341</v>
      </c>
      <c r="H58" s="48" t="s">
        <v>341</v>
      </c>
      <c r="I58" s="48" t="s">
        <v>341</v>
      </c>
    </row>
    <row r="59" spans="1:9" x14ac:dyDescent="0.25">
      <c r="A59">
        <v>54</v>
      </c>
      <c r="D59" s="3" t="str">
        <f>_xlfn.CONCAT("(",FIXED(ABS(VLOOKUP($A58,Reg1_ct_Robust!$A:$AG,D$1+1,0)),4),")")</f>
        <v>(0.1085)</v>
      </c>
      <c r="E59" s="3" t="str">
        <f>_xlfn.CONCAT("(",FIXED(ABS(VLOOKUP($A58,Reg2_ct_last_rob!$A:$AG,E$1+1,0)),4),")")</f>
        <v>(0.1049)</v>
      </c>
      <c r="F59" s="3" t="str">
        <f>_xlfn.CONCAT("(",FIXED(ABS(VLOOKUP($A58,Reg2_ct_first_rob!$A:$AG,F$1+1,0)),4),")")</f>
        <v>(0.1101)</v>
      </c>
      <c r="G59" s="48"/>
      <c r="H59" s="48"/>
      <c r="I59" s="48"/>
    </row>
    <row r="60" spans="1:9" x14ac:dyDescent="0.25">
      <c r="A60">
        <v>55</v>
      </c>
      <c r="B60" t="s">
        <v>29</v>
      </c>
      <c r="C60" t="s">
        <v>29</v>
      </c>
      <c r="D60" s="48" t="s">
        <v>341</v>
      </c>
      <c r="E60" s="48" t="s">
        <v>341</v>
      </c>
      <c r="F60" s="48" t="s">
        <v>341</v>
      </c>
      <c r="G60" s="3" t="str">
        <f>_xlfn.CONCAT(FIXED(VLOOKUP($A60,Reg1_sf_Robust!$A:$AG,G$1,0),4),VLOOKUP($A60,Reg1_sf_Robust!$A:$AG,G$1+25,0))</f>
        <v>-0.0219</v>
      </c>
      <c r="H60" s="3" t="str">
        <f>_xlfn.CONCAT(FIXED(VLOOKUP($A60,Reg2_sf_last_rob!$A:$AG,H$1,0),4),VLOOKUP($A60,Reg2_sf_last_rob!$A:$AG,H$1+25,0))</f>
        <v>-0.0180</v>
      </c>
      <c r="I60" s="3" t="str">
        <f>_xlfn.CONCAT(FIXED(VLOOKUP($A60,Reg2_sf_first_rob!$A:$AG,I$1,0),4),VLOOKUP($A60,Reg2_sf_first_rob!$A:$AG,I$1+25,0))</f>
        <v>-0.0223</v>
      </c>
    </row>
    <row r="61" spans="1:9" x14ac:dyDescent="0.25">
      <c r="A61">
        <v>56</v>
      </c>
      <c r="D61" s="48"/>
      <c r="E61" s="48"/>
      <c r="F61" s="48"/>
      <c r="G61" s="3" t="str">
        <f>_xlfn.CONCAT("(",FIXED(ABS(VLOOKUP($A60,Reg1_sf_Robust!$A:$AG,G$1+1,0)),4),")")</f>
        <v>(0.0180)</v>
      </c>
      <c r="H61" s="3" t="str">
        <f>_xlfn.CONCAT("(",FIXED(ABS(VLOOKUP($A60,Reg2_sf_last_rob!$A:$AG,H$1+1,0)),4),")")</f>
        <v>(0.0194)</v>
      </c>
      <c r="I61" s="3" t="str">
        <f>_xlfn.CONCAT("(",FIXED(ABS(VLOOKUP($A60,Reg2_sf_first_rob!$A:$AG,I$1+1,0)),4),")")</f>
        <v>(0.0169)</v>
      </c>
    </row>
    <row r="62" spans="1:9" x14ac:dyDescent="0.25">
      <c r="A62">
        <v>57</v>
      </c>
      <c r="B62" t="s">
        <v>31</v>
      </c>
      <c r="C62" t="s">
        <v>423</v>
      </c>
      <c r="D62" s="3" t="str">
        <f>_xlfn.CONCAT(FIXED(VLOOKUP($A62,Reg1_ct_Robust!$A:$AG,D$1,0),4),VLOOKUP($A62,Reg1_ct_Robust!$A:$AG,D$1+25,0))</f>
        <v>0.0039</v>
      </c>
      <c r="E62" s="3" t="str">
        <f>_xlfn.CONCAT(FIXED(VLOOKUP($A62,Reg2_ct_last_rob!$A:$AG,E$1,0),4),VLOOKUP($A62,Reg2_ct_last_rob!$A:$AG,E$1+25,0))</f>
        <v>0.0046</v>
      </c>
      <c r="F62" s="3" t="str">
        <f>_xlfn.CONCAT(FIXED(VLOOKUP($A62,Reg2_ct_first_rob!$A:$AG,F$1,0),4),VLOOKUP($A62,Reg2_ct_first_rob!$A:$AG,F$1+25,0))</f>
        <v>-0.0022</v>
      </c>
      <c r="G62" s="48" t="s">
        <v>341</v>
      </c>
      <c r="H62" s="48" t="s">
        <v>341</v>
      </c>
      <c r="I62" s="48" t="s">
        <v>341</v>
      </c>
    </row>
    <row r="63" spans="1:9" x14ac:dyDescent="0.25">
      <c r="A63">
        <v>58</v>
      </c>
      <c r="D63" s="3" t="str">
        <f>_xlfn.CONCAT("(",FIXED(ABS(VLOOKUP($A62,Reg1_ct_Robust!$A:$AG,D$1+1,0)),4),")")</f>
        <v>(0.0125)</v>
      </c>
      <c r="E63" s="3" t="str">
        <f>_xlfn.CONCAT("(",FIXED(ABS(VLOOKUP($A62,Reg2_ct_last_rob!$A:$AG,E$1+1,0)),4),")")</f>
        <v>(0.0124)</v>
      </c>
      <c r="F63" s="3" t="str">
        <f>_xlfn.CONCAT("(",FIXED(ABS(VLOOKUP($A62,Reg2_ct_first_rob!$A:$AG,F$1+1,0)),4),")")</f>
        <v>(0.0117)</v>
      </c>
      <c r="G63" s="48"/>
      <c r="H63" s="48"/>
      <c r="I63" s="48"/>
    </row>
    <row r="64" spans="1:9" x14ac:dyDescent="0.25">
      <c r="A64">
        <v>59</v>
      </c>
      <c r="B64" t="s">
        <v>28</v>
      </c>
      <c r="C64" t="s">
        <v>513</v>
      </c>
      <c r="D64" s="3" t="str">
        <f>_xlfn.CONCAT(FIXED(VLOOKUP($A64,Reg1_ct_Robust!$A:$AG,D$1,0),4),VLOOKUP($A64,Reg1_ct_Robust!$A:$AG,D$1+25,0))</f>
        <v>-0.0350</v>
      </c>
      <c r="E64" s="3" t="str">
        <f>_xlfn.CONCAT(FIXED(VLOOKUP($A64,Reg2_ct_last_rob!$A:$AG,E$1,0),4),VLOOKUP($A64,Reg2_ct_last_rob!$A:$AG,E$1+25,0))</f>
        <v>-0.0216</v>
      </c>
      <c r="F64" s="3" t="str">
        <f>_xlfn.CONCAT(FIXED(VLOOKUP($A64,Reg2_ct_first_rob!$A:$AG,F$1,0),4),VLOOKUP($A64,Reg2_ct_first_rob!$A:$AG,F$1+25,0))</f>
        <v>-0.0299</v>
      </c>
      <c r="G64" s="3" t="str">
        <f>_xlfn.CONCAT(FIXED(VLOOKUP($A64,Reg1_sf_Robust!$A:$AG,G$1,0),4),VLOOKUP($A64,Reg1_sf_Robust!$A:$AG,G$1+25,0))</f>
        <v>0.0800***</v>
      </c>
      <c r="H64" s="3" t="str">
        <f>_xlfn.CONCAT(FIXED(VLOOKUP($A64,Reg2_sf_last_rob!$A:$AG,H$1,0),4),VLOOKUP($A64,Reg2_sf_last_rob!$A:$AG,H$1+25,0))</f>
        <v>0.0797***</v>
      </c>
      <c r="I64" s="3" t="str">
        <f>_xlfn.CONCAT(FIXED(VLOOKUP($A64,Reg2_sf_first_rob!$A:$AG,I$1,0),4),VLOOKUP($A64,Reg2_sf_first_rob!$A:$AG,I$1+25,0))</f>
        <v>0.0792***</v>
      </c>
    </row>
    <row r="65" spans="1:9" x14ac:dyDescent="0.25">
      <c r="A65">
        <v>60</v>
      </c>
      <c r="D65" s="3" t="str">
        <f>_xlfn.CONCAT("(",FIXED(ABS(VLOOKUP($A64,Reg1_ct_Robust!$A:$AG,D$1+1,0)),4),")")</f>
        <v>(0.0760)</v>
      </c>
      <c r="E65" s="3" t="str">
        <f>_xlfn.CONCAT("(",FIXED(ABS(VLOOKUP($A64,Reg2_ct_last_rob!$A:$AG,E$1+1,0)),4),")")</f>
        <v>(0.0822)</v>
      </c>
      <c r="F65" s="3" t="str">
        <f>_xlfn.CONCAT("(",FIXED(ABS(VLOOKUP($A64,Reg2_ct_first_rob!$A:$AG,F$1+1,0)),4),")")</f>
        <v>(0.0805)</v>
      </c>
      <c r="G65" s="3" t="str">
        <f>_xlfn.CONCAT("(",FIXED(ABS(VLOOKUP($A64,Reg1_sf_Robust!$A:$AG,G$1+1,0)),4),")")</f>
        <v>(0.0174)</v>
      </c>
      <c r="H65" s="3" t="str">
        <f>_xlfn.CONCAT("(",FIXED(ABS(VLOOKUP($A64,Reg2_sf_last_rob!$A:$AG,H$1+1,0)),4),")")</f>
        <v>(0.0186)</v>
      </c>
      <c r="I65" s="3" t="str">
        <f>_xlfn.CONCAT("(",FIXED(ABS(VLOOKUP($A64,Reg2_sf_first_rob!$A:$AG,I$1+1,0)),4),")")</f>
        <v>(0.0168)</v>
      </c>
    </row>
    <row r="66" spans="1:9" x14ac:dyDescent="0.25">
      <c r="A66">
        <v>61</v>
      </c>
      <c r="B66" t="s">
        <v>250</v>
      </c>
      <c r="C66" t="s">
        <v>424</v>
      </c>
      <c r="D66" s="3" t="str">
        <f>_xlfn.CONCAT(FIXED(VLOOKUP($A66,Reg1_ct_Robust!$A:$AG,D$1,0),4),VLOOKUP($A66,Reg1_ct_Robust!$A:$AG,D$1+25,0))</f>
        <v>-0.0918</v>
      </c>
      <c r="E66" s="3" t="str">
        <f>_xlfn.CONCAT(FIXED(VLOOKUP($A66,Reg2_ct_last_rob!$A:$AG,E$1,0),4),VLOOKUP($A66,Reg2_ct_last_rob!$A:$AG,E$1+25,0))</f>
        <v>-0.0906</v>
      </c>
      <c r="F66" s="3" t="str">
        <f>_xlfn.CONCAT(FIXED(VLOOKUP($A66,Reg2_ct_first_rob!$A:$AG,F$1,0),4),VLOOKUP($A66,Reg2_ct_first_rob!$A:$AG,F$1+25,0))</f>
        <v>-0.0598</v>
      </c>
      <c r="G66" s="3" t="str">
        <f>_xlfn.CONCAT(FIXED(VLOOKUP($A66,Reg1_sf_Robust!$A:$AG,G$1,0),4),VLOOKUP($A66,Reg1_sf_Robust!$A:$AG,G$1+25,0))</f>
        <v>0.0227</v>
      </c>
      <c r="H66" s="3" t="str">
        <f>_xlfn.CONCAT(FIXED(VLOOKUP($A66,Reg2_sf_last_rob!$A:$AG,H$1,0),4),VLOOKUP($A66,Reg2_sf_last_rob!$A:$AG,H$1+25,0))</f>
        <v>0.0252</v>
      </c>
      <c r="I66" s="3" t="str">
        <f>_xlfn.CONCAT(FIXED(VLOOKUP($A66,Reg2_sf_first_rob!$A:$AG,I$1,0),4),VLOOKUP($A66,Reg2_sf_first_rob!$A:$AG,I$1+25,0))</f>
        <v>0.0211</v>
      </c>
    </row>
    <row r="67" spans="1:9" x14ac:dyDescent="0.25">
      <c r="A67">
        <v>62</v>
      </c>
      <c r="D67" s="3" t="str">
        <f>_xlfn.CONCAT("(",FIXED(ABS(VLOOKUP($A66,Reg1_ct_Robust!$A:$AG,D$1+1,0)),4),")")</f>
        <v>(0.1137)</v>
      </c>
      <c r="E67" s="3" t="str">
        <f>_xlfn.CONCAT("(",FIXED(ABS(VLOOKUP($A66,Reg2_ct_last_rob!$A:$AG,E$1+1,0)),4),")")</f>
        <v>(0.1235)</v>
      </c>
      <c r="F67" s="3" t="str">
        <f>_xlfn.CONCAT("(",FIXED(ABS(VLOOKUP($A66,Reg2_ct_first_rob!$A:$AG,F$1+1,0)),4),")")</f>
        <v>(0.1395)</v>
      </c>
      <c r="G67" s="3" t="str">
        <f>_xlfn.CONCAT("(",FIXED(ABS(VLOOKUP($A66,Reg1_sf_Robust!$A:$AG,G$1+1,0)),4),")")</f>
        <v>(0.0835)</v>
      </c>
      <c r="H67" s="3" t="str">
        <f>_xlfn.CONCAT("(",FIXED(ABS(VLOOKUP($A66,Reg2_sf_last_rob!$A:$AG,H$1+1,0)),4),")")</f>
        <v>(0.0900)</v>
      </c>
      <c r="I67" s="3" t="str">
        <f>_xlfn.CONCAT("(",FIXED(ABS(VLOOKUP($A66,Reg2_sf_first_rob!$A:$AG,I$1+1,0)),4),")")</f>
        <v>(0.0857)</v>
      </c>
    </row>
    <row r="68" spans="1:9" x14ac:dyDescent="0.25">
      <c r="A68">
        <v>65</v>
      </c>
      <c r="B68" t="s">
        <v>251</v>
      </c>
      <c r="C68" t="s">
        <v>425</v>
      </c>
      <c r="D68" s="3" t="str">
        <f>_xlfn.CONCAT(FIXED(VLOOKUP($A68,Reg1_ct_Robust!$A:$AG,D$1,0),4),VLOOKUP($A68,Reg1_ct_Robust!$A:$AG,D$1+25,0))</f>
        <v>0.0300</v>
      </c>
      <c r="E68" s="3" t="str">
        <f>_xlfn.CONCAT(FIXED(VLOOKUP($A68,Reg2_ct_last_rob!$A:$AG,E$1,0),4),VLOOKUP($A68,Reg2_ct_last_rob!$A:$AG,E$1+25,0))</f>
        <v>0.0315</v>
      </c>
      <c r="F68" s="3" t="str">
        <f>_xlfn.CONCAT(FIXED(VLOOKUP($A68,Reg2_ct_first_rob!$A:$AG,F$1,0),4),VLOOKUP($A68,Reg2_ct_first_rob!$A:$AG,F$1+25,0))</f>
        <v>0.0340</v>
      </c>
      <c r="G68" s="3" t="str">
        <f>_xlfn.CONCAT(FIXED(VLOOKUP($A68,Reg1_sf_Robust!$A:$AG,G$1,0),4),VLOOKUP($A68,Reg1_sf_Robust!$A:$AG,G$1+25,0))</f>
        <v>-0.0846</v>
      </c>
      <c r="H68" s="3" t="str">
        <f>_xlfn.CONCAT(FIXED(VLOOKUP($A68,Reg2_sf_last_rob!$A:$AG,H$1,0),4),VLOOKUP($A68,Reg2_sf_last_rob!$A:$AG,H$1+25,0))</f>
        <v>-0.0806</v>
      </c>
      <c r="I68" s="3" t="str">
        <f>_xlfn.CONCAT(FIXED(VLOOKUP($A68,Reg2_sf_first_rob!$A:$AG,I$1,0),4),VLOOKUP($A68,Reg2_sf_first_rob!$A:$AG,I$1+25,0))</f>
        <v>-0.0823</v>
      </c>
    </row>
    <row r="69" spans="1:9" x14ac:dyDescent="0.25">
      <c r="A69">
        <v>66</v>
      </c>
      <c r="D69" s="3" t="str">
        <f>_xlfn.CONCAT("(",FIXED(ABS(VLOOKUP($A68,Reg1_ct_Robust!$A:$AG,D$1+1,0)),4),")")</f>
        <v>(0.0279)</v>
      </c>
      <c r="E69" s="3" t="str">
        <f>_xlfn.CONCAT("(",FIXED(ABS(VLOOKUP($A68,Reg2_ct_last_rob!$A:$AG,E$1+1,0)),4),")")</f>
        <v>(0.0261)</v>
      </c>
      <c r="F69" s="3" t="str">
        <f>_xlfn.CONCAT("(",FIXED(ABS(VLOOKUP($A68,Reg2_ct_first_rob!$A:$AG,F$1+1,0)),4),")")</f>
        <v>(0.0263)</v>
      </c>
      <c r="G69" s="3" t="str">
        <f>_xlfn.CONCAT("(",FIXED(ABS(VLOOKUP($A68,Reg1_sf_Robust!$A:$AG,G$1+1,0)),4),")")</f>
        <v>(0.0385)</v>
      </c>
      <c r="H69" s="3" t="str">
        <f>_xlfn.CONCAT("(",FIXED(ABS(VLOOKUP($A68,Reg2_sf_last_rob!$A:$AG,H$1+1,0)),4),")")</f>
        <v>(0.0407)</v>
      </c>
      <c r="I69" s="3" t="str">
        <f>_xlfn.CONCAT("(",FIXED(ABS(VLOOKUP($A68,Reg2_sf_first_rob!$A:$AG,I$1+1,0)),4),")")</f>
        <v>(0.0414)</v>
      </c>
    </row>
    <row r="70" spans="1:9" x14ac:dyDescent="0.25">
      <c r="A70">
        <v>63</v>
      </c>
      <c r="B70" t="s">
        <v>256</v>
      </c>
      <c r="C70" t="s">
        <v>426</v>
      </c>
      <c r="D70" s="3" t="str">
        <f>_xlfn.CONCAT(FIXED(VLOOKUP($A70,Reg1_ct_Robust!$A:$AG,D$1,0),4),VLOOKUP($A70,Reg1_ct_Robust!$A:$AG,D$1+25,0))</f>
        <v>0.0492</v>
      </c>
      <c r="E70" s="3" t="str">
        <f>_xlfn.CONCAT(FIXED(VLOOKUP($A70,Reg2_ct_last_rob!$A:$AG,E$1,0),4),VLOOKUP($A70,Reg2_ct_last_rob!$A:$AG,E$1+25,0))</f>
        <v>0.0540</v>
      </c>
      <c r="F70" s="3" t="str">
        <f>_xlfn.CONCAT(FIXED(VLOOKUP($A70,Reg2_ct_first_rob!$A:$AG,F$1,0),4),VLOOKUP($A70,Reg2_ct_first_rob!$A:$AG,F$1+25,0))</f>
        <v>0.0591</v>
      </c>
      <c r="G70" s="3" t="str">
        <f>_xlfn.CONCAT(FIXED(VLOOKUP($A70,Reg1_sf_Robust!$A:$AG,G$1,0),4),VLOOKUP($A70,Reg1_sf_Robust!$A:$AG,G$1+25,0))</f>
        <v>0.1587</v>
      </c>
      <c r="H70" s="3" t="str">
        <f>_xlfn.CONCAT(FIXED(VLOOKUP($A70,Reg2_sf_last_rob!$A:$AG,H$1,0),4),VLOOKUP($A70,Reg2_sf_last_rob!$A:$AG,H$1+25,0))</f>
        <v>0.1611</v>
      </c>
      <c r="I70" s="3" t="str">
        <f>_xlfn.CONCAT(FIXED(VLOOKUP($A70,Reg2_sf_first_rob!$A:$AG,I$1,0),4),VLOOKUP($A70,Reg2_sf_first_rob!$A:$AG,I$1+25,0))</f>
        <v>0.1503</v>
      </c>
    </row>
    <row r="71" spans="1:9" x14ac:dyDescent="0.25">
      <c r="A71">
        <v>64</v>
      </c>
      <c r="D71" s="3" t="str">
        <f>_xlfn.CONCAT("(",FIXED(ABS(VLOOKUP($A70,Reg1_ct_Robust!$A:$AG,D$1+1,0)),4),")")</f>
        <v>(0.0541)</v>
      </c>
      <c r="E71" s="3" t="str">
        <f>_xlfn.CONCAT("(",FIXED(ABS(VLOOKUP($A70,Reg2_ct_last_rob!$A:$AG,E$1+1,0)),4),")")</f>
        <v>(0.0512)</v>
      </c>
      <c r="F71" s="3" t="str">
        <f>_xlfn.CONCAT("(",FIXED(ABS(VLOOKUP($A70,Reg2_ct_first_rob!$A:$AG,F$1+1,0)),4),")")</f>
        <v>(0.0527)</v>
      </c>
      <c r="G71" s="3" t="str">
        <f>_xlfn.CONCAT("(",FIXED(ABS(VLOOKUP($A70,Reg1_sf_Robust!$A:$AG,G$1+1,0)),4),")")</f>
        <v>(0.1061)</v>
      </c>
      <c r="H71" s="3" t="str">
        <f>_xlfn.CONCAT("(",FIXED(ABS(VLOOKUP($A70,Reg2_sf_last_rob!$A:$AG,H$1+1,0)),4),")")</f>
        <v>(0.1061)</v>
      </c>
      <c r="I71" s="3" t="str">
        <f>_xlfn.CONCAT("(",FIXED(ABS(VLOOKUP($A70,Reg2_sf_first_rob!$A:$AG,I$1+1,0)),4),")")</f>
        <v>(0.1036)</v>
      </c>
    </row>
    <row r="72" spans="1:9" x14ac:dyDescent="0.25">
      <c r="A72">
        <v>67</v>
      </c>
      <c r="B72" t="s">
        <v>253</v>
      </c>
      <c r="C72" t="s">
        <v>427</v>
      </c>
      <c r="D72" s="3" t="str">
        <f>_xlfn.CONCAT(FIXED(VLOOKUP($A72,Reg1_ct_Robust!$A:$AG,D$1,0),4),VLOOKUP($A72,Reg1_ct_Robust!$A:$AG,D$1+25,0))</f>
        <v>0.0203</v>
      </c>
      <c r="E72" s="3" t="str">
        <f>_xlfn.CONCAT(FIXED(VLOOKUP($A72,Reg2_ct_last_rob!$A:$AG,E$1,0),4),VLOOKUP($A72,Reg2_ct_last_rob!$A:$AG,E$1+25,0))</f>
        <v>0.0227</v>
      </c>
      <c r="F72" s="3" t="str">
        <f>_xlfn.CONCAT(FIXED(VLOOKUP($A72,Reg2_ct_first_rob!$A:$AG,F$1,0),4),VLOOKUP($A72,Reg2_ct_first_rob!$A:$AG,F$1+25,0))</f>
        <v>0.0289</v>
      </c>
      <c r="G72" s="3" t="str">
        <f>_xlfn.CONCAT(FIXED(VLOOKUP($A72,Reg1_sf_Robust!$A:$AG,G$1,0),4),VLOOKUP($A72,Reg1_sf_Robust!$A:$AG,G$1+25,0))</f>
        <v>0.0041</v>
      </c>
      <c r="H72" s="3" t="str">
        <f>_xlfn.CONCAT(FIXED(VLOOKUP($A72,Reg2_sf_last_rob!$A:$AG,H$1,0),4),VLOOKUP($A72,Reg2_sf_last_rob!$A:$AG,H$1+25,0))</f>
        <v>0.0103</v>
      </c>
      <c r="I72" s="3" t="str">
        <f>_xlfn.CONCAT(FIXED(VLOOKUP($A72,Reg2_sf_first_rob!$A:$AG,I$1,0),4),VLOOKUP($A72,Reg2_sf_first_rob!$A:$AG,I$1+25,0))</f>
        <v>0.0040</v>
      </c>
    </row>
    <row r="73" spans="1:9" x14ac:dyDescent="0.25">
      <c r="A73">
        <v>68</v>
      </c>
      <c r="D73" s="3" t="str">
        <f>_xlfn.CONCAT("(",FIXED(ABS(VLOOKUP($A72,Reg1_ct_Robust!$A:$AG,D$1+1,0)),4),")")</f>
        <v>(0.0566)</v>
      </c>
      <c r="E73" s="3" t="str">
        <f>_xlfn.CONCAT("(",FIXED(ABS(VLOOKUP($A72,Reg2_ct_last_rob!$A:$AG,E$1+1,0)),4),")")</f>
        <v>(0.0554)</v>
      </c>
      <c r="F73" s="3" t="str">
        <f>_xlfn.CONCAT("(",FIXED(ABS(VLOOKUP($A72,Reg2_ct_first_rob!$A:$AG,F$1+1,0)),4),")")</f>
        <v>(0.0570)</v>
      </c>
      <c r="G73" s="3" t="str">
        <f>_xlfn.CONCAT("(",FIXED(ABS(VLOOKUP($A72,Reg1_sf_Robust!$A:$AG,G$1+1,0)),4),")")</f>
        <v>(0.0296)</v>
      </c>
      <c r="H73" s="3" t="str">
        <f>_xlfn.CONCAT("(",FIXED(ABS(VLOOKUP($A72,Reg2_sf_last_rob!$A:$AG,H$1+1,0)),4),")")</f>
        <v>(0.0290)</v>
      </c>
      <c r="I73" s="3" t="str">
        <f>_xlfn.CONCAT("(",FIXED(ABS(VLOOKUP($A72,Reg2_sf_first_rob!$A:$AG,I$1+1,0)),4),")")</f>
        <v>(0.0296)</v>
      </c>
    </row>
    <row r="74" spans="1:9" x14ac:dyDescent="0.25">
      <c r="A74">
        <v>69</v>
      </c>
      <c r="B74" t="s">
        <v>257</v>
      </c>
      <c r="C74" t="s">
        <v>428</v>
      </c>
      <c r="D74" s="3" t="str">
        <f>_xlfn.CONCAT(FIXED(VLOOKUP($A74,Reg1_ct_Robust!$A:$AG,D$1,0),4),VLOOKUP($A74,Reg1_ct_Robust!$A:$AG,D$1+25,0))</f>
        <v>0.0646</v>
      </c>
      <c r="E74" s="3" t="str">
        <f>_xlfn.CONCAT(FIXED(VLOOKUP($A74,Reg2_ct_last_rob!$A:$AG,E$1,0),4),VLOOKUP($A74,Reg2_ct_last_rob!$A:$AG,E$1+25,0))</f>
        <v>0.0652</v>
      </c>
      <c r="F74" s="3" t="str">
        <f>_xlfn.CONCAT(FIXED(VLOOKUP($A74,Reg2_ct_first_rob!$A:$AG,F$1,0),4),VLOOKUP($A74,Reg2_ct_first_rob!$A:$AG,F$1+25,0))</f>
        <v>0.0724</v>
      </c>
      <c r="G74" s="3" t="str">
        <f>_xlfn.CONCAT(FIXED(VLOOKUP($A74,Reg1_sf_Robust!$A:$AG,G$1,0),4),VLOOKUP($A74,Reg1_sf_Robust!$A:$AG,G$1+25,0))</f>
        <v>0.0436</v>
      </c>
      <c r="H74" s="3" t="str">
        <f>_xlfn.CONCAT(FIXED(VLOOKUP($A74,Reg2_sf_last_rob!$A:$AG,H$1,0),4),VLOOKUP($A74,Reg2_sf_last_rob!$A:$AG,H$1+25,0))</f>
        <v>0.0427</v>
      </c>
      <c r="I74" s="3" t="str">
        <f>_xlfn.CONCAT(FIXED(VLOOKUP($A74,Reg2_sf_first_rob!$A:$AG,I$1,0),4),VLOOKUP($A74,Reg2_sf_first_rob!$A:$AG,I$1+25,0))</f>
        <v>0.0419</v>
      </c>
    </row>
    <row r="75" spans="1:9" x14ac:dyDescent="0.25">
      <c r="A75">
        <v>70</v>
      </c>
      <c r="D75" s="3" t="str">
        <f>_xlfn.CONCAT("(",FIXED(ABS(VLOOKUP($A74,Reg1_ct_Robust!$A:$AG,D$1+1,0)),4),")")</f>
        <v>(0.0684)</v>
      </c>
      <c r="E75" s="3" t="str">
        <f>_xlfn.CONCAT("(",FIXED(ABS(VLOOKUP($A74,Reg2_ct_last_rob!$A:$AG,E$1+1,0)),4),")")</f>
        <v>(0.0681)</v>
      </c>
      <c r="F75" s="3" t="str">
        <f>_xlfn.CONCAT("(",FIXED(ABS(VLOOKUP($A74,Reg2_ct_first_rob!$A:$AG,F$1+1,0)),4),")")</f>
        <v>(0.0671)</v>
      </c>
      <c r="G75" s="3" t="str">
        <f>_xlfn.CONCAT("(",FIXED(ABS(VLOOKUP($A74,Reg1_sf_Robust!$A:$AG,G$1+1,0)),4),")")</f>
        <v>(0.1449)</v>
      </c>
      <c r="H75" s="3" t="str">
        <f>_xlfn.CONCAT("(",FIXED(ABS(VLOOKUP($A74,Reg2_sf_last_rob!$A:$AG,H$1+1,0)),4),")")</f>
        <v>(0.1457)</v>
      </c>
      <c r="I75" s="3" t="str">
        <f>_xlfn.CONCAT("(",FIXED(ABS(VLOOKUP($A74,Reg2_sf_first_rob!$A:$AG,I$1+1,0)),4),")")</f>
        <v>(0.1438)</v>
      </c>
    </row>
    <row r="76" spans="1:9" x14ac:dyDescent="0.25">
      <c r="A76">
        <v>71</v>
      </c>
      <c r="B76" t="s">
        <v>259</v>
      </c>
      <c r="C76" t="s">
        <v>429</v>
      </c>
      <c r="D76" s="3" t="str">
        <f>_xlfn.CONCAT(FIXED(VLOOKUP($A76,Reg1_ct_Robust!$A:$AG,D$1,0),4),VLOOKUP($A76,Reg1_ct_Robust!$A:$AG,D$1+25,0))</f>
        <v>0.0575</v>
      </c>
      <c r="E76" s="3" t="str">
        <f>_xlfn.CONCAT(FIXED(VLOOKUP($A76,Reg2_ct_last_rob!$A:$AG,E$1,0),4),VLOOKUP($A76,Reg2_ct_last_rob!$A:$AG,E$1+25,0))</f>
        <v>0.0559</v>
      </c>
      <c r="F76" s="3" t="str">
        <f>_xlfn.CONCAT(FIXED(VLOOKUP($A76,Reg2_ct_first_rob!$A:$AG,F$1,0),4),VLOOKUP($A76,Reg2_ct_first_rob!$A:$AG,F$1+25,0))</f>
        <v>0.0620</v>
      </c>
      <c r="G76" s="3" t="str">
        <f>_xlfn.CONCAT(FIXED(VLOOKUP($A76,Reg1_sf_Robust!$A:$AG,G$1,0),4),VLOOKUP($A76,Reg1_sf_Robust!$A:$AG,G$1+25,0))</f>
        <v>0.0391</v>
      </c>
      <c r="H76" s="3" t="str">
        <f>_xlfn.CONCAT(FIXED(VLOOKUP($A76,Reg2_sf_last_rob!$A:$AG,H$1,0),4),VLOOKUP($A76,Reg2_sf_last_rob!$A:$AG,H$1+25,0))</f>
        <v>0.0347</v>
      </c>
      <c r="I76" s="3" t="str">
        <f>_xlfn.CONCAT(FIXED(VLOOKUP($A76,Reg2_sf_first_rob!$A:$AG,I$1,0),4),VLOOKUP($A76,Reg2_sf_first_rob!$A:$AG,I$1+25,0))</f>
        <v>0.0414</v>
      </c>
    </row>
    <row r="77" spans="1:9" x14ac:dyDescent="0.25">
      <c r="A77">
        <v>72</v>
      </c>
      <c r="D77" s="3" t="str">
        <f>_xlfn.CONCAT("(",FIXED(ABS(VLOOKUP($A76,Reg1_ct_Robust!$A:$AG,D$1+1,0)),4),")")</f>
        <v>(0.1061)</v>
      </c>
      <c r="E77" s="3" t="str">
        <f>_xlfn.CONCAT("(",FIXED(ABS(VLOOKUP($A76,Reg2_ct_last_rob!$A:$AG,E$1+1,0)),4),")")</f>
        <v>(0.1058)</v>
      </c>
      <c r="F77" s="3" t="str">
        <f>_xlfn.CONCAT("(",FIXED(ABS(VLOOKUP($A76,Reg2_ct_first_rob!$A:$AG,F$1+1,0)),4),")")</f>
        <v>(0.1008)</v>
      </c>
      <c r="G77" s="3" t="str">
        <f>_xlfn.CONCAT("(",FIXED(ABS(VLOOKUP($A76,Reg1_sf_Robust!$A:$AG,G$1+1,0)),4),")")</f>
        <v>(0.0457)</v>
      </c>
      <c r="H77" s="3" t="str">
        <f>_xlfn.CONCAT("(",FIXED(ABS(VLOOKUP($A76,Reg2_sf_last_rob!$A:$AG,H$1+1,0)),4),")")</f>
        <v>(0.0459)</v>
      </c>
      <c r="I77" s="3" t="str">
        <f>_xlfn.CONCAT("(",FIXED(ABS(VLOOKUP($A76,Reg2_sf_first_rob!$A:$AG,I$1+1,0)),4),")")</f>
        <v>(0.0454)</v>
      </c>
    </row>
    <row r="78" spans="1:9" x14ac:dyDescent="0.25">
      <c r="A78">
        <v>73</v>
      </c>
      <c r="B78" t="s">
        <v>261</v>
      </c>
      <c r="C78" t="s">
        <v>430</v>
      </c>
      <c r="D78" s="3" t="str">
        <f>_xlfn.CONCAT(FIXED(VLOOKUP($A78,Reg1_ct_Robust!$A:$AG,D$1,0),4),VLOOKUP($A78,Reg1_ct_Robust!$A:$AG,D$1+25,0))</f>
        <v>0.2494</v>
      </c>
      <c r="E78" s="3" t="str">
        <f>_xlfn.CONCAT(FIXED(VLOOKUP($A78,Reg2_ct_last_rob!$A:$AG,E$1,0),4),VLOOKUP($A78,Reg2_ct_last_rob!$A:$AG,E$1+25,0))</f>
        <v>0.2486</v>
      </c>
      <c r="F78" s="3" t="str">
        <f>_xlfn.CONCAT(FIXED(VLOOKUP($A78,Reg2_ct_first_rob!$A:$AG,F$1,0),4),VLOOKUP($A78,Reg2_ct_first_rob!$A:$AG,F$1+25,0))</f>
        <v>0.2495</v>
      </c>
      <c r="G78" s="3" t="str">
        <f>_xlfn.CONCAT(FIXED(VLOOKUP($A78,Reg1_sf_Robust!$A:$AG,G$1,0),4),VLOOKUP($A78,Reg1_sf_Robust!$A:$AG,G$1+25,0))</f>
        <v>0.3655</v>
      </c>
      <c r="H78" s="3" t="str">
        <f>_xlfn.CONCAT(FIXED(VLOOKUP($A78,Reg2_sf_last_rob!$A:$AG,H$1,0),4),VLOOKUP($A78,Reg2_sf_last_rob!$A:$AG,H$1+25,0))</f>
        <v>0.3753</v>
      </c>
      <c r="I78" s="3" t="str">
        <f>_xlfn.CONCAT(FIXED(VLOOKUP($A78,Reg2_sf_first_rob!$A:$AG,I$1,0),4),VLOOKUP($A78,Reg2_sf_first_rob!$A:$AG,I$1+25,0))</f>
        <v>0.3702</v>
      </c>
    </row>
    <row r="79" spans="1:9" x14ac:dyDescent="0.25">
      <c r="A79">
        <v>74</v>
      </c>
      <c r="D79" s="3" t="str">
        <f>_xlfn.CONCAT("(",FIXED(ABS(VLOOKUP($A78,Reg1_ct_Robust!$A:$AG,D$1+1,0)),4),")")</f>
        <v>(0.1404)</v>
      </c>
      <c r="E79" s="3" t="str">
        <f>_xlfn.CONCAT("(",FIXED(ABS(VLOOKUP($A78,Reg2_ct_last_rob!$A:$AG,E$1+1,0)),4),")")</f>
        <v>(0.1425)</v>
      </c>
      <c r="F79" s="3" t="str">
        <f>_xlfn.CONCAT("(",FIXED(ABS(VLOOKUP($A78,Reg2_ct_first_rob!$A:$AG,F$1+1,0)),4),")")</f>
        <v>(0.1421)</v>
      </c>
      <c r="G79" s="3" t="str">
        <f>_xlfn.CONCAT("(",FIXED(ABS(VLOOKUP($A78,Reg1_sf_Robust!$A:$AG,G$1+1,0)),4),")")</f>
        <v>(0.2703)</v>
      </c>
      <c r="H79" s="3" t="str">
        <f>_xlfn.CONCAT("(",FIXED(ABS(VLOOKUP($A78,Reg2_sf_last_rob!$A:$AG,H$1+1,0)),4),")")</f>
        <v>(0.2722)</v>
      </c>
      <c r="I79" s="3" t="str">
        <f>_xlfn.CONCAT("(",FIXED(ABS(VLOOKUP($A78,Reg2_sf_first_rob!$A:$AG,I$1+1,0)),4),")")</f>
        <v>(0.2761)</v>
      </c>
    </row>
    <row r="80" spans="1:9" x14ac:dyDescent="0.25">
      <c r="A80">
        <v>75</v>
      </c>
      <c r="B80" t="s">
        <v>166</v>
      </c>
      <c r="C80" t="s">
        <v>431</v>
      </c>
      <c r="D80" s="3" t="str">
        <f>_xlfn.CONCAT(FIXED(VLOOKUP($A80,Reg1_ct_Robust!$A:$AG,D$1,0),4),VLOOKUP($A80,Reg1_ct_Robust!$A:$AG,D$1+25,0))</f>
        <v>0.2684***</v>
      </c>
      <c r="E80" s="3" t="str">
        <f>_xlfn.CONCAT(FIXED(VLOOKUP($A80,Reg2_ct_last_rob!$A:$AG,E$1,0),4),VLOOKUP($A80,Reg2_ct_last_rob!$A:$AG,E$1+25,0))</f>
        <v>0.2640***</v>
      </c>
      <c r="F80" s="3" t="str">
        <f>_xlfn.CONCAT(FIXED(VLOOKUP($A80,Reg2_ct_first_rob!$A:$AG,F$1,0),4),VLOOKUP($A80,Reg2_ct_first_rob!$A:$AG,F$1+25,0))</f>
        <v>0.2696***</v>
      </c>
      <c r="G80" s="3" t="str">
        <f>_xlfn.CONCAT(FIXED(VLOOKUP($A80,Reg1_sf_Robust!$A:$AG,G$1,0),4),VLOOKUP($A80,Reg1_sf_Robust!$A:$AG,G$1+25,0))</f>
        <v>0.0435</v>
      </c>
      <c r="H80" s="3" t="str">
        <f>_xlfn.CONCAT(FIXED(VLOOKUP($A80,Reg2_sf_last_rob!$A:$AG,H$1,0),4),VLOOKUP($A80,Reg2_sf_last_rob!$A:$AG,H$1+25,0))</f>
        <v>0.0416</v>
      </c>
      <c r="I80" s="3" t="str">
        <f>_xlfn.CONCAT(FIXED(VLOOKUP($A80,Reg2_sf_first_rob!$A:$AG,I$1,0),4),VLOOKUP($A80,Reg2_sf_first_rob!$A:$AG,I$1+25,0))</f>
        <v>0.0428</v>
      </c>
    </row>
    <row r="81" spans="1:9" x14ac:dyDescent="0.25">
      <c r="A81">
        <v>76</v>
      </c>
      <c r="D81" s="3" t="str">
        <f>_xlfn.CONCAT("(",FIXED(ABS(VLOOKUP($A80,Reg1_ct_Robust!$A:$AG,D$1+1,0)),4),")")</f>
        <v>(0.0203)</v>
      </c>
      <c r="E81" s="3" t="str">
        <f>_xlfn.CONCAT("(",FIXED(ABS(VLOOKUP($A80,Reg2_ct_last_rob!$A:$AG,E$1+1,0)),4),")")</f>
        <v>(0.0204)</v>
      </c>
      <c r="F81" s="3" t="str">
        <f>_xlfn.CONCAT("(",FIXED(ABS(VLOOKUP($A80,Reg2_ct_first_rob!$A:$AG,F$1+1,0)),4),")")</f>
        <v>(0.0201)</v>
      </c>
      <c r="G81" s="3" t="str">
        <f>_xlfn.CONCAT("(",FIXED(ABS(VLOOKUP($A80,Reg1_sf_Robust!$A:$AG,G$1+1,0)),4),")")</f>
        <v>(0.0528)</v>
      </c>
      <c r="H81" s="3" t="str">
        <f>_xlfn.CONCAT("(",FIXED(ABS(VLOOKUP($A80,Reg2_sf_last_rob!$A:$AG,H$1+1,0)),4),")")</f>
        <v>(0.0502)</v>
      </c>
      <c r="I81" s="3" t="str">
        <f>_xlfn.CONCAT("(",FIXED(ABS(VLOOKUP($A80,Reg2_sf_first_rob!$A:$AG,I$1+1,0)),4),")")</f>
        <v>(0.0509)</v>
      </c>
    </row>
    <row r="82" spans="1:9" x14ac:dyDescent="0.25">
      <c r="A82">
        <v>77</v>
      </c>
      <c r="B82" t="s">
        <v>167</v>
      </c>
      <c r="C82" t="s">
        <v>432</v>
      </c>
      <c r="D82" s="3" t="str">
        <f>_xlfn.CONCAT(FIXED(VLOOKUP($A82,Reg1_ct_Robust!$A:$AG,D$1,0),4),VLOOKUP($A82,Reg1_ct_Robust!$A:$AG,D$1+25,0))</f>
        <v>0.3230***</v>
      </c>
      <c r="E82" s="3" t="str">
        <f>_xlfn.CONCAT(FIXED(VLOOKUP($A82,Reg2_ct_last_rob!$A:$AG,E$1,0),4),VLOOKUP($A82,Reg2_ct_last_rob!$A:$AG,E$1+25,0))</f>
        <v>0.3172***</v>
      </c>
      <c r="F82" s="3" t="str">
        <f>_xlfn.CONCAT(FIXED(VLOOKUP($A82,Reg2_ct_first_rob!$A:$AG,F$1,0),4),VLOOKUP($A82,Reg2_ct_first_rob!$A:$AG,F$1+25,0))</f>
        <v>0.3239***</v>
      </c>
      <c r="G82" s="3" t="str">
        <f>_xlfn.CONCAT(FIXED(VLOOKUP($A82,Reg1_sf_Robust!$A:$AG,G$1,0),4),VLOOKUP($A82,Reg1_sf_Robust!$A:$AG,G$1+25,0))</f>
        <v>0.1088*</v>
      </c>
      <c r="H82" s="3" t="str">
        <f>_xlfn.CONCAT(FIXED(VLOOKUP($A82,Reg2_sf_last_rob!$A:$AG,H$1,0),4),VLOOKUP($A82,Reg2_sf_last_rob!$A:$AG,H$1+25,0))</f>
        <v>0.1057*</v>
      </c>
      <c r="I82" s="3" t="str">
        <f>_xlfn.CONCAT(FIXED(VLOOKUP($A82,Reg2_sf_first_rob!$A:$AG,I$1,0),4),VLOOKUP($A82,Reg2_sf_first_rob!$A:$AG,I$1+25,0))</f>
        <v>0.1031*</v>
      </c>
    </row>
    <row r="83" spans="1:9" x14ac:dyDescent="0.25">
      <c r="A83">
        <v>78</v>
      </c>
      <c r="D83" s="3" t="str">
        <f>_xlfn.CONCAT("(",FIXED(ABS(VLOOKUP($A82,Reg1_ct_Robust!$A:$AG,D$1+1,0)),4),")")</f>
        <v>(0.0346)</v>
      </c>
      <c r="E83" s="3" t="str">
        <f>_xlfn.CONCAT("(",FIXED(ABS(VLOOKUP($A82,Reg2_ct_last_rob!$A:$AG,E$1+1,0)),4),")")</f>
        <v>(0.0362)</v>
      </c>
      <c r="F83" s="3" t="str">
        <f>_xlfn.CONCAT("(",FIXED(ABS(VLOOKUP($A82,Reg2_ct_first_rob!$A:$AG,F$1+1,0)),4),")")</f>
        <v>(0.0367)</v>
      </c>
      <c r="G83" s="3" t="str">
        <f>_xlfn.CONCAT("(",FIXED(ABS(VLOOKUP($A82,Reg1_sf_Robust!$A:$AG,G$1+1,0)),4),")")</f>
        <v>(0.0537)</v>
      </c>
      <c r="H83" s="3" t="str">
        <f>_xlfn.CONCAT("(",FIXED(ABS(VLOOKUP($A82,Reg2_sf_last_rob!$A:$AG,H$1+1,0)),4),")")</f>
        <v>(0.0506)</v>
      </c>
      <c r="I83" s="3" t="str">
        <f>_xlfn.CONCAT("(",FIXED(ABS(VLOOKUP($A82,Reg2_sf_first_rob!$A:$AG,I$1+1,0)),4),")")</f>
        <v>(0.0521)</v>
      </c>
    </row>
    <row r="84" spans="1:9" x14ac:dyDescent="0.25">
      <c r="A84">
        <v>79</v>
      </c>
      <c r="B84" t="s">
        <v>168</v>
      </c>
      <c r="C84" t="s">
        <v>433</v>
      </c>
      <c r="D84" s="3" t="str">
        <f>_xlfn.CONCAT(FIXED(VLOOKUP($A84,Reg1_ct_Robust!$A:$AG,D$1,0),4),VLOOKUP($A84,Reg1_ct_Robust!$A:$AG,D$1+25,0))</f>
        <v>0.3741***</v>
      </c>
      <c r="E84" s="3" t="str">
        <f>_xlfn.CONCAT(FIXED(VLOOKUP($A84,Reg2_ct_last_rob!$A:$AG,E$1,0),4),VLOOKUP($A84,Reg2_ct_last_rob!$A:$AG,E$1+25,0))</f>
        <v>0.3694**</v>
      </c>
      <c r="F84" s="3" t="str">
        <f>_xlfn.CONCAT(FIXED(VLOOKUP($A84,Reg2_ct_first_rob!$A:$AG,F$1,0),4),VLOOKUP($A84,Reg2_ct_first_rob!$A:$AG,F$1+25,0))</f>
        <v>0.3863**</v>
      </c>
      <c r="G84" s="3" t="str">
        <f>_xlfn.CONCAT(FIXED(VLOOKUP($A84,Reg1_sf_Robust!$A:$AG,G$1,0),4),VLOOKUP($A84,Reg1_sf_Robust!$A:$AG,G$1+25,0))</f>
        <v>0.1059*</v>
      </c>
      <c r="H84" s="3" t="str">
        <f>_xlfn.CONCAT(FIXED(VLOOKUP($A84,Reg2_sf_last_rob!$A:$AG,H$1,0),4),VLOOKUP($A84,Reg2_sf_last_rob!$A:$AG,H$1+25,0))</f>
        <v>0.1045*</v>
      </c>
      <c r="I84" s="3" t="str">
        <f>_xlfn.CONCAT(FIXED(VLOOKUP($A84,Reg2_sf_first_rob!$A:$AG,I$1,0),4),VLOOKUP($A84,Reg2_sf_first_rob!$A:$AG,I$1+25,0))</f>
        <v>0.0992*</v>
      </c>
    </row>
    <row r="85" spans="1:9" x14ac:dyDescent="0.25">
      <c r="A85">
        <v>80</v>
      </c>
      <c r="D85" s="3" t="str">
        <f>_xlfn.CONCAT("(",FIXED(ABS(VLOOKUP($A84,Reg1_ct_Robust!$A:$AG,D$1+1,0)),4),")")</f>
        <v>(0.1082)</v>
      </c>
      <c r="E85" s="3" t="str">
        <f>_xlfn.CONCAT("(",FIXED(ABS(VLOOKUP($A84,Reg2_ct_last_rob!$A:$AG,E$1+1,0)),4),")")</f>
        <v>(0.1128)</v>
      </c>
      <c r="F85" s="3" t="str">
        <f>_xlfn.CONCAT("(",FIXED(ABS(VLOOKUP($A84,Reg2_ct_first_rob!$A:$AG,F$1+1,0)),4),")")</f>
        <v>(0.1141)</v>
      </c>
      <c r="G85" s="3" t="str">
        <f>_xlfn.CONCAT("(",FIXED(ABS(VLOOKUP($A84,Reg1_sf_Robust!$A:$AG,G$1+1,0)),4),")")</f>
        <v>(0.0579)</v>
      </c>
      <c r="H85" s="3" t="str">
        <f>_xlfn.CONCAT("(",FIXED(ABS(VLOOKUP($A84,Reg2_sf_last_rob!$A:$AG,H$1+1,0)),4),")")</f>
        <v>(0.0538)</v>
      </c>
      <c r="I85" s="3" t="str">
        <f>_xlfn.CONCAT("(",FIXED(ABS(VLOOKUP($A84,Reg2_sf_first_rob!$A:$AG,I$1+1,0)),4),")")</f>
        <v>(0.0549)</v>
      </c>
    </row>
    <row r="86" spans="1:9" x14ac:dyDescent="0.25">
      <c r="A86">
        <v>81</v>
      </c>
      <c r="B86" t="s">
        <v>169</v>
      </c>
      <c r="C86" t="s">
        <v>434</v>
      </c>
      <c r="D86" s="3" t="str">
        <f>_xlfn.CONCAT(FIXED(VLOOKUP($A86,Reg1_ct_Robust!$A:$AG,D$1,0),4),VLOOKUP($A86,Reg1_ct_Robust!$A:$AG,D$1+25,0))</f>
        <v>0.2865***</v>
      </c>
      <c r="E86" s="3" t="str">
        <f>_xlfn.CONCAT(FIXED(VLOOKUP($A86,Reg2_ct_last_rob!$A:$AG,E$1,0),4),VLOOKUP($A86,Reg2_ct_last_rob!$A:$AG,E$1+25,0))</f>
        <v>0.2779***</v>
      </c>
      <c r="F86" s="3" t="str">
        <f>_xlfn.CONCAT(FIXED(VLOOKUP($A86,Reg2_ct_first_rob!$A:$AG,F$1,0),4),VLOOKUP($A86,Reg2_ct_first_rob!$A:$AG,F$1+25,0))</f>
        <v>0.2944***</v>
      </c>
      <c r="G86" s="3" t="str">
        <f>_xlfn.CONCAT(FIXED(VLOOKUP($A86,Reg1_sf_Robust!$A:$AG,G$1,0),4),VLOOKUP($A86,Reg1_sf_Robust!$A:$AG,G$1+25,0))</f>
        <v>0.1356**</v>
      </c>
      <c r="H86" s="3" t="str">
        <f>_xlfn.CONCAT(FIXED(VLOOKUP($A86,Reg2_sf_last_rob!$A:$AG,H$1,0),4),VLOOKUP($A86,Reg2_sf_last_rob!$A:$AG,H$1+25,0))</f>
        <v>0.1337**</v>
      </c>
      <c r="I86" s="3" t="str">
        <f>_xlfn.CONCAT(FIXED(VLOOKUP($A86,Reg2_sf_first_rob!$A:$AG,I$1,0),4),VLOOKUP($A86,Reg2_sf_first_rob!$A:$AG,I$1+25,0))</f>
        <v>0.1288**</v>
      </c>
    </row>
    <row r="87" spans="1:9" x14ac:dyDescent="0.25">
      <c r="A87">
        <v>82</v>
      </c>
      <c r="D87" s="3" t="str">
        <f>_xlfn.CONCAT("(",FIXED(ABS(VLOOKUP($A86,Reg1_ct_Robust!$A:$AG,D$1+1,0)),4),")")</f>
        <v>(0.0634)</v>
      </c>
      <c r="E87" s="3" t="str">
        <f>_xlfn.CONCAT("(",FIXED(ABS(VLOOKUP($A86,Reg2_ct_last_rob!$A:$AG,E$1+1,0)),4),")")</f>
        <v>(0.0665)</v>
      </c>
      <c r="F87" s="3" t="str">
        <f>_xlfn.CONCAT("(",FIXED(ABS(VLOOKUP($A86,Reg2_ct_first_rob!$A:$AG,F$1+1,0)),4),")")</f>
        <v>(0.0643)</v>
      </c>
      <c r="G87" s="3" t="str">
        <f>_xlfn.CONCAT("(",FIXED(ABS(VLOOKUP($A86,Reg1_sf_Robust!$A:$AG,G$1+1,0)),4),")")</f>
        <v>(0.0565)</v>
      </c>
      <c r="H87" s="3" t="str">
        <f>_xlfn.CONCAT("(",FIXED(ABS(VLOOKUP($A86,Reg2_sf_last_rob!$A:$AG,H$1+1,0)),4),")")</f>
        <v>(0.0534)</v>
      </c>
      <c r="I87" s="3" t="str">
        <f>_xlfn.CONCAT("(",FIXED(ABS(VLOOKUP($A86,Reg2_sf_first_rob!$A:$AG,I$1+1,0)),4),")")</f>
        <v>(0.0544)</v>
      </c>
    </row>
    <row r="88" spans="1:9" x14ac:dyDescent="0.25">
      <c r="A88">
        <v>83</v>
      </c>
      <c r="B88" t="s">
        <v>170</v>
      </c>
      <c r="C88" t="s">
        <v>435</v>
      </c>
      <c r="D88" s="3" t="str">
        <f>_xlfn.CONCAT(FIXED(VLOOKUP($A88,Reg1_ct_Robust!$A:$AG,D$1,0),4),VLOOKUP($A88,Reg1_ct_Robust!$A:$AG,D$1+25,0))</f>
        <v>0.0192</v>
      </c>
      <c r="E88" s="3" t="str">
        <f>_xlfn.CONCAT(FIXED(VLOOKUP($A88,Reg2_ct_last_rob!$A:$AG,E$1,0),4),VLOOKUP($A88,Reg2_ct_last_rob!$A:$AG,E$1+25,0))</f>
        <v>0.0420</v>
      </c>
      <c r="F88" s="3" t="str">
        <f>_xlfn.CONCAT(FIXED(VLOOKUP($A88,Reg2_ct_first_rob!$A:$AG,F$1,0),4),VLOOKUP($A88,Reg2_ct_first_rob!$A:$AG,F$1+25,0))</f>
        <v>0.0344</v>
      </c>
      <c r="G88" s="3" t="str">
        <f>_xlfn.CONCAT(FIXED(VLOOKUP($A88,Reg1_sf_Robust!$A:$AG,G$1,0),4),VLOOKUP($A88,Reg1_sf_Robust!$A:$AG,G$1+25,0))</f>
        <v>0.1386**</v>
      </c>
      <c r="H88" s="3" t="str">
        <f>_xlfn.CONCAT(FIXED(VLOOKUP($A88,Reg2_sf_last_rob!$A:$AG,H$1,0),4),VLOOKUP($A88,Reg2_sf_last_rob!$A:$AG,H$1+25,0))</f>
        <v>0.1437**</v>
      </c>
      <c r="I88" s="3" t="str">
        <f>_xlfn.CONCAT(FIXED(VLOOKUP($A88,Reg2_sf_first_rob!$A:$AG,I$1,0),4),VLOOKUP($A88,Reg2_sf_first_rob!$A:$AG,I$1+25,0))</f>
        <v>0.1334**</v>
      </c>
    </row>
    <row r="89" spans="1:9" x14ac:dyDescent="0.25">
      <c r="A89">
        <v>84</v>
      </c>
      <c r="D89" s="3" t="str">
        <f>_xlfn.CONCAT("(",FIXED(ABS(VLOOKUP($A88,Reg1_ct_Robust!$A:$AG,D$1+1,0)),4),")")</f>
        <v>(0.2129)</v>
      </c>
      <c r="E89" s="3" t="str">
        <f>_xlfn.CONCAT("(",FIXED(ABS(VLOOKUP($A88,Reg2_ct_last_rob!$A:$AG,E$1+1,0)),4),")")</f>
        <v>(0.1933)</v>
      </c>
      <c r="F89" s="3" t="str">
        <f>_xlfn.CONCAT("(",FIXED(ABS(VLOOKUP($A88,Reg2_ct_first_rob!$A:$AG,F$1+1,0)),4),")")</f>
        <v>(0.1969)</v>
      </c>
      <c r="G89" s="3" t="str">
        <f>_xlfn.CONCAT("(",FIXED(ABS(VLOOKUP($A88,Reg1_sf_Robust!$A:$AG,G$1+1,0)),4),")")</f>
        <v>(0.0546)</v>
      </c>
      <c r="H89" s="3" t="str">
        <f>_xlfn.CONCAT("(",FIXED(ABS(VLOOKUP($A88,Reg2_sf_last_rob!$A:$AG,H$1+1,0)),4),")")</f>
        <v>(0.0512)</v>
      </c>
      <c r="I89" s="3" t="str">
        <f>_xlfn.CONCAT("(",FIXED(ABS(VLOOKUP($A88,Reg2_sf_first_rob!$A:$AG,I$1+1,0)),4),")")</f>
        <v>(0.0530)</v>
      </c>
    </row>
    <row r="90" spans="1:9" x14ac:dyDescent="0.25">
      <c r="A90">
        <v>85</v>
      </c>
      <c r="B90" t="s">
        <v>50</v>
      </c>
      <c r="C90" t="s">
        <v>436</v>
      </c>
      <c r="D90" s="3" t="str">
        <f>_xlfn.CONCAT(FIXED(VLOOKUP($A90,Reg1_ct_Robust!$A:$AG,D$1,0),4),VLOOKUP($A90,Reg1_ct_Robust!$A:$AG,D$1+25,0))</f>
        <v>0.0001</v>
      </c>
      <c r="E90" s="3" t="str">
        <f>_xlfn.CONCAT(FIXED(VLOOKUP($A90,Reg2_ct_last_rob!$A:$AG,E$1,0),4),VLOOKUP($A90,Reg2_ct_last_rob!$A:$AG,E$1+25,0))</f>
        <v>0.0001</v>
      </c>
      <c r="F90" s="3" t="str">
        <f>_xlfn.CONCAT(FIXED(VLOOKUP($A90,Reg2_ct_first_rob!$A:$AG,F$1,0),4),VLOOKUP($A90,Reg2_ct_first_rob!$A:$AG,F$1+25,0))</f>
        <v>0.0001</v>
      </c>
      <c r="G90" s="3" t="str">
        <f>_xlfn.CONCAT(FIXED(VLOOKUP($A90,Reg1_sf_Robust!$A:$AG,G$1,0),4),VLOOKUP($A90,Reg1_sf_Robust!$A:$AG,G$1+25,0))</f>
        <v>0.0002</v>
      </c>
      <c r="H90" s="3" t="str">
        <f>_xlfn.CONCAT(FIXED(VLOOKUP($A90,Reg2_sf_last_rob!$A:$AG,H$1,0),4),VLOOKUP($A90,Reg2_sf_last_rob!$A:$AG,H$1+25,0))</f>
        <v>0.0002</v>
      </c>
      <c r="I90" s="3" t="str">
        <f>_xlfn.CONCAT(FIXED(VLOOKUP($A90,Reg2_sf_first_rob!$A:$AG,I$1,0),4),VLOOKUP($A90,Reg2_sf_first_rob!$A:$AG,I$1+25,0))</f>
        <v>0.0002</v>
      </c>
    </row>
    <row r="91" spans="1:9" x14ac:dyDescent="0.25">
      <c r="A91">
        <v>86</v>
      </c>
      <c r="D91" s="3" t="str">
        <f>_xlfn.CONCAT("(",FIXED(ABS(VLOOKUP($A90,Reg1_ct_Robust!$A:$AG,D$1+1,0)),4),")")</f>
        <v>(0.0001)</v>
      </c>
      <c r="E91" s="3" t="str">
        <f>_xlfn.CONCAT("(",FIXED(ABS(VLOOKUP($A90,Reg2_ct_last_rob!$A:$AG,E$1+1,0)),4),")")</f>
        <v>(0.0001)</v>
      </c>
      <c r="F91" s="3" t="str">
        <f>_xlfn.CONCAT("(",FIXED(ABS(VLOOKUP($A90,Reg2_ct_first_rob!$A:$AG,F$1+1,0)),4),")")</f>
        <v>(0.0001)</v>
      </c>
      <c r="G91" s="3" t="str">
        <f>_xlfn.CONCAT("(",FIXED(ABS(VLOOKUP($A90,Reg1_sf_Robust!$A:$AG,G$1+1,0)),4),")")</f>
        <v>(0.0001)</v>
      </c>
      <c r="H91" s="3" t="str">
        <f>_xlfn.CONCAT("(",FIXED(ABS(VLOOKUP($A90,Reg2_sf_last_rob!$A:$AG,H$1+1,0)),4),")")</f>
        <v>(0.0001)</v>
      </c>
      <c r="I91" s="3" t="str">
        <f>_xlfn.CONCAT("(",FIXED(ABS(VLOOKUP($A90,Reg2_sf_first_rob!$A:$AG,I$1+1,0)),4),")")</f>
        <v>(0.0001)</v>
      </c>
    </row>
    <row r="92" spans="1:9" x14ac:dyDescent="0.25">
      <c r="A92">
        <v>87</v>
      </c>
      <c r="B92" t="s">
        <v>52</v>
      </c>
      <c r="C92" t="s">
        <v>437</v>
      </c>
      <c r="D92" s="3" t="str">
        <f>_xlfn.CONCAT(FIXED(VLOOKUP($A92,Reg1_ct_Robust!$A:$AG,D$1,0),4),VLOOKUP($A92,Reg1_ct_Robust!$A:$AG,D$1+25,0))</f>
        <v>0.0100***</v>
      </c>
      <c r="E92" s="3" t="str">
        <f>_xlfn.CONCAT(FIXED(VLOOKUP($A92,Reg2_ct_last_rob!$A:$AG,E$1,0),4),VLOOKUP($A92,Reg2_ct_last_rob!$A:$AG,E$1+25,0))</f>
        <v>0.0115***</v>
      </c>
      <c r="F92" s="3" t="str">
        <f>_xlfn.CONCAT(FIXED(VLOOKUP($A92,Reg2_ct_first_rob!$A:$AG,F$1,0),4),VLOOKUP($A92,Reg2_ct_first_rob!$A:$AG,F$1+25,0))</f>
        <v>0.0097**</v>
      </c>
      <c r="G92" s="3" t="str">
        <f>_xlfn.CONCAT(FIXED(VLOOKUP($A92,Reg1_sf_Robust!$A:$AG,G$1,0),4),VLOOKUP($A92,Reg1_sf_Robust!$A:$AG,G$1+25,0))</f>
        <v>-0.0040</v>
      </c>
      <c r="H92" s="3" t="str">
        <f>_xlfn.CONCAT(FIXED(VLOOKUP($A92,Reg2_sf_last_rob!$A:$AG,H$1,0),4),VLOOKUP($A92,Reg2_sf_last_rob!$A:$AG,H$1+25,0))</f>
        <v>-0.0058</v>
      </c>
      <c r="I92" s="3" t="str">
        <f>_xlfn.CONCAT(FIXED(VLOOKUP($A92,Reg2_sf_first_rob!$A:$AG,I$1,0),4),VLOOKUP($A92,Reg2_sf_first_rob!$A:$AG,I$1+25,0))</f>
        <v>-0.0054</v>
      </c>
    </row>
    <row r="93" spans="1:9" x14ac:dyDescent="0.25">
      <c r="A93">
        <v>88</v>
      </c>
      <c r="D93" s="3" t="str">
        <f>_xlfn.CONCAT("(",FIXED(ABS(VLOOKUP($A92,Reg1_ct_Robust!$A:$AG,D$1+1,0)),4),")")</f>
        <v>(0.0032)</v>
      </c>
      <c r="E93" s="3" t="str">
        <f>_xlfn.CONCAT("(",FIXED(ABS(VLOOKUP($A92,Reg2_ct_last_rob!$A:$AG,E$1+1,0)),4),")")</f>
        <v>(0.0029)</v>
      </c>
      <c r="F93" s="3" t="str">
        <f>_xlfn.CONCAT("(",FIXED(ABS(VLOOKUP($A92,Reg2_ct_first_rob!$A:$AG,F$1+1,0)),4),")")</f>
        <v>(0.0032)</v>
      </c>
      <c r="G93" s="3" t="str">
        <f>_xlfn.CONCAT("(",FIXED(ABS(VLOOKUP($A92,Reg1_sf_Robust!$A:$AG,G$1+1,0)),4),")")</f>
        <v>(0.0055)</v>
      </c>
      <c r="H93" s="3" t="str">
        <f>_xlfn.CONCAT("(",FIXED(ABS(VLOOKUP($A92,Reg2_sf_last_rob!$A:$AG,H$1+1,0)),4),")")</f>
        <v>(0.0059)</v>
      </c>
      <c r="I93" s="3" t="str">
        <f>_xlfn.CONCAT("(",FIXED(ABS(VLOOKUP($A92,Reg2_sf_first_rob!$A:$AG,I$1+1,0)),4),")")</f>
        <v>(0.0058)</v>
      </c>
    </row>
    <row r="94" spans="1:9" x14ac:dyDescent="0.25">
      <c r="A94">
        <v>89</v>
      </c>
      <c r="B94" t="s">
        <v>51</v>
      </c>
      <c r="C94" t="s">
        <v>438</v>
      </c>
      <c r="D94" s="3" t="str">
        <f>_xlfn.CONCAT(FIXED(VLOOKUP($A94,Reg1_ct_Robust!$A:$AG,D$1,0),4),VLOOKUP($A94,Reg1_ct_Robust!$A:$AG,D$1+25,0))</f>
        <v>0.0068*</v>
      </c>
      <c r="E94" s="3" t="str">
        <f>_xlfn.CONCAT(FIXED(VLOOKUP($A94,Reg2_ct_last_rob!$A:$AG,E$1,0),4),VLOOKUP($A94,Reg2_ct_last_rob!$A:$AG,E$1+25,0))</f>
        <v>0.0062</v>
      </c>
      <c r="F94" s="3" t="str">
        <f>_xlfn.CONCAT(FIXED(VLOOKUP($A94,Reg2_ct_first_rob!$A:$AG,F$1,0),4),VLOOKUP($A94,Reg2_ct_first_rob!$A:$AG,F$1+25,0))</f>
        <v>0.0067*</v>
      </c>
      <c r="G94" s="3" t="str">
        <f>_xlfn.CONCAT(FIXED(VLOOKUP($A94,Reg1_sf_Robust!$A:$AG,G$1,0),4),VLOOKUP($A94,Reg1_sf_Robust!$A:$AG,G$1+25,0))</f>
        <v>-0.0537***</v>
      </c>
      <c r="H94" s="3" t="str">
        <f>_xlfn.CONCAT(FIXED(VLOOKUP($A94,Reg2_sf_last_rob!$A:$AG,H$1,0),4),VLOOKUP($A94,Reg2_sf_last_rob!$A:$AG,H$1+25,0))</f>
        <v>-0.0713***</v>
      </c>
      <c r="I94" s="3" t="str">
        <f>_xlfn.CONCAT(FIXED(VLOOKUP($A94,Reg2_sf_first_rob!$A:$AG,I$1,0),4),VLOOKUP($A94,Reg2_sf_first_rob!$A:$AG,I$1+25,0))</f>
        <v>-0.0528***</v>
      </c>
    </row>
    <row r="95" spans="1:9" x14ac:dyDescent="0.25">
      <c r="A95">
        <v>90</v>
      </c>
      <c r="D95" s="3" t="str">
        <f>_xlfn.CONCAT("(",FIXED(ABS(VLOOKUP($A94,Reg1_ct_Robust!$A:$AG,D$1+1,0)),4),")")</f>
        <v>(0.0027)</v>
      </c>
      <c r="E95" s="3" t="str">
        <f>_xlfn.CONCAT("(",FIXED(ABS(VLOOKUP($A94,Reg2_ct_last_rob!$A:$AG,E$1+1,0)),4),")")</f>
        <v>(0.0029)</v>
      </c>
      <c r="F95" s="3" t="str">
        <f>_xlfn.CONCAT("(",FIXED(ABS(VLOOKUP($A94,Reg2_ct_first_rob!$A:$AG,F$1+1,0)),4),")")</f>
        <v>(0.0023)</v>
      </c>
      <c r="G95" s="3" t="str">
        <f>_xlfn.CONCAT("(",FIXED(ABS(VLOOKUP($A94,Reg1_sf_Robust!$A:$AG,G$1+1,0)),4),")")</f>
        <v>(0.0131)</v>
      </c>
      <c r="H95" s="3" t="str">
        <f>_xlfn.CONCAT("(",FIXED(ABS(VLOOKUP($A94,Reg2_sf_last_rob!$A:$AG,H$1+1,0)),4),")")</f>
        <v>(0.0171)</v>
      </c>
      <c r="I95" s="3" t="str">
        <f>_xlfn.CONCAT("(",FIXED(ABS(VLOOKUP($A94,Reg2_sf_first_rob!$A:$AG,I$1+1,0)),4),")")</f>
        <v>(0.0129)</v>
      </c>
    </row>
    <row r="96" spans="1:9" x14ac:dyDescent="0.25">
      <c r="A96">
        <v>91</v>
      </c>
      <c r="B96" t="s">
        <v>164</v>
      </c>
      <c r="C96" t="s">
        <v>439</v>
      </c>
      <c r="D96" s="3" t="str">
        <f>_xlfn.CONCAT(FIXED(VLOOKUP($A96,Reg1_ct_Robust!$A:$AG,D$1,0),4),VLOOKUP($A96,Reg1_ct_Robust!$A:$AG,D$1+25,0))</f>
        <v>-0.0053</v>
      </c>
      <c r="E96" s="3" t="str">
        <f>_xlfn.CONCAT(FIXED(VLOOKUP($A96,Reg2_ct_last_rob!$A:$AG,E$1,0),4),VLOOKUP($A96,Reg2_ct_last_rob!$A:$AG,E$1+25,0))</f>
        <v>-0.0055</v>
      </c>
      <c r="F96" s="3" t="str">
        <f>_xlfn.CONCAT(FIXED(VLOOKUP($A96,Reg2_ct_first_rob!$A:$AG,F$1,0),4),VLOOKUP($A96,Reg2_ct_first_rob!$A:$AG,F$1+25,0))</f>
        <v>-0.0058</v>
      </c>
      <c r="G96" s="3" t="str">
        <f>_xlfn.CONCAT(FIXED(VLOOKUP($A96,Reg1_sf_Robust!$A:$AG,G$1,0),4),VLOOKUP($A96,Reg1_sf_Robust!$A:$AG,G$1+25,0))</f>
        <v>0.0019</v>
      </c>
      <c r="H96" s="3" t="str">
        <f>_xlfn.CONCAT(FIXED(VLOOKUP($A96,Reg2_sf_last_rob!$A:$AG,H$1,0),4),VLOOKUP($A96,Reg2_sf_last_rob!$A:$AG,H$1+25,0))</f>
        <v>0.0016</v>
      </c>
      <c r="I96" s="3" t="str">
        <f>_xlfn.CONCAT(FIXED(VLOOKUP($A96,Reg2_sf_first_rob!$A:$AG,I$1,0),4),VLOOKUP($A96,Reg2_sf_first_rob!$A:$AG,I$1+25,0))</f>
        <v>0.0014</v>
      </c>
    </row>
    <row r="97" spans="1:9" x14ac:dyDescent="0.25">
      <c r="A97">
        <v>92</v>
      </c>
      <c r="D97" s="3" t="str">
        <f>_xlfn.CONCAT("(",FIXED(ABS(VLOOKUP($A96,Reg1_ct_Robust!$A:$AG,D$1+1,0)),4),")")</f>
        <v>(0.0110)</v>
      </c>
      <c r="E97" s="3" t="str">
        <f>_xlfn.CONCAT("(",FIXED(ABS(VLOOKUP($A96,Reg2_ct_last_rob!$A:$AG,E$1+1,0)),4),")")</f>
        <v>(0.0109)</v>
      </c>
      <c r="F97" s="3" t="str">
        <f>_xlfn.CONCAT("(",FIXED(ABS(VLOOKUP($A96,Reg2_ct_first_rob!$A:$AG,F$1+1,0)),4),")")</f>
        <v>(0.0112)</v>
      </c>
      <c r="G97" s="3" t="str">
        <f>_xlfn.CONCAT("(",FIXED(ABS(VLOOKUP($A96,Reg1_sf_Robust!$A:$AG,G$1+1,0)),4),")")</f>
        <v>(0.0095)</v>
      </c>
      <c r="H97" s="3" t="str">
        <f>_xlfn.CONCAT("(",FIXED(ABS(VLOOKUP($A96,Reg2_sf_last_rob!$A:$AG,H$1+1,0)),4),")")</f>
        <v>(0.0096)</v>
      </c>
      <c r="I97" s="3" t="str">
        <f>_xlfn.CONCAT("(",FIXED(ABS(VLOOKUP($A96,Reg2_sf_first_rob!$A:$AG,I$1+1,0)),4),")")</f>
        <v>(0.0094)</v>
      </c>
    </row>
    <row r="98" spans="1:9" x14ac:dyDescent="0.25">
      <c r="A98">
        <v>93</v>
      </c>
      <c r="B98" t="s">
        <v>39</v>
      </c>
      <c r="C98" t="s">
        <v>440</v>
      </c>
      <c r="D98" s="3" t="str">
        <f>_xlfn.CONCAT(FIXED(VLOOKUP($A98,Reg1_ct_Robust!$A:$AG,D$1,0),4),VLOOKUP($A98,Reg1_ct_Robust!$A:$AG,D$1+25,0))</f>
        <v>-0.0568</v>
      </c>
      <c r="E98" s="3" t="str">
        <f>_xlfn.CONCAT(FIXED(VLOOKUP($A98,Reg2_ct_last_rob!$A:$AG,E$1,0),4),VLOOKUP($A98,Reg2_ct_last_rob!$A:$AG,E$1+25,0))</f>
        <v>-0.0586</v>
      </c>
      <c r="F98" s="3" t="str">
        <f>_xlfn.CONCAT(FIXED(VLOOKUP($A98,Reg2_ct_first_rob!$A:$AG,F$1,0),4),VLOOKUP($A98,Reg2_ct_first_rob!$A:$AG,F$1+25,0))</f>
        <v>-0.0674</v>
      </c>
      <c r="G98" s="3" t="str">
        <f>_xlfn.CONCAT(FIXED(VLOOKUP($A98,Reg1_sf_Robust!$A:$AG,G$1,0),4),VLOOKUP($A98,Reg1_sf_Robust!$A:$AG,G$1+25,0))</f>
        <v>-0.0600*</v>
      </c>
      <c r="H98" s="3" t="str">
        <f>_xlfn.CONCAT(FIXED(VLOOKUP($A98,Reg2_sf_last_rob!$A:$AG,H$1,0),4),VLOOKUP($A98,Reg2_sf_last_rob!$A:$AG,H$1+25,0))</f>
        <v>-0.0622*</v>
      </c>
      <c r="I98" s="3" t="str">
        <f>_xlfn.CONCAT(FIXED(VLOOKUP($A98,Reg2_sf_first_rob!$A:$AG,I$1,0),4),VLOOKUP($A98,Reg2_sf_first_rob!$A:$AG,I$1+25,0))</f>
        <v>-0.0606*</v>
      </c>
    </row>
    <row r="99" spans="1:9" x14ac:dyDescent="0.25">
      <c r="A99">
        <v>94</v>
      </c>
      <c r="D99" s="3" t="str">
        <f>_xlfn.CONCAT("(",FIXED(ABS(VLOOKUP($A98,Reg1_ct_Robust!$A:$AG,D$1+1,0)),4),")")</f>
        <v>(0.0625)</v>
      </c>
      <c r="E99" s="3" t="str">
        <f>_xlfn.CONCAT("(",FIXED(ABS(VLOOKUP($A98,Reg2_ct_last_rob!$A:$AG,E$1+1,0)),4),")")</f>
        <v>(0.0634)</v>
      </c>
      <c r="F99" s="3" t="str">
        <f>_xlfn.CONCAT("(",FIXED(ABS(VLOOKUP($A98,Reg2_ct_first_rob!$A:$AG,F$1+1,0)),4),")")</f>
        <v>(0.0619)</v>
      </c>
      <c r="G99" s="3" t="str">
        <f>_xlfn.CONCAT("(",FIXED(ABS(VLOOKUP($A98,Reg1_sf_Robust!$A:$AG,G$1+1,0)),4),")")</f>
        <v>(0.0299)</v>
      </c>
      <c r="H99" s="3" t="str">
        <f>_xlfn.CONCAT("(",FIXED(ABS(VLOOKUP($A98,Reg2_sf_last_rob!$A:$AG,H$1+1,0)),4),")")</f>
        <v>(0.0314)</v>
      </c>
      <c r="I99" s="3" t="str">
        <f>_xlfn.CONCAT("(",FIXED(ABS(VLOOKUP($A98,Reg2_sf_first_rob!$A:$AG,I$1+1,0)),4),")")</f>
        <v>(0.0307)</v>
      </c>
    </row>
    <row r="100" spans="1:9" x14ac:dyDescent="0.25">
      <c r="A100">
        <v>95</v>
      </c>
      <c r="B100" t="s">
        <v>40</v>
      </c>
      <c r="C100" t="s">
        <v>441</v>
      </c>
      <c r="D100" s="3" t="str">
        <f>_xlfn.CONCAT(FIXED(VLOOKUP($A100,Reg1_ct_Robust!$A:$AG,D$1,0),4),VLOOKUP($A100,Reg1_ct_Robust!$A:$AG,D$1+25,0))</f>
        <v>-0.0243**</v>
      </c>
      <c r="E100" s="3" t="str">
        <f>_xlfn.CONCAT(FIXED(VLOOKUP($A100,Reg2_ct_last_rob!$A:$AG,E$1,0),4),VLOOKUP($A100,Reg2_ct_last_rob!$A:$AG,E$1+25,0))</f>
        <v>-0.0252**</v>
      </c>
      <c r="F100" s="3" t="str">
        <f>_xlfn.CONCAT(FIXED(VLOOKUP($A100,Reg2_ct_first_rob!$A:$AG,F$1,0),4),VLOOKUP($A100,Reg2_ct_first_rob!$A:$AG,F$1+25,0))</f>
        <v>-0.0248**</v>
      </c>
      <c r="G100" s="3" t="str">
        <f>_xlfn.CONCAT(FIXED(VLOOKUP($A100,Reg1_sf_Robust!$A:$AG,G$1,0),4),VLOOKUP($A100,Reg1_sf_Robust!$A:$AG,G$1+25,0))</f>
        <v>-0.0011</v>
      </c>
      <c r="H100" s="3" t="str">
        <f>_xlfn.CONCAT(FIXED(VLOOKUP($A100,Reg2_sf_last_rob!$A:$AG,H$1,0),4),VLOOKUP($A100,Reg2_sf_last_rob!$A:$AG,H$1+25,0))</f>
        <v>-0.0014</v>
      </c>
      <c r="I100" s="3" t="str">
        <f>_xlfn.CONCAT(FIXED(VLOOKUP($A100,Reg2_sf_first_rob!$A:$AG,I$1,0),4),VLOOKUP($A100,Reg2_sf_first_rob!$A:$AG,I$1+25,0))</f>
        <v>-0.0010</v>
      </c>
    </row>
    <row r="101" spans="1:9" x14ac:dyDescent="0.25">
      <c r="A101">
        <v>96</v>
      </c>
      <c r="D101" s="3" t="str">
        <f>_xlfn.CONCAT("(",FIXED(ABS(VLOOKUP($A100,Reg1_ct_Robust!$A:$AG,D$1+1,0)),4),")")</f>
        <v>(0.0099)</v>
      </c>
      <c r="E101" s="3" t="str">
        <f>_xlfn.CONCAT("(",FIXED(ABS(VLOOKUP($A100,Reg2_ct_last_rob!$A:$AG,E$1+1,0)),4),")")</f>
        <v>(0.0103)</v>
      </c>
      <c r="F101" s="3" t="str">
        <f>_xlfn.CONCAT("(",FIXED(ABS(VLOOKUP($A100,Reg2_ct_first_rob!$A:$AG,F$1+1,0)),4),")")</f>
        <v>(0.0100)</v>
      </c>
      <c r="G101" s="3" t="str">
        <f>_xlfn.CONCAT("(",FIXED(ABS(VLOOKUP($A100,Reg1_sf_Robust!$A:$AG,G$1+1,0)),4),")")</f>
        <v>(0.0081)</v>
      </c>
      <c r="H101" s="3" t="str">
        <f>_xlfn.CONCAT("(",FIXED(ABS(VLOOKUP($A100,Reg2_sf_last_rob!$A:$AG,H$1+1,0)),4),")")</f>
        <v>(0.0082)</v>
      </c>
      <c r="I101" s="3" t="str">
        <f>_xlfn.CONCAT("(",FIXED(ABS(VLOOKUP($A100,Reg2_sf_first_rob!$A:$AG,I$1+1,0)),4),")")</f>
        <v>(0.0080)</v>
      </c>
    </row>
    <row r="102" spans="1:9" x14ac:dyDescent="0.25">
      <c r="A102">
        <v>97</v>
      </c>
      <c r="B102" t="s">
        <v>41</v>
      </c>
      <c r="C102" t="s">
        <v>442</v>
      </c>
      <c r="D102" s="3" t="str">
        <f>_xlfn.CONCAT(FIXED(VLOOKUP($A102,Reg1_ct_Robust!$A:$AG,D$1,0),4),VLOOKUP($A102,Reg1_ct_Robust!$A:$AG,D$1+25,0))</f>
        <v>-0.0027</v>
      </c>
      <c r="E102" s="3" t="str">
        <f>_xlfn.CONCAT(FIXED(VLOOKUP($A102,Reg2_ct_last_rob!$A:$AG,E$1,0),4),VLOOKUP($A102,Reg2_ct_last_rob!$A:$AG,E$1+25,0))</f>
        <v>-0.0018</v>
      </c>
      <c r="F102" s="3" t="str">
        <f>_xlfn.CONCAT(FIXED(VLOOKUP($A102,Reg2_ct_first_rob!$A:$AG,F$1,0),4),VLOOKUP($A102,Reg2_ct_first_rob!$A:$AG,F$1+25,0))</f>
        <v>-0.0025</v>
      </c>
      <c r="G102" s="3" t="str">
        <f>_xlfn.CONCAT(FIXED(VLOOKUP($A102,Reg1_sf_Robust!$A:$AG,G$1,0),4),VLOOKUP($A102,Reg1_sf_Robust!$A:$AG,G$1+25,0))</f>
        <v>-0.0045</v>
      </c>
      <c r="H102" s="3" t="str">
        <f>_xlfn.CONCAT(FIXED(VLOOKUP($A102,Reg2_sf_last_rob!$A:$AG,H$1,0),4),VLOOKUP($A102,Reg2_sf_last_rob!$A:$AG,H$1+25,0))</f>
        <v>-0.0048</v>
      </c>
      <c r="I102" s="3" t="str">
        <f>_xlfn.CONCAT(FIXED(VLOOKUP($A102,Reg2_sf_first_rob!$A:$AG,I$1,0),4),VLOOKUP($A102,Reg2_sf_first_rob!$A:$AG,I$1+25,0))</f>
        <v>-0.0044</v>
      </c>
    </row>
    <row r="103" spans="1:9" x14ac:dyDescent="0.25">
      <c r="A103">
        <v>98</v>
      </c>
      <c r="D103" s="3" t="str">
        <f>_xlfn.CONCAT("(",FIXED(ABS(VLOOKUP($A102,Reg1_ct_Robust!$A:$AG,D$1+1,0)),4),")")</f>
        <v>(0.0065)</v>
      </c>
      <c r="E103" s="3" t="str">
        <f>_xlfn.CONCAT("(",FIXED(ABS(VLOOKUP($A102,Reg2_ct_last_rob!$A:$AG,E$1+1,0)),4),")")</f>
        <v>(0.0065)</v>
      </c>
      <c r="F103" s="3" t="str">
        <f>_xlfn.CONCAT("(",FIXED(ABS(VLOOKUP($A102,Reg2_ct_first_rob!$A:$AG,F$1+1,0)),4),")")</f>
        <v>(0.0065)</v>
      </c>
      <c r="G103" s="3" t="str">
        <f>_xlfn.CONCAT("(",FIXED(ABS(VLOOKUP($A102,Reg1_sf_Robust!$A:$AG,G$1+1,0)),4),")")</f>
        <v>(0.0071)</v>
      </c>
      <c r="H103" s="3" t="str">
        <f>_xlfn.CONCAT("(",FIXED(ABS(VLOOKUP($A102,Reg2_sf_last_rob!$A:$AG,H$1+1,0)),4),")")</f>
        <v>(0.0071)</v>
      </c>
      <c r="I103" s="3" t="str">
        <f>_xlfn.CONCAT("(",FIXED(ABS(VLOOKUP($A102,Reg2_sf_first_rob!$A:$AG,I$1+1,0)),4),")")</f>
        <v>(0.0069)</v>
      </c>
    </row>
    <row r="104" spans="1:9" x14ac:dyDescent="0.25">
      <c r="A104">
        <v>99</v>
      </c>
      <c r="B104" t="s">
        <v>173</v>
      </c>
      <c r="C104" t="s">
        <v>443</v>
      </c>
      <c r="D104" s="3" t="str">
        <f>_xlfn.CONCAT(FIXED(VLOOKUP($A104,Reg1_ct_Robust!$A:$AG,D$1,0),4),VLOOKUP($A104,Reg1_ct_Robust!$A:$AG,D$1+25,0))</f>
        <v>-0.0023</v>
      </c>
      <c r="E104" s="3" t="str">
        <f>_xlfn.CONCAT(FIXED(VLOOKUP($A104,Reg2_ct_last_rob!$A:$AG,E$1,0),4),VLOOKUP($A104,Reg2_ct_last_rob!$A:$AG,E$1+25,0))</f>
        <v>-0.0023</v>
      </c>
      <c r="F104" s="3" t="str">
        <f>_xlfn.CONCAT(FIXED(VLOOKUP($A104,Reg2_ct_first_rob!$A:$AG,F$1,0),4),VLOOKUP($A104,Reg2_ct_first_rob!$A:$AG,F$1+25,0))</f>
        <v>-0.0023</v>
      </c>
      <c r="G104" s="3" t="str">
        <f>_xlfn.CONCAT(FIXED(VLOOKUP($A104,Reg1_sf_Robust!$A:$AG,G$1,0),4),VLOOKUP($A104,Reg1_sf_Robust!$A:$AG,G$1+25,0))</f>
        <v>0.0251*</v>
      </c>
      <c r="H104" s="3" t="str">
        <f>_xlfn.CONCAT(FIXED(VLOOKUP($A104,Reg2_sf_last_rob!$A:$AG,H$1,0),4),VLOOKUP($A104,Reg2_sf_last_rob!$A:$AG,H$1+25,0))</f>
        <v>0.0254*</v>
      </c>
      <c r="I104" s="3" t="str">
        <f>_xlfn.CONCAT(FIXED(VLOOKUP($A104,Reg2_sf_first_rob!$A:$AG,I$1,0),4),VLOOKUP($A104,Reg2_sf_first_rob!$A:$AG,I$1+25,0))</f>
        <v>0.0246*</v>
      </c>
    </row>
    <row r="105" spans="1:9" x14ac:dyDescent="0.25">
      <c r="A105">
        <v>100</v>
      </c>
      <c r="D105" s="3" t="str">
        <f>_xlfn.CONCAT("(",FIXED(ABS(VLOOKUP($A104,Reg1_ct_Robust!$A:$AG,D$1+1,0)),4),")")</f>
        <v>(0.0008)</v>
      </c>
      <c r="E105" s="3" t="str">
        <f>_xlfn.CONCAT("(",FIXED(ABS(VLOOKUP($A104,Reg2_ct_last_rob!$A:$AG,E$1+1,0)),4),")")</f>
        <v>(0.0008)</v>
      </c>
      <c r="F105" s="3" t="str">
        <f>_xlfn.CONCAT("(",FIXED(ABS(VLOOKUP($A104,Reg2_ct_first_rob!$A:$AG,F$1+1,0)),4),")")</f>
        <v>(0.0009)</v>
      </c>
      <c r="G105" s="3" t="str">
        <f>_xlfn.CONCAT("(",FIXED(ABS(VLOOKUP($A104,Reg1_sf_Robust!$A:$AG,G$1+1,0)),4),")")</f>
        <v>(0.0128)</v>
      </c>
      <c r="H105" s="3" t="str">
        <f>_xlfn.CONCAT("(",FIXED(ABS(VLOOKUP($A104,Reg2_sf_last_rob!$A:$AG,H$1+1,0)),4),")")</f>
        <v>(0.0129)</v>
      </c>
      <c r="I105" s="3" t="str">
        <f>_xlfn.CONCAT("(",FIXED(ABS(VLOOKUP($A104,Reg2_sf_first_rob!$A:$AG,I$1+1,0)),4),")")</f>
        <v>(0.0125)</v>
      </c>
    </row>
    <row r="106" spans="1:9" x14ac:dyDescent="0.25">
      <c r="A106">
        <v>101</v>
      </c>
      <c r="B106" t="s">
        <v>174</v>
      </c>
      <c r="C106" t="s">
        <v>444</v>
      </c>
      <c r="D106" s="3" t="str">
        <f>_xlfn.CONCAT(FIXED(VLOOKUP($A106,Reg1_ct_Robust!$A:$AG,D$1,0),4),VLOOKUP($A106,Reg1_ct_Robust!$A:$AG,D$1+25,0))</f>
        <v>0.0326*</v>
      </c>
      <c r="E106" s="3" t="str">
        <f>_xlfn.CONCAT(FIXED(VLOOKUP($A106,Reg2_ct_last_rob!$A:$AG,E$1,0),4),VLOOKUP($A106,Reg2_ct_last_rob!$A:$AG,E$1+25,0))</f>
        <v>0.0324*</v>
      </c>
      <c r="F106" s="3" t="str">
        <f>_xlfn.CONCAT(FIXED(VLOOKUP($A106,Reg2_ct_first_rob!$A:$AG,F$1,0),4),VLOOKUP($A106,Reg2_ct_first_rob!$A:$AG,F$1+25,0))</f>
        <v>0.0329*</v>
      </c>
      <c r="G106" s="3" t="str">
        <f>_xlfn.CONCAT(FIXED(VLOOKUP($A106,Reg1_sf_Robust!$A:$AG,G$1,0),4),VLOOKUP($A106,Reg1_sf_Robust!$A:$AG,G$1+25,0))</f>
        <v>-0.0075</v>
      </c>
      <c r="H106" s="3" t="str">
        <f>_xlfn.CONCAT(FIXED(VLOOKUP($A106,Reg2_sf_last_rob!$A:$AG,H$1,0),4),VLOOKUP($A106,Reg2_sf_last_rob!$A:$AG,H$1+25,0))</f>
        <v>-0.0074</v>
      </c>
      <c r="I106" s="3" t="str">
        <f>_xlfn.CONCAT(FIXED(VLOOKUP($A106,Reg2_sf_first_rob!$A:$AG,I$1,0),4),VLOOKUP($A106,Reg2_sf_first_rob!$A:$AG,I$1+25,0))</f>
        <v>-0.0079</v>
      </c>
    </row>
    <row r="107" spans="1:9" x14ac:dyDescent="0.25">
      <c r="A107">
        <v>102</v>
      </c>
      <c r="D107" s="3" t="str">
        <f>_xlfn.CONCAT("(",FIXED(ABS(VLOOKUP($A106,Reg1_ct_Robust!$A:$AG,D$1+1,0)),4),")")</f>
        <v>(0.0165)</v>
      </c>
      <c r="E107" s="3" t="str">
        <f>_xlfn.CONCAT("(",FIXED(ABS(VLOOKUP($A106,Reg2_ct_last_rob!$A:$AG,E$1+1,0)),4),")")</f>
        <v>(0.0170)</v>
      </c>
      <c r="F107" s="3" t="str">
        <f>_xlfn.CONCAT("(",FIXED(ABS(VLOOKUP($A106,Reg2_ct_first_rob!$A:$AG,F$1+1,0)),4),")")</f>
        <v>(0.0167)</v>
      </c>
      <c r="G107" s="3" t="str">
        <f>_xlfn.CONCAT("(",FIXED(ABS(VLOOKUP($A106,Reg1_sf_Robust!$A:$AG,G$1+1,0)),4),")")</f>
        <v>(0.0107)</v>
      </c>
      <c r="H107" s="3" t="str">
        <f>_xlfn.CONCAT("(",FIXED(ABS(VLOOKUP($A106,Reg2_sf_last_rob!$A:$AG,H$1+1,0)),4),")")</f>
        <v>(0.0109)</v>
      </c>
      <c r="I107" s="3" t="str">
        <f>_xlfn.CONCAT("(",FIXED(ABS(VLOOKUP($A106,Reg2_sf_first_rob!$A:$AG,I$1+1,0)),4),")")</f>
        <v>(0.0109)</v>
      </c>
    </row>
    <row r="108" spans="1:9" x14ac:dyDescent="0.25">
      <c r="A108">
        <v>103</v>
      </c>
      <c r="B108" t="s">
        <v>175</v>
      </c>
      <c r="C108" t="s">
        <v>445</v>
      </c>
      <c r="D108" s="3" t="str">
        <f>_xlfn.CONCAT(FIXED(VLOOKUP($A108,Reg1_ct_Robust!$A:$AG,D$1,0),4),VLOOKUP($A108,Reg1_ct_Robust!$A:$AG,D$1+25,0))</f>
        <v>0.0251</v>
      </c>
      <c r="E108" s="3" t="str">
        <f>_xlfn.CONCAT(FIXED(VLOOKUP($A108,Reg2_ct_last_rob!$A:$AG,E$1,0),4),VLOOKUP($A108,Reg2_ct_last_rob!$A:$AG,E$1+25,0))</f>
        <v>0.0265</v>
      </c>
      <c r="F108" s="3" t="str">
        <f>_xlfn.CONCAT(FIXED(VLOOKUP($A108,Reg2_ct_first_rob!$A:$AG,F$1,0),4),VLOOKUP($A108,Reg2_ct_first_rob!$A:$AG,F$1+25,0))</f>
        <v>0.0262</v>
      </c>
      <c r="G108" s="3" t="str">
        <f>_xlfn.CONCAT(FIXED(VLOOKUP($A108,Reg1_sf_Robust!$A:$AG,G$1,0),4),VLOOKUP($A108,Reg1_sf_Robust!$A:$AG,G$1+25,0))</f>
        <v>0.0145*</v>
      </c>
      <c r="H108" s="3" t="str">
        <f>_xlfn.CONCAT(FIXED(VLOOKUP($A108,Reg2_sf_last_rob!$A:$AG,H$1,0),4),VLOOKUP($A108,Reg2_sf_last_rob!$A:$AG,H$1+25,0))</f>
        <v>0.0148*</v>
      </c>
      <c r="I108" s="3" t="str">
        <f>_xlfn.CONCAT(FIXED(VLOOKUP($A108,Reg2_sf_first_rob!$A:$AG,I$1,0),4),VLOOKUP($A108,Reg2_sf_first_rob!$A:$AG,I$1+25,0))</f>
        <v>0.0148*</v>
      </c>
    </row>
    <row r="109" spans="1:9" x14ac:dyDescent="0.25">
      <c r="A109">
        <v>104</v>
      </c>
      <c r="D109" s="3" t="str">
        <f>_xlfn.CONCAT("(",FIXED(ABS(VLOOKUP($A108,Reg1_ct_Robust!$A:$AG,D$1+1,0)),4),")")</f>
        <v>(0.0269)</v>
      </c>
      <c r="E109" s="3" t="str">
        <f>_xlfn.CONCAT("(",FIXED(ABS(VLOOKUP($A108,Reg2_ct_last_rob!$A:$AG,E$1+1,0)),4),")")</f>
        <v>(0.0277)</v>
      </c>
      <c r="F109" s="3" t="str">
        <f>_xlfn.CONCAT("(",FIXED(ABS(VLOOKUP($A108,Reg2_ct_first_rob!$A:$AG,F$1+1,0)),4),")")</f>
        <v>(0.0273)</v>
      </c>
      <c r="G109" s="3" t="str">
        <f>_xlfn.CONCAT("(",FIXED(ABS(VLOOKUP($A108,Reg1_sf_Robust!$A:$AG,G$1+1,0)),4),")")</f>
        <v>(0.0072)</v>
      </c>
      <c r="H109" s="3" t="str">
        <f>_xlfn.CONCAT("(",FIXED(ABS(VLOOKUP($A108,Reg2_sf_last_rob!$A:$AG,H$1+1,0)),4),")")</f>
        <v>(0.0075)</v>
      </c>
      <c r="I109" s="3" t="str">
        <f>_xlfn.CONCAT("(",FIXED(ABS(VLOOKUP($A108,Reg2_sf_first_rob!$A:$AG,I$1+1,0)),4),")")</f>
        <v>(0.0075)</v>
      </c>
    </row>
    <row r="110" spans="1:9" hidden="1" x14ac:dyDescent="0.25">
      <c r="A110">
        <v>105</v>
      </c>
      <c r="B110" t="s">
        <v>53</v>
      </c>
      <c r="D110" s="3" t="str">
        <f>_xlfn.CONCAT(FIXED(VLOOKUP($A110,Reg1_ct_Robust!$A:$AG,D$1,0),4),VLOOKUP($A110,Reg1_ct_Robust!$A:$AG,D$1+25,0))</f>
        <v>0.0000</v>
      </c>
      <c r="E110" s="3" t="str">
        <f>_xlfn.CONCAT(FIXED(VLOOKUP($A110,Reg2_ct_last_rob!$A:$AG,E$1,0),4),VLOOKUP($A110,Reg2_ct_last_rob!$A:$AG,E$1+25,0))</f>
        <v>0.0000</v>
      </c>
      <c r="F110" s="3" t="str">
        <f>_xlfn.CONCAT(FIXED(VLOOKUP($A110,Reg2_ct_first_rob!$A:$AG,F$1,0),4),VLOOKUP($A110,Reg2_ct_first_rob!$A:$AG,F$1+25,0))</f>
        <v>0.0000</v>
      </c>
      <c r="G110" s="3" t="str">
        <f>_xlfn.CONCAT(FIXED(VLOOKUP($A110,Reg1_sf_Robust!$A:$AG,G$1,0),4),VLOOKUP($A110,Reg1_sf_Robust!$A:$AG,G$1+25,0))</f>
        <v>0.0000</v>
      </c>
      <c r="H110" s="3" t="str">
        <f>_xlfn.CONCAT(FIXED(VLOOKUP($A110,Reg2_sf_last_rob!$A:$AG,H$1,0),4),VLOOKUP($A110,Reg2_sf_last_rob!$A:$AG,H$1+25,0))</f>
        <v>0.0000</v>
      </c>
      <c r="I110" s="3" t="str">
        <f>_xlfn.CONCAT(FIXED(VLOOKUP($A110,Reg2_sf_first_rob!$A:$AG,I$1,0),4),VLOOKUP($A110,Reg2_sf_first_rob!$A:$AG,I$1+25,0))</f>
        <v>0.0000</v>
      </c>
    </row>
    <row r="111" spans="1:9" hidden="1" x14ac:dyDescent="0.25">
      <c r="A111">
        <v>106</v>
      </c>
      <c r="D111" s="3" t="str">
        <f>_xlfn.CONCAT("(",FIXED(ABS(VLOOKUP($A110,Reg1_ct_Robust!$A:$AG,D$1+1,0)),4),")")</f>
        <v>(0.0000)</v>
      </c>
      <c r="E111" s="3" t="str">
        <f>_xlfn.CONCAT("(",FIXED(ABS(VLOOKUP($A110,Reg2_ct_last_rob!$A:$AG,E$1+1,0)),4),")")</f>
        <v>(0.0000)</v>
      </c>
      <c r="F111" s="3" t="str">
        <f>_xlfn.CONCAT("(",FIXED(ABS(VLOOKUP($A110,Reg2_ct_first_rob!$A:$AG,F$1+1,0)),4),")")</f>
        <v>(0.0000)</v>
      </c>
      <c r="G111" s="3" t="str">
        <f>_xlfn.CONCAT("(",FIXED(ABS(VLOOKUP($A110,Reg1_sf_Robust!$A:$AG,G$1+1,0)),4),")")</f>
        <v>(0.0000)</v>
      </c>
      <c r="H111" s="3" t="str">
        <f>_xlfn.CONCAT("(",FIXED(ABS(VLOOKUP($A110,Reg2_sf_last_rob!$A:$AG,H$1+1,0)),4),")")</f>
        <v>(0.0000)</v>
      </c>
      <c r="I111" s="3" t="str">
        <f>_xlfn.CONCAT("(",FIXED(ABS(VLOOKUP($A110,Reg2_sf_first_rob!$A:$AG,I$1+1,0)),4),")")</f>
        <v>(0.0000)</v>
      </c>
    </row>
    <row r="112" spans="1:9" hidden="1" x14ac:dyDescent="0.25">
      <c r="A112">
        <v>107</v>
      </c>
      <c r="B112" t="s">
        <v>54</v>
      </c>
      <c r="D112" s="3" t="str">
        <f>_xlfn.CONCAT(FIXED(VLOOKUP($A112,Reg1_ct_Robust!$A:$AG,D$1,0),4),VLOOKUP($A112,Reg1_ct_Robust!$A:$AG,D$1+25,0))</f>
        <v>0.0000***</v>
      </c>
      <c r="E112" s="3" t="str">
        <f>_xlfn.CONCAT(FIXED(VLOOKUP($A112,Reg2_ct_last_rob!$A:$AG,E$1,0),4),VLOOKUP($A112,Reg2_ct_last_rob!$A:$AG,E$1+25,0))</f>
        <v>0.0000***</v>
      </c>
      <c r="F112" s="3" t="str">
        <f>_xlfn.CONCAT(FIXED(VLOOKUP($A112,Reg2_ct_first_rob!$A:$AG,F$1,0),4),VLOOKUP($A112,Reg2_ct_first_rob!$A:$AG,F$1+25,0))</f>
        <v>0.0000***</v>
      </c>
      <c r="G112" s="3" t="str">
        <f>_xlfn.CONCAT(FIXED(VLOOKUP($A112,Reg1_sf_Robust!$A:$AG,G$1,0),4),VLOOKUP($A112,Reg1_sf_Robust!$A:$AG,G$1+25,0))</f>
        <v>0.0000***</v>
      </c>
      <c r="H112" s="3" t="str">
        <f>_xlfn.CONCAT(FIXED(VLOOKUP($A112,Reg2_sf_last_rob!$A:$AG,H$1,0),4),VLOOKUP($A112,Reg2_sf_last_rob!$A:$AG,H$1+25,0))</f>
        <v>0.0000***</v>
      </c>
      <c r="I112" s="3" t="str">
        <f>_xlfn.CONCAT(FIXED(VLOOKUP($A112,Reg2_sf_first_rob!$A:$AG,I$1,0),4),VLOOKUP($A112,Reg2_sf_first_rob!$A:$AG,I$1+25,0))</f>
        <v>0.0000***</v>
      </c>
    </row>
    <row r="113" spans="1:9" hidden="1" x14ac:dyDescent="0.25">
      <c r="A113">
        <v>108</v>
      </c>
      <c r="D113" s="3" t="str">
        <f>_xlfn.CONCAT("(",FIXED(ABS(VLOOKUP($A112,Reg1_ct_Robust!$A:$AG,D$1+1,0)),4),")")</f>
        <v>(0.0000)</v>
      </c>
      <c r="E113" s="3" t="str">
        <f>_xlfn.CONCAT("(",FIXED(ABS(VLOOKUP($A112,Reg2_ct_last_rob!$A:$AG,E$1+1,0)),4),")")</f>
        <v>(0.0000)</v>
      </c>
      <c r="F113" s="3" t="str">
        <f>_xlfn.CONCAT("(",FIXED(ABS(VLOOKUP($A112,Reg2_ct_first_rob!$A:$AG,F$1+1,0)),4),")")</f>
        <v>(0.0000)</v>
      </c>
      <c r="G113" s="3" t="str">
        <f>_xlfn.CONCAT("(",FIXED(ABS(VLOOKUP($A112,Reg1_sf_Robust!$A:$AG,G$1+1,0)),4),")")</f>
        <v>(0.0000)</v>
      </c>
      <c r="H113" s="3" t="str">
        <f>_xlfn.CONCAT("(",FIXED(ABS(VLOOKUP($A112,Reg2_sf_last_rob!$A:$AG,H$1+1,0)),4),")")</f>
        <v>(0.0000)</v>
      </c>
      <c r="I113" s="3" t="str">
        <f>_xlfn.CONCAT("(",FIXED(ABS(VLOOKUP($A112,Reg2_sf_first_rob!$A:$AG,I$1+1,0)),4),")")</f>
        <v>(0.0000)</v>
      </c>
    </row>
    <row r="114" spans="1:9" x14ac:dyDescent="0.25">
      <c r="A114">
        <v>109</v>
      </c>
      <c r="B114" t="s">
        <v>43</v>
      </c>
      <c r="C114" t="s">
        <v>446</v>
      </c>
      <c r="D114" s="3" t="str">
        <f>_xlfn.CONCAT(FIXED(VLOOKUP($A114,Reg1_ct_Robust!$A:$AG,D$1,0),4),VLOOKUP($A114,Reg1_ct_Robust!$A:$AG,D$1+25,0))</f>
        <v>-0.4016*</v>
      </c>
      <c r="E114" s="3" t="str">
        <f>_xlfn.CONCAT(FIXED(VLOOKUP($A114,Reg2_ct_last_rob!$A:$AG,E$1,0),4),VLOOKUP($A114,Reg2_ct_last_rob!$A:$AG,E$1+25,0))</f>
        <v>-0.4018*</v>
      </c>
      <c r="F114" s="3" t="str">
        <f>_xlfn.CONCAT(FIXED(VLOOKUP($A114,Reg2_ct_first_rob!$A:$AG,F$1,0),4),VLOOKUP($A114,Reg2_ct_first_rob!$A:$AG,F$1+25,0))</f>
        <v>-0.3844</v>
      </c>
      <c r="G114" s="3" t="str">
        <f>_xlfn.CONCAT(FIXED(VLOOKUP($A114,Reg1_sf_Robust!$A:$AG,G$1,0),4),VLOOKUP($A114,Reg1_sf_Robust!$A:$AG,G$1+25,0))</f>
        <v>-0.3457</v>
      </c>
      <c r="H114" s="3" t="str">
        <f>_xlfn.CONCAT(FIXED(VLOOKUP($A114,Reg2_sf_last_rob!$A:$AG,H$1,0),4),VLOOKUP($A114,Reg2_sf_last_rob!$A:$AG,H$1+25,0))</f>
        <v>-0.3516</v>
      </c>
      <c r="I114" s="3" t="str">
        <f>_xlfn.CONCAT(FIXED(VLOOKUP($A114,Reg2_sf_first_rob!$A:$AG,I$1,0),4),VLOOKUP($A114,Reg2_sf_first_rob!$A:$AG,I$1+25,0))</f>
        <v>-0.3180</v>
      </c>
    </row>
    <row r="115" spans="1:9" x14ac:dyDescent="0.25">
      <c r="A115">
        <v>110</v>
      </c>
      <c r="D115" s="3" t="str">
        <f>_xlfn.CONCAT("(",FIXED(ABS(VLOOKUP($A114,Reg1_ct_Robust!$A:$AG,D$1+1,0)),4),")")</f>
        <v>(0.1966)</v>
      </c>
      <c r="E115" s="3" t="str">
        <f>_xlfn.CONCAT("(",FIXED(ABS(VLOOKUP($A114,Reg2_ct_last_rob!$A:$AG,E$1+1,0)),4),")")</f>
        <v>(0.1891)</v>
      </c>
      <c r="F115" s="3" t="str">
        <f>_xlfn.CONCAT("(",FIXED(ABS(VLOOKUP($A114,Reg2_ct_first_rob!$A:$AG,F$1+1,0)),4),")")</f>
        <v>(0.2113)</v>
      </c>
      <c r="G115" s="3" t="str">
        <f>_xlfn.CONCAT("(",FIXED(ABS(VLOOKUP($A114,Reg1_sf_Robust!$A:$AG,G$1+1,0)),4),")")</f>
        <v>(0.3085)</v>
      </c>
      <c r="H115" s="3" t="str">
        <f>_xlfn.CONCAT("(",FIXED(ABS(VLOOKUP($A114,Reg2_sf_last_rob!$A:$AG,H$1+1,0)),4),")")</f>
        <v>(0.3102)</v>
      </c>
      <c r="I115" s="3" t="str">
        <f>_xlfn.CONCAT("(",FIXED(ABS(VLOOKUP($A114,Reg2_sf_first_rob!$A:$AG,I$1+1,0)),4),")")</f>
        <v>(0.2984)</v>
      </c>
    </row>
    <row r="116" spans="1:9" x14ac:dyDescent="0.25">
      <c r="A116">
        <v>111</v>
      </c>
      <c r="B116" t="s">
        <v>44</v>
      </c>
      <c r="C116" t="s">
        <v>447</v>
      </c>
      <c r="D116" s="3" t="str">
        <f>_xlfn.CONCAT(FIXED(VLOOKUP($A116,Reg1_ct_Robust!$A:$AG,D$1,0),4),VLOOKUP($A116,Reg1_ct_Robust!$A:$AG,D$1+25,0))</f>
        <v>-0.1586***</v>
      </c>
      <c r="E116" s="3" t="str">
        <f>_xlfn.CONCAT(FIXED(VLOOKUP($A116,Reg2_ct_last_rob!$A:$AG,E$1,0),4),VLOOKUP($A116,Reg2_ct_last_rob!$A:$AG,E$1+25,0))</f>
        <v>-0.1744***</v>
      </c>
      <c r="F116" s="3" t="str">
        <f>_xlfn.CONCAT(FIXED(VLOOKUP($A116,Reg2_ct_first_rob!$A:$AG,F$1,0),4),VLOOKUP($A116,Reg2_ct_first_rob!$A:$AG,F$1+25,0))</f>
        <v>-0.1441***</v>
      </c>
      <c r="G116" s="3" t="str">
        <f>_xlfn.CONCAT(FIXED(VLOOKUP($A116,Reg1_sf_Robust!$A:$AG,G$1,0),4),VLOOKUP($A116,Reg1_sf_Robust!$A:$AG,G$1+25,0))</f>
        <v>-0.2178***</v>
      </c>
      <c r="H116" s="3" t="str">
        <f>_xlfn.CONCAT(FIXED(VLOOKUP($A116,Reg2_sf_last_rob!$A:$AG,H$1,0),4),VLOOKUP($A116,Reg2_sf_last_rob!$A:$AG,H$1+25,0))</f>
        <v>-0.2115***</v>
      </c>
      <c r="I116" s="3" t="str">
        <f>_xlfn.CONCAT(FIXED(VLOOKUP($A116,Reg2_sf_first_rob!$A:$AG,I$1,0),4),VLOOKUP($A116,Reg2_sf_first_rob!$A:$AG,I$1+25,0))</f>
        <v>-0.2238***</v>
      </c>
    </row>
    <row r="117" spans="1:9" x14ac:dyDescent="0.25">
      <c r="A117">
        <v>112</v>
      </c>
      <c r="D117" s="3" t="str">
        <f>_xlfn.CONCAT("(",FIXED(ABS(VLOOKUP($A116,Reg1_ct_Robust!$A:$AG,D$1+1,0)),4),")")</f>
        <v>(0.0370)</v>
      </c>
      <c r="E117" s="3" t="str">
        <f>_xlfn.CONCAT("(",FIXED(ABS(VLOOKUP($A116,Reg2_ct_last_rob!$A:$AG,E$1+1,0)),4),")")</f>
        <v>(0.0389)</v>
      </c>
      <c r="F117" s="3" t="str">
        <f>_xlfn.CONCAT("(",FIXED(ABS(VLOOKUP($A116,Reg2_ct_first_rob!$A:$AG,F$1+1,0)),4),")")</f>
        <v>(0.0417)</v>
      </c>
      <c r="G117" s="3" t="str">
        <f>_xlfn.CONCAT("(",FIXED(ABS(VLOOKUP($A116,Reg1_sf_Robust!$A:$AG,G$1+1,0)),4),")")</f>
        <v>(0.0657)</v>
      </c>
      <c r="H117" s="3" t="str">
        <f>_xlfn.CONCAT("(",FIXED(ABS(VLOOKUP($A116,Reg2_sf_last_rob!$A:$AG,H$1+1,0)),4),")")</f>
        <v>(0.0675)</v>
      </c>
      <c r="I117" s="3" t="str">
        <f>_xlfn.CONCAT("(",FIXED(ABS(VLOOKUP($A116,Reg2_sf_first_rob!$A:$AG,I$1+1,0)),4),")")</f>
        <v>(0.0658)</v>
      </c>
    </row>
    <row r="118" spans="1:9" x14ac:dyDescent="0.25">
      <c r="A118">
        <v>113</v>
      </c>
      <c r="B118" t="s">
        <v>45</v>
      </c>
      <c r="C118" t="s">
        <v>448</v>
      </c>
      <c r="D118" s="3" t="str">
        <f>_xlfn.CONCAT(FIXED(VLOOKUP($A118,Reg1_ct_Robust!$A:$AG,D$1,0),4),VLOOKUP($A118,Reg1_ct_Robust!$A:$AG,D$1+25,0))</f>
        <v>-0.2381</v>
      </c>
      <c r="E118" s="3" t="str">
        <f>_xlfn.CONCAT(FIXED(VLOOKUP($A118,Reg2_ct_last_rob!$A:$AG,E$1,0),4),VLOOKUP($A118,Reg2_ct_last_rob!$A:$AG,E$1+25,0))</f>
        <v>-0.2403</v>
      </c>
      <c r="F118" s="3" t="str">
        <f>_xlfn.CONCAT(FIXED(VLOOKUP($A118,Reg2_ct_first_rob!$A:$AG,F$1,0),4),VLOOKUP($A118,Reg2_ct_first_rob!$A:$AG,F$1+25,0))</f>
        <v>-0.2183</v>
      </c>
      <c r="G118" s="3" t="str">
        <f>_xlfn.CONCAT(FIXED(VLOOKUP($A118,Reg1_sf_Robust!$A:$AG,G$1,0),4),VLOOKUP($A118,Reg1_sf_Robust!$A:$AG,G$1+25,0))</f>
        <v>-0.6145***</v>
      </c>
      <c r="H118" s="3" t="str">
        <f>_xlfn.CONCAT(FIXED(VLOOKUP($A118,Reg2_sf_last_rob!$A:$AG,H$1,0),4),VLOOKUP($A118,Reg2_sf_last_rob!$A:$AG,H$1+25,0))</f>
        <v>-0.6186***</v>
      </c>
      <c r="I118" s="3" t="str">
        <f>_xlfn.CONCAT(FIXED(VLOOKUP($A118,Reg2_sf_first_rob!$A:$AG,I$1,0),4),VLOOKUP($A118,Reg2_sf_first_rob!$A:$AG,I$1+25,0))</f>
        <v>-0.6181***</v>
      </c>
    </row>
    <row r="119" spans="1:9" x14ac:dyDescent="0.25">
      <c r="A119">
        <v>114</v>
      </c>
      <c r="D119" s="3" t="str">
        <f>_xlfn.CONCAT("(",FIXED(ABS(VLOOKUP($A118,Reg1_ct_Robust!$A:$AG,D$1+1,0)),4),")")</f>
        <v>(0.1575)</v>
      </c>
      <c r="E119" s="3" t="str">
        <f>_xlfn.CONCAT("(",FIXED(ABS(VLOOKUP($A118,Reg2_ct_last_rob!$A:$AG,E$1+1,0)),4),")")</f>
        <v>(0.1569)</v>
      </c>
      <c r="F119" s="3" t="str">
        <f>_xlfn.CONCAT("(",FIXED(ABS(VLOOKUP($A118,Reg2_ct_first_rob!$A:$AG,F$1+1,0)),4),")")</f>
        <v>(0.1539)</v>
      </c>
      <c r="G119" s="3" t="str">
        <f>_xlfn.CONCAT("(",FIXED(ABS(VLOOKUP($A118,Reg1_sf_Robust!$A:$AG,G$1+1,0)),4),")")</f>
        <v>(0.1360)</v>
      </c>
      <c r="H119" s="3" t="str">
        <f>_xlfn.CONCAT("(",FIXED(ABS(VLOOKUP($A118,Reg2_sf_last_rob!$A:$AG,H$1+1,0)),4),")")</f>
        <v>(0.1375)</v>
      </c>
      <c r="I119" s="3" t="str">
        <f>_xlfn.CONCAT("(",FIXED(ABS(VLOOKUP($A118,Reg2_sf_first_rob!$A:$AG,I$1+1,0)),4),")")</f>
        <v>(0.1331)</v>
      </c>
    </row>
    <row r="120" spans="1:9" x14ac:dyDescent="0.25">
      <c r="A120">
        <v>115</v>
      </c>
      <c r="B120" t="s">
        <v>48</v>
      </c>
      <c r="C120" t="s">
        <v>449</v>
      </c>
      <c r="D120" s="3" t="str">
        <f>_xlfn.CONCAT(FIXED(VLOOKUP($A120,Reg1_ct_Robust!$A:$AG,D$1,0),4),VLOOKUP($A120,Reg1_ct_Robust!$A:$AG,D$1+25,0))</f>
        <v>0.2104*</v>
      </c>
      <c r="E120" s="3" t="str">
        <f>_xlfn.CONCAT(FIXED(VLOOKUP($A120,Reg2_ct_last_rob!$A:$AG,E$1,0),4),VLOOKUP($A120,Reg2_ct_last_rob!$A:$AG,E$1+25,0))</f>
        <v>0.2156*</v>
      </c>
      <c r="F120" s="3" t="str">
        <f>_xlfn.CONCAT(FIXED(VLOOKUP($A120,Reg2_ct_first_rob!$A:$AG,F$1,0),4),VLOOKUP($A120,Reg2_ct_first_rob!$A:$AG,F$1+25,0))</f>
        <v>0.2094</v>
      </c>
      <c r="G120" s="3" t="str">
        <f>_xlfn.CONCAT(FIXED(VLOOKUP($A120,Reg1_sf_Robust!$A:$AG,G$1,0),4),VLOOKUP($A120,Reg1_sf_Robust!$A:$AG,G$1+25,0))</f>
        <v>0.0895*</v>
      </c>
      <c r="H120" s="3" t="str">
        <f>_xlfn.CONCAT(FIXED(VLOOKUP($A120,Reg2_sf_last_rob!$A:$AG,H$1,0),4),VLOOKUP($A120,Reg2_sf_last_rob!$A:$AG,H$1+25,0))</f>
        <v>0.0943**</v>
      </c>
      <c r="I120" s="3" t="str">
        <f>_xlfn.CONCAT(FIXED(VLOOKUP($A120,Reg2_sf_first_rob!$A:$AG,I$1,0),4),VLOOKUP($A120,Reg2_sf_first_rob!$A:$AG,I$1+25,0))</f>
        <v>0.0947**</v>
      </c>
    </row>
    <row r="121" spans="1:9" x14ac:dyDescent="0.25">
      <c r="A121">
        <v>116</v>
      </c>
      <c r="D121" s="3" t="str">
        <f>_xlfn.CONCAT("(",FIXED(ABS(VLOOKUP($A120,Reg1_ct_Robust!$A:$AG,D$1+1,0)),4),")")</f>
        <v>(0.1111)</v>
      </c>
      <c r="E121" s="3" t="str">
        <f>_xlfn.CONCAT("(",FIXED(ABS(VLOOKUP($A120,Reg2_ct_last_rob!$A:$AG,E$1+1,0)),4),")")</f>
        <v>(0.1154)</v>
      </c>
      <c r="F121" s="3" t="str">
        <f>_xlfn.CONCAT("(",FIXED(ABS(VLOOKUP($A120,Reg2_ct_first_rob!$A:$AG,F$1+1,0)),4),")")</f>
        <v>(0.1172)</v>
      </c>
      <c r="G121" s="3" t="str">
        <f>_xlfn.CONCAT("(",FIXED(ABS(VLOOKUP($A120,Reg1_sf_Robust!$A:$AG,G$1+1,0)),4),")")</f>
        <v>(0.0429)</v>
      </c>
      <c r="H121" s="3" t="str">
        <f>_xlfn.CONCAT("(",FIXED(ABS(VLOOKUP($A120,Reg2_sf_last_rob!$A:$AG,H$1+1,0)),4),")")</f>
        <v>(0.0425)</v>
      </c>
      <c r="I121" s="3" t="str">
        <f>_xlfn.CONCAT("(",FIXED(ABS(VLOOKUP($A120,Reg2_sf_first_rob!$A:$AG,I$1+1,0)),4),")")</f>
        <v>(0.0425)</v>
      </c>
    </row>
    <row r="122" spans="1:9" x14ac:dyDescent="0.25">
      <c r="A122">
        <v>117</v>
      </c>
      <c r="B122" t="s">
        <v>46</v>
      </c>
      <c r="C122" t="s">
        <v>450</v>
      </c>
      <c r="D122" s="3" t="str">
        <f>_xlfn.CONCAT(FIXED(VLOOKUP($A122,Reg1_ct_Robust!$A:$AG,D$1,0),4),VLOOKUP($A122,Reg1_ct_Robust!$A:$AG,D$1+25,0))</f>
        <v>-0.5160**</v>
      </c>
      <c r="E122" s="3" t="str">
        <f>_xlfn.CONCAT(FIXED(VLOOKUP($A122,Reg2_ct_last_rob!$A:$AG,E$1,0),4),VLOOKUP($A122,Reg2_ct_last_rob!$A:$AG,E$1+25,0))</f>
        <v>-0.5217**</v>
      </c>
      <c r="F122" s="3" t="str">
        <f>_xlfn.CONCAT(FIXED(VLOOKUP($A122,Reg2_ct_first_rob!$A:$AG,F$1,0),4),VLOOKUP($A122,Reg2_ct_first_rob!$A:$AG,F$1+25,0))</f>
        <v>-0.5461**</v>
      </c>
      <c r="G122" s="3" t="str">
        <f>_xlfn.CONCAT(FIXED(VLOOKUP($A122,Reg1_sf_Robust!$A:$AG,G$1,0),4),VLOOKUP($A122,Reg1_sf_Robust!$A:$AG,G$1+25,0))</f>
        <v>-0.7157***</v>
      </c>
      <c r="H122" s="3" t="str">
        <f>_xlfn.CONCAT(FIXED(VLOOKUP($A122,Reg2_sf_last_rob!$A:$AG,H$1,0),4),VLOOKUP($A122,Reg2_sf_last_rob!$A:$AG,H$1+25,0))</f>
        <v>-0.7195***</v>
      </c>
      <c r="I122" s="3" t="str">
        <f>_xlfn.CONCAT(FIXED(VLOOKUP($A122,Reg2_sf_first_rob!$A:$AG,I$1,0),4),VLOOKUP($A122,Reg2_sf_first_rob!$A:$AG,I$1+25,0))</f>
        <v>-0.7039***</v>
      </c>
    </row>
    <row r="123" spans="1:9" x14ac:dyDescent="0.25">
      <c r="A123">
        <v>118</v>
      </c>
      <c r="D123" s="3" t="str">
        <f>_xlfn.CONCAT("(",FIXED(ABS(VLOOKUP($A122,Reg1_ct_Robust!$A:$AG,D$1+1,0)),4),")")</f>
        <v>(0.1375)</v>
      </c>
      <c r="E123" s="3" t="str">
        <f>_xlfn.CONCAT("(",FIXED(ABS(VLOOKUP($A122,Reg2_ct_last_rob!$A:$AG,E$1+1,0)),4),")")</f>
        <v>(0.1452)</v>
      </c>
      <c r="F123" s="3" t="str">
        <f>_xlfn.CONCAT("(",FIXED(ABS(VLOOKUP($A122,Reg2_ct_first_rob!$A:$AG,F$1+1,0)),4),")")</f>
        <v>(0.1549)</v>
      </c>
      <c r="G123" s="3" t="str">
        <f>_xlfn.CONCAT("(",FIXED(ABS(VLOOKUP($A122,Reg1_sf_Robust!$A:$AG,G$1+1,0)),4),")")</f>
        <v>(0.1237)</v>
      </c>
      <c r="H123" s="3" t="str">
        <f>_xlfn.CONCAT("(",FIXED(ABS(VLOOKUP($A122,Reg2_sf_last_rob!$A:$AG,H$1+1,0)),4),")")</f>
        <v>(0.1255)</v>
      </c>
      <c r="I123" s="3" t="str">
        <f>_xlfn.CONCAT("(",FIXED(ABS(VLOOKUP($A122,Reg2_sf_first_rob!$A:$AG,I$1+1,0)),4),")")</f>
        <v>(0.1225)</v>
      </c>
    </row>
    <row r="124" spans="1:9" x14ac:dyDescent="0.25">
      <c r="A124">
        <v>119</v>
      </c>
      <c r="B124" t="s">
        <v>282</v>
      </c>
      <c r="C124" s="25" t="s">
        <v>282</v>
      </c>
      <c r="D124" s="3" t="str">
        <f>_xlfn.CONCAT(FIXED(VLOOKUP($A124,Reg1_ct_Robust!$A:$AG,D$1,0),4),VLOOKUP($A124,Reg1_ct_Robust!$A:$AG,D$1+25,0))</f>
        <v>3.3598</v>
      </c>
      <c r="E124" s="3" t="str">
        <f>_xlfn.CONCAT(FIXED(VLOOKUP($A124,Reg2_ct_last_rob!$A:$AG,E$1,0),4),VLOOKUP($A124,Reg2_ct_last_rob!$A:$AG,E$1+25,0))</f>
        <v>5.0685</v>
      </c>
      <c r="F124" s="3" t="str">
        <f>_xlfn.CONCAT(FIXED(VLOOKUP($A124,Reg2_ct_first_rob!$A:$AG,F$1,0),4),VLOOKUP($A124,Reg2_ct_first_rob!$A:$AG,F$1+25,0))</f>
        <v>2.6696</v>
      </c>
      <c r="G124" s="3" t="str">
        <f>_xlfn.CONCAT(FIXED(VLOOKUP($A124,Reg1_sf_Robust!$A:$AG,G$1,0),4),VLOOKUP($A124,Reg1_sf_Robust!$A:$AG,G$1+25,0))</f>
        <v>1.3898</v>
      </c>
      <c r="H124" s="3" t="str">
        <f>_xlfn.CONCAT(FIXED(VLOOKUP($A124,Reg2_sf_last_rob!$A:$AG,H$1,0),4),VLOOKUP($A124,Reg2_sf_last_rob!$A:$AG,H$1+25,0))</f>
        <v>0.5345</v>
      </c>
      <c r="I124" s="3" t="str">
        <f>_xlfn.CONCAT(FIXED(VLOOKUP($A124,Reg2_sf_first_rob!$A:$AG,I$1,0),4),VLOOKUP($A124,Reg2_sf_first_rob!$A:$AG,I$1+25,0))</f>
        <v>1.3163</v>
      </c>
    </row>
    <row r="125" spans="1:9" x14ac:dyDescent="0.25">
      <c r="A125">
        <v>120</v>
      </c>
      <c r="C125" s="16"/>
      <c r="D125" s="3" t="str">
        <f>_xlfn.CONCAT("(",FIXED(ABS(VLOOKUP($A124,Reg1_ct_Robust!$A:$AG,D$1+1,0)),4),")")</f>
        <v>(13.6048)</v>
      </c>
      <c r="E125" s="3" t="str">
        <f>_xlfn.CONCAT("(",FIXED(ABS(VLOOKUP($A124,Reg2_ct_last_rob!$A:$AG,E$1+1,0)),4),")")</f>
        <v>(13.8724)</v>
      </c>
      <c r="F125" s="3" t="str">
        <f>_xlfn.CONCAT("(",FIXED(ABS(VLOOKUP($A124,Reg2_ct_first_rob!$A:$AG,F$1+1,0)),4),")")</f>
        <v>(13.8520)</v>
      </c>
      <c r="G125" s="3" t="str">
        <f>_xlfn.CONCAT("(",FIXED(ABS(VLOOKUP($A124,Reg1_sf_Robust!$A:$AG,G$1+1,0)),4),")")</f>
        <v>(15.3208)</v>
      </c>
      <c r="H125" s="3" t="str">
        <f>_xlfn.CONCAT("(",FIXED(ABS(VLOOKUP($A124,Reg2_sf_last_rob!$A:$AG,H$1+1,0)),4),")")</f>
        <v>(15.5497)</v>
      </c>
      <c r="I125" s="3" t="str">
        <f>_xlfn.CONCAT("(",FIXED(ABS(VLOOKUP($A124,Reg2_sf_first_rob!$A:$AG,I$1+1,0)),4),")")</f>
        <v>(15.2945)</v>
      </c>
    </row>
    <row r="126" spans="1:9" x14ac:dyDescent="0.25">
      <c r="A126">
        <v>120</v>
      </c>
      <c r="B126" t="s">
        <v>408</v>
      </c>
      <c r="C126" t="s">
        <v>408</v>
      </c>
      <c r="D126" s="3" t="s">
        <v>337</v>
      </c>
      <c r="E126" s="3" t="s">
        <v>337</v>
      </c>
      <c r="F126" s="3" t="s">
        <v>337</v>
      </c>
      <c r="G126" s="3" t="s">
        <v>337</v>
      </c>
      <c r="H126" s="3" t="s">
        <v>337</v>
      </c>
      <c r="I126" s="3" t="s">
        <v>337</v>
      </c>
    </row>
    <row r="127" spans="1:9" x14ac:dyDescent="0.25">
      <c r="A127">
        <v>121</v>
      </c>
      <c r="B127" t="s">
        <v>409</v>
      </c>
      <c r="C127" s="18" t="s">
        <v>409</v>
      </c>
      <c r="D127" s="16" t="s">
        <v>337</v>
      </c>
      <c r="E127" s="16" t="s">
        <v>336</v>
      </c>
      <c r="F127" s="16" t="s">
        <v>336</v>
      </c>
      <c r="G127" s="16" t="s">
        <v>337</v>
      </c>
      <c r="H127" s="16" t="s">
        <v>337</v>
      </c>
      <c r="I127" s="16" t="s">
        <v>337</v>
      </c>
    </row>
    <row r="128" spans="1:9" x14ac:dyDescent="0.25">
      <c r="A128">
        <v>123</v>
      </c>
      <c r="B128" t="s">
        <v>187</v>
      </c>
      <c r="C128" t="s">
        <v>187</v>
      </c>
      <c r="D128" s="3">
        <v>27632</v>
      </c>
      <c r="E128" s="3">
        <v>23504</v>
      </c>
      <c r="F128" s="3">
        <v>23513</v>
      </c>
      <c r="G128" s="3">
        <v>22993</v>
      </c>
      <c r="H128" s="3">
        <v>19915</v>
      </c>
      <c r="I128" s="3">
        <v>19906</v>
      </c>
    </row>
    <row r="129" spans="1:9" ht="17.25" x14ac:dyDescent="0.25">
      <c r="A129">
        <v>124</v>
      </c>
      <c r="C129" t="s">
        <v>295</v>
      </c>
      <c r="D129" s="3">
        <v>0.81620000000000004</v>
      </c>
      <c r="E129" s="3">
        <v>0.81610000000000005</v>
      </c>
      <c r="F129" s="3">
        <v>0.81799999999999995</v>
      </c>
      <c r="G129" s="3">
        <v>0.79869999999999997</v>
      </c>
      <c r="H129" s="3">
        <v>0.79110000000000003</v>
      </c>
      <c r="I129" s="3">
        <v>0.79159999999999997</v>
      </c>
    </row>
    <row r="130" spans="1:9" ht="17.25" x14ac:dyDescent="0.25">
      <c r="A130">
        <v>125</v>
      </c>
      <c r="C130" t="s">
        <v>296</v>
      </c>
      <c r="D130" s="3">
        <v>0.81579999999999997</v>
      </c>
      <c r="E130" s="3">
        <v>0.81559999999999999</v>
      </c>
      <c r="F130" s="3">
        <v>0.8175</v>
      </c>
      <c r="G130" s="3">
        <v>0.79820000000000002</v>
      </c>
      <c r="H130" s="3">
        <v>0.79049999999999998</v>
      </c>
      <c r="I130" s="3">
        <v>0.79100000000000004</v>
      </c>
    </row>
    <row r="131" spans="1:9" x14ac:dyDescent="0.25">
      <c r="A131">
        <v>126</v>
      </c>
      <c r="C131" t="s">
        <v>694</v>
      </c>
    </row>
    <row r="132" spans="1:9" x14ac:dyDescent="0.25">
      <c r="A132">
        <v>127</v>
      </c>
      <c r="C132" t="s">
        <v>695</v>
      </c>
    </row>
    <row r="133" spans="1:9" x14ac:dyDescent="0.25">
      <c r="A133">
        <v>128</v>
      </c>
      <c r="B133" t="s">
        <v>193</v>
      </c>
    </row>
    <row r="134" spans="1:9" x14ac:dyDescent="0.25">
      <c r="B134" t="s">
        <v>287</v>
      </c>
    </row>
  </sheetData>
  <mergeCells count="22">
    <mergeCell ref="C2:I2"/>
    <mergeCell ref="C3:I3"/>
    <mergeCell ref="D4:F4"/>
    <mergeCell ref="D60:D61"/>
    <mergeCell ref="E60:E61"/>
    <mergeCell ref="F60:F61"/>
    <mergeCell ref="H52:H53"/>
    <mergeCell ref="H54:H55"/>
    <mergeCell ref="H56:H57"/>
    <mergeCell ref="H58:H59"/>
    <mergeCell ref="I52:I53"/>
    <mergeCell ref="I54:I55"/>
    <mergeCell ref="I56:I57"/>
    <mergeCell ref="I58:I59"/>
    <mergeCell ref="H62:H63"/>
    <mergeCell ref="I62:I63"/>
    <mergeCell ref="G4:I4"/>
    <mergeCell ref="G62:G63"/>
    <mergeCell ref="G58:G59"/>
    <mergeCell ref="G56:G57"/>
    <mergeCell ref="G54:G55"/>
    <mergeCell ref="G52:G5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</vt:i4>
      </vt:variant>
    </vt:vector>
  </HeadingPairs>
  <TitlesOfParts>
    <vt:vector size="29" baseType="lpstr">
      <vt:lpstr>Full Sample-No Sub</vt:lpstr>
      <vt:lpstr>Full Sample-Townhouse</vt:lpstr>
      <vt:lpstr>Full Sample-Single Family</vt:lpstr>
      <vt:lpstr>Small Sample 1-No Sub</vt:lpstr>
      <vt:lpstr>Small Sample 1-Townhouse</vt:lpstr>
      <vt:lpstr>Small Sample 1-Single Family</vt:lpstr>
      <vt:lpstr>Small Sample 2-No Sub</vt:lpstr>
      <vt:lpstr>Small Sample 2-Townhouse</vt:lpstr>
      <vt:lpstr>Small Sample 2-Single Family</vt:lpstr>
      <vt:lpstr>Table One</vt:lpstr>
      <vt:lpstr>Table Two (a)</vt:lpstr>
      <vt:lpstr>Table One Townhouse</vt:lpstr>
      <vt:lpstr>Table One Single Family</vt:lpstr>
      <vt:lpstr>Reg1</vt:lpstr>
      <vt:lpstr>Reg1_Robust</vt:lpstr>
      <vt:lpstr>Table 3</vt:lpstr>
      <vt:lpstr>Reg1_ct</vt:lpstr>
      <vt:lpstr>Reg1_ct_Robust</vt:lpstr>
      <vt:lpstr>Reg2_ct_last_rob</vt:lpstr>
      <vt:lpstr>Reg2_ct_first_rob</vt:lpstr>
      <vt:lpstr>Reg1_sf</vt:lpstr>
      <vt:lpstr>Reg1_sf_Robust</vt:lpstr>
      <vt:lpstr>Reg2_sf_first_rob</vt:lpstr>
      <vt:lpstr>Reg2_sf_last_rob</vt:lpstr>
      <vt:lpstr>Table Four</vt:lpstr>
      <vt:lpstr>'Table One'!Print_Area</vt:lpstr>
      <vt:lpstr>'Table One Single Family'!Print_Area</vt:lpstr>
      <vt:lpstr>'Table One Townhouse'!Print_Area</vt:lpstr>
      <vt:lpstr>'Table Two (a)'!Print_Area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Groves</dc:creator>
  <cp:lastModifiedBy>Jeremy and Cayce Groves</cp:lastModifiedBy>
  <cp:lastPrinted>2023-07-11T16:13:57Z</cp:lastPrinted>
  <dcterms:created xsi:type="dcterms:W3CDTF">2023-06-29T19:59:47Z</dcterms:created>
  <dcterms:modified xsi:type="dcterms:W3CDTF">2023-07-30T01:24:04Z</dcterms:modified>
</cp:coreProperties>
</file>