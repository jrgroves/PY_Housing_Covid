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0jrg1\Documents\Projects\PY_Housing_Covid\Analysis\Paper\"/>
    </mc:Choice>
  </mc:AlternateContent>
  <xr:revisionPtr revIDLastSave="0" documentId="13_ncr:1_{1AB12D5D-801F-43AE-8D53-A1A52C3AA965}" xr6:coauthVersionLast="47" xr6:coauthVersionMax="47" xr10:uidLastSave="{00000000-0000-0000-0000-000000000000}"/>
  <bookViews>
    <workbookView xWindow="14400" yWindow="0" windowWidth="14400" windowHeight="15600" firstSheet="22" activeTab="24" xr2:uid="{48A4CCAE-0847-4C78-9634-78F6030D6BD2}"/>
  </bookViews>
  <sheets>
    <sheet name="Full Sample-No Sub" sheetId="1" r:id="rId1"/>
    <sheet name="Full Sample-Townhouse" sheetId="3" r:id="rId2"/>
    <sheet name="Full Sample-Single Family" sheetId="10" r:id="rId3"/>
    <sheet name="Small Sample 1-No Sub" sheetId="19" r:id="rId4"/>
    <sheet name="Small Sample 1-Townhouse" sheetId="20" r:id="rId5"/>
    <sheet name="Small Sample 1-Single Family" sheetId="21" r:id="rId6"/>
    <sheet name="Small Sample 2-No Sub" sheetId="22" r:id="rId7"/>
    <sheet name="Small Sample 2-Townhouse" sheetId="23" r:id="rId8"/>
    <sheet name="Small Sample 2-Single Family" sheetId="24" r:id="rId9"/>
    <sheet name="Table One" sheetId="2" r:id="rId10"/>
    <sheet name="Table Two (a)" sheetId="28" r:id="rId11"/>
    <sheet name="Table One Townhouse" sheetId="26" r:id="rId12"/>
    <sheet name="Table One Single Family" sheetId="27" r:id="rId13"/>
    <sheet name="Reg1" sheetId="4" r:id="rId14"/>
    <sheet name="Reg1_Robust" sheetId="30" r:id="rId15"/>
    <sheet name="Table 3" sheetId="29" r:id="rId16"/>
    <sheet name="Reg1_ct" sheetId="31" r:id="rId17"/>
    <sheet name="Reg1_ct_Robust" sheetId="32" r:id="rId18"/>
    <sheet name="Reg2_ct_last_rob" sheetId="33" r:id="rId19"/>
    <sheet name="Reg2_ct_first_rob" sheetId="34" r:id="rId20"/>
    <sheet name="Reg1_sf" sheetId="36" r:id="rId21"/>
    <sheet name="Reg1_sf_Robust" sheetId="37" r:id="rId22"/>
    <sheet name="Reg2_sf_first_rob" sheetId="38" r:id="rId23"/>
    <sheet name="Reg2_sf_last_rob" sheetId="39" r:id="rId24"/>
    <sheet name="Table Four" sheetId="35" r:id="rId25"/>
  </sheets>
  <functionGroups builtInGroupCount="19"/>
  <definedNames>
    <definedName name="_xlnm.Print_Area" localSheetId="9">'Table One'!$A$2:$Z$76</definedName>
    <definedName name="_xlnm.Print_Area" localSheetId="12">'Table One Single Family'!$A$2:$Z$81</definedName>
    <definedName name="_xlnm.Print_Area" localSheetId="11">'Table One Townhouse'!$A$2:$Z$81</definedName>
    <definedName name="_xlnm.Print_Area" localSheetId="10">'Table Two (a)'!$A$2:$Z$76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35" l="1"/>
  <c r="L5" i="29"/>
  <c r="I89" i="29"/>
  <c r="E8" i="29"/>
  <c r="F34" i="29"/>
  <c r="J8" i="29"/>
  <c r="I8" i="29"/>
  <c r="H8" i="29"/>
  <c r="G8" i="29"/>
  <c r="F8" i="29"/>
  <c r="J7" i="29"/>
  <c r="AN8" i="28"/>
  <c r="AN7" i="28"/>
  <c r="D128" i="29"/>
  <c r="D129" i="29"/>
  <c r="K7" i="35"/>
  <c r="I61" i="35"/>
  <c r="H61" i="35"/>
  <c r="I125" i="35"/>
  <c r="H125" i="35"/>
  <c r="I123" i="35"/>
  <c r="H123" i="35"/>
  <c r="I121" i="35"/>
  <c r="H121" i="35"/>
  <c r="I119" i="35"/>
  <c r="H119" i="35"/>
  <c r="I118" i="35"/>
  <c r="I117" i="35"/>
  <c r="H117" i="35"/>
  <c r="I115" i="35"/>
  <c r="H115" i="35"/>
  <c r="I113" i="35"/>
  <c r="H113" i="35"/>
  <c r="I111" i="35"/>
  <c r="H111" i="35"/>
  <c r="I109" i="35"/>
  <c r="H109" i="35"/>
  <c r="I108" i="35"/>
  <c r="I107" i="35"/>
  <c r="H107" i="35"/>
  <c r="I105" i="35"/>
  <c r="H105" i="35"/>
  <c r="I103" i="35"/>
  <c r="H103" i="35"/>
  <c r="I101" i="35"/>
  <c r="H101" i="35"/>
  <c r="I99" i="35"/>
  <c r="H99" i="35"/>
  <c r="I97" i="35"/>
  <c r="H97" i="35"/>
  <c r="I95" i="35"/>
  <c r="H95" i="35"/>
  <c r="I93" i="35"/>
  <c r="H93" i="35"/>
  <c r="I91" i="35"/>
  <c r="H91" i="35"/>
  <c r="I89" i="35"/>
  <c r="H89" i="35"/>
  <c r="I87" i="35"/>
  <c r="H87" i="35"/>
  <c r="I86" i="35"/>
  <c r="I85" i="35"/>
  <c r="H85" i="35"/>
  <c r="I83" i="35"/>
  <c r="H83" i="35"/>
  <c r="I81" i="35"/>
  <c r="H81" i="35"/>
  <c r="I79" i="35"/>
  <c r="H79" i="35"/>
  <c r="I77" i="35"/>
  <c r="H77" i="35"/>
  <c r="I76" i="35"/>
  <c r="I75" i="35"/>
  <c r="H75" i="35"/>
  <c r="I73" i="35"/>
  <c r="H73" i="35"/>
  <c r="I71" i="35"/>
  <c r="H71" i="35"/>
  <c r="I69" i="35"/>
  <c r="H69" i="35"/>
  <c r="I68" i="35"/>
  <c r="H68" i="35"/>
  <c r="I67" i="35"/>
  <c r="H67" i="35"/>
  <c r="I66" i="35"/>
  <c r="I65" i="35"/>
  <c r="H65" i="35"/>
  <c r="I51" i="35"/>
  <c r="H51" i="35"/>
  <c r="I49" i="35"/>
  <c r="H49" i="35"/>
  <c r="I47" i="35"/>
  <c r="H47" i="35"/>
  <c r="I45" i="35"/>
  <c r="H45" i="35"/>
  <c r="I43" i="35"/>
  <c r="H43" i="35"/>
  <c r="I41" i="35"/>
  <c r="H41" i="35"/>
  <c r="I39" i="35"/>
  <c r="H39" i="35"/>
  <c r="I37" i="35"/>
  <c r="H37" i="35"/>
  <c r="I35" i="35"/>
  <c r="H35" i="35"/>
  <c r="I33" i="35"/>
  <c r="H33" i="35"/>
  <c r="I32" i="35"/>
  <c r="I31" i="35"/>
  <c r="H31" i="35"/>
  <c r="I29" i="35"/>
  <c r="H29" i="35"/>
  <c r="I27" i="35"/>
  <c r="H27" i="35"/>
  <c r="I25" i="35"/>
  <c r="H25" i="35"/>
  <c r="I23" i="35"/>
  <c r="H23" i="35"/>
  <c r="I22" i="35"/>
  <c r="I21" i="35"/>
  <c r="H21" i="35"/>
  <c r="I19" i="35"/>
  <c r="H19" i="35"/>
  <c r="I17" i="35"/>
  <c r="H17" i="35"/>
  <c r="I15" i="35"/>
  <c r="H15" i="35"/>
  <c r="I13" i="35"/>
  <c r="H13" i="35"/>
  <c r="I11" i="35"/>
  <c r="H11" i="35"/>
  <c r="I9" i="35"/>
  <c r="H9" i="35"/>
  <c r="I7" i="35"/>
  <c r="H7" i="35"/>
  <c r="AG66" i="39"/>
  <c r="AF66" i="39"/>
  <c r="AE66" i="39"/>
  <c r="AD66" i="39"/>
  <c r="AC66" i="39"/>
  <c r="AB66" i="39"/>
  <c r="AG65" i="39"/>
  <c r="AF65" i="39"/>
  <c r="AE65" i="39"/>
  <c r="AD65" i="39"/>
  <c r="AC65" i="39"/>
  <c r="AB65" i="39"/>
  <c r="AG64" i="39"/>
  <c r="AF64" i="39"/>
  <c r="AE64" i="39"/>
  <c r="AD64" i="39"/>
  <c r="AC64" i="39"/>
  <c r="AB64" i="39"/>
  <c r="AG63" i="39"/>
  <c r="AF63" i="39"/>
  <c r="AE63" i="39"/>
  <c r="AD63" i="39"/>
  <c r="AC63" i="39"/>
  <c r="AB63" i="39"/>
  <c r="AG62" i="39"/>
  <c r="AF62" i="39"/>
  <c r="AE62" i="39"/>
  <c r="AD62" i="39"/>
  <c r="AC62" i="39"/>
  <c r="AB62" i="39"/>
  <c r="AG61" i="39"/>
  <c r="AF61" i="39"/>
  <c r="AE61" i="39"/>
  <c r="AD61" i="39"/>
  <c r="AC61" i="39"/>
  <c r="AB61" i="39"/>
  <c r="H122" i="35" s="1"/>
  <c r="AG60" i="39"/>
  <c r="AF60" i="39"/>
  <c r="AE60" i="39"/>
  <c r="AD60" i="39"/>
  <c r="AC60" i="39"/>
  <c r="AB60" i="39"/>
  <c r="H120" i="35" s="1"/>
  <c r="AG59" i="39"/>
  <c r="AF59" i="39"/>
  <c r="AE59" i="39"/>
  <c r="AD59" i="39"/>
  <c r="AC59" i="39"/>
  <c r="AB59" i="39"/>
  <c r="H118" i="35" s="1"/>
  <c r="AG58" i="39"/>
  <c r="AF58" i="39"/>
  <c r="AE58" i="39"/>
  <c r="AD58" i="39"/>
  <c r="AC58" i="39"/>
  <c r="AB58" i="39"/>
  <c r="H116" i="35" s="1"/>
  <c r="AG57" i="39"/>
  <c r="AF57" i="39"/>
  <c r="AE57" i="39"/>
  <c r="AD57" i="39"/>
  <c r="AC57" i="39"/>
  <c r="AB57" i="39"/>
  <c r="H114" i="35" s="1"/>
  <c r="AG56" i="39"/>
  <c r="AF56" i="39"/>
  <c r="AE56" i="39"/>
  <c r="AD56" i="39"/>
  <c r="AC56" i="39"/>
  <c r="AB56" i="39"/>
  <c r="H112" i="35" s="1"/>
  <c r="AG55" i="39"/>
  <c r="AF55" i="39"/>
  <c r="AE55" i="39"/>
  <c r="AD55" i="39"/>
  <c r="AC55" i="39"/>
  <c r="AB55" i="39"/>
  <c r="H110" i="35" s="1"/>
  <c r="AG54" i="39"/>
  <c r="AF54" i="39"/>
  <c r="AE54" i="39"/>
  <c r="AD54" i="39"/>
  <c r="AC54" i="39"/>
  <c r="AB54" i="39"/>
  <c r="H108" i="35" s="1"/>
  <c r="AG53" i="39"/>
  <c r="AF53" i="39"/>
  <c r="AE53" i="39"/>
  <c r="AD53" i="39"/>
  <c r="AC53" i="39"/>
  <c r="AB53" i="39"/>
  <c r="H106" i="35" s="1"/>
  <c r="AG52" i="39"/>
  <c r="AF52" i="39"/>
  <c r="AE52" i="39"/>
  <c r="AD52" i="39"/>
  <c r="AC52" i="39"/>
  <c r="AB52" i="39"/>
  <c r="H104" i="35" s="1"/>
  <c r="AG51" i="39"/>
  <c r="AF51" i="39"/>
  <c r="AE51" i="39"/>
  <c r="AD51" i="39"/>
  <c r="AC51" i="39"/>
  <c r="AB51" i="39"/>
  <c r="H102" i="35" s="1"/>
  <c r="AG50" i="39"/>
  <c r="AF50" i="39"/>
  <c r="AE50" i="39"/>
  <c r="AD50" i="39"/>
  <c r="AC50" i="39"/>
  <c r="AB50" i="39"/>
  <c r="H100" i="35" s="1"/>
  <c r="AG49" i="39"/>
  <c r="AF49" i="39"/>
  <c r="AE49" i="39"/>
  <c r="AD49" i="39"/>
  <c r="AC49" i="39"/>
  <c r="AB49" i="39"/>
  <c r="H98" i="35" s="1"/>
  <c r="AG48" i="39"/>
  <c r="AF48" i="39"/>
  <c r="AE48" i="39"/>
  <c r="AD48" i="39"/>
  <c r="AC48" i="39"/>
  <c r="AB48" i="39"/>
  <c r="H96" i="35" s="1"/>
  <c r="AG47" i="39"/>
  <c r="AF47" i="39"/>
  <c r="AE47" i="39"/>
  <c r="AD47" i="39"/>
  <c r="AC47" i="39"/>
  <c r="AB47" i="39"/>
  <c r="H94" i="35" s="1"/>
  <c r="AG46" i="39"/>
  <c r="AF46" i="39"/>
  <c r="AE46" i="39"/>
  <c r="AD46" i="39"/>
  <c r="AC46" i="39"/>
  <c r="AB46" i="39"/>
  <c r="H92" i="35" s="1"/>
  <c r="AG45" i="39"/>
  <c r="AF45" i="39"/>
  <c r="AE45" i="39"/>
  <c r="AD45" i="39"/>
  <c r="AC45" i="39"/>
  <c r="AB45" i="39"/>
  <c r="H90" i="35" s="1"/>
  <c r="AG44" i="39"/>
  <c r="AF44" i="39"/>
  <c r="AE44" i="39"/>
  <c r="AD44" i="39"/>
  <c r="AC44" i="39"/>
  <c r="AB44" i="39"/>
  <c r="H88" i="35" s="1"/>
  <c r="AG43" i="39"/>
  <c r="AF43" i="39"/>
  <c r="AE43" i="39"/>
  <c r="AD43" i="39"/>
  <c r="AC43" i="39"/>
  <c r="AB43" i="39"/>
  <c r="H86" i="35" s="1"/>
  <c r="AG42" i="39"/>
  <c r="AF42" i="39"/>
  <c r="AE42" i="39"/>
  <c r="AD42" i="39"/>
  <c r="AC42" i="39"/>
  <c r="AB42" i="39"/>
  <c r="H84" i="35" s="1"/>
  <c r="AG41" i="39"/>
  <c r="AF41" i="39"/>
  <c r="AE41" i="39"/>
  <c r="AD41" i="39"/>
  <c r="AC41" i="39"/>
  <c r="AB41" i="39"/>
  <c r="H82" i="35" s="1"/>
  <c r="AG40" i="39"/>
  <c r="AF40" i="39"/>
  <c r="AE40" i="39"/>
  <c r="AD40" i="39"/>
  <c r="AC40" i="39"/>
  <c r="AB40" i="39"/>
  <c r="H80" i="35" s="1"/>
  <c r="AG39" i="39"/>
  <c r="AF39" i="39"/>
  <c r="AE39" i="39"/>
  <c r="AD39" i="39"/>
  <c r="AC39" i="39"/>
  <c r="AB39" i="39"/>
  <c r="H78" i="35" s="1"/>
  <c r="AG38" i="39"/>
  <c r="AF38" i="39"/>
  <c r="AE38" i="39"/>
  <c r="AD38" i="39"/>
  <c r="AC38" i="39"/>
  <c r="AB38" i="39"/>
  <c r="H76" i="35" s="1"/>
  <c r="AG37" i="39"/>
  <c r="AF37" i="39"/>
  <c r="AE37" i="39"/>
  <c r="AD37" i="39"/>
  <c r="AC37" i="39"/>
  <c r="AB37" i="39"/>
  <c r="H74" i="35" s="1"/>
  <c r="AG36" i="39"/>
  <c r="AF36" i="39"/>
  <c r="AE36" i="39"/>
  <c r="AD36" i="39"/>
  <c r="AC36" i="39"/>
  <c r="AB36" i="39"/>
  <c r="H72" i="35" s="1"/>
  <c r="AG34" i="39"/>
  <c r="AF34" i="39"/>
  <c r="AE34" i="39"/>
  <c r="AD34" i="39"/>
  <c r="AC34" i="39"/>
  <c r="AB34" i="39"/>
  <c r="H70" i="35" s="1"/>
  <c r="AG33" i="39"/>
  <c r="AF33" i="39"/>
  <c r="AE33" i="39"/>
  <c r="AD33" i="39"/>
  <c r="AC33" i="39"/>
  <c r="AB33" i="39"/>
  <c r="H66" i="35" s="1"/>
  <c r="AG32" i="39"/>
  <c r="AF32" i="39"/>
  <c r="AE32" i="39"/>
  <c r="AD32" i="39"/>
  <c r="AC32" i="39"/>
  <c r="AB32" i="39"/>
  <c r="H64" i="35" s="1"/>
  <c r="AG30" i="39"/>
  <c r="AF30" i="39"/>
  <c r="AE30" i="39"/>
  <c r="AD30" i="39"/>
  <c r="AC30" i="39"/>
  <c r="AB30" i="39"/>
  <c r="H60" i="35" s="1"/>
  <c r="AG25" i="39"/>
  <c r="AF25" i="39"/>
  <c r="AE25" i="39"/>
  <c r="AD25" i="39"/>
  <c r="AC25" i="39"/>
  <c r="AB25" i="39"/>
  <c r="H50" i="35" s="1"/>
  <c r="AG24" i="39"/>
  <c r="AF24" i="39"/>
  <c r="AE24" i="39"/>
  <c r="AD24" i="39"/>
  <c r="AC24" i="39"/>
  <c r="AB24" i="39"/>
  <c r="H48" i="35" s="1"/>
  <c r="AG23" i="39"/>
  <c r="AF23" i="39"/>
  <c r="AE23" i="39"/>
  <c r="AD23" i="39"/>
  <c r="AC23" i="39"/>
  <c r="AB23" i="39"/>
  <c r="H46" i="35" s="1"/>
  <c r="AG22" i="39"/>
  <c r="AF22" i="39"/>
  <c r="AE22" i="39"/>
  <c r="AD22" i="39"/>
  <c r="AC22" i="39"/>
  <c r="AB22" i="39"/>
  <c r="H44" i="35" s="1"/>
  <c r="AG21" i="39"/>
  <c r="AF21" i="39"/>
  <c r="AE21" i="39"/>
  <c r="AD21" i="39"/>
  <c r="AC21" i="39"/>
  <c r="AB21" i="39"/>
  <c r="H42" i="35" s="1"/>
  <c r="AG20" i="39"/>
  <c r="AF20" i="39"/>
  <c r="AE20" i="39"/>
  <c r="AD20" i="39"/>
  <c r="AC20" i="39"/>
  <c r="AB20" i="39"/>
  <c r="H40" i="35" s="1"/>
  <c r="AG19" i="39"/>
  <c r="AF19" i="39"/>
  <c r="AE19" i="39"/>
  <c r="AD19" i="39"/>
  <c r="AC19" i="39"/>
  <c r="AB19" i="39"/>
  <c r="H38" i="35" s="1"/>
  <c r="AG18" i="39"/>
  <c r="AF18" i="39"/>
  <c r="AE18" i="39"/>
  <c r="AD18" i="39"/>
  <c r="AC18" i="39"/>
  <c r="AB18" i="39"/>
  <c r="H36" i="35" s="1"/>
  <c r="AG17" i="39"/>
  <c r="AF17" i="39"/>
  <c r="AE17" i="39"/>
  <c r="AD17" i="39"/>
  <c r="AC17" i="39"/>
  <c r="AB17" i="39"/>
  <c r="H34" i="35" s="1"/>
  <c r="AG16" i="39"/>
  <c r="AF16" i="39"/>
  <c r="AE16" i="39"/>
  <c r="AD16" i="39"/>
  <c r="AC16" i="39"/>
  <c r="AB16" i="39"/>
  <c r="H32" i="35" s="1"/>
  <c r="AG15" i="39"/>
  <c r="AF15" i="39"/>
  <c r="AE15" i="39"/>
  <c r="AD15" i="39"/>
  <c r="AC15" i="39"/>
  <c r="AB15" i="39"/>
  <c r="H30" i="35" s="1"/>
  <c r="AG14" i="39"/>
  <c r="AF14" i="39"/>
  <c r="AE14" i="39"/>
  <c r="AD14" i="39"/>
  <c r="AC14" i="39"/>
  <c r="AB14" i="39"/>
  <c r="H28" i="35" s="1"/>
  <c r="AG13" i="39"/>
  <c r="AF13" i="39"/>
  <c r="AE13" i="39"/>
  <c r="AD13" i="39"/>
  <c r="AC13" i="39"/>
  <c r="AB13" i="39"/>
  <c r="H26" i="35" s="1"/>
  <c r="AG12" i="39"/>
  <c r="AF12" i="39"/>
  <c r="AE12" i="39"/>
  <c r="AD12" i="39"/>
  <c r="AC12" i="39"/>
  <c r="AB12" i="39"/>
  <c r="H24" i="35" s="1"/>
  <c r="AG11" i="39"/>
  <c r="AF11" i="39"/>
  <c r="AE11" i="39"/>
  <c r="AD11" i="39"/>
  <c r="AC11" i="39"/>
  <c r="AB11" i="39"/>
  <c r="H22" i="35" s="1"/>
  <c r="AG10" i="39"/>
  <c r="AF10" i="39"/>
  <c r="AE10" i="39"/>
  <c r="AD10" i="39"/>
  <c r="AC10" i="39"/>
  <c r="AB10" i="39"/>
  <c r="H20" i="35" s="1"/>
  <c r="AG9" i="39"/>
  <c r="AF9" i="39"/>
  <c r="AE9" i="39"/>
  <c r="AD9" i="39"/>
  <c r="AC9" i="39"/>
  <c r="AB9" i="39"/>
  <c r="H18" i="35" s="1"/>
  <c r="AG8" i="39"/>
  <c r="AF8" i="39"/>
  <c r="AE8" i="39"/>
  <c r="AD8" i="39"/>
  <c r="AC8" i="39"/>
  <c r="AB8" i="39"/>
  <c r="H16" i="35" s="1"/>
  <c r="AG7" i="39"/>
  <c r="AF7" i="39"/>
  <c r="AE7" i="39"/>
  <c r="AD7" i="39"/>
  <c r="AC7" i="39"/>
  <c r="AB7" i="39"/>
  <c r="H14" i="35" s="1"/>
  <c r="AG6" i="39"/>
  <c r="AF6" i="39"/>
  <c r="AE6" i="39"/>
  <c r="AD6" i="39"/>
  <c r="AC6" i="39"/>
  <c r="AB6" i="39"/>
  <c r="H12" i="35" s="1"/>
  <c r="AG5" i="39"/>
  <c r="AF5" i="39"/>
  <c r="AE5" i="39"/>
  <c r="AD5" i="39"/>
  <c r="AC5" i="39"/>
  <c r="AB5" i="39"/>
  <c r="H10" i="35" s="1"/>
  <c r="AG4" i="39"/>
  <c r="AF4" i="39"/>
  <c r="AE4" i="39"/>
  <c r="AD4" i="39"/>
  <c r="AC4" i="39"/>
  <c r="AB4" i="39"/>
  <c r="H8" i="35" s="1"/>
  <c r="AG3" i="39"/>
  <c r="AF3" i="39"/>
  <c r="AE3" i="39"/>
  <c r="AD3" i="39"/>
  <c r="AC3" i="39"/>
  <c r="AB3" i="39"/>
  <c r="H6" i="35" s="1"/>
  <c r="AG2" i="39"/>
  <c r="AF2" i="39"/>
  <c r="AE2" i="39"/>
  <c r="AD2" i="39"/>
  <c r="AC2" i="39"/>
  <c r="AB2" i="39"/>
  <c r="H124" i="35" s="1"/>
  <c r="AG66" i="38"/>
  <c r="AF66" i="38"/>
  <c r="AE66" i="38"/>
  <c r="AD66" i="38"/>
  <c r="AC66" i="38"/>
  <c r="AB66" i="38"/>
  <c r="AG65" i="38"/>
  <c r="AF65" i="38"/>
  <c r="AE65" i="38"/>
  <c r="AD65" i="38"/>
  <c r="AC65" i="38"/>
  <c r="AB65" i="38"/>
  <c r="AG64" i="38"/>
  <c r="AF64" i="38"/>
  <c r="AE64" i="38"/>
  <c r="AD64" i="38"/>
  <c r="AC64" i="38"/>
  <c r="AB64" i="38"/>
  <c r="AG63" i="38"/>
  <c r="AF63" i="38"/>
  <c r="AE63" i="38"/>
  <c r="AD63" i="38"/>
  <c r="AC63" i="38"/>
  <c r="AB63" i="38"/>
  <c r="AG62" i="38"/>
  <c r="AF62" i="38"/>
  <c r="AE62" i="38"/>
  <c r="AD62" i="38"/>
  <c r="AC62" i="38"/>
  <c r="AB62" i="38"/>
  <c r="AG61" i="38"/>
  <c r="AF61" i="38"/>
  <c r="AE61" i="38"/>
  <c r="AD61" i="38"/>
  <c r="AC61" i="38"/>
  <c r="AB61" i="38"/>
  <c r="I122" i="35" s="1"/>
  <c r="AG60" i="38"/>
  <c r="AF60" i="38"/>
  <c r="AE60" i="38"/>
  <c r="AD60" i="38"/>
  <c r="AC60" i="38"/>
  <c r="AB60" i="38"/>
  <c r="I120" i="35" s="1"/>
  <c r="AG59" i="38"/>
  <c r="AF59" i="38"/>
  <c r="AE59" i="38"/>
  <c r="AD59" i="38"/>
  <c r="AC59" i="38"/>
  <c r="AB59" i="38"/>
  <c r="AG58" i="38"/>
  <c r="AF58" i="38"/>
  <c r="AE58" i="38"/>
  <c r="AD58" i="38"/>
  <c r="AC58" i="38"/>
  <c r="AB58" i="38"/>
  <c r="I116" i="35" s="1"/>
  <c r="AG57" i="38"/>
  <c r="AF57" i="38"/>
  <c r="AE57" i="38"/>
  <c r="AD57" i="38"/>
  <c r="AC57" i="38"/>
  <c r="AB57" i="38"/>
  <c r="I114" i="35" s="1"/>
  <c r="AG56" i="38"/>
  <c r="AF56" i="38"/>
  <c r="AE56" i="38"/>
  <c r="AD56" i="38"/>
  <c r="AC56" i="38"/>
  <c r="AB56" i="38"/>
  <c r="I112" i="35" s="1"/>
  <c r="AG55" i="38"/>
  <c r="AF55" i="38"/>
  <c r="AE55" i="38"/>
  <c r="AD55" i="38"/>
  <c r="AC55" i="38"/>
  <c r="AB55" i="38"/>
  <c r="I110" i="35" s="1"/>
  <c r="AG54" i="38"/>
  <c r="AF54" i="38"/>
  <c r="AE54" i="38"/>
  <c r="AD54" i="38"/>
  <c r="AC54" i="38"/>
  <c r="AB54" i="38"/>
  <c r="AG53" i="38"/>
  <c r="AF53" i="38"/>
  <c r="AE53" i="38"/>
  <c r="AD53" i="38"/>
  <c r="AC53" i="38"/>
  <c r="AB53" i="38"/>
  <c r="I106" i="35" s="1"/>
  <c r="AG52" i="38"/>
  <c r="AF52" i="38"/>
  <c r="AE52" i="38"/>
  <c r="AD52" i="38"/>
  <c r="AC52" i="38"/>
  <c r="AB52" i="38"/>
  <c r="I104" i="35" s="1"/>
  <c r="AG51" i="38"/>
  <c r="AF51" i="38"/>
  <c r="AE51" i="38"/>
  <c r="AD51" i="38"/>
  <c r="AC51" i="38"/>
  <c r="AB51" i="38"/>
  <c r="I102" i="35" s="1"/>
  <c r="AG50" i="38"/>
  <c r="AF50" i="38"/>
  <c r="AE50" i="38"/>
  <c r="AD50" i="38"/>
  <c r="AC50" i="38"/>
  <c r="AB50" i="38"/>
  <c r="I100" i="35" s="1"/>
  <c r="AG49" i="38"/>
  <c r="AF49" i="38"/>
  <c r="AE49" i="38"/>
  <c r="AD49" i="38"/>
  <c r="AC49" i="38"/>
  <c r="AB49" i="38"/>
  <c r="I98" i="35" s="1"/>
  <c r="AG48" i="38"/>
  <c r="AF48" i="38"/>
  <c r="AE48" i="38"/>
  <c r="AD48" i="38"/>
  <c r="AC48" i="38"/>
  <c r="AB48" i="38"/>
  <c r="I96" i="35" s="1"/>
  <c r="AG47" i="38"/>
  <c r="AF47" i="38"/>
  <c r="AE47" i="38"/>
  <c r="AD47" i="38"/>
  <c r="AC47" i="38"/>
  <c r="AB47" i="38"/>
  <c r="I94" i="35" s="1"/>
  <c r="AG46" i="38"/>
  <c r="AF46" i="38"/>
  <c r="AE46" i="38"/>
  <c r="AD46" i="38"/>
  <c r="AC46" i="38"/>
  <c r="AB46" i="38"/>
  <c r="I92" i="35" s="1"/>
  <c r="AG45" i="38"/>
  <c r="AF45" i="38"/>
  <c r="AE45" i="38"/>
  <c r="AD45" i="38"/>
  <c r="AC45" i="38"/>
  <c r="AB45" i="38"/>
  <c r="I90" i="35" s="1"/>
  <c r="AG44" i="38"/>
  <c r="AF44" i="38"/>
  <c r="AE44" i="38"/>
  <c r="AD44" i="38"/>
  <c r="AC44" i="38"/>
  <c r="AB44" i="38"/>
  <c r="I88" i="35" s="1"/>
  <c r="AG43" i="38"/>
  <c r="AF43" i="38"/>
  <c r="AE43" i="38"/>
  <c r="AD43" i="38"/>
  <c r="AC43" i="38"/>
  <c r="AB43" i="38"/>
  <c r="AG42" i="38"/>
  <c r="AF42" i="38"/>
  <c r="AE42" i="38"/>
  <c r="AD42" i="38"/>
  <c r="AC42" i="38"/>
  <c r="AB42" i="38"/>
  <c r="I84" i="35" s="1"/>
  <c r="AG41" i="38"/>
  <c r="AF41" i="38"/>
  <c r="AE41" i="38"/>
  <c r="AD41" i="38"/>
  <c r="AC41" i="38"/>
  <c r="AB41" i="38"/>
  <c r="I82" i="35" s="1"/>
  <c r="AG40" i="38"/>
  <c r="AF40" i="38"/>
  <c r="AE40" i="38"/>
  <c r="AD40" i="38"/>
  <c r="AC40" i="38"/>
  <c r="AB40" i="38"/>
  <c r="I80" i="35" s="1"/>
  <c r="AG39" i="38"/>
  <c r="AF39" i="38"/>
  <c r="AE39" i="38"/>
  <c r="AD39" i="38"/>
  <c r="AC39" i="38"/>
  <c r="AB39" i="38"/>
  <c r="I78" i="35" s="1"/>
  <c r="AG38" i="38"/>
  <c r="AF38" i="38"/>
  <c r="AE38" i="38"/>
  <c r="AD38" i="38"/>
  <c r="AC38" i="38"/>
  <c r="AB38" i="38"/>
  <c r="AG37" i="38"/>
  <c r="AF37" i="38"/>
  <c r="AE37" i="38"/>
  <c r="AD37" i="38"/>
  <c r="AC37" i="38"/>
  <c r="AB37" i="38"/>
  <c r="I74" i="35" s="1"/>
  <c r="AG36" i="38"/>
  <c r="AF36" i="38"/>
  <c r="AE36" i="38"/>
  <c r="AD36" i="38"/>
  <c r="AC36" i="38"/>
  <c r="AB36" i="38"/>
  <c r="I72" i="35" s="1"/>
  <c r="AG34" i="38"/>
  <c r="AF34" i="38"/>
  <c r="AE34" i="38"/>
  <c r="AD34" i="38"/>
  <c r="AC34" i="38"/>
  <c r="AB34" i="38"/>
  <c r="I70" i="35" s="1"/>
  <c r="AG33" i="38"/>
  <c r="AF33" i="38"/>
  <c r="AE33" i="38"/>
  <c r="AD33" i="38"/>
  <c r="AC33" i="38"/>
  <c r="AB33" i="38"/>
  <c r="AG32" i="38"/>
  <c r="AF32" i="38"/>
  <c r="AE32" i="38"/>
  <c r="AD32" i="38"/>
  <c r="AC32" i="38"/>
  <c r="AB32" i="38"/>
  <c r="I64" i="35" s="1"/>
  <c r="AG30" i="38"/>
  <c r="AF30" i="38"/>
  <c r="AE30" i="38"/>
  <c r="AD30" i="38"/>
  <c r="AC30" i="38"/>
  <c r="AB30" i="38"/>
  <c r="I60" i="35" s="1"/>
  <c r="AG25" i="38"/>
  <c r="AF25" i="38"/>
  <c r="AE25" i="38"/>
  <c r="AD25" i="38"/>
  <c r="AC25" i="38"/>
  <c r="AB25" i="38"/>
  <c r="I50" i="35" s="1"/>
  <c r="AG24" i="38"/>
  <c r="AF24" i="38"/>
  <c r="AE24" i="38"/>
  <c r="AD24" i="38"/>
  <c r="AC24" i="38"/>
  <c r="AB24" i="38"/>
  <c r="I48" i="35" s="1"/>
  <c r="AG23" i="38"/>
  <c r="AF23" i="38"/>
  <c r="AE23" i="38"/>
  <c r="AD23" i="38"/>
  <c r="AC23" i="38"/>
  <c r="AB23" i="38"/>
  <c r="I46" i="35" s="1"/>
  <c r="AG22" i="38"/>
  <c r="AF22" i="38"/>
  <c r="AE22" i="38"/>
  <c r="AD22" i="38"/>
  <c r="AC22" i="38"/>
  <c r="AB22" i="38"/>
  <c r="I44" i="35" s="1"/>
  <c r="AG21" i="38"/>
  <c r="AF21" i="38"/>
  <c r="AE21" i="38"/>
  <c r="AD21" i="38"/>
  <c r="AC21" i="38"/>
  <c r="AB21" i="38"/>
  <c r="I42" i="35" s="1"/>
  <c r="AG20" i="38"/>
  <c r="AF20" i="38"/>
  <c r="AE20" i="38"/>
  <c r="AD20" i="38"/>
  <c r="AC20" i="38"/>
  <c r="AB20" i="38"/>
  <c r="I40" i="35" s="1"/>
  <c r="AG19" i="38"/>
  <c r="AF19" i="38"/>
  <c r="AE19" i="38"/>
  <c r="AD19" i="38"/>
  <c r="AC19" i="38"/>
  <c r="AB19" i="38"/>
  <c r="I38" i="35" s="1"/>
  <c r="AG18" i="38"/>
  <c r="AF18" i="38"/>
  <c r="AE18" i="38"/>
  <c r="AD18" i="38"/>
  <c r="AC18" i="38"/>
  <c r="AB18" i="38"/>
  <c r="I36" i="35" s="1"/>
  <c r="AG17" i="38"/>
  <c r="AF17" i="38"/>
  <c r="AE17" i="38"/>
  <c r="AD17" i="38"/>
  <c r="AC17" i="38"/>
  <c r="AB17" i="38"/>
  <c r="I34" i="35" s="1"/>
  <c r="AG16" i="38"/>
  <c r="AF16" i="38"/>
  <c r="AE16" i="38"/>
  <c r="AD16" i="38"/>
  <c r="AC16" i="38"/>
  <c r="AB16" i="38"/>
  <c r="AG15" i="38"/>
  <c r="AF15" i="38"/>
  <c r="AE15" i="38"/>
  <c r="AD15" i="38"/>
  <c r="AC15" i="38"/>
  <c r="AB15" i="38"/>
  <c r="I30" i="35" s="1"/>
  <c r="AG14" i="38"/>
  <c r="AF14" i="38"/>
  <c r="AE14" i="38"/>
  <c r="AD14" i="38"/>
  <c r="AC14" i="38"/>
  <c r="AB14" i="38"/>
  <c r="I28" i="35" s="1"/>
  <c r="AG13" i="38"/>
  <c r="AF13" i="38"/>
  <c r="AE13" i="38"/>
  <c r="AD13" i="38"/>
  <c r="AC13" i="38"/>
  <c r="AB13" i="38"/>
  <c r="I26" i="35" s="1"/>
  <c r="AG12" i="38"/>
  <c r="AF12" i="38"/>
  <c r="AE12" i="38"/>
  <c r="AD12" i="38"/>
  <c r="AC12" i="38"/>
  <c r="AB12" i="38"/>
  <c r="I24" i="35" s="1"/>
  <c r="AG11" i="38"/>
  <c r="AF11" i="38"/>
  <c r="AE11" i="38"/>
  <c r="AD11" i="38"/>
  <c r="AC11" i="38"/>
  <c r="AB11" i="38"/>
  <c r="AG10" i="38"/>
  <c r="AF10" i="38"/>
  <c r="AE10" i="38"/>
  <c r="AD10" i="38"/>
  <c r="AC10" i="38"/>
  <c r="AB10" i="38"/>
  <c r="I20" i="35" s="1"/>
  <c r="AG9" i="38"/>
  <c r="AF9" i="38"/>
  <c r="AE9" i="38"/>
  <c r="AD9" i="38"/>
  <c r="AC9" i="38"/>
  <c r="AB9" i="38"/>
  <c r="I18" i="35" s="1"/>
  <c r="AG8" i="38"/>
  <c r="AF8" i="38"/>
  <c r="AE8" i="38"/>
  <c r="AD8" i="38"/>
  <c r="AC8" i="38"/>
  <c r="AB8" i="38"/>
  <c r="I16" i="35" s="1"/>
  <c r="AG7" i="38"/>
  <c r="AF7" i="38"/>
  <c r="AE7" i="38"/>
  <c r="AD7" i="38"/>
  <c r="AC7" i="38"/>
  <c r="AB7" i="38"/>
  <c r="I14" i="35" s="1"/>
  <c r="AG6" i="38"/>
  <c r="AF6" i="38"/>
  <c r="AE6" i="38"/>
  <c r="AD6" i="38"/>
  <c r="AC6" i="38"/>
  <c r="AB6" i="38"/>
  <c r="I12" i="35" s="1"/>
  <c r="AG5" i="38"/>
  <c r="AF5" i="38"/>
  <c r="AE5" i="38"/>
  <c r="AD5" i="38"/>
  <c r="AC5" i="38"/>
  <c r="AB5" i="38"/>
  <c r="I10" i="35" s="1"/>
  <c r="AG4" i="38"/>
  <c r="AF4" i="38"/>
  <c r="AE4" i="38"/>
  <c r="AD4" i="38"/>
  <c r="AC4" i="38"/>
  <c r="AB4" i="38"/>
  <c r="I8" i="35" s="1"/>
  <c r="AG3" i="38"/>
  <c r="AF3" i="38"/>
  <c r="AE3" i="38"/>
  <c r="AD3" i="38"/>
  <c r="AC3" i="38"/>
  <c r="AB3" i="38"/>
  <c r="I6" i="35" s="1"/>
  <c r="AG2" i="38"/>
  <c r="AF2" i="38"/>
  <c r="AE2" i="38"/>
  <c r="AD2" i="38"/>
  <c r="AC2" i="38"/>
  <c r="AB2" i="38"/>
  <c r="I124" i="35" s="1"/>
  <c r="G61" i="35"/>
  <c r="G125" i="35"/>
  <c r="G123" i="35"/>
  <c r="G121" i="35"/>
  <c r="G119" i="35"/>
  <c r="G117" i="35"/>
  <c r="G115" i="35"/>
  <c r="G113" i="35"/>
  <c r="G111" i="35"/>
  <c r="G109" i="35"/>
  <c r="G107" i="35"/>
  <c r="G105" i="35"/>
  <c r="G103" i="35"/>
  <c r="G101" i="35"/>
  <c r="G99" i="35"/>
  <c r="G97" i="35"/>
  <c r="G95" i="35"/>
  <c r="G93" i="35"/>
  <c r="G91" i="35"/>
  <c r="G89" i="35"/>
  <c r="G87" i="35"/>
  <c r="G85" i="35"/>
  <c r="G83" i="35"/>
  <c r="G81" i="35"/>
  <c r="G79" i="35"/>
  <c r="G77" i="35"/>
  <c r="G75" i="35"/>
  <c r="G73" i="35"/>
  <c r="G71" i="35"/>
  <c r="G69" i="35"/>
  <c r="G68" i="35"/>
  <c r="G67" i="35"/>
  <c r="G65" i="35"/>
  <c r="G51" i="35"/>
  <c r="G49" i="35"/>
  <c r="G47" i="35"/>
  <c r="G45" i="35"/>
  <c r="G43" i="35"/>
  <c r="G41" i="35"/>
  <c r="G39" i="35"/>
  <c r="G37" i="35"/>
  <c r="G35" i="35"/>
  <c r="G33" i="35"/>
  <c r="G31" i="35"/>
  <c r="G29" i="35"/>
  <c r="G27" i="35"/>
  <c r="G25" i="35"/>
  <c r="G23" i="35"/>
  <c r="G21" i="35"/>
  <c r="G19" i="35"/>
  <c r="G17" i="35"/>
  <c r="G15" i="35"/>
  <c r="G13" i="35"/>
  <c r="G11" i="35"/>
  <c r="G9" i="35"/>
  <c r="G7" i="35"/>
  <c r="D125" i="35"/>
  <c r="D124" i="35"/>
  <c r="D123" i="35"/>
  <c r="D121" i="35"/>
  <c r="D119" i="35"/>
  <c r="D117" i="35"/>
  <c r="D115" i="35"/>
  <c r="D113" i="35"/>
  <c r="D111" i="35"/>
  <c r="D110" i="35"/>
  <c r="D109" i="35"/>
  <c r="D108" i="35"/>
  <c r="D107" i="35"/>
  <c r="D105" i="35"/>
  <c r="D103" i="35"/>
  <c r="D101" i="35"/>
  <c r="D99" i="35"/>
  <c r="D97" i="35"/>
  <c r="D95" i="35"/>
  <c r="D94" i="35"/>
  <c r="D93" i="35"/>
  <c r="D92" i="35"/>
  <c r="D91" i="35"/>
  <c r="D89" i="35"/>
  <c r="D87" i="35"/>
  <c r="D85" i="35"/>
  <c r="D83" i="35"/>
  <c r="D81" i="35"/>
  <c r="D79" i="35"/>
  <c r="D78" i="35"/>
  <c r="D77" i="35"/>
  <c r="D76" i="35"/>
  <c r="D75" i="35"/>
  <c r="D73" i="35"/>
  <c r="D71" i="35"/>
  <c r="D69" i="35"/>
  <c r="D67" i="35"/>
  <c r="D65" i="35"/>
  <c r="D63" i="35"/>
  <c r="D62" i="35"/>
  <c r="D59" i="35"/>
  <c r="D58" i="35"/>
  <c r="D57" i="35"/>
  <c r="D55" i="35"/>
  <c r="D53" i="35"/>
  <c r="D51" i="35"/>
  <c r="D49" i="35"/>
  <c r="D47" i="35"/>
  <c r="D45" i="35"/>
  <c r="D44" i="35"/>
  <c r="D43" i="35"/>
  <c r="D42" i="35"/>
  <c r="D41" i="35"/>
  <c r="D39" i="35"/>
  <c r="D37" i="35"/>
  <c r="D35" i="35"/>
  <c r="D33" i="35"/>
  <c r="D31" i="35"/>
  <c r="D29" i="35"/>
  <c r="D28" i="35"/>
  <c r="D27" i="35"/>
  <c r="D26" i="35"/>
  <c r="D25" i="35"/>
  <c r="D23" i="35"/>
  <c r="D21" i="35"/>
  <c r="D19" i="35"/>
  <c r="D17" i="35"/>
  <c r="D15" i="35"/>
  <c r="D13" i="35"/>
  <c r="D12" i="35"/>
  <c r="D11" i="35"/>
  <c r="D9" i="35"/>
  <c r="D7" i="35"/>
  <c r="AG66" i="37"/>
  <c r="AF66" i="37"/>
  <c r="AE66" i="37"/>
  <c r="AD66" i="37"/>
  <c r="AC66" i="37"/>
  <c r="AB66" i="37"/>
  <c r="AG65" i="37"/>
  <c r="AF65" i="37"/>
  <c r="AE65" i="37"/>
  <c r="AD65" i="37"/>
  <c r="AC65" i="37"/>
  <c r="AB65" i="37"/>
  <c r="AG64" i="37"/>
  <c r="AF64" i="37"/>
  <c r="AE64" i="37"/>
  <c r="AD64" i="37"/>
  <c r="AC64" i="37"/>
  <c r="AB64" i="37"/>
  <c r="AG63" i="37"/>
  <c r="AF63" i="37"/>
  <c r="AE63" i="37"/>
  <c r="AD63" i="37"/>
  <c r="AC63" i="37"/>
  <c r="AB63" i="37"/>
  <c r="AG62" i="37"/>
  <c r="AF62" i="37"/>
  <c r="AE62" i="37"/>
  <c r="AD62" i="37"/>
  <c r="AC62" i="37"/>
  <c r="AB62" i="37"/>
  <c r="AG61" i="37"/>
  <c r="AF61" i="37"/>
  <c r="AE61" i="37"/>
  <c r="AD61" i="37"/>
  <c r="AC61" i="37"/>
  <c r="AB61" i="37"/>
  <c r="G122" i="35" s="1"/>
  <c r="AG60" i="37"/>
  <c r="AF60" i="37"/>
  <c r="AE60" i="37"/>
  <c r="AD60" i="37"/>
  <c r="AC60" i="37"/>
  <c r="AB60" i="37"/>
  <c r="G120" i="35" s="1"/>
  <c r="AG59" i="37"/>
  <c r="AF59" i="37"/>
  <c r="AE59" i="37"/>
  <c r="AD59" i="37"/>
  <c r="AC59" i="37"/>
  <c r="AB59" i="37"/>
  <c r="G118" i="35" s="1"/>
  <c r="AG58" i="37"/>
  <c r="AF58" i="37"/>
  <c r="AE58" i="37"/>
  <c r="AD58" i="37"/>
  <c r="AC58" i="37"/>
  <c r="AB58" i="37"/>
  <c r="G116" i="35" s="1"/>
  <c r="AG57" i="37"/>
  <c r="AF57" i="37"/>
  <c r="AE57" i="37"/>
  <c r="AD57" i="37"/>
  <c r="AC57" i="37"/>
  <c r="AB57" i="37"/>
  <c r="G114" i="35" s="1"/>
  <c r="AG56" i="37"/>
  <c r="AF56" i="37"/>
  <c r="AE56" i="37"/>
  <c r="AD56" i="37"/>
  <c r="AC56" i="37"/>
  <c r="AB56" i="37"/>
  <c r="G112" i="35" s="1"/>
  <c r="AG55" i="37"/>
  <c r="AF55" i="37"/>
  <c r="AE55" i="37"/>
  <c r="AD55" i="37"/>
  <c r="AC55" i="37"/>
  <c r="AB55" i="37"/>
  <c r="G110" i="35" s="1"/>
  <c r="AG54" i="37"/>
  <c r="AF54" i="37"/>
  <c r="AE54" i="37"/>
  <c r="AD54" i="37"/>
  <c r="AC54" i="37"/>
  <c r="AB54" i="37"/>
  <c r="G108" i="35" s="1"/>
  <c r="AG53" i="37"/>
  <c r="AF53" i="37"/>
  <c r="AE53" i="37"/>
  <c r="AD53" i="37"/>
  <c r="AC53" i="37"/>
  <c r="AB53" i="37"/>
  <c r="G106" i="35" s="1"/>
  <c r="AG52" i="37"/>
  <c r="AF52" i="37"/>
  <c r="AE52" i="37"/>
  <c r="AD52" i="37"/>
  <c r="AC52" i="37"/>
  <c r="AB52" i="37"/>
  <c r="G104" i="35" s="1"/>
  <c r="AG51" i="37"/>
  <c r="AF51" i="37"/>
  <c r="AE51" i="37"/>
  <c r="AD51" i="37"/>
  <c r="AC51" i="37"/>
  <c r="AB51" i="37"/>
  <c r="G102" i="35" s="1"/>
  <c r="AG50" i="37"/>
  <c r="AF50" i="37"/>
  <c r="AE50" i="37"/>
  <c r="AD50" i="37"/>
  <c r="AC50" i="37"/>
  <c r="AB50" i="37"/>
  <c r="G100" i="35" s="1"/>
  <c r="AG49" i="37"/>
  <c r="AF49" i="37"/>
  <c r="AE49" i="37"/>
  <c r="AD49" i="37"/>
  <c r="AC49" i="37"/>
  <c r="AB49" i="37"/>
  <c r="G98" i="35" s="1"/>
  <c r="AG48" i="37"/>
  <c r="AF48" i="37"/>
  <c r="AE48" i="37"/>
  <c r="AD48" i="37"/>
  <c r="AC48" i="37"/>
  <c r="AB48" i="37"/>
  <c r="G96" i="35" s="1"/>
  <c r="AG47" i="37"/>
  <c r="AF47" i="37"/>
  <c r="AE47" i="37"/>
  <c r="AD47" i="37"/>
  <c r="AC47" i="37"/>
  <c r="AB47" i="37"/>
  <c r="G94" i="35" s="1"/>
  <c r="AG46" i="37"/>
  <c r="AF46" i="37"/>
  <c r="AE46" i="37"/>
  <c r="AD46" i="37"/>
  <c r="AC46" i="37"/>
  <c r="AB46" i="37"/>
  <c r="G92" i="35" s="1"/>
  <c r="AG45" i="37"/>
  <c r="AF45" i="37"/>
  <c r="AE45" i="37"/>
  <c r="AD45" i="37"/>
  <c r="AC45" i="37"/>
  <c r="AB45" i="37"/>
  <c r="G90" i="35" s="1"/>
  <c r="AG44" i="37"/>
  <c r="AF44" i="37"/>
  <c r="AE44" i="37"/>
  <c r="AD44" i="37"/>
  <c r="AC44" i="37"/>
  <c r="AB44" i="37"/>
  <c r="G88" i="35" s="1"/>
  <c r="AG43" i="37"/>
  <c r="AF43" i="37"/>
  <c r="AE43" i="37"/>
  <c r="AD43" i="37"/>
  <c r="AC43" i="37"/>
  <c r="AB43" i="37"/>
  <c r="G86" i="35" s="1"/>
  <c r="AG42" i="37"/>
  <c r="AF42" i="37"/>
  <c r="AE42" i="37"/>
  <c r="AD42" i="37"/>
  <c r="AC42" i="37"/>
  <c r="AB42" i="37"/>
  <c r="G84" i="35" s="1"/>
  <c r="AG41" i="37"/>
  <c r="AF41" i="37"/>
  <c r="AE41" i="37"/>
  <c r="AD41" i="37"/>
  <c r="AC41" i="37"/>
  <c r="AB41" i="37"/>
  <c r="G82" i="35" s="1"/>
  <c r="AG40" i="37"/>
  <c r="AF40" i="37"/>
  <c r="AE40" i="37"/>
  <c r="AD40" i="37"/>
  <c r="AC40" i="37"/>
  <c r="AB40" i="37"/>
  <c r="G80" i="35" s="1"/>
  <c r="AG39" i="37"/>
  <c r="AF39" i="37"/>
  <c r="AE39" i="37"/>
  <c r="AD39" i="37"/>
  <c r="AC39" i="37"/>
  <c r="AB39" i="37"/>
  <c r="G78" i="35" s="1"/>
  <c r="AG38" i="37"/>
  <c r="AF38" i="37"/>
  <c r="AE38" i="37"/>
  <c r="AD38" i="37"/>
  <c r="AC38" i="37"/>
  <c r="AB38" i="37"/>
  <c r="G76" i="35" s="1"/>
  <c r="AG37" i="37"/>
  <c r="AF37" i="37"/>
  <c r="AE37" i="37"/>
  <c r="AD37" i="37"/>
  <c r="AC37" i="37"/>
  <c r="AB37" i="37"/>
  <c r="G74" i="35" s="1"/>
  <c r="AG36" i="37"/>
  <c r="AF36" i="37"/>
  <c r="AE36" i="37"/>
  <c r="AD36" i="37"/>
  <c r="AC36" i="37"/>
  <c r="AB36" i="37"/>
  <c r="G72" i="35" s="1"/>
  <c r="AG34" i="37"/>
  <c r="AF34" i="37"/>
  <c r="AE34" i="37"/>
  <c r="AD34" i="37"/>
  <c r="AC34" i="37"/>
  <c r="AB34" i="37"/>
  <c r="G70" i="35" s="1"/>
  <c r="AG33" i="37"/>
  <c r="AF33" i="37"/>
  <c r="AE33" i="37"/>
  <c r="AD33" i="37"/>
  <c r="AC33" i="37"/>
  <c r="AB33" i="37"/>
  <c r="G66" i="35" s="1"/>
  <c r="AG32" i="37"/>
  <c r="AF32" i="37"/>
  <c r="AE32" i="37"/>
  <c r="AD32" i="37"/>
  <c r="AC32" i="37"/>
  <c r="AB32" i="37"/>
  <c r="G64" i="35" s="1"/>
  <c r="AG30" i="37"/>
  <c r="AF30" i="37"/>
  <c r="AE30" i="37"/>
  <c r="AD30" i="37"/>
  <c r="AC30" i="37"/>
  <c r="AB30" i="37"/>
  <c r="G60" i="35" s="1"/>
  <c r="AG25" i="37"/>
  <c r="AF25" i="37"/>
  <c r="AE25" i="37"/>
  <c r="AD25" i="37"/>
  <c r="AC25" i="37"/>
  <c r="AB25" i="37"/>
  <c r="G50" i="35" s="1"/>
  <c r="AG24" i="37"/>
  <c r="AF24" i="37"/>
  <c r="AE24" i="37"/>
  <c r="AD24" i="37"/>
  <c r="AC24" i="37"/>
  <c r="AB24" i="37"/>
  <c r="G48" i="35" s="1"/>
  <c r="AG23" i="37"/>
  <c r="AF23" i="37"/>
  <c r="AE23" i="37"/>
  <c r="AD23" i="37"/>
  <c r="AC23" i="37"/>
  <c r="AB23" i="37"/>
  <c r="G46" i="35" s="1"/>
  <c r="AG22" i="37"/>
  <c r="AF22" i="37"/>
  <c r="AE22" i="37"/>
  <c r="AD22" i="37"/>
  <c r="AC22" i="37"/>
  <c r="AB22" i="37"/>
  <c r="G44" i="35" s="1"/>
  <c r="AG21" i="37"/>
  <c r="AF21" i="37"/>
  <c r="AE21" i="37"/>
  <c r="AD21" i="37"/>
  <c r="AC21" i="37"/>
  <c r="AB21" i="37"/>
  <c r="G42" i="35" s="1"/>
  <c r="AG20" i="37"/>
  <c r="AF20" i="37"/>
  <c r="AE20" i="37"/>
  <c r="AD20" i="37"/>
  <c r="AC20" i="37"/>
  <c r="AB20" i="37"/>
  <c r="G40" i="35" s="1"/>
  <c r="AG19" i="37"/>
  <c r="AF19" i="37"/>
  <c r="AE19" i="37"/>
  <c r="AD19" i="37"/>
  <c r="AC19" i="37"/>
  <c r="AB19" i="37"/>
  <c r="G38" i="35" s="1"/>
  <c r="AG18" i="37"/>
  <c r="AF18" i="37"/>
  <c r="AE18" i="37"/>
  <c r="AD18" i="37"/>
  <c r="AC18" i="37"/>
  <c r="AB18" i="37"/>
  <c r="G36" i="35" s="1"/>
  <c r="AG17" i="37"/>
  <c r="AF17" i="37"/>
  <c r="AE17" i="37"/>
  <c r="AD17" i="37"/>
  <c r="AC17" i="37"/>
  <c r="AB17" i="37"/>
  <c r="G34" i="35" s="1"/>
  <c r="AG16" i="37"/>
  <c r="AF16" i="37"/>
  <c r="AE16" i="37"/>
  <c r="AD16" i="37"/>
  <c r="AC16" i="37"/>
  <c r="AB16" i="37"/>
  <c r="G32" i="35" s="1"/>
  <c r="AG15" i="37"/>
  <c r="AF15" i="37"/>
  <c r="AE15" i="37"/>
  <c r="AD15" i="37"/>
  <c r="AC15" i="37"/>
  <c r="AB15" i="37"/>
  <c r="G30" i="35" s="1"/>
  <c r="AG14" i="37"/>
  <c r="AF14" i="37"/>
  <c r="AE14" i="37"/>
  <c r="AD14" i="37"/>
  <c r="AC14" i="37"/>
  <c r="AB14" i="37"/>
  <c r="G28" i="35" s="1"/>
  <c r="AG13" i="37"/>
  <c r="AF13" i="37"/>
  <c r="AE13" i="37"/>
  <c r="AD13" i="37"/>
  <c r="AC13" i="37"/>
  <c r="AB13" i="37"/>
  <c r="G26" i="35" s="1"/>
  <c r="AG12" i="37"/>
  <c r="AF12" i="37"/>
  <c r="AE12" i="37"/>
  <c r="AD12" i="37"/>
  <c r="AC12" i="37"/>
  <c r="AB12" i="37"/>
  <c r="G24" i="35" s="1"/>
  <c r="AG11" i="37"/>
  <c r="AF11" i="37"/>
  <c r="AE11" i="37"/>
  <c r="AD11" i="37"/>
  <c r="AC11" i="37"/>
  <c r="AB11" i="37"/>
  <c r="G22" i="35" s="1"/>
  <c r="AG10" i="37"/>
  <c r="AF10" i="37"/>
  <c r="AE10" i="37"/>
  <c r="AD10" i="37"/>
  <c r="AC10" i="37"/>
  <c r="AB10" i="37"/>
  <c r="G20" i="35" s="1"/>
  <c r="AG9" i="37"/>
  <c r="AF9" i="37"/>
  <c r="AE9" i="37"/>
  <c r="AD9" i="37"/>
  <c r="AC9" i="37"/>
  <c r="AB9" i="37"/>
  <c r="G18" i="35" s="1"/>
  <c r="AG8" i="37"/>
  <c r="AF8" i="37"/>
  <c r="AE8" i="37"/>
  <c r="AD8" i="37"/>
  <c r="AC8" i="37"/>
  <c r="AB8" i="37"/>
  <c r="G16" i="35" s="1"/>
  <c r="AG7" i="37"/>
  <c r="AF7" i="37"/>
  <c r="AE7" i="37"/>
  <c r="AD7" i="37"/>
  <c r="AC7" i="37"/>
  <c r="AB7" i="37"/>
  <c r="G14" i="35" s="1"/>
  <c r="AG6" i="37"/>
  <c r="AF6" i="37"/>
  <c r="AE6" i="37"/>
  <c r="AD6" i="37"/>
  <c r="AC6" i="37"/>
  <c r="AB6" i="37"/>
  <c r="G12" i="35" s="1"/>
  <c r="AG5" i="37"/>
  <c r="AF5" i="37"/>
  <c r="AE5" i="37"/>
  <c r="AD5" i="37"/>
  <c r="AC5" i="37"/>
  <c r="AB5" i="37"/>
  <c r="G10" i="35" s="1"/>
  <c r="AG4" i="37"/>
  <c r="AF4" i="37"/>
  <c r="AE4" i="37"/>
  <c r="AD4" i="37"/>
  <c r="AC4" i="37"/>
  <c r="AB4" i="37"/>
  <c r="G8" i="35" s="1"/>
  <c r="AG3" i="37"/>
  <c r="AF3" i="37"/>
  <c r="AE3" i="37"/>
  <c r="AD3" i="37"/>
  <c r="AC3" i="37"/>
  <c r="AB3" i="37"/>
  <c r="G6" i="35" s="1"/>
  <c r="AG2" i="37"/>
  <c r="AF2" i="37"/>
  <c r="AE2" i="37"/>
  <c r="AD2" i="37"/>
  <c r="AC2" i="37"/>
  <c r="AB2" i="37"/>
  <c r="G124" i="35" s="1"/>
  <c r="A14" i="36"/>
  <c r="A15" i="36" s="1"/>
  <c r="A17" i="36" s="1"/>
  <c r="A18" i="36" s="1"/>
  <c r="A20" i="36" s="1"/>
  <c r="A21" i="36" s="1"/>
  <c r="A23" i="36" s="1"/>
  <c r="A24" i="36" s="1"/>
  <c r="A26" i="36" s="1"/>
  <c r="A27" i="36" s="1"/>
  <c r="A29" i="36" s="1"/>
  <c r="A30" i="36" s="1"/>
  <c r="A32" i="36" s="1"/>
  <c r="A33" i="36" s="1"/>
  <c r="A35" i="36" s="1"/>
  <c r="A36" i="36" s="1"/>
  <c r="A38" i="36" s="1"/>
  <c r="A39" i="36" s="1"/>
  <c r="A41" i="36" s="1"/>
  <c r="A42" i="36" s="1"/>
  <c r="A44" i="36" s="1"/>
  <c r="A45" i="36" s="1"/>
  <c r="A47" i="36" s="1"/>
  <c r="A48" i="36" s="1"/>
  <c r="A50" i="36" s="1"/>
  <c r="A51" i="36" s="1"/>
  <c r="A53" i="36" s="1"/>
  <c r="A54" i="36" s="1"/>
  <c r="A56" i="36" s="1"/>
  <c r="A57" i="36" s="1"/>
  <c r="A59" i="36" s="1"/>
  <c r="A60" i="36" s="1"/>
  <c r="A62" i="36" s="1"/>
  <c r="A63" i="36" s="1"/>
  <c r="A65" i="36" s="1"/>
  <c r="A66" i="36" s="1"/>
  <c r="A68" i="36" s="1"/>
  <c r="A69" i="36" s="1"/>
  <c r="A71" i="36" s="1"/>
  <c r="A72" i="36" s="1"/>
  <c r="A74" i="36" s="1"/>
  <c r="A75" i="36" s="1"/>
  <c r="A77" i="36" s="1"/>
  <c r="A78" i="36" s="1"/>
  <c r="A80" i="36" s="1"/>
  <c r="A81" i="36" s="1"/>
  <c r="A83" i="36" s="1"/>
  <c r="A84" i="36" s="1"/>
  <c r="A86" i="36" s="1"/>
  <c r="A87" i="36" s="1"/>
  <c r="A89" i="36" s="1"/>
  <c r="A90" i="36" s="1"/>
  <c r="A92" i="36" s="1"/>
  <c r="A93" i="36" s="1"/>
  <c r="A95" i="36" s="1"/>
  <c r="A96" i="36" s="1"/>
  <c r="A98" i="36" s="1"/>
  <c r="A99" i="36" s="1"/>
  <c r="A101" i="36" s="1"/>
  <c r="A102" i="36" s="1"/>
  <c r="A104" i="36" s="1"/>
  <c r="A105" i="36" s="1"/>
  <c r="A107" i="36" s="1"/>
  <c r="A108" i="36" s="1"/>
  <c r="A110" i="36" s="1"/>
  <c r="A111" i="36" s="1"/>
  <c r="A113" i="36" s="1"/>
  <c r="A114" i="36" s="1"/>
  <c r="A116" i="36" s="1"/>
  <c r="A117" i="36" s="1"/>
  <c r="A119" i="36" s="1"/>
  <c r="A120" i="36" s="1"/>
  <c r="A122" i="36" s="1"/>
  <c r="A123" i="36" s="1"/>
  <c r="A125" i="36" s="1"/>
  <c r="A126" i="36" s="1"/>
  <c r="A128" i="36" s="1"/>
  <c r="A129" i="36" s="1"/>
  <c r="A131" i="36" s="1"/>
  <c r="A132" i="36" s="1"/>
  <c r="A134" i="36" s="1"/>
  <c r="A135" i="36" s="1"/>
  <c r="A137" i="36" s="1"/>
  <c r="A138" i="36" s="1"/>
  <c r="A140" i="36" s="1"/>
  <c r="A141" i="36" s="1"/>
  <c r="A143" i="36" s="1"/>
  <c r="A144" i="36" s="1"/>
  <c r="A146" i="36" s="1"/>
  <c r="A147" i="36" s="1"/>
  <c r="A149" i="36" s="1"/>
  <c r="A150" i="36" s="1"/>
  <c r="A152" i="36" s="1"/>
  <c r="A153" i="36" s="1"/>
  <c r="A155" i="36" s="1"/>
  <c r="A156" i="36" s="1"/>
  <c r="A158" i="36" s="1"/>
  <c r="A159" i="36" s="1"/>
  <c r="A161" i="36" s="1"/>
  <c r="A162" i="36" s="1"/>
  <c r="A164" i="36" s="1"/>
  <c r="A165" i="36" s="1"/>
  <c r="A167" i="36" s="1"/>
  <c r="A168" i="36" s="1"/>
  <c r="A170" i="36" s="1"/>
  <c r="A171" i="36" s="1"/>
  <c r="A173" i="36" s="1"/>
  <c r="A174" i="36" s="1"/>
  <c r="A12" i="36"/>
  <c r="A11" i="36"/>
  <c r="F8" i="35"/>
  <c r="E8" i="35"/>
  <c r="F125" i="35"/>
  <c r="F123" i="35"/>
  <c r="F121" i="35"/>
  <c r="F119" i="35"/>
  <c r="F117" i="35"/>
  <c r="F115" i="35"/>
  <c r="F113" i="35"/>
  <c r="F111" i="35"/>
  <c r="F109" i="35"/>
  <c r="F107" i="35"/>
  <c r="F105" i="35"/>
  <c r="F103" i="35"/>
  <c r="F101" i="35"/>
  <c r="F99" i="35"/>
  <c r="F97" i="35"/>
  <c r="F95" i="35"/>
  <c r="F93" i="35"/>
  <c r="F91" i="35"/>
  <c r="F89" i="35"/>
  <c r="F87" i="35"/>
  <c r="F85" i="35"/>
  <c r="F83" i="35"/>
  <c r="F81" i="35"/>
  <c r="F79" i="35"/>
  <c r="F77" i="35"/>
  <c r="F75" i="35"/>
  <c r="F73" i="35"/>
  <c r="F71" i="35"/>
  <c r="F69" i="35"/>
  <c r="F67" i="35"/>
  <c r="F65" i="35"/>
  <c r="F63" i="35"/>
  <c r="F59" i="35"/>
  <c r="F57" i="35"/>
  <c r="F55" i="35"/>
  <c r="F53" i="35"/>
  <c r="F51" i="35"/>
  <c r="F49" i="35"/>
  <c r="F47" i="35"/>
  <c r="F45" i="35"/>
  <c r="F43" i="35"/>
  <c r="F41" i="35"/>
  <c r="F39" i="35"/>
  <c r="F37" i="35"/>
  <c r="F35" i="35"/>
  <c r="F33" i="35"/>
  <c r="F31" i="35"/>
  <c r="F29" i="35"/>
  <c r="F27" i="35"/>
  <c r="F25" i="35"/>
  <c r="F23" i="35"/>
  <c r="F21" i="35"/>
  <c r="F19" i="35"/>
  <c r="F17" i="35"/>
  <c r="F15" i="35"/>
  <c r="F13" i="35"/>
  <c r="F11" i="35"/>
  <c r="F9" i="35"/>
  <c r="F7" i="35"/>
  <c r="E125" i="35"/>
  <c r="E124" i="35"/>
  <c r="E123" i="35"/>
  <c r="E121" i="35"/>
  <c r="E120" i="35"/>
  <c r="E119" i="35"/>
  <c r="E117" i="35"/>
  <c r="E115" i="35"/>
  <c r="E113" i="35"/>
  <c r="E111" i="35"/>
  <c r="E109" i="35"/>
  <c r="E107" i="35"/>
  <c r="E105" i="35"/>
  <c r="E103" i="35"/>
  <c r="E101" i="35"/>
  <c r="E100" i="35"/>
  <c r="E99" i="35"/>
  <c r="E97" i="35"/>
  <c r="E95" i="35"/>
  <c r="E93" i="35"/>
  <c r="E91" i="35"/>
  <c r="E89" i="35"/>
  <c r="E87" i="35"/>
  <c r="E85" i="35"/>
  <c r="E83" i="35"/>
  <c r="E81" i="35"/>
  <c r="E80" i="35"/>
  <c r="E79" i="35"/>
  <c r="E77" i="35"/>
  <c r="E75" i="35"/>
  <c r="E73" i="35"/>
  <c r="E71" i="35"/>
  <c r="E69" i="35"/>
  <c r="E67" i="35"/>
  <c r="E65" i="35"/>
  <c r="E63" i="35"/>
  <c r="E59" i="35"/>
  <c r="E57" i="35"/>
  <c r="E55" i="35"/>
  <c r="E54" i="35"/>
  <c r="E53" i="35"/>
  <c r="E51" i="35"/>
  <c r="E49" i="35"/>
  <c r="E47" i="35"/>
  <c r="E45" i="35"/>
  <c r="E43" i="35"/>
  <c r="E41" i="35"/>
  <c r="E39" i="35"/>
  <c r="E37" i="35"/>
  <c r="E35" i="35"/>
  <c r="E34" i="35"/>
  <c r="E33" i="35"/>
  <c r="E31" i="35"/>
  <c r="E29" i="35"/>
  <c r="E27" i="35"/>
  <c r="E25" i="35"/>
  <c r="E23" i="35"/>
  <c r="E21" i="35"/>
  <c r="E19" i="35"/>
  <c r="E17" i="35"/>
  <c r="E15" i="35"/>
  <c r="E14" i="35"/>
  <c r="E13" i="35"/>
  <c r="E11" i="35"/>
  <c r="E10" i="35"/>
  <c r="E9" i="35"/>
  <c r="E7" i="35"/>
  <c r="AC23" i="33"/>
  <c r="AG61" i="34"/>
  <c r="AF61" i="34"/>
  <c r="AE61" i="34"/>
  <c r="AD61" i="34"/>
  <c r="AC61" i="34"/>
  <c r="AB61" i="34"/>
  <c r="F122" i="35" s="1"/>
  <c r="AG60" i="34"/>
  <c r="AF60" i="34"/>
  <c r="AE60" i="34"/>
  <c r="AD60" i="34"/>
  <c r="AC60" i="34"/>
  <c r="AB60" i="34"/>
  <c r="F120" i="35" s="1"/>
  <c r="AG59" i="34"/>
  <c r="AF59" i="34"/>
  <c r="AE59" i="34"/>
  <c r="AD59" i="34"/>
  <c r="AC59" i="34"/>
  <c r="AB59" i="34"/>
  <c r="F118" i="35" s="1"/>
  <c r="AG58" i="34"/>
  <c r="AF58" i="34"/>
  <c r="AE58" i="34"/>
  <c r="AD58" i="34"/>
  <c r="AC58" i="34"/>
  <c r="AB58" i="34"/>
  <c r="F116" i="35" s="1"/>
  <c r="AG57" i="34"/>
  <c r="AF57" i="34"/>
  <c r="AE57" i="34"/>
  <c r="AD57" i="34"/>
  <c r="AC57" i="34"/>
  <c r="AB57" i="34"/>
  <c r="F114" i="35" s="1"/>
  <c r="AG56" i="34"/>
  <c r="AF56" i="34"/>
  <c r="AE56" i="34"/>
  <c r="AD56" i="34"/>
  <c r="AC56" i="34"/>
  <c r="AB56" i="34"/>
  <c r="F112" i="35" s="1"/>
  <c r="AG55" i="34"/>
  <c r="AF55" i="34"/>
  <c r="AE55" i="34"/>
  <c r="AD55" i="34"/>
  <c r="AC55" i="34"/>
  <c r="AB55" i="34"/>
  <c r="F110" i="35" s="1"/>
  <c r="AG54" i="34"/>
  <c r="AF54" i="34"/>
  <c r="AE54" i="34"/>
  <c r="AD54" i="34"/>
  <c r="AC54" i="34"/>
  <c r="AB54" i="34"/>
  <c r="F108" i="35" s="1"/>
  <c r="AG53" i="34"/>
  <c r="AF53" i="34"/>
  <c r="AE53" i="34"/>
  <c r="AD53" i="34"/>
  <c r="AC53" i="34"/>
  <c r="AB53" i="34"/>
  <c r="F106" i="35" s="1"/>
  <c r="AG52" i="34"/>
  <c r="AF52" i="34"/>
  <c r="AE52" i="34"/>
  <c r="AD52" i="34"/>
  <c r="AC52" i="34"/>
  <c r="AB52" i="34"/>
  <c r="F104" i="35" s="1"/>
  <c r="AG51" i="34"/>
  <c r="AF51" i="34"/>
  <c r="AE51" i="34"/>
  <c r="AD51" i="34"/>
  <c r="AC51" i="34"/>
  <c r="AB51" i="34"/>
  <c r="F102" i="35" s="1"/>
  <c r="AG50" i="34"/>
  <c r="AF50" i="34"/>
  <c r="AE50" i="34"/>
  <c r="AD50" i="34"/>
  <c r="AC50" i="34"/>
  <c r="AB50" i="34"/>
  <c r="F100" i="35" s="1"/>
  <c r="AG49" i="34"/>
  <c r="AF49" i="34"/>
  <c r="AE49" i="34"/>
  <c r="AD49" i="34"/>
  <c r="AC49" i="34"/>
  <c r="AB49" i="34"/>
  <c r="F98" i="35" s="1"/>
  <c r="AG48" i="34"/>
  <c r="AF48" i="34"/>
  <c r="AE48" i="34"/>
  <c r="AD48" i="34"/>
  <c r="AC48" i="34"/>
  <c r="AB48" i="34"/>
  <c r="F96" i="35" s="1"/>
  <c r="AG47" i="34"/>
  <c r="AF47" i="34"/>
  <c r="AE47" i="34"/>
  <c r="AD47" i="34"/>
  <c r="AC47" i="34"/>
  <c r="AB47" i="34"/>
  <c r="F94" i="35" s="1"/>
  <c r="AG46" i="34"/>
  <c r="AF46" i="34"/>
  <c r="AE46" i="34"/>
  <c r="AD46" i="34"/>
  <c r="AC46" i="34"/>
  <c r="AB46" i="34"/>
  <c r="F92" i="35" s="1"/>
  <c r="AG45" i="34"/>
  <c r="AF45" i="34"/>
  <c r="AE45" i="34"/>
  <c r="AD45" i="34"/>
  <c r="AC45" i="34"/>
  <c r="AB45" i="34"/>
  <c r="F90" i="35" s="1"/>
  <c r="AG44" i="34"/>
  <c r="AF44" i="34"/>
  <c r="AE44" i="34"/>
  <c r="AD44" i="34"/>
  <c r="AC44" i="34"/>
  <c r="AB44" i="34"/>
  <c r="F88" i="35" s="1"/>
  <c r="AG43" i="34"/>
  <c r="AF43" i="34"/>
  <c r="AE43" i="34"/>
  <c r="AD43" i="34"/>
  <c r="AC43" i="34"/>
  <c r="AB43" i="34"/>
  <c r="F86" i="35" s="1"/>
  <c r="AG42" i="34"/>
  <c r="AF42" i="34"/>
  <c r="AE42" i="34"/>
  <c r="AD42" i="34"/>
  <c r="AC42" i="34"/>
  <c r="AB42" i="34"/>
  <c r="F84" i="35" s="1"/>
  <c r="AG41" i="34"/>
  <c r="AF41" i="34"/>
  <c r="AE41" i="34"/>
  <c r="AD41" i="34"/>
  <c r="AC41" i="34"/>
  <c r="AB41" i="34"/>
  <c r="F82" i="35" s="1"/>
  <c r="AG40" i="34"/>
  <c r="AF40" i="34"/>
  <c r="AE40" i="34"/>
  <c r="AD40" i="34"/>
  <c r="AC40" i="34"/>
  <c r="AB40" i="34"/>
  <c r="F80" i="35" s="1"/>
  <c r="AG39" i="34"/>
  <c r="AF39" i="34"/>
  <c r="AE39" i="34"/>
  <c r="AD39" i="34"/>
  <c r="AC39" i="34"/>
  <c r="AB39" i="34"/>
  <c r="F78" i="35" s="1"/>
  <c r="AG38" i="34"/>
  <c r="AF38" i="34"/>
  <c r="AE38" i="34"/>
  <c r="AD38" i="34"/>
  <c r="AC38" i="34"/>
  <c r="AB38" i="34"/>
  <c r="F76" i="35" s="1"/>
  <c r="AG37" i="34"/>
  <c r="AF37" i="34"/>
  <c r="AE37" i="34"/>
  <c r="AD37" i="34"/>
  <c r="AC37" i="34"/>
  <c r="AB37" i="34"/>
  <c r="F74" i="35" s="1"/>
  <c r="AG36" i="34"/>
  <c r="AF36" i="34"/>
  <c r="AE36" i="34"/>
  <c r="AD36" i="34"/>
  <c r="AC36" i="34"/>
  <c r="AB36" i="34"/>
  <c r="F72" i="35" s="1"/>
  <c r="AG35" i="34"/>
  <c r="AF35" i="34"/>
  <c r="AE35" i="34"/>
  <c r="AD35" i="34"/>
  <c r="AC35" i="34"/>
  <c r="AB35" i="34"/>
  <c r="F68" i="35" s="1"/>
  <c r="AG34" i="34"/>
  <c r="AF34" i="34"/>
  <c r="AE34" i="34"/>
  <c r="AD34" i="34"/>
  <c r="AC34" i="34"/>
  <c r="AB34" i="34"/>
  <c r="F70" i="35" s="1"/>
  <c r="AG33" i="34"/>
  <c r="AF33" i="34"/>
  <c r="AE33" i="34"/>
  <c r="AD33" i="34"/>
  <c r="AC33" i="34"/>
  <c r="AB33" i="34"/>
  <c r="F66" i="35" s="1"/>
  <c r="AG32" i="34"/>
  <c r="AF32" i="34"/>
  <c r="AE32" i="34"/>
  <c r="AD32" i="34"/>
  <c r="AC32" i="34"/>
  <c r="AB32" i="34"/>
  <c r="F64" i="35" s="1"/>
  <c r="AG31" i="34"/>
  <c r="AF31" i="34"/>
  <c r="AE31" i="34"/>
  <c r="AD31" i="34"/>
  <c r="AC31" i="34"/>
  <c r="AB31" i="34"/>
  <c r="F62" i="35" s="1"/>
  <c r="AG29" i="34"/>
  <c r="AF29" i="34"/>
  <c r="AE29" i="34"/>
  <c r="AD29" i="34"/>
  <c r="AC29" i="34"/>
  <c r="AB29" i="34"/>
  <c r="AG28" i="34"/>
  <c r="AF28" i="34"/>
  <c r="AE28" i="34"/>
  <c r="AD28" i="34"/>
  <c r="AC28" i="34"/>
  <c r="AB28" i="34"/>
  <c r="F56" i="35" s="1"/>
  <c r="AG27" i="34"/>
  <c r="AF27" i="34"/>
  <c r="AE27" i="34"/>
  <c r="AD27" i="34"/>
  <c r="AC27" i="34"/>
  <c r="AB27" i="34"/>
  <c r="F54" i="35" s="1"/>
  <c r="AG26" i="34"/>
  <c r="AF26" i="34"/>
  <c r="AE26" i="34"/>
  <c r="AD26" i="34"/>
  <c r="AC26" i="34"/>
  <c r="AB26" i="34"/>
  <c r="F52" i="35" s="1"/>
  <c r="AG25" i="34"/>
  <c r="AF25" i="34"/>
  <c r="AE25" i="34"/>
  <c r="AD25" i="34"/>
  <c r="AC25" i="34"/>
  <c r="AB25" i="34"/>
  <c r="F50" i="35" s="1"/>
  <c r="AG24" i="34"/>
  <c r="AF24" i="34"/>
  <c r="AE24" i="34"/>
  <c r="AD24" i="34"/>
  <c r="AC24" i="34"/>
  <c r="AB24" i="34"/>
  <c r="F48" i="35" s="1"/>
  <c r="AG23" i="34"/>
  <c r="AF23" i="34"/>
  <c r="AE23" i="34"/>
  <c r="AD23" i="34"/>
  <c r="AC23" i="34"/>
  <c r="AB23" i="34"/>
  <c r="F46" i="35" s="1"/>
  <c r="AG22" i="34"/>
  <c r="AF22" i="34"/>
  <c r="AE22" i="34"/>
  <c r="AD22" i="34"/>
  <c r="AC22" i="34"/>
  <c r="AB22" i="34"/>
  <c r="F44" i="35" s="1"/>
  <c r="AG21" i="34"/>
  <c r="AF21" i="34"/>
  <c r="AE21" i="34"/>
  <c r="AD21" i="34"/>
  <c r="AC21" i="34"/>
  <c r="AB21" i="34"/>
  <c r="F42" i="35" s="1"/>
  <c r="AG20" i="34"/>
  <c r="AF20" i="34"/>
  <c r="AE20" i="34"/>
  <c r="AD20" i="34"/>
  <c r="AC20" i="34"/>
  <c r="AB20" i="34"/>
  <c r="F40" i="35" s="1"/>
  <c r="AG19" i="34"/>
  <c r="AF19" i="34"/>
  <c r="AE19" i="34"/>
  <c r="AD19" i="34"/>
  <c r="AC19" i="34"/>
  <c r="AB19" i="34"/>
  <c r="F38" i="35" s="1"/>
  <c r="AG18" i="34"/>
  <c r="AF18" i="34"/>
  <c r="AE18" i="34"/>
  <c r="AD18" i="34"/>
  <c r="AC18" i="34"/>
  <c r="AB18" i="34"/>
  <c r="F36" i="35" s="1"/>
  <c r="AG17" i="34"/>
  <c r="AF17" i="34"/>
  <c r="AE17" i="34"/>
  <c r="AD17" i="34"/>
  <c r="AC17" i="34"/>
  <c r="AB17" i="34"/>
  <c r="F34" i="35" s="1"/>
  <c r="AG16" i="34"/>
  <c r="AF16" i="34"/>
  <c r="AE16" i="34"/>
  <c r="AD16" i="34"/>
  <c r="AC16" i="34"/>
  <c r="AB16" i="34"/>
  <c r="F32" i="35" s="1"/>
  <c r="AG15" i="34"/>
  <c r="AF15" i="34"/>
  <c r="AE15" i="34"/>
  <c r="AD15" i="34"/>
  <c r="AC15" i="34"/>
  <c r="AB15" i="34"/>
  <c r="F30" i="35" s="1"/>
  <c r="AG14" i="34"/>
  <c r="AF14" i="34"/>
  <c r="AE14" i="34"/>
  <c r="AD14" i="34"/>
  <c r="AC14" i="34"/>
  <c r="AB14" i="34"/>
  <c r="F28" i="35" s="1"/>
  <c r="AG13" i="34"/>
  <c r="AF13" i="34"/>
  <c r="AE13" i="34"/>
  <c r="AD13" i="34"/>
  <c r="AC13" i="34"/>
  <c r="AB13" i="34"/>
  <c r="F26" i="35" s="1"/>
  <c r="AG12" i="34"/>
  <c r="AF12" i="34"/>
  <c r="AE12" i="34"/>
  <c r="AD12" i="34"/>
  <c r="AC12" i="34"/>
  <c r="AB12" i="34"/>
  <c r="F24" i="35" s="1"/>
  <c r="AG11" i="34"/>
  <c r="AF11" i="34"/>
  <c r="AE11" i="34"/>
  <c r="AD11" i="34"/>
  <c r="AC11" i="34"/>
  <c r="AB11" i="34"/>
  <c r="F22" i="35" s="1"/>
  <c r="AG10" i="34"/>
  <c r="AF10" i="34"/>
  <c r="AE10" i="34"/>
  <c r="AD10" i="34"/>
  <c r="AC10" i="34"/>
  <c r="AB10" i="34"/>
  <c r="F20" i="35" s="1"/>
  <c r="AG9" i="34"/>
  <c r="AF9" i="34"/>
  <c r="AE9" i="34"/>
  <c r="AD9" i="34"/>
  <c r="AC9" i="34"/>
  <c r="AB9" i="34"/>
  <c r="F18" i="35" s="1"/>
  <c r="AG8" i="34"/>
  <c r="AF8" i="34"/>
  <c r="AE8" i="34"/>
  <c r="AD8" i="34"/>
  <c r="AC8" i="34"/>
  <c r="AB8" i="34"/>
  <c r="F16" i="35" s="1"/>
  <c r="AG7" i="34"/>
  <c r="AF7" i="34"/>
  <c r="AE7" i="34"/>
  <c r="AD7" i="34"/>
  <c r="AC7" i="34"/>
  <c r="AB7" i="34"/>
  <c r="F14" i="35" s="1"/>
  <c r="AG6" i="34"/>
  <c r="AF6" i="34"/>
  <c r="AE6" i="34"/>
  <c r="AD6" i="34"/>
  <c r="AC6" i="34"/>
  <c r="AB6" i="34"/>
  <c r="F12" i="35" s="1"/>
  <c r="AG5" i="34"/>
  <c r="AF5" i="34"/>
  <c r="AE5" i="34"/>
  <c r="AD5" i="34"/>
  <c r="AC5" i="34"/>
  <c r="AB5" i="34"/>
  <c r="F10" i="35" s="1"/>
  <c r="AG4" i="34"/>
  <c r="AF4" i="34"/>
  <c r="AE4" i="34"/>
  <c r="AD4" i="34"/>
  <c r="AC4" i="34"/>
  <c r="AB4" i="34"/>
  <c r="AG3" i="34"/>
  <c r="AF3" i="34"/>
  <c r="AE3" i="34"/>
  <c r="AD3" i="34"/>
  <c r="AC3" i="34"/>
  <c r="AB3" i="34"/>
  <c r="F6" i="35" s="1"/>
  <c r="AG2" i="34"/>
  <c r="AF2" i="34"/>
  <c r="AE2" i="34"/>
  <c r="AD2" i="34"/>
  <c r="AC2" i="34"/>
  <c r="AB2" i="34"/>
  <c r="F124" i="35" s="1"/>
  <c r="AG61" i="33"/>
  <c r="AF61" i="33"/>
  <c r="AE61" i="33"/>
  <c r="AD61" i="33"/>
  <c r="AC61" i="33"/>
  <c r="AB61" i="33"/>
  <c r="E122" i="35" s="1"/>
  <c r="AG60" i="33"/>
  <c r="AF60" i="33"/>
  <c r="AE60" i="33"/>
  <c r="AD60" i="33"/>
  <c r="AC60" i="33"/>
  <c r="AB60" i="33"/>
  <c r="AG59" i="33"/>
  <c r="AF59" i="33"/>
  <c r="AE59" i="33"/>
  <c r="AD59" i="33"/>
  <c r="AC59" i="33"/>
  <c r="AB59" i="33"/>
  <c r="E118" i="35" s="1"/>
  <c r="AG58" i="33"/>
  <c r="AF58" i="33"/>
  <c r="AE58" i="33"/>
  <c r="AD58" i="33"/>
  <c r="AC58" i="33"/>
  <c r="AB58" i="33"/>
  <c r="E116" i="35" s="1"/>
  <c r="AG57" i="33"/>
  <c r="AF57" i="33"/>
  <c r="AE57" i="33"/>
  <c r="AD57" i="33"/>
  <c r="AC57" i="33"/>
  <c r="AB57" i="33"/>
  <c r="E114" i="35" s="1"/>
  <c r="AG56" i="33"/>
  <c r="AF56" i="33"/>
  <c r="AE56" i="33"/>
  <c r="AD56" i="33"/>
  <c r="AC56" i="33"/>
  <c r="AB56" i="33"/>
  <c r="E112" i="35" s="1"/>
  <c r="AG55" i="33"/>
  <c r="AF55" i="33"/>
  <c r="AE55" i="33"/>
  <c r="AD55" i="33"/>
  <c r="AC55" i="33"/>
  <c r="AB55" i="33"/>
  <c r="E110" i="35" s="1"/>
  <c r="AG54" i="33"/>
  <c r="AF54" i="33"/>
  <c r="AE54" i="33"/>
  <c r="AD54" i="33"/>
  <c r="AC54" i="33"/>
  <c r="AB54" i="33"/>
  <c r="E108" i="35" s="1"/>
  <c r="AG53" i="33"/>
  <c r="AF53" i="33"/>
  <c r="AE53" i="33"/>
  <c r="AD53" i="33"/>
  <c r="AC53" i="33"/>
  <c r="AB53" i="33"/>
  <c r="E106" i="35" s="1"/>
  <c r="AG52" i="33"/>
  <c r="AF52" i="33"/>
  <c r="AE52" i="33"/>
  <c r="AD52" i="33"/>
  <c r="AC52" i="33"/>
  <c r="AB52" i="33"/>
  <c r="E104" i="35" s="1"/>
  <c r="AG51" i="33"/>
  <c r="AF51" i="33"/>
  <c r="AE51" i="33"/>
  <c r="AD51" i="33"/>
  <c r="AC51" i="33"/>
  <c r="AB51" i="33"/>
  <c r="E102" i="35" s="1"/>
  <c r="AG50" i="33"/>
  <c r="AF50" i="33"/>
  <c r="AE50" i="33"/>
  <c r="AD50" i="33"/>
  <c r="AC50" i="33"/>
  <c r="AB50" i="33"/>
  <c r="AG49" i="33"/>
  <c r="AF49" i="33"/>
  <c r="AE49" i="33"/>
  <c r="AD49" i="33"/>
  <c r="AC49" i="33"/>
  <c r="AB49" i="33"/>
  <c r="E98" i="35" s="1"/>
  <c r="AG48" i="33"/>
  <c r="AF48" i="33"/>
  <c r="AE48" i="33"/>
  <c r="AD48" i="33"/>
  <c r="AC48" i="33"/>
  <c r="AB48" i="33"/>
  <c r="E96" i="35" s="1"/>
  <c r="AG47" i="33"/>
  <c r="AF47" i="33"/>
  <c r="AE47" i="33"/>
  <c r="AD47" i="33"/>
  <c r="AC47" i="33"/>
  <c r="AB47" i="33"/>
  <c r="E94" i="35" s="1"/>
  <c r="AG46" i="33"/>
  <c r="AF46" i="33"/>
  <c r="AE46" i="33"/>
  <c r="AD46" i="33"/>
  <c r="AC46" i="33"/>
  <c r="AB46" i="33"/>
  <c r="E92" i="35" s="1"/>
  <c r="AG45" i="33"/>
  <c r="AF45" i="33"/>
  <c r="AE45" i="33"/>
  <c r="AD45" i="33"/>
  <c r="AC45" i="33"/>
  <c r="AB45" i="33"/>
  <c r="E90" i="35" s="1"/>
  <c r="AG44" i="33"/>
  <c r="AF44" i="33"/>
  <c r="AE44" i="33"/>
  <c r="AD44" i="33"/>
  <c r="AC44" i="33"/>
  <c r="AB44" i="33"/>
  <c r="E88" i="35" s="1"/>
  <c r="AG43" i="33"/>
  <c r="AF43" i="33"/>
  <c r="AE43" i="33"/>
  <c r="AD43" i="33"/>
  <c r="AC43" i="33"/>
  <c r="AB43" i="33"/>
  <c r="E86" i="35" s="1"/>
  <c r="AG42" i="33"/>
  <c r="AF42" i="33"/>
  <c r="AE42" i="33"/>
  <c r="AD42" i="33"/>
  <c r="AC42" i="33"/>
  <c r="AB42" i="33"/>
  <c r="E84" i="35" s="1"/>
  <c r="AG41" i="33"/>
  <c r="AF41" i="33"/>
  <c r="AE41" i="33"/>
  <c r="AD41" i="33"/>
  <c r="AC41" i="33"/>
  <c r="AB41" i="33"/>
  <c r="E82" i="35" s="1"/>
  <c r="AG40" i="33"/>
  <c r="AF40" i="33"/>
  <c r="AE40" i="33"/>
  <c r="AD40" i="33"/>
  <c r="AC40" i="33"/>
  <c r="AB40" i="33"/>
  <c r="AG39" i="33"/>
  <c r="AF39" i="33"/>
  <c r="AE39" i="33"/>
  <c r="AD39" i="33"/>
  <c r="AC39" i="33"/>
  <c r="AB39" i="33"/>
  <c r="E78" i="35" s="1"/>
  <c r="AG38" i="33"/>
  <c r="AF38" i="33"/>
  <c r="AE38" i="33"/>
  <c r="AD38" i="33"/>
  <c r="AC38" i="33"/>
  <c r="AB38" i="33"/>
  <c r="E76" i="35" s="1"/>
  <c r="AG37" i="33"/>
  <c r="AF37" i="33"/>
  <c r="AE37" i="33"/>
  <c r="AD37" i="33"/>
  <c r="AC37" i="33"/>
  <c r="AB37" i="33"/>
  <c r="E74" i="35" s="1"/>
  <c r="AG36" i="33"/>
  <c r="AF36" i="33"/>
  <c r="AE36" i="33"/>
  <c r="AD36" i="33"/>
  <c r="AC36" i="33"/>
  <c r="AB36" i="33"/>
  <c r="E72" i="35" s="1"/>
  <c r="AG35" i="33"/>
  <c r="AF35" i="33"/>
  <c r="AE35" i="33"/>
  <c r="AD35" i="33"/>
  <c r="AC35" i="33"/>
  <c r="AB35" i="33"/>
  <c r="E68" i="35" s="1"/>
  <c r="AG34" i="33"/>
  <c r="AF34" i="33"/>
  <c r="AE34" i="33"/>
  <c r="AD34" i="33"/>
  <c r="AC34" i="33"/>
  <c r="AB34" i="33"/>
  <c r="E70" i="35" s="1"/>
  <c r="AG33" i="33"/>
  <c r="AF33" i="33"/>
  <c r="AE33" i="33"/>
  <c r="AD33" i="33"/>
  <c r="AC33" i="33"/>
  <c r="AB33" i="33"/>
  <c r="E66" i="35" s="1"/>
  <c r="AG32" i="33"/>
  <c r="AF32" i="33"/>
  <c r="AE32" i="33"/>
  <c r="AD32" i="33"/>
  <c r="AC32" i="33"/>
  <c r="AB32" i="33"/>
  <c r="E64" i="35" s="1"/>
  <c r="AG31" i="33"/>
  <c r="AF31" i="33"/>
  <c r="AE31" i="33"/>
  <c r="AD31" i="33"/>
  <c r="AC31" i="33"/>
  <c r="AB31" i="33"/>
  <c r="E62" i="35" s="1"/>
  <c r="AG29" i="33"/>
  <c r="AF29" i="33"/>
  <c r="AE29" i="33"/>
  <c r="AD29" i="33"/>
  <c r="AC29" i="33"/>
  <c r="AB29" i="33"/>
  <c r="E58" i="35" s="1"/>
  <c r="AG28" i="33"/>
  <c r="AF28" i="33"/>
  <c r="AE28" i="33"/>
  <c r="AD28" i="33"/>
  <c r="AC28" i="33"/>
  <c r="AB28" i="33"/>
  <c r="E56" i="35" s="1"/>
  <c r="AG27" i="33"/>
  <c r="AF27" i="33"/>
  <c r="AE27" i="33"/>
  <c r="AD27" i="33"/>
  <c r="AC27" i="33"/>
  <c r="AB27" i="33"/>
  <c r="AG26" i="33"/>
  <c r="AF26" i="33"/>
  <c r="AE26" i="33"/>
  <c r="AD26" i="33"/>
  <c r="AC26" i="33"/>
  <c r="AB26" i="33"/>
  <c r="E52" i="35" s="1"/>
  <c r="AG25" i="33"/>
  <c r="AF25" i="33"/>
  <c r="AE25" i="33"/>
  <c r="AD25" i="33"/>
  <c r="AC25" i="33"/>
  <c r="AB25" i="33"/>
  <c r="E50" i="35" s="1"/>
  <c r="AG24" i="33"/>
  <c r="AF24" i="33"/>
  <c r="AE24" i="33"/>
  <c r="AD24" i="33"/>
  <c r="AC24" i="33"/>
  <c r="AB24" i="33"/>
  <c r="E48" i="35" s="1"/>
  <c r="AG23" i="33"/>
  <c r="AF23" i="33"/>
  <c r="AE23" i="33"/>
  <c r="AD23" i="33"/>
  <c r="AB23" i="33"/>
  <c r="E46" i="35" s="1"/>
  <c r="AG22" i="33"/>
  <c r="AF22" i="33"/>
  <c r="AE22" i="33"/>
  <c r="AD22" i="33"/>
  <c r="AC22" i="33"/>
  <c r="AB22" i="33"/>
  <c r="E44" i="35" s="1"/>
  <c r="AG21" i="33"/>
  <c r="AF21" i="33"/>
  <c r="AE21" i="33"/>
  <c r="AD21" i="33"/>
  <c r="AC21" i="33"/>
  <c r="AB21" i="33"/>
  <c r="E42" i="35" s="1"/>
  <c r="AG20" i="33"/>
  <c r="AF20" i="33"/>
  <c r="AE20" i="33"/>
  <c r="AD20" i="33"/>
  <c r="AC20" i="33"/>
  <c r="AB20" i="33"/>
  <c r="E40" i="35" s="1"/>
  <c r="AG19" i="33"/>
  <c r="AF19" i="33"/>
  <c r="AE19" i="33"/>
  <c r="AD19" i="33"/>
  <c r="AC19" i="33"/>
  <c r="AB19" i="33"/>
  <c r="E38" i="35" s="1"/>
  <c r="AG18" i="33"/>
  <c r="AF18" i="33"/>
  <c r="AE18" i="33"/>
  <c r="AD18" i="33"/>
  <c r="AC18" i="33"/>
  <c r="AB18" i="33"/>
  <c r="E36" i="35" s="1"/>
  <c r="AG17" i="33"/>
  <c r="AF17" i="33"/>
  <c r="AE17" i="33"/>
  <c r="AD17" i="33"/>
  <c r="AC17" i="33"/>
  <c r="AB17" i="33"/>
  <c r="AG16" i="33"/>
  <c r="AF16" i="33"/>
  <c r="AE16" i="33"/>
  <c r="AD16" i="33"/>
  <c r="AC16" i="33"/>
  <c r="AB16" i="33"/>
  <c r="E32" i="35" s="1"/>
  <c r="AG15" i="33"/>
  <c r="AF15" i="33"/>
  <c r="AE15" i="33"/>
  <c r="AD15" i="33"/>
  <c r="AC15" i="33"/>
  <c r="AB15" i="33"/>
  <c r="E30" i="35" s="1"/>
  <c r="AG14" i="33"/>
  <c r="AF14" i="33"/>
  <c r="AE14" i="33"/>
  <c r="AD14" i="33"/>
  <c r="AC14" i="33"/>
  <c r="AB14" i="33"/>
  <c r="E28" i="35" s="1"/>
  <c r="AG13" i="33"/>
  <c r="AF13" i="33"/>
  <c r="AE13" i="33"/>
  <c r="AD13" i="33"/>
  <c r="AC13" i="33"/>
  <c r="AB13" i="33"/>
  <c r="E26" i="35" s="1"/>
  <c r="AG12" i="33"/>
  <c r="AF12" i="33"/>
  <c r="AE12" i="33"/>
  <c r="AD12" i="33"/>
  <c r="AC12" i="33"/>
  <c r="AB12" i="33"/>
  <c r="E24" i="35" s="1"/>
  <c r="AG11" i="33"/>
  <c r="AF11" i="33"/>
  <c r="AE11" i="33"/>
  <c r="AD11" i="33"/>
  <c r="AC11" i="33"/>
  <c r="AB11" i="33"/>
  <c r="E22" i="35" s="1"/>
  <c r="AG10" i="33"/>
  <c r="AF10" i="33"/>
  <c r="AE10" i="33"/>
  <c r="AD10" i="33"/>
  <c r="AC10" i="33"/>
  <c r="AB10" i="33"/>
  <c r="E20" i="35" s="1"/>
  <c r="AG9" i="33"/>
  <c r="AF9" i="33"/>
  <c r="AE9" i="33"/>
  <c r="AD9" i="33"/>
  <c r="AC9" i="33"/>
  <c r="AB9" i="33"/>
  <c r="E18" i="35" s="1"/>
  <c r="AG8" i="33"/>
  <c r="AF8" i="33"/>
  <c r="AE8" i="33"/>
  <c r="AD8" i="33"/>
  <c r="AC8" i="33"/>
  <c r="AB8" i="33"/>
  <c r="E16" i="35" s="1"/>
  <c r="AG7" i="33"/>
  <c r="AF7" i="33"/>
  <c r="AE7" i="33"/>
  <c r="AD7" i="33"/>
  <c r="AC7" i="33"/>
  <c r="AB7" i="33"/>
  <c r="AG6" i="33"/>
  <c r="AF6" i="33"/>
  <c r="AE6" i="33"/>
  <c r="AD6" i="33"/>
  <c r="AC6" i="33"/>
  <c r="AB6" i="33"/>
  <c r="E12" i="35" s="1"/>
  <c r="AG5" i="33"/>
  <c r="AF5" i="33"/>
  <c r="AE5" i="33"/>
  <c r="AD5" i="33"/>
  <c r="AC5" i="33"/>
  <c r="AB5" i="33"/>
  <c r="AG4" i="33"/>
  <c r="AF4" i="33"/>
  <c r="AE4" i="33"/>
  <c r="AD4" i="33"/>
  <c r="AC4" i="33"/>
  <c r="AB4" i="33"/>
  <c r="AG3" i="33"/>
  <c r="AF3" i="33"/>
  <c r="AE3" i="33"/>
  <c r="AD3" i="33"/>
  <c r="AC3" i="33"/>
  <c r="AB3" i="33"/>
  <c r="E6" i="35" s="1"/>
  <c r="AG2" i="33"/>
  <c r="AF2" i="33"/>
  <c r="AE2" i="33"/>
  <c r="AD2" i="33"/>
  <c r="AC2" i="33"/>
  <c r="AB2" i="33"/>
  <c r="AG61" i="32"/>
  <c r="AF61" i="32"/>
  <c r="AE61" i="32"/>
  <c r="AD61" i="32"/>
  <c r="AC61" i="32"/>
  <c r="AB61" i="32"/>
  <c r="D122" i="35" s="1"/>
  <c r="AG60" i="32"/>
  <c r="AF60" i="32"/>
  <c r="AE60" i="32"/>
  <c r="AD60" i="32"/>
  <c r="AC60" i="32"/>
  <c r="AB60" i="32"/>
  <c r="D120" i="35" s="1"/>
  <c r="AG59" i="32"/>
  <c r="AF59" i="32"/>
  <c r="AE59" i="32"/>
  <c r="AD59" i="32"/>
  <c r="AC59" i="32"/>
  <c r="AB59" i="32"/>
  <c r="D118" i="35" s="1"/>
  <c r="AG58" i="32"/>
  <c r="AF58" i="32"/>
  <c r="AE58" i="32"/>
  <c r="AD58" i="32"/>
  <c r="AC58" i="32"/>
  <c r="AB58" i="32"/>
  <c r="D116" i="35" s="1"/>
  <c r="AG57" i="32"/>
  <c r="AF57" i="32"/>
  <c r="AE57" i="32"/>
  <c r="AD57" i="32"/>
  <c r="AC57" i="32"/>
  <c r="AB57" i="32"/>
  <c r="D114" i="35" s="1"/>
  <c r="AG56" i="32"/>
  <c r="AF56" i="32"/>
  <c r="AE56" i="32"/>
  <c r="AD56" i="32"/>
  <c r="AC56" i="32"/>
  <c r="AB56" i="32"/>
  <c r="D112" i="35" s="1"/>
  <c r="AG55" i="32"/>
  <c r="AF55" i="32"/>
  <c r="AE55" i="32"/>
  <c r="AD55" i="32"/>
  <c r="AC55" i="32"/>
  <c r="AB55" i="32"/>
  <c r="AG54" i="32"/>
  <c r="AF54" i="32"/>
  <c r="AE54" i="32"/>
  <c r="AD54" i="32"/>
  <c r="AC54" i="32"/>
  <c r="AB54" i="32"/>
  <c r="AG53" i="32"/>
  <c r="AF53" i="32"/>
  <c r="AE53" i="32"/>
  <c r="AD53" i="32"/>
  <c r="AC53" i="32"/>
  <c r="AB53" i="32"/>
  <c r="D106" i="35" s="1"/>
  <c r="AG52" i="32"/>
  <c r="AF52" i="32"/>
  <c r="AE52" i="32"/>
  <c r="AD52" i="32"/>
  <c r="AC52" i="32"/>
  <c r="AB52" i="32"/>
  <c r="D104" i="35" s="1"/>
  <c r="AG51" i="32"/>
  <c r="AF51" i="32"/>
  <c r="AE51" i="32"/>
  <c r="AD51" i="32"/>
  <c r="AC51" i="32"/>
  <c r="AB51" i="32"/>
  <c r="D102" i="35" s="1"/>
  <c r="AG50" i="32"/>
  <c r="AF50" i="32"/>
  <c r="AE50" i="32"/>
  <c r="AD50" i="32"/>
  <c r="AC50" i="32"/>
  <c r="AB50" i="32"/>
  <c r="D100" i="35" s="1"/>
  <c r="AG49" i="32"/>
  <c r="AF49" i="32"/>
  <c r="AE49" i="32"/>
  <c r="AD49" i="32"/>
  <c r="AC49" i="32"/>
  <c r="AB49" i="32"/>
  <c r="D98" i="35" s="1"/>
  <c r="AG48" i="32"/>
  <c r="AF48" i="32"/>
  <c r="AE48" i="32"/>
  <c r="AD48" i="32"/>
  <c r="AC48" i="32"/>
  <c r="AB48" i="32"/>
  <c r="D96" i="35" s="1"/>
  <c r="AG47" i="32"/>
  <c r="AF47" i="32"/>
  <c r="AE47" i="32"/>
  <c r="AD47" i="32"/>
  <c r="AC47" i="32"/>
  <c r="AB47" i="32"/>
  <c r="AG46" i="32"/>
  <c r="AF46" i="32"/>
  <c r="AE46" i="32"/>
  <c r="AD46" i="32"/>
  <c r="AC46" i="32"/>
  <c r="AB46" i="32"/>
  <c r="AG45" i="32"/>
  <c r="AF45" i="32"/>
  <c r="AE45" i="32"/>
  <c r="AD45" i="32"/>
  <c r="AC45" i="32"/>
  <c r="AB45" i="32"/>
  <c r="D90" i="35" s="1"/>
  <c r="AG44" i="32"/>
  <c r="AF44" i="32"/>
  <c r="AE44" i="32"/>
  <c r="AD44" i="32"/>
  <c r="AC44" i="32"/>
  <c r="AB44" i="32"/>
  <c r="D88" i="35" s="1"/>
  <c r="AG43" i="32"/>
  <c r="AF43" i="32"/>
  <c r="AE43" i="32"/>
  <c r="AD43" i="32"/>
  <c r="AC43" i="32"/>
  <c r="AB43" i="32"/>
  <c r="D86" i="35" s="1"/>
  <c r="AG42" i="32"/>
  <c r="AF42" i="32"/>
  <c r="AE42" i="32"/>
  <c r="AD42" i="32"/>
  <c r="AC42" i="32"/>
  <c r="AB42" i="32"/>
  <c r="D84" i="35" s="1"/>
  <c r="AG41" i="32"/>
  <c r="AF41" i="32"/>
  <c r="AE41" i="32"/>
  <c r="AD41" i="32"/>
  <c r="AC41" i="32"/>
  <c r="AB41" i="32"/>
  <c r="D82" i="35" s="1"/>
  <c r="AG40" i="32"/>
  <c r="AF40" i="32"/>
  <c r="AE40" i="32"/>
  <c r="AD40" i="32"/>
  <c r="AC40" i="32"/>
  <c r="AB40" i="32"/>
  <c r="D80" i="35" s="1"/>
  <c r="AG39" i="32"/>
  <c r="AF39" i="32"/>
  <c r="AE39" i="32"/>
  <c r="AD39" i="32"/>
  <c r="AC39" i="32"/>
  <c r="AB39" i="32"/>
  <c r="AG38" i="32"/>
  <c r="AF38" i="32"/>
  <c r="AE38" i="32"/>
  <c r="AD38" i="32"/>
  <c r="AC38" i="32"/>
  <c r="AB38" i="32"/>
  <c r="AG37" i="32"/>
  <c r="AF37" i="32"/>
  <c r="AE37" i="32"/>
  <c r="AD37" i="32"/>
  <c r="AC37" i="32"/>
  <c r="AB37" i="32"/>
  <c r="D74" i="35" s="1"/>
  <c r="AG36" i="32"/>
  <c r="AF36" i="32"/>
  <c r="AE36" i="32"/>
  <c r="AD36" i="32"/>
  <c r="AC36" i="32"/>
  <c r="AB36" i="32"/>
  <c r="D72" i="35" s="1"/>
  <c r="AG35" i="32"/>
  <c r="AF35" i="32"/>
  <c r="AE35" i="32"/>
  <c r="AD35" i="32"/>
  <c r="AC35" i="32"/>
  <c r="AB35" i="32"/>
  <c r="D68" i="35" s="1"/>
  <c r="AG34" i="32"/>
  <c r="AF34" i="32"/>
  <c r="AE34" i="32"/>
  <c r="AD34" i="32"/>
  <c r="AC34" i="32"/>
  <c r="AB34" i="32"/>
  <c r="D70" i="35" s="1"/>
  <c r="AG33" i="32"/>
  <c r="AF33" i="32"/>
  <c r="AE33" i="32"/>
  <c r="AD33" i="32"/>
  <c r="AC33" i="32"/>
  <c r="AB33" i="32"/>
  <c r="D66" i="35" s="1"/>
  <c r="AG32" i="32"/>
  <c r="AF32" i="32"/>
  <c r="AE32" i="32"/>
  <c r="AD32" i="32"/>
  <c r="AC32" i="32"/>
  <c r="AB32" i="32"/>
  <c r="D64" i="35" s="1"/>
  <c r="AG31" i="32"/>
  <c r="AF31" i="32"/>
  <c r="AE31" i="32"/>
  <c r="AD31" i="32"/>
  <c r="AC31" i="32"/>
  <c r="AB31" i="32"/>
  <c r="AG29" i="32"/>
  <c r="AF29" i="32"/>
  <c r="AE29" i="32"/>
  <c r="AD29" i="32"/>
  <c r="AC29" i="32"/>
  <c r="AB29" i="32"/>
  <c r="AG28" i="32"/>
  <c r="AF28" i="32"/>
  <c r="AE28" i="32"/>
  <c r="AD28" i="32"/>
  <c r="AC28" i="32"/>
  <c r="AB28" i="32"/>
  <c r="D56" i="35" s="1"/>
  <c r="AG27" i="32"/>
  <c r="AF27" i="32"/>
  <c r="AE27" i="32"/>
  <c r="AD27" i="32"/>
  <c r="AC27" i="32"/>
  <c r="AB27" i="32"/>
  <c r="D54" i="35" s="1"/>
  <c r="AG26" i="32"/>
  <c r="AF26" i="32"/>
  <c r="AE26" i="32"/>
  <c r="AD26" i="32"/>
  <c r="AC26" i="32"/>
  <c r="AB26" i="32"/>
  <c r="D52" i="35" s="1"/>
  <c r="AG25" i="32"/>
  <c r="AF25" i="32"/>
  <c r="AE25" i="32"/>
  <c r="AD25" i="32"/>
  <c r="AC25" i="32"/>
  <c r="AB25" i="32"/>
  <c r="D50" i="35" s="1"/>
  <c r="AG24" i="32"/>
  <c r="AF24" i="32"/>
  <c r="AE24" i="32"/>
  <c r="AD24" i="32"/>
  <c r="AC24" i="32"/>
  <c r="AB24" i="32"/>
  <c r="D48" i="35" s="1"/>
  <c r="AG23" i="32"/>
  <c r="AF23" i="32"/>
  <c r="AE23" i="32"/>
  <c r="AD23" i="32"/>
  <c r="AC23" i="32"/>
  <c r="AB23" i="32"/>
  <c r="D46" i="35" s="1"/>
  <c r="AG22" i="32"/>
  <c r="AF22" i="32"/>
  <c r="AE22" i="32"/>
  <c r="AD22" i="32"/>
  <c r="AC22" i="32"/>
  <c r="AB22" i="32"/>
  <c r="AG21" i="32"/>
  <c r="AF21" i="32"/>
  <c r="AE21" i="32"/>
  <c r="AD21" i="32"/>
  <c r="AC21" i="32"/>
  <c r="AB21" i="32"/>
  <c r="AG20" i="32"/>
  <c r="AF20" i="32"/>
  <c r="AE20" i="32"/>
  <c r="AD20" i="32"/>
  <c r="AC20" i="32"/>
  <c r="AB20" i="32"/>
  <c r="D40" i="35" s="1"/>
  <c r="AG19" i="32"/>
  <c r="AF19" i="32"/>
  <c r="AE19" i="32"/>
  <c r="AD19" i="32"/>
  <c r="AC19" i="32"/>
  <c r="AB19" i="32"/>
  <c r="D38" i="35" s="1"/>
  <c r="AG18" i="32"/>
  <c r="AF18" i="32"/>
  <c r="AE18" i="32"/>
  <c r="AD18" i="32"/>
  <c r="AC18" i="32"/>
  <c r="AB18" i="32"/>
  <c r="D36" i="35" s="1"/>
  <c r="AG17" i="32"/>
  <c r="AF17" i="32"/>
  <c r="AE17" i="32"/>
  <c r="AD17" i="32"/>
  <c r="AC17" i="32"/>
  <c r="AB17" i="32"/>
  <c r="D34" i="35" s="1"/>
  <c r="AG16" i="32"/>
  <c r="AF16" i="32"/>
  <c r="AE16" i="32"/>
  <c r="AD16" i="32"/>
  <c r="AC16" i="32"/>
  <c r="AB16" i="32"/>
  <c r="D32" i="35" s="1"/>
  <c r="AG15" i="32"/>
  <c r="AF15" i="32"/>
  <c r="AE15" i="32"/>
  <c r="AD15" i="32"/>
  <c r="AC15" i="32"/>
  <c r="AB15" i="32"/>
  <c r="D30" i="35" s="1"/>
  <c r="AG14" i="32"/>
  <c r="AF14" i="32"/>
  <c r="AE14" i="32"/>
  <c r="AD14" i="32"/>
  <c r="AC14" i="32"/>
  <c r="AB14" i="32"/>
  <c r="AG13" i="32"/>
  <c r="AF13" i="32"/>
  <c r="AE13" i="32"/>
  <c r="AD13" i="32"/>
  <c r="AC13" i="32"/>
  <c r="AB13" i="32"/>
  <c r="AG12" i="32"/>
  <c r="AF12" i="32"/>
  <c r="AE12" i="32"/>
  <c r="AD12" i="32"/>
  <c r="AC12" i="32"/>
  <c r="AB12" i="32"/>
  <c r="D24" i="35" s="1"/>
  <c r="AG11" i="32"/>
  <c r="AF11" i="32"/>
  <c r="AE11" i="32"/>
  <c r="AD11" i="32"/>
  <c r="AC11" i="32"/>
  <c r="AB11" i="32"/>
  <c r="D22" i="35" s="1"/>
  <c r="AG10" i="32"/>
  <c r="AF10" i="32"/>
  <c r="AE10" i="32"/>
  <c r="AD10" i="32"/>
  <c r="AC10" i="32"/>
  <c r="AB10" i="32"/>
  <c r="D20" i="35" s="1"/>
  <c r="AG9" i="32"/>
  <c r="AF9" i="32"/>
  <c r="AE9" i="32"/>
  <c r="AD9" i="32"/>
  <c r="AC9" i="32"/>
  <c r="AB9" i="32"/>
  <c r="D18" i="35" s="1"/>
  <c r="AG8" i="32"/>
  <c r="AF8" i="32"/>
  <c r="AE8" i="32"/>
  <c r="AD8" i="32"/>
  <c r="AC8" i="32"/>
  <c r="AB8" i="32"/>
  <c r="D16" i="35" s="1"/>
  <c r="AG7" i="32"/>
  <c r="AF7" i="32"/>
  <c r="AE7" i="32"/>
  <c r="AD7" i="32"/>
  <c r="AC7" i="32"/>
  <c r="AB7" i="32"/>
  <c r="D14" i="35" s="1"/>
  <c r="AG6" i="32"/>
  <c r="AF6" i="32"/>
  <c r="AE6" i="32"/>
  <c r="AD6" i="32"/>
  <c r="AC6" i="32"/>
  <c r="AB6" i="32"/>
  <c r="AG5" i="32"/>
  <c r="AF5" i="32"/>
  <c r="AE5" i="32"/>
  <c r="AD5" i="32"/>
  <c r="AC5" i="32"/>
  <c r="AB5" i="32"/>
  <c r="D10" i="35" s="1"/>
  <c r="AG4" i="32"/>
  <c r="AF4" i="32"/>
  <c r="AE4" i="32"/>
  <c r="AD4" i="32"/>
  <c r="AC4" i="32"/>
  <c r="AB4" i="32"/>
  <c r="D8" i="35" s="1"/>
  <c r="AG3" i="32"/>
  <c r="AF3" i="32"/>
  <c r="AE3" i="32"/>
  <c r="AD3" i="32"/>
  <c r="AC3" i="32"/>
  <c r="AB3" i="32"/>
  <c r="D6" i="35" s="1"/>
  <c r="AG2" i="32"/>
  <c r="AF2" i="32"/>
  <c r="AE2" i="32"/>
  <c r="AD2" i="32"/>
  <c r="AC2" i="32"/>
  <c r="AB2" i="32"/>
  <c r="H107" i="29"/>
  <c r="H108" i="29"/>
  <c r="H109" i="29"/>
  <c r="H110" i="29"/>
  <c r="H111" i="29"/>
  <c r="H112" i="29"/>
  <c r="G93" i="29"/>
  <c r="G94" i="29"/>
  <c r="E128" i="29"/>
  <c r="F128" i="29"/>
  <c r="G128" i="29"/>
  <c r="H128" i="29"/>
  <c r="I128" i="29"/>
  <c r="E129" i="29"/>
  <c r="F129" i="29"/>
  <c r="G129" i="29"/>
  <c r="H129" i="29"/>
  <c r="I129" i="29"/>
  <c r="E127" i="29"/>
  <c r="F127" i="29"/>
  <c r="G127" i="29"/>
  <c r="H127" i="29"/>
  <c r="I127" i="29"/>
  <c r="D127" i="29"/>
  <c r="D123" i="29"/>
  <c r="E123" i="29"/>
  <c r="F123" i="29"/>
  <c r="G123" i="29"/>
  <c r="H123" i="29"/>
  <c r="I123" i="29"/>
  <c r="D124" i="29"/>
  <c r="E124" i="29"/>
  <c r="F124" i="29"/>
  <c r="G124" i="29"/>
  <c r="H124" i="29"/>
  <c r="I124" i="29"/>
  <c r="J124" i="29"/>
  <c r="I7" i="29"/>
  <c r="I9" i="29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I35" i="29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I51" i="29"/>
  <c r="I52" i="29"/>
  <c r="I53" i="29"/>
  <c r="I54" i="29"/>
  <c r="I55" i="29"/>
  <c r="I56" i="29"/>
  <c r="I57" i="29"/>
  <c r="I58" i="29"/>
  <c r="I59" i="29"/>
  <c r="I60" i="29"/>
  <c r="I61" i="29"/>
  <c r="I62" i="29"/>
  <c r="I63" i="29"/>
  <c r="I64" i="29"/>
  <c r="I65" i="29"/>
  <c r="I66" i="29"/>
  <c r="I67" i="29"/>
  <c r="I68" i="29"/>
  <c r="I69" i="29"/>
  <c r="I70" i="29"/>
  <c r="I71" i="29"/>
  <c r="I72" i="29"/>
  <c r="I73" i="29"/>
  <c r="I74" i="29"/>
  <c r="I75" i="29"/>
  <c r="I76" i="29"/>
  <c r="I77" i="29"/>
  <c r="I78" i="29"/>
  <c r="I79" i="29"/>
  <c r="I80" i="29"/>
  <c r="I81" i="29"/>
  <c r="I82" i="29"/>
  <c r="I83" i="29"/>
  <c r="I84" i="29"/>
  <c r="I85" i="29"/>
  <c r="I86" i="29"/>
  <c r="I87" i="29"/>
  <c r="I88" i="29"/>
  <c r="I90" i="29"/>
  <c r="I91" i="29"/>
  <c r="I92" i="29"/>
  <c r="I93" i="29"/>
  <c r="I94" i="29"/>
  <c r="I95" i="29"/>
  <c r="I96" i="29"/>
  <c r="I97" i="29"/>
  <c r="I98" i="29"/>
  <c r="I99" i="29"/>
  <c r="I100" i="29"/>
  <c r="I101" i="29"/>
  <c r="I102" i="29"/>
  <c r="I103" i="29"/>
  <c r="I104" i="29"/>
  <c r="I105" i="29"/>
  <c r="I106" i="29"/>
  <c r="I107" i="29"/>
  <c r="I108" i="29"/>
  <c r="I109" i="29"/>
  <c r="I110" i="29"/>
  <c r="I111" i="29"/>
  <c r="I112" i="29"/>
  <c r="I113" i="29"/>
  <c r="I114" i="29"/>
  <c r="I115" i="29"/>
  <c r="I116" i="29"/>
  <c r="I117" i="29"/>
  <c r="I118" i="29"/>
  <c r="I119" i="29"/>
  <c r="I120" i="29"/>
  <c r="H7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G7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F7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E7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6" i="29"/>
  <c r="F6" i="29"/>
  <c r="G6" i="29"/>
  <c r="H6" i="29"/>
  <c r="I6" i="29"/>
  <c r="J6" i="29"/>
  <c r="J10" i="29"/>
  <c r="J12" i="29"/>
  <c r="J14" i="29"/>
  <c r="J16" i="29"/>
  <c r="J18" i="29"/>
  <c r="J20" i="29"/>
  <c r="J22" i="29"/>
  <c r="J24" i="29"/>
  <c r="J26" i="29"/>
  <c r="J28" i="29"/>
  <c r="J30" i="29"/>
  <c r="J32" i="29"/>
  <c r="J34" i="29"/>
  <c r="J36" i="29"/>
  <c r="J38" i="29"/>
  <c r="J40" i="29"/>
  <c r="J42" i="29"/>
  <c r="J44" i="29"/>
  <c r="J46" i="29"/>
  <c r="J48" i="29"/>
  <c r="J50" i="29"/>
  <c r="J52" i="29"/>
  <c r="J54" i="29"/>
  <c r="J56" i="29"/>
  <c r="J58" i="29"/>
  <c r="J60" i="29"/>
  <c r="J62" i="29"/>
  <c r="J64" i="29"/>
  <c r="J66" i="29"/>
  <c r="J68" i="29"/>
  <c r="J70" i="29"/>
  <c r="J72" i="29"/>
  <c r="J74" i="29"/>
  <c r="J76" i="29"/>
  <c r="J78" i="29"/>
  <c r="J80" i="29"/>
  <c r="J82" i="29"/>
  <c r="J84" i="29"/>
  <c r="J86" i="29"/>
  <c r="J88" i="29"/>
  <c r="J90" i="29"/>
  <c r="J92" i="29"/>
  <c r="J94" i="29"/>
  <c r="J96" i="29"/>
  <c r="J98" i="29"/>
  <c r="J100" i="29"/>
  <c r="J102" i="29"/>
  <c r="J104" i="29"/>
  <c r="J106" i="29"/>
  <c r="J108" i="29"/>
  <c r="J110" i="29"/>
  <c r="J112" i="29"/>
  <c r="J114" i="29"/>
  <c r="J116" i="29"/>
  <c r="J118" i="29"/>
  <c r="J120" i="29"/>
  <c r="J121" i="29"/>
  <c r="J122" i="29"/>
  <c r="I122" i="29"/>
  <c r="I5" i="29"/>
  <c r="AB3" i="30"/>
  <c r="J5" i="29" s="1"/>
  <c r="AC3" i="30"/>
  <c r="AD3" i="30"/>
  <c r="AE3" i="30"/>
  <c r="AF3" i="30"/>
  <c r="AG3" i="30"/>
  <c r="AB4" i="30"/>
  <c r="AC4" i="30"/>
  <c r="AD4" i="30"/>
  <c r="AE4" i="30"/>
  <c r="AF4" i="30"/>
  <c r="AG4" i="30"/>
  <c r="AB5" i="30"/>
  <c r="J9" i="29" s="1"/>
  <c r="AC5" i="30"/>
  <c r="AD5" i="30"/>
  <c r="AE5" i="30"/>
  <c r="AF5" i="30"/>
  <c r="AG5" i="30"/>
  <c r="AB6" i="30"/>
  <c r="J11" i="29" s="1"/>
  <c r="AC6" i="30"/>
  <c r="AD6" i="30"/>
  <c r="AE6" i="30"/>
  <c r="AF6" i="30"/>
  <c r="AG6" i="30"/>
  <c r="AB7" i="30"/>
  <c r="J13" i="29" s="1"/>
  <c r="AC7" i="30"/>
  <c r="AD7" i="30"/>
  <c r="AE7" i="30"/>
  <c r="AF7" i="30"/>
  <c r="AG7" i="30"/>
  <c r="AB8" i="30"/>
  <c r="J15" i="29" s="1"/>
  <c r="AC8" i="30"/>
  <c r="AD8" i="30"/>
  <c r="AE8" i="30"/>
  <c r="AF8" i="30"/>
  <c r="AG8" i="30"/>
  <c r="AB9" i="30"/>
  <c r="J17" i="29" s="1"/>
  <c r="AC9" i="30"/>
  <c r="AD9" i="30"/>
  <c r="AE9" i="30"/>
  <c r="AF9" i="30"/>
  <c r="AG9" i="30"/>
  <c r="AB10" i="30"/>
  <c r="J19" i="29" s="1"/>
  <c r="AC10" i="30"/>
  <c r="AD10" i="30"/>
  <c r="AE10" i="30"/>
  <c r="AF10" i="30"/>
  <c r="AG10" i="30"/>
  <c r="AB11" i="30"/>
  <c r="J21" i="29" s="1"/>
  <c r="AC11" i="30"/>
  <c r="AD11" i="30"/>
  <c r="AE11" i="30"/>
  <c r="AF11" i="30"/>
  <c r="AG11" i="30"/>
  <c r="AB12" i="30"/>
  <c r="J23" i="29" s="1"/>
  <c r="AC12" i="30"/>
  <c r="AD12" i="30"/>
  <c r="AE12" i="30"/>
  <c r="AF12" i="30"/>
  <c r="AG12" i="30"/>
  <c r="AB13" i="30"/>
  <c r="J25" i="29" s="1"/>
  <c r="AC13" i="30"/>
  <c r="AD13" i="30"/>
  <c r="AE13" i="30"/>
  <c r="AF13" i="30"/>
  <c r="AG13" i="30"/>
  <c r="AB14" i="30"/>
  <c r="J27" i="29" s="1"/>
  <c r="AC14" i="30"/>
  <c r="AD14" i="30"/>
  <c r="AE14" i="30"/>
  <c r="AF14" i="30"/>
  <c r="AG14" i="30"/>
  <c r="AB15" i="30"/>
  <c r="J29" i="29" s="1"/>
  <c r="AC15" i="30"/>
  <c r="AD15" i="30"/>
  <c r="AE15" i="30"/>
  <c r="AF15" i="30"/>
  <c r="AG15" i="30"/>
  <c r="AB16" i="30"/>
  <c r="J31" i="29" s="1"/>
  <c r="AC16" i="30"/>
  <c r="AD16" i="30"/>
  <c r="AE16" i="30"/>
  <c r="AF16" i="30"/>
  <c r="AG16" i="30"/>
  <c r="AB17" i="30"/>
  <c r="J33" i="29" s="1"/>
  <c r="AC17" i="30"/>
  <c r="AD17" i="30"/>
  <c r="AE17" i="30"/>
  <c r="AF17" i="30"/>
  <c r="AG17" i="30"/>
  <c r="AB18" i="30"/>
  <c r="J35" i="29" s="1"/>
  <c r="AC18" i="30"/>
  <c r="AD18" i="30"/>
  <c r="AE18" i="30"/>
  <c r="AF18" i="30"/>
  <c r="AG18" i="30"/>
  <c r="AB19" i="30"/>
  <c r="J37" i="29" s="1"/>
  <c r="AC19" i="30"/>
  <c r="AD19" i="30"/>
  <c r="AE19" i="30"/>
  <c r="AF19" i="30"/>
  <c r="AG19" i="30"/>
  <c r="AB20" i="30"/>
  <c r="J39" i="29" s="1"/>
  <c r="AC20" i="30"/>
  <c r="AD20" i="30"/>
  <c r="AE20" i="30"/>
  <c r="AF20" i="30"/>
  <c r="AG20" i="30"/>
  <c r="AB21" i="30"/>
  <c r="J41" i="29" s="1"/>
  <c r="AC21" i="30"/>
  <c r="AD21" i="30"/>
  <c r="AE21" i="30"/>
  <c r="AF21" i="30"/>
  <c r="AG21" i="30"/>
  <c r="AB22" i="30"/>
  <c r="J43" i="29" s="1"/>
  <c r="AC22" i="30"/>
  <c r="AD22" i="30"/>
  <c r="AE22" i="30"/>
  <c r="AF22" i="30"/>
  <c r="AG22" i="30"/>
  <c r="AB23" i="30"/>
  <c r="J45" i="29" s="1"/>
  <c r="AC23" i="30"/>
  <c r="AD23" i="30"/>
  <c r="AE23" i="30"/>
  <c r="AF23" i="30"/>
  <c r="AG23" i="30"/>
  <c r="AB24" i="30"/>
  <c r="J47" i="29" s="1"/>
  <c r="AC24" i="30"/>
  <c r="AD24" i="30"/>
  <c r="AE24" i="30"/>
  <c r="AF24" i="30"/>
  <c r="AG24" i="30"/>
  <c r="AB25" i="30"/>
  <c r="J49" i="29" s="1"/>
  <c r="AC25" i="30"/>
  <c r="AD25" i="30"/>
  <c r="AE25" i="30"/>
  <c r="AF25" i="30"/>
  <c r="AG25" i="30"/>
  <c r="AB26" i="30"/>
  <c r="J51" i="29" s="1"/>
  <c r="AC26" i="30"/>
  <c r="AD26" i="30"/>
  <c r="AE26" i="30"/>
  <c r="AF26" i="30"/>
  <c r="AG26" i="30"/>
  <c r="AB27" i="30"/>
  <c r="J53" i="29" s="1"/>
  <c r="AC27" i="30"/>
  <c r="AD27" i="30"/>
  <c r="AE27" i="30"/>
  <c r="AF27" i="30"/>
  <c r="AG27" i="30"/>
  <c r="AB28" i="30"/>
  <c r="J55" i="29" s="1"/>
  <c r="AC28" i="30"/>
  <c r="AD28" i="30"/>
  <c r="AE28" i="30"/>
  <c r="AF28" i="30"/>
  <c r="AG28" i="30"/>
  <c r="AB29" i="30"/>
  <c r="J57" i="29" s="1"/>
  <c r="AC29" i="30"/>
  <c r="AD29" i="30"/>
  <c r="AE29" i="30"/>
  <c r="AF29" i="30"/>
  <c r="AG29" i="30"/>
  <c r="AB30" i="30"/>
  <c r="J59" i="29" s="1"/>
  <c r="AC30" i="30"/>
  <c r="AD30" i="30"/>
  <c r="AE30" i="30"/>
  <c r="AF30" i="30"/>
  <c r="AG30" i="30"/>
  <c r="AB31" i="30"/>
  <c r="J61" i="29" s="1"/>
  <c r="AC31" i="30"/>
  <c r="AD31" i="30"/>
  <c r="AE31" i="30"/>
  <c r="AF31" i="30"/>
  <c r="AG31" i="30"/>
  <c r="AB32" i="30"/>
  <c r="J63" i="29" s="1"/>
  <c r="AC32" i="30"/>
  <c r="AD32" i="30"/>
  <c r="AE32" i="30"/>
  <c r="AF32" i="30"/>
  <c r="AG32" i="30"/>
  <c r="AB33" i="30"/>
  <c r="J65" i="29" s="1"/>
  <c r="AC33" i="30"/>
  <c r="AD33" i="30"/>
  <c r="AE33" i="30"/>
  <c r="AF33" i="30"/>
  <c r="AG33" i="30"/>
  <c r="AB34" i="30"/>
  <c r="J69" i="29" s="1"/>
  <c r="AC34" i="30"/>
  <c r="AD34" i="30"/>
  <c r="AE34" i="30"/>
  <c r="AF34" i="30"/>
  <c r="AG34" i="30"/>
  <c r="AB35" i="30"/>
  <c r="J67" i="29" s="1"/>
  <c r="AC35" i="30"/>
  <c r="AD35" i="30"/>
  <c r="AE35" i="30"/>
  <c r="AF35" i="30"/>
  <c r="AG35" i="30"/>
  <c r="AB36" i="30"/>
  <c r="J71" i="29" s="1"/>
  <c r="AC36" i="30"/>
  <c r="AD36" i="30"/>
  <c r="AE36" i="30"/>
  <c r="AF36" i="30"/>
  <c r="AG36" i="30"/>
  <c r="AB37" i="30"/>
  <c r="J73" i="29" s="1"/>
  <c r="AC37" i="30"/>
  <c r="AD37" i="30"/>
  <c r="AE37" i="30"/>
  <c r="AF37" i="30"/>
  <c r="AG37" i="30"/>
  <c r="AB38" i="30"/>
  <c r="J75" i="29" s="1"/>
  <c r="AC38" i="30"/>
  <c r="AD38" i="30"/>
  <c r="AE38" i="30"/>
  <c r="AF38" i="30"/>
  <c r="AG38" i="30"/>
  <c r="AB39" i="30"/>
  <c r="J77" i="29" s="1"/>
  <c r="AC39" i="30"/>
  <c r="AD39" i="30"/>
  <c r="AE39" i="30"/>
  <c r="AF39" i="30"/>
  <c r="AG39" i="30"/>
  <c r="AB40" i="30"/>
  <c r="J79" i="29" s="1"/>
  <c r="AC40" i="30"/>
  <c r="AD40" i="30"/>
  <c r="AE40" i="30"/>
  <c r="AF40" i="30"/>
  <c r="AG40" i="30"/>
  <c r="AB41" i="30"/>
  <c r="J81" i="29" s="1"/>
  <c r="AC41" i="30"/>
  <c r="AD41" i="30"/>
  <c r="AE41" i="30"/>
  <c r="AF41" i="30"/>
  <c r="AG41" i="30"/>
  <c r="AB42" i="30"/>
  <c r="J83" i="29" s="1"/>
  <c r="AC42" i="30"/>
  <c r="AD42" i="30"/>
  <c r="AE42" i="30"/>
  <c r="AF42" i="30"/>
  <c r="AG42" i="30"/>
  <c r="AB43" i="30"/>
  <c r="J85" i="29" s="1"/>
  <c r="AC43" i="30"/>
  <c r="AD43" i="30"/>
  <c r="AE43" i="30"/>
  <c r="AF43" i="30"/>
  <c r="AG43" i="30"/>
  <c r="AB44" i="30"/>
  <c r="J87" i="29" s="1"/>
  <c r="AC44" i="30"/>
  <c r="AD44" i="30"/>
  <c r="AE44" i="30"/>
  <c r="AF44" i="30"/>
  <c r="AG44" i="30"/>
  <c r="AB45" i="30"/>
  <c r="J89" i="29" s="1"/>
  <c r="AC45" i="30"/>
  <c r="AD45" i="30"/>
  <c r="AE45" i="30"/>
  <c r="AF45" i="30"/>
  <c r="AG45" i="30"/>
  <c r="AB46" i="30"/>
  <c r="J91" i="29" s="1"/>
  <c r="AC46" i="30"/>
  <c r="AD46" i="30"/>
  <c r="AE46" i="30"/>
  <c r="AF46" i="30"/>
  <c r="AG46" i="30"/>
  <c r="AB47" i="30"/>
  <c r="J93" i="29" s="1"/>
  <c r="AC47" i="30"/>
  <c r="AD47" i="30"/>
  <c r="AE47" i="30"/>
  <c r="AF47" i="30"/>
  <c r="AG47" i="30"/>
  <c r="AB48" i="30"/>
  <c r="J95" i="29" s="1"/>
  <c r="AC48" i="30"/>
  <c r="AD48" i="30"/>
  <c r="AE48" i="30"/>
  <c r="AF48" i="30"/>
  <c r="AG48" i="30"/>
  <c r="AB49" i="30"/>
  <c r="J97" i="29" s="1"/>
  <c r="AC49" i="30"/>
  <c r="AD49" i="30"/>
  <c r="AE49" i="30"/>
  <c r="AF49" i="30"/>
  <c r="AG49" i="30"/>
  <c r="AB50" i="30"/>
  <c r="J99" i="29" s="1"/>
  <c r="AC50" i="30"/>
  <c r="AD50" i="30"/>
  <c r="AE50" i="30"/>
  <c r="AF50" i="30"/>
  <c r="AG50" i="30"/>
  <c r="AB51" i="30"/>
  <c r="J101" i="29" s="1"/>
  <c r="AC51" i="30"/>
  <c r="AD51" i="30"/>
  <c r="AE51" i="30"/>
  <c r="AF51" i="30"/>
  <c r="AG51" i="30"/>
  <c r="AB52" i="30"/>
  <c r="J103" i="29" s="1"/>
  <c r="AC52" i="30"/>
  <c r="AD52" i="30"/>
  <c r="AE52" i="30"/>
  <c r="AF52" i="30"/>
  <c r="AG52" i="30"/>
  <c r="AB53" i="30"/>
  <c r="J105" i="29" s="1"/>
  <c r="AC53" i="30"/>
  <c r="AD53" i="30"/>
  <c r="AE53" i="30"/>
  <c r="AF53" i="30"/>
  <c r="AG53" i="30"/>
  <c r="AB54" i="30"/>
  <c r="J107" i="29" s="1"/>
  <c r="AC54" i="30"/>
  <c r="AD54" i="30"/>
  <c r="AE54" i="30"/>
  <c r="AF54" i="30"/>
  <c r="AG54" i="30"/>
  <c r="AB55" i="30"/>
  <c r="J109" i="29" s="1"/>
  <c r="AC55" i="30"/>
  <c r="AD55" i="30"/>
  <c r="AE55" i="30"/>
  <c r="AF55" i="30"/>
  <c r="AG55" i="30"/>
  <c r="AB56" i="30"/>
  <c r="J111" i="29" s="1"/>
  <c r="AC56" i="30"/>
  <c r="AD56" i="30"/>
  <c r="AE56" i="30"/>
  <c r="AF56" i="30"/>
  <c r="AG56" i="30"/>
  <c r="AB57" i="30"/>
  <c r="J113" i="29" s="1"/>
  <c r="AC57" i="30"/>
  <c r="AD57" i="30"/>
  <c r="AE57" i="30"/>
  <c r="AF57" i="30"/>
  <c r="AG57" i="30"/>
  <c r="AB58" i="30"/>
  <c r="J115" i="29" s="1"/>
  <c r="AC58" i="30"/>
  <c r="AD58" i="30"/>
  <c r="AE58" i="30"/>
  <c r="AF58" i="30"/>
  <c r="AG58" i="30"/>
  <c r="AB59" i="30"/>
  <c r="J117" i="29" s="1"/>
  <c r="AC59" i="30"/>
  <c r="AD59" i="30"/>
  <c r="AE59" i="30"/>
  <c r="AF59" i="30"/>
  <c r="AG59" i="30"/>
  <c r="AB60" i="30"/>
  <c r="J119" i="29" s="1"/>
  <c r="AC60" i="30"/>
  <c r="AD60" i="30"/>
  <c r="AE60" i="30"/>
  <c r="AF60" i="30"/>
  <c r="AG60" i="30"/>
  <c r="AG2" i="30"/>
  <c r="AF2" i="30"/>
  <c r="AE2" i="30"/>
  <c r="AD2" i="30"/>
  <c r="AC2" i="30"/>
  <c r="AB2" i="30"/>
  <c r="J123" i="29" s="1"/>
  <c r="I121" i="29"/>
  <c r="H5" i="29"/>
  <c r="E5" i="29"/>
  <c r="F5" i="29"/>
  <c r="G5" i="29"/>
  <c r="D6" i="29"/>
  <c r="D5" i="29"/>
  <c r="A17" i="4"/>
  <c r="A18" i="4" s="1"/>
  <c r="A20" i="4" s="1"/>
  <c r="A21" i="4" s="1"/>
  <c r="A23" i="4" s="1"/>
  <c r="A24" i="4" s="1"/>
  <c r="A26" i="4" s="1"/>
  <c r="A27" i="4" s="1"/>
  <c r="A29" i="4" s="1"/>
  <c r="A30" i="4" s="1"/>
  <c r="A32" i="4" s="1"/>
  <c r="A33" i="4" s="1"/>
  <c r="A35" i="4" s="1"/>
  <c r="A36" i="4" s="1"/>
  <c r="A38" i="4" s="1"/>
  <c r="A39" i="4" s="1"/>
  <c r="A41" i="4" s="1"/>
  <c r="A42" i="4" s="1"/>
  <c r="A44" i="4" s="1"/>
  <c r="A45" i="4" s="1"/>
  <c r="A47" i="4" s="1"/>
  <c r="A48" i="4" s="1"/>
  <c r="A50" i="4" s="1"/>
  <c r="A51" i="4" s="1"/>
  <c r="A53" i="4" s="1"/>
  <c r="A54" i="4" s="1"/>
  <c r="A56" i="4" s="1"/>
  <c r="A57" i="4" s="1"/>
  <c r="A59" i="4" s="1"/>
  <c r="A60" i="4" s="1"/>
  <c r="A62" i="4" s="1"/>
  <c r="A63" i="4" s="1"/>
  <c r="A65" i="4" s="1"/>
  <c r="A66" i="4" s="1"/>
  <c r="A68" i="4" s="1"/>
  <c r="A69" i="4" s="1"/>
  <c r="A71" i="4" s="1"/>
  <c r="A72" i="4" s="1"/>
  <c r="A74" i="4" s="1"/>
  <c r="A75" i="4" s="1"/>
  <c r="A77" i="4" s="1"/>
  <c r="A78" i="4" s="1"/>
  <c r="A80" i="4" s="1"/>
  <c r="A81" i="4" s="1"/>
  <c r="A83" i="4" s="1"/>
  <c r="A84" i="4" s="1"/>
  <c r="A86" i="4" s="1"/>
  <c r="A87" i="4" s="1"/>
  <c r="A89" i="4" s="1"/>
  <c r="A90" i="4" s="1"/>
  <c r="A92" i="4" s="1"/>
  <c r="A93" i="4" s="1"/>
  <c r="A95" i="4" s="1"/>
  <c r="A96" i="4" s="1"/>
  <c r="A98" i="4" s="1"/>
  <c r="A99" i="4" s="1"/>
  <c r="A101" i="4" s="1"/>
  <c r="A102" i="4" s="1"/>
  <c r="A104" i="4" s="1"/>
  <c r="A105" i="4" s="1"/>
  <c r="A107" i="4" s="1"/>
  <c r="A108" i="4" s="1"/>
  <c r="A110" i="4" s="1"/>
  <c r="A111" i="4" s="1"/>
  <c r="A113" i="4" s="1"/>
  <c r="A114" i="4" s="1"/>
  <c r="A116" i="4" s="1"/>
  <c r="A117" i="4" s="1"/>
  <c r="A119" i="4" s="1"/>
  <c r="A120" i="4" s="1"/>
  <c r="A122" i="4" s="1"/>
  <c r="A123" i="4" s="1"/>
  <c r="A125" i="4" s="1"/>
  <c r="A126" i="4" s="1"/>
  <c r="A128" i="4" s="1"/>
  <c r="A129" i="4" s="1"/>
  <c r="A131" i="4" s="1"/>
  <c r="A132" i="4" s="1"/>
  <c r="A134" i="4" s="1"/>
  <c r="A135" i="4" s="1"/>
  <c r="A137" i="4" s="1"/>
  <c r="A138" i="4" s="1"/>
  <c r="A140" i="4" s="1"/>
  <c r="A141" i="4" s="1"/>
  <c r="A143" i="4" s="1"/>
  <c r="A144" i="4" s="1"/>
  <c r="A146" i="4" s="1"/>
  <c r="A147" i="4" s="1"/>
  <c r="A149" i="4" s="1"/>
  <c r="A150" i="4" s="1"/>
  <c r="A152" i="4" s="1"/>
  <c r="A153" i="4" s="1"/>
  <c r="A155" i="4" s="1"/>
  <c r="A156" i="4" s="1"/>
  <c r="A158" i="4" s="1"/>
  <c r="A159" i="4" s="1"/>
  <c r="A161" i="4" s="1"/>
  <c r="A162" i="4" s="1"/>
  <c r="A164" i="4" s="1"/>
  <c r="A165" i="4" s="1"/>
  <c r="A167" i="4" s="1"/>
  <c r="A168" i="4" s="1"/>
  <c r="A170" i="4" s="1"/>
  <c r="A171" i="4" s="1"/>
  <c r="A173" i="4" s="1"/>
  <c r="A174" i="4" s="1"/>
  <c r="A176" i="4" s="1"/>
  <c r="A177" i="4" s="1"/>
  <c r="A179" i="4" s="1"/>
  <c r="A180" i="4" s="1"/>
  <c r="A182" i="4" s="1"/>
  <c r="A183" i="4" s="1"/>
  <c r="A185" i="4" s="1"/>
  <c r="A186" i="4" s="1"/>
  <c r="A14" i="4"/>
  <c r="A15" i="4" s="1"/>
  <c r="A12" i="4"/>
  <c r="A11" i="4"/>
  <c r="Z92" i="28"/>
  <c r="Y92" i="28"/>
  <c r="X92" i="28"/>
  <c r="W92" i="28"/>
  <c r="V92" i="28"/>
  <c r="U92" i="28"/>
  <c r="T92" i="28"/>
  <c r="S92" i="28"/>
  <c r="R92" i="28"/>
  <c r="Q92" i="28"/>
  <c r="P92" i="28"/>
  <c r="O92" i="28"/>
  <c r="X91" i="28"/>
  <c r="W91" i="28"/>
  <c r="V91" i="28"/>
  <c r="U91" i="28"/>
  <c r="T91" i="28"/>
  <c r="S91" i="28"/>
  <c r="R91" i="28"/>
  <c r="Q91" i="28"/>
  <c r="P91" i="28"/>
  <c r="O91" i="28"/>
  <c r="Z90" i="28"/>
  <c r="Y90" i="28"/>
  <c r="X90" i="28"/>
  <c r="W90" i="28"/>
  <c r="V90" i="28"/>
  <c r="U90" i="28"/>
  <c r="T90" i="28"/>
  <c r="S90" i="28"/>
  <c r="R90" i="28"/>
  <c r="Q90" i="28"/>
  <c r="P90" i="28"/>
  <c r="O90" i="28"/>
  <c r="Z89" i="28"/>
  <c r="Y89" i="28"/>
  <c r="X89" i="28"/>
  <c r="W89" i="28"/>
  <c r="V89" i="28"/>
  <c r="U89" i="28"/>
  <c r="T89" i="28"/>
  <c r="S89" i="28"/>
  <c r="R89" i="28"/>
  <c r="Q89" i="28"/>
  <c r="P89" i="28"/>
  <c r="O89" i="28"/>
  <c r="Z88" i="28"/>
  <c r="Y88" i="28"/>
  <c r="X88" i="28"/>
  <c r="W88" i="28"/>
  <c r="V88" i="28"/>
  <c r="U88" i="28"/>
  <c r="T88" i="28"/>
  <c r="S88" i="28"/>
  <c r="R88" i="28"/>
  <c r="Q88" i="28"/>
  <c r="P88" i="28"/>
  <c r="O88" i="28"/>
  <c r="Z87" i="28"/>
  <c r="Y87" i="28"/>
  <c r="X87" i="28"/>
  <c r="W87" i="28"/>
  <c r="V87" i="28"/>
  <c r="U87" i="28"/>
  <c r="T87" i="28"/>
  <c r="S87" i="28"/>
  <c r="R87" i="28"/>
  <c r="Q87" i="28"/>
  <c r="P87" i="28"/>
  <c r="O87" i="28"/>
  <c r="Z86" i="28"/>
  <c r="Y86" i="28"/>
  <c r="X86" i="28"/>
  <c r="W86" i="28"/>
  <c r="V86" i="28"/>
  <c r="U86" i="28"/>
  <c r="T86" i="28"/>
  <c r="S86" i="28"/>
  <c r="R86" i="28"/>
  <c r="Q86" i="28"/>
  <c r="P86" i="28"/>
  <c r="O86" i="28"/>
  <c r="Z85" i="28"/>
  <c r="Y85" i="28"/>
  <c r="X85" i="28"/>
  <c r="W85" i="28"/>
  <c r="V85" i="28"/>
  <c r="U85" i="28"/>
  <c r="T85" i="28"/>
  <c r="S85" i="28"/>
  <c r="R85" i="28"/>
  <c r="Q85" i="28"/>
  <c r="P85" i="28"/>
  <c r="O85" i="28"/>
  <c r="Z84" i="28"/>
  <c r="Y84" i="28"/>
  <c r="X84" i="28"/>
  <c r="W84" i="28"/>
  <c r="V84" i="28"/>
  <c r="U84" i="28"/>
  <c r="T84" i="28"/>
  <c r="S84" i="28"/>
  <c r="R84" i="28"/>
  <c r="Q84" i="28"/>
  <c r="P84" i="28"/>
  <c r="O84" i="28"/>
  <c r="Z83" i="28"/>
  <c r="Y83" i="28"/>
  <c r="X83" i="28"/>
  <c r="W83" i="28"/>
  <c r="V83" i="28"/>
  <c r="U83" i="28"/>
  <c r="T83" i="28"/>
  <c r="S83" i="28"/>
  <c r="R83" i="28"/>
  <c r="Q83" i="28"/>
  <c r="P83" i="28"/>
  <c r="O83" i="28"/>
  <c r="Z82" i="28"/>
  <c r="Y82" i="28"/>
  <c r="X82" i="28"/>
  <c r="W82" i="28"/>
  <c r="V82" i="28"/>
  <c r="U82" i="28"/>
  <c r="T82" i="28"/>
  <c r="S82" i="28"/>
  <c r="R82" i="28"/>
  <c r="Q82" i="28"/>
  <c r="P82" i="28"/>
  <c r="O82" i="28"/>
  <c r="Z81" i="28"/>
  <c r="Y81" i="28"/>
  <c r="X81" i="28"/>
  <c r="W81" i="28"/>
  <c r="V81" i="28"/>
  <c r="U81" i="28"/>
  <c r="T81" i="28"/>
  <c r="S81" i="28"/>
  <c r="R81" i="28"/>
  <c r="Q81" i="28"/>
  <c r="P81" i="28"/>
  <c r="O81" i="28"/>
  <c r="Z80" i="28"/>
  <c r="Y80" i="28"/>
  <c r="X80" i="28"/>
  <c r="W80" i="28"/>
  <c r="V80" i="28"/>
  <c r="U80" i="28"/>
  <c r="T80" i="28"/>
  <c r="S80" i="28"/>
  <c r="R80" i="28"/>
  <c r="Q80" i="28"/>
  <c r="P80" i="28"/>
  <c r="O80" i="28"/>
  <c r="W76" i="28"/>
  <c r="S76" i="28"/>
  <c r="O76" i="28"/>
  <c r="Z74" i="28"/>
  <c r="Y74" i="28"/>
  <c r="X74" i="28"/>
  <c r="W74" i="28"/>
  <c r="V74" i="28"/>
  <c r="U74" i="28"/>
  <c r="T74" i="28"/>
  <c r="S74" i="28"/>
  <c r="R74" i="28"/>
  <c r="Q74" i="28"/>
  <c r="P74" i="28"/>
  <c r="O74" i="28"/>
  <c r="Z73" i="28"/>
  <c r="Y73" i="28"/>
  <c r="X73" i="28"/>
  <c r="W73" i="28"/>
  <c r="V73" i="28"/>
  <c r="U73" i="28"/>
  <c r="T73" i="28"/>
  <c r="S73" i="28"/>
  <c r="R73" i="28"/>
  <c r="Q73" i="28"/>
  <c r="P73" i="28"/>
  <c r="O73" i="28"/>
  <c r="Z72" i="28"/>
  <c r="Y72" i="28"/>
  <c r="X72" i="28"/>
  <c r="W72" i="28"/>
  <c r="V72" i="28"/>
  <c r="U72" i="28"/>
  <c r="T72" i="28"/>
  <c r="S72" i="28"/>
  <c r="R72" i="28"/>
  <c r="Q72" i="28"/>
  <c r="P72" i="28"/>
  <c r="O72" i="28"/>
  <c r="Z71" i="28"/>
  <c r="Y71" i="28"/>
  <c r="X71" i="28"/>
  <c r="W71" i="28"/>
  <c r="V71" i="28"/>
  <c r="U71" i="28"/>
  <c r="T71" i="28"/>
  <c r="S71" i="28"/>
  <c r="R71" i="28"/>
  <c r="Q71" i="28"/>
  <c r="P71" i="28"/>
  <c r="O71" i="28"/>
  <c r="Z70" i="28"/>
  <c r="Y70" i="28"/>
  <c r="X70" i="28"/>
  <c r="W70" i="28"/>
  <c r="V70" i="28"/>
  <c r="U70" i="28"/>
  <c r="T70" i="28"/>
  <c r="S70" i="28"/>
  <c r="R70" i="28"/>
  <c r="Q70" i="28"/>
  <c r="P70" i="28"/>
  <c r="O70" i="28"/>
  <c r="Z69" i="28"/>
  <c r="Y69" i="28"/>
  <c r="X69" i="28"/>
  <c r="W69" i="28"/>
  <c r="V69" i="28"/>
  <c r="U69" i="28"/>
  <c r="T69" i="28"/>
  <c r="S69" i="28"/>
  <c r="R69" i="28"/>
  <c r="Q69" i="28"/>
  <c r="P69" i="28"/>
  <c r="O69" i="28"/>
  <c r="Z68" i="28"/>
  <c r="Y68" i="28"/>
  <c r="X68" i="28"/>
  <c r="W68" i="28"/>
  <c r="V68" i="28"/>
  <c r="U68" i="28"/>
  <c r="T68" i="28"/>
  <c r="S68" i="28"/>
  <c r="R68" i="28"/>
  <c r="Q68" i="28"/>
  <c r="P68" i="28"/>
  <c r="O68" i="28"/>
  <c r="Z67" i="28"/>
  <c r="Y67" i="28"/>
  <c r="X67" i="28"/>
  <c r="W67" i="28"/>
  <c r="V67" i="28"/>
  <c r="U67" i="28"/>
  <c r="T67" i="28"/>
  <c r="S67" i="28"/>
  <c r="R67" i="28"/>
  <c r="Q67" i="28"/>
  <c r="P67" i="28"/>
  <c r="O67" i="28"/>
  <c r="Z66" i="28"/>
  <c r="Y66" i="28"/>
  <c r="X66" i="28"/>
  <c r="W66" i="28"/>
  <c r="V66" i="28"/>
  <c r="U66" i="28"/>
  <c r="T66" i="28"/>
  <c r="S66" i="28"/>
  <c r="R66" i="28"/>
  <c r="Q66" i="28"/>
  <c r="P66" i="28"/>
  <c r="O66" i="28"/>
  <c r="Z65" i="28"/>
  <c r="Y65" i="28"/>
  <c r="X65" i="28"/>
  <c r="W65" i="28"/>
  <c r="V65" i="28"/>
  <c r="U65" i="28"/>
  <c r="T65" i="28"/>
  <c r="S65" i="28"/>
  <c r="R65" i="28"/>
  <c r="Q65" i="28"/>
  <c r="P65" i="28"/>
  <c r="O65" i="28"/>
  <c r="Z64" i="28"/>
  <c r="Y64" i="28"/>
  <c r="X64" i="28"/>
  <c r="W64" i="28"/>
  <c r="V64" i="28"/>
  <c r="U64" i="28"/>
  <c r="T64" i="28"/>
  <c r="S64" i="28"/>
  <c r="R64" i="28"/>
  <c r="Q64" i="28"/>
  <c r="P64" i="28"/>
  <c r="O64" i="28"/>
  <c r="Z63" i="28"/>
  <c r="Y63" i="28"/>
  <c r="X63" i="28"/>
  <c r="W63" i="28"/>
  <c r="V63" i="28"/>
  <c r="U63" i="28"/>
  <c r="T63" i="28"/>
  <c r="S63" i="28"/>
  <c r="R63" i="28"/>
  <c r="Q63" i="28"/>
  <c r="P63" i="28"/>
  <c r="O63" i="28"/>
  <c r="Z62" i="28"/>
  <c r="Y62" i="28"/>
  <c r="X62" i="28"/>
  <c r="W62" i="28"/>
  <c r="V62" i="28"/>
  <c r="U62" i="28"/>
  <c r="T62" i="28"/>
  <c r="S62" i="28"/>
  <c r="R62" i="28"/>
  <c r="Q62" i="28"/>
  <c r="P62" i="28"/>
  <c r="O62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Z60" i="28"/>
  <c r="Y60" i="28"/>
  <c r="X60" i="28"/>
  <c r="W60" i="28"/>
  <c r="V60" i="28"/>
  <c r="U60" i="28"/>
  <c r="T60" i="28"/>
  <c r="S60" i="28"/>
  <c r="R60" i="28"/>
  <c r="Q60" i="28"/>
  <c r="P60" i="28"/>
  <c r="O60" i="28"/>
  <c r="Z59" i="28"/>
  <c r="Y59" i="28"/>
  <c r="X59" i="28"/>
  <c r="W59" i="28"/>
  <c r="V59" i="28"/>
  <c r="U59" i="28"/>
  <c r="T59" i="28"/>
  <c r="S59" i="28"/>
  <c r="R59" i="28"/>
  <c r="Q59" i="28"/>
  <c r="P59" i="28"/>
  <c r="O59" i="28"/>
  <c r="Z58" i="28"/>
  <c r="Y58" i="28"/>
  <c r="X58" i="28"/>
  <c r="W58" i="28"/>
  <c r="V58" i="28"/>
  <c r="U58" i="28"/>
  <c r="T58" i="28"/>
  <c r="S58" i="28"/>
  <c r="R58" i="28"/>
  <c r="Q58" i="28"/>
  <c r="P58" i="28"/>
  <c r="O58" i="28"/>
  <c r="Z57" i="28"/>
  <c r="Y57" i="28"/>
  <c r="X57" i="28"/>
  <c r="W57" i="28"/>
  <c r="V57" i="28"/>
  <c r="U57" i="28"/>
  <c r="T57" i="28"/>
  <c r="S57" i="28"/>
  <c r="R57" i="28"/>
  <c r="Q57" i="28"/>
  <c r="P57" i="28"/>
  <c r="O57" i="28"/>
  <c r="Z56" i="28"/>
  <c r="Y56" i="28"/>
  <c r="X56" i="28"/>
  <c r="W56" i="28"/>
  <c r="V56" i="28"/>
  <c r="U56" i="28"/>
  <c r="T56" i="28"/>
  <c r="S56" i="28"/>
  <c r="R56" i="28"/>
  <c r="Q56" i="28"/>
  <c r="P56" i="28"/>
  <c r="O56" i="28"/>
  <c r="Z55" i="28"/>
  <c r="Y55" i="28"/>
  <c r="X55" i="28"/>
  <c r="W55" i="28"/>
  <c r="V55" i="28"/>
  <c r="U55" i="28"/>
  <c r="T55" i="28"/>
  <c r="S55" i="28"/>
  <c r="R55" i="28"/>
  <c r="Q55" i="28"/>
  <c r="P55" i="28"/>
  <c r="O55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Z53" i="28"/>
  <c r="Y53" i="28"/>
  <c r="X53" i="28"/>
  <c r="W53" i="28"/>
  <c r="V53" i="28"/>
  <c r="U53" i="28"/>
  <c r="T53" i="28"/>
  <c r="S53" i="28"/>
  <c r="R53" i="28"/>
  <c r="Q53" i="28"/>
  <c r="P53" i="28"/>
  <c r="O53" i="28"/>
  <c r="Z52" i="28"/>
  <c r="Y52" i="28"/>
  <c r="X52" i="28"/>
  <c r="W52" i="28"/>
  <c r="V52" i="28"/>
  <c r="U52" i="28"/>
  <c r="T52" i="28"/>
  <c r="S52" i="28"/>
  <c r="R52" i="28"/>
  <c r="Q52" i="28"/>
  <c r="P52" i="28"/>
  <c r="O52" i="28"/>
  <c r="Z51" i="28"/>
  <c r="Y51" i="28"/>
  <c r="X51" i="28"/>
  <c r="W51" i="28"/>
  <c r="V51" i="28"/>
  <c r="U51" i="28"/>
  <c r="T51" i="28"/>
  <c r="S51" i="28"/>
  <c r="R51" i="28"/>
  <c r="Q51" i="28"/>
  <c r="P51" i="28"/>
  <c r="O51" i="28"/>
  <c r="Z50" i="28"/>
  <c r="Y50" i="28"/>
  <c r="X50" i="28"/>
  <c r="W50" i="28"/>
  <c r="V50" i="28"/>
  <c r="U50" i="28"/>
  <c r="T50" i="28"/>
  <c r="S50" i="28"/>
  <c r="R50" i="28"/>
  <c r="Q50" i="28"/>
  <c r="P50" i="28"/>
  <c r="O50" i="28"/>
  <c r="Z49" i="28"/>
  <c r="Y49" i="28"/>
  <c r="X49" i="28"/>
  <c r="W49" i="28"/>
  <c r="V49" i="28"/>
  <c r="U49" i="28"/>
  <c r="T49" i="28"/>
  <c r="S49" i="28"/>
  <c r="R49" i="28"/>
  <c r="Q49" i="28"/>
  <c r="P49" i="28"/>
  <c r="O49" i="28"/>
  <c r="Z48" i="28"/>
  <c r="Y48" i="28"/>
  <c r="X48" i="28"/>
  <c r="W48" i="28"/>
  <c r="V48" i="28"/>
  <c r="U48" i="28"/>
  <c r="T48" i="28"/>
  <c r="S48" i="28"/>
  <c r="R48" i="28"/>
  <c r="Q48" i="28"/>
  <c r="P48" i="28"/>
  <c r="O48" i="28"/>
  <c r="Z47" i="28"/>
  <c r="Y47" i="28"/>
  <c r="X47" i="28"/>
  <c r="W47" i="28"/>
  <c r="V47" i="28"/>
  <c r="U47" i="28"/>
  <c r="T47" i="28"/>
  <c r="S47" i="28"/>
  <c r="R47" i="28"/>
  <c r="Q47" i="28"/>
  <c r="P47" i="28"/>
  <c r="O47" i="28"/>
  <c r="Z46" i="28"/>
  <c r="Y46" i="28"/>
  <c r="X46" i="28"/>
  <c r="W46" i="28"/>
  <c r="V46" i="28"/>
  <c r="U46" i="28"/>
  <c r="T46" i="28"/>
  <c r="S46" i="28"/>
  <c r="R46" i="28"/>
  <c r="Q46" i="28"/>
  <c r="P46" i="28"/>
  <c r="O46" i="28"/>
  <c r="Z45" i="28"/>
  <c r="Y45" i="28"/>
  <c r="X45" i="28"/>
  <c r="W45" i="28"/>
  <c r="V45" i="28"/>
  <c r="U45" i="28"/>
  <c r="T45" i="28"/>
  <c r="S45" i="28"/>
  <c r="R45" i="28"/>
  <c r="Q45" i="28"/>
  <c r="P45" i="28"/>
  <c r="O45" i="28"/>
  <c r="Z44" i="28"/>
  <c r="Y44" i="28"/>
  <c r="X44" i="28"/>
  <c r="W44" i="28"/>
  <c r="V44" i="28"/>
  <c r="U44" i="28"/>
  <c r="T44" i="28"/>
  <c r="S44" i="28"/>
  <c r="R44" i="28"/>
  <c r="Q44" i="28"/>
  <c r="P44" i="28"/>
  <c r="O44" i="28"/>
  <c r="Z43" i="28"/>
  <c r="Y43" i="28"/>
  <c r="X43" i="28"/>
  <c r="W43" i="28"/>
  <c r="V43" i="28"/>
  <c r="U43" i="28"/>
  <c r="T43" i="28"/>
  <c r="S43" i="28"/>
  <c r="R43" i="28"/>
  <c r="Q43" i="28"/>
  <c r="P43" i="28"/>
  <c r="O43" i="28"/>
  <c r="Z42" i="28"/>
  <c r="Y42" i="28"/>
  <c r="X42" i="28"/>
  <c r="W42" i="28"/>
  <c r="V42" i="28"/>
  <c r="U42" i="28"/>
  <c r="T42" i="28"/>
  <c r="S42" i="28"/>
  <c r="R42" i="28"/>
  <c r="Q42" i="28"/>
  <c r="P42" i="28"/>
  <c r="O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Z34" i="28"/>
  <c r="Y34" i="28"/>
  <c r="X34" i="28"/>
  <c r="W34" i="28"/>
  <c r="V34" i="28"/>
  <c r="U34" i="28"/>
  <c r="T34" i="28"/>
  <c r="S34" i="28"/>
  <c r="R34" i="28"/>
  <c r="Q34" i="28"/>
  <c r="P34" i="28"/>
  <c r="O34" i="28"/>
  <c r="Z33" i="28"/>
  <c r="Y33" i="28"/>
  <c r="X33" i="28"/>
  <c r="W33" i="28"/>
  <c r="V33" i="28"/>
  <c r="U33" i="28"/>
  <c r="T33" i="28"/>
  <c r="S33" i="28"/>
  <c r="R33" i="28"/>
  <c r="Q33" i="28"/>
  <c r="P33" i="28"/>
  <c r="O33" i="28"/>
  <c r="Z32" i="28"/>
  <c r="Y32" i="28"/>
  <c r="X32" i="28"/>
  <c r="W32" i="28"/>
  <c r="V32" i="28"/>
  <c r="U32" i="28"/>
  <c r="T32" i="28"/>
  <c r="S32" i="28"/>
  <c r="R32" i="28"/>
  <c r="Q32" i="28"/>
  <c r="P32" i="28"/>
  <c r="O32" i="28"/>
  <c r="Z31" i="28"/>
  <c r="Y31" i="28"/>
  <c r="X31" i="28"/>
  <c r="W31" i="28"/>
  <c r="V31" i="28"/>
  <c r="U31" i="28"/>
  <c r="T31" i="28"/>
  <c r="S31" i="28"/>
  <c r="R31" i="28"/>
  <c r="Q31" i="28"/>
  <c r="P31" i="28"/>
  <c r="O31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Z24" i="28"/>
  <c r="Y24" i="28"/>
  <c r="X24" i="28"/>
  <c r="W24" i="28"/>
  <c r="V24" i="28"/>
  <c r="U24" i="28"/>
  <c r="T24" i="28"/>
  <c r="S24" i="28"/>
  <c r="R24" i="28"/>
  <c r="Q24" i="28"/>
  <c r="P24" i="28"/>
  <c r="O24" i="28"/>
  <c r="Z23" i="28"/>
  <c r="Y23" i="28"/>
  <c r="X23" i="28"/>
  <c r="W23" i="28"/>
  <c r="V23" i="28"/>
  <c r="U23" i="28"/>
  <c r="T23" i="28"/>
  <c r="S23" i="28"/>
  <c r="R23" i="28"/>
  <c r="Q23" i="28"/>
  <c r="P23" i="28"/>
  <c r="O23" i="28"/>
  <c r="Z22" i="28"/>
  <c r="Y22" i="28"/>
  <c r="X22" i="28"/>
  <c r="W22" i="28"/>
  <c r="V22" i="28"/>
  <c r="U22" i="28"/>
  <c r="T22" i="28"/>
  <c r="S22" i="28"/>
  <c r="R22" i="28"/>
  <c r="Q22" i="28"/>
  <c r="P22" i="28"/>
  <c r="O22" i="28"/>
  <c r="Z21" i="28"/>
  <c r="Y21" i="28"/>
  <c r="X21" i="28"/>
  <c r="W21" i="28"/>
  <c r="V21" i="28"/>
  <c r="U21" i="28"/>
  <c r="T21" i="28"/>
  <c r="S21" i="28"/>
  <c r="R21" i="28"/>
  <c r="Q21" i="28"/>
  <c r="P21" i="28"/>
  <c r="O21" i="28"/>
  <c r="Z20" i="28"/>
  <c r="Y20" i="28"/>
  <c r="X20" i="28"/>
  <c r="W20" i="28"/>
  <c r="V20" i="28"/>
  <c r="U20" i="28"/>
  <c r="T20" i="28"/>
  <c r="S20" i="28"/>
  <c r="R20" i="28"/>
  <c r="Q20" i="28"/>
  <c r="P20" i="28"/>
  <c r="O20" i="28"/>
  <c r="Z19" i="28"/>
  <c r="Y19" i="28"/>
  <c r="X19" i="28"/>
  <c r="W19" i="28"/>
  <c r="V19" i="28"/>
  <c r="U19" i="28"/>
  <c r="T19" i="28"/>
  <c r="S19" i="28"/>
  <c r="R19" i="28"/>
  <c r="Q19" i="28"/>
  <c r="P19" i="28"/>
  <c r="O19" i="28"/>
  <c r="Z18" i="28"/>
  <c r="Y18" i="28"/>
  <c r="X18" i="28"/>
  <c r="W18" i="28"/>
  <c r="V18" i="28"/>
  <c r="U18" i="28"/>
  <c r="T18" i="28"/>
  <c r="S18" i="28"/>
  <c r="R18" i="28"/>
  <c r="Q18" i="28"/>
  <c r="P18" i="28"/>
  <c r="O18" i="28"/>
  <c r="Z17" i="28"/>
  <c r="Y17" i="28"/>
  <c r="X17" i="28"/>
  <c r="W17" i="28"/>
  <c r="V17" i="28"/>
  <c r="U17" i="28"/>
  <c r="T17" i="28"/>
  <c r="S17" i="28"/>
  <c r="R17" i="28"/>
  <c r="Q17" i="28"/>
  <c r="P17" i="28"/>
  <c r="O17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Z15" i="28"/>
  <c r="Y15" i="28"/>
  <c r="X15" i="28"/>
  <c r="W15" i="28"/>
  <c r="V15" i="28"/>
  <c r="U15" i="28"/>
  <c r="T15" i="28"/>
  <c r="S15" i="28"/>
  <c r="R15" i="28"/>
  <c r="Q15" i="28"/>
  <c r="P15" i="28"/>
  <c r="O15" i="28"/>
  <c r="Z14" i="28"/>
  <c r="Y14" i="28"/>
  <c r="X14" i="28"/>
  <c r="W14" i="28"/>
  <c r="V14" i="28"/>
  <c r="U14" i="28"/>
  <c r="T14" i="28"/>
  <c r="S14" i="28"/>
  <c r="R14" i="28"/>
  <c r="Q14" i="28"/>
  <c r="P14" i="28"/>
  <c r="O14" i="28"/>
  <c r="Z13" i="28"/>
  <c r="Y13" i="28"/>
  <c r="X13" i="28"/>
  <c r="W13" i="28"/>
  <c r="V13" i="28"/>
  <c r="U13" i="28"/>
  <c r="T13" i="28"/>
  <c r="S13" i="28"/>
  <c r="R13" i="28"/>
  <c r="Q13" i="28"/>
  <c r="P13" i="28"/>
  <c r="O13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Z11" i="28"/>
  <c r="Y11" i="28"/>
  <c r="X11" i="28"/>
  <c r="W11" i="28"/>
  <c r="V11" i="28"/>
  <c r="U11" i="28"/>
  <c r="T11" i="28"/>
  <c r="S11" i="28"/>
  <c r="R11" i="28"/>
  <c r="Q11" i="28"/>
  <c r="P11" i="28"/>
  <c r="O11" i="28"/>
  <c r="Z10" i="28"/>
  <c r="Y10" i="28"/>
  <c r="X10" i="28"/>
  <c r="W10" i="28"/>
  <c r="V10" i="28"/>
  <c r="U10" i="28"/>
  <c r="T10" i="28"/>
  <c r="S10" i="28"/>
  <c r="R10" i="28"/>
  <c r="Q10" i="28"/>
  <c r="P10" i="28"/>
  <c r="O10" i="28"/>
  <c r="Z9" i="28"/>
  <c r="Y9" i="28"/>
  <c r="X9" i="28"/>
  <c r="W9" i="28"/>
  <c r="V9" i="28"/>
  <c r="U9" i="28"/>
  <c r="T9" i="28"/>
  <c r="S9" i="28"/>
  <c r="R9" i="28"/>
  <c r="Q9" i="28"/>
  <c r="P9" i="28"/>
  <c r="O9" i="28"/>
  <c r="Z8" i="28"/>
  <c r="Y8" i="28"/>
  <c r="X8" i="28"/>
  <c r="W8" i="28"/>
  <c r="V8" i="28"/>
  <c r="U8" i="28"/>
  <c r="T8" i="28"/>
  <c r="S8" i="28"/>
  <c r="R8" i="28"/>
  <c r="Q8" i="28"/>
  <c r="P8" i="28"/>
  <c r="O8" i="28"/>
  <c r="Z7" i="28"/>
  <c r="Y7" i="28"/>
  <c r="X7" i="28"/>
  <c r="W7" i="28"/>
  <c r="V7" i="28"/>
  <c r="U7" i="28"/>
  <c r="T7" i="28"/>
  <c r="S7" i="28"/>
  <c r="R7" i="28"/>
  <c r="Q7" i="28"/>
  <c r="P7" i="28"/>
  <c r="O7" i="28"/>
  <c r="AJ92" i="28"/>
  <c r="AI92" i="28"/>
  <c r="AH92" i="28"/>
  <c r="AG92" i="28"/>
  <c r="AF92" i="28"/>
  <c r="AE92" i="28"/>
  <c r="AD92" i="28"/>
  <c r="AC92" i="28"/>
  <c r="AB92" i="28"/>
  <c r="AA92" i="28"/>
  <c r="AJ91" i="28"/>
  <c r="AI91" i="28"/>
  <c r="AH91" i="28"/>
  <c r="AG91" i="28"/>
  <c r="AF91" i="28"/>
  <c r="AE91" i="28"/>
  <c r="AD91" i="28"/>
  <c r="AC91" i="28"/>
  <c r="AB91" i="28"/>
  <c r="AA91" i="28"/>
  <c r="AJ90" i="28"/>
  <c r="AI90" i="28"/>
  <c r="AH90" i="28"/>
  <c r="AG90" i="28"/>
  <c r="AF90" i="28"/>
  <c r="AE90" i="28"/>
  <c r="AD90" i="28"/>
  <c r="AC90" i="28"/>
  <c r="AB90" i="28"/>
  <c r="AA90" i="28"/>
  <c r="AJ89" i="28"/>
  <c r="AI89" i="28"/>
  <c r="AH89" i="28"/>
  <c r="AG89" i="28"/>
  <c r="AF89" i="28"/>
  <c r="AE89" i="28"/>
  <c r="AD89" i="28"/>
  <c r="AC89" i="28"/>
  <c r="AB89" i="28"/>
  <c r="AA89" i="28"/>
  <c r="AJ88" i="28"/>
  <c r="AI88" i="28"/>
  <c r="AH88" i="28"/>
  <c r="AG88" i="28"/>
  <c r="AF88" i="28"/>
  <c r="AE88" i="28"/>
  <c r="AD88" i="28"/>
  <c r="AC88" i="28"/>
  <c r="AB88" i="28"/>
  <c r="AA88" i="28"/>
  <c r="AJ87" i="28"/>
  <c r="AI87" i="28"/>
  <c r="AH87" i="28"/>
  <c r="AG87" i="28"/>
  <c r="AF87" i="28"/>
  <c r="AE87" i="28"/>
  <c r="AD87" i="28"/>
  <c r="AC87" i="28"/>
  <c r="AB87" i="28"/>
  <c r="AA87" i="28"/>
  <c r="AJ86" i="28"/>
  <c r="AI86" i="28"/>
  <c r="AH86" i="28"/>
  <c r="AG86" i="28"/>
  <c r="AF86" i="28"/>
  <c r="AE86" i="28"/>
  <c r="AD86" i="28"/>
  <c r="AC86" i="28"/>
  <c r="AB86" i="28"/>
  <c r="AA86" i="28"/>
  <c r="AJ85" i="28"/>
  <c r="AI85" i="28"/>
  <c r="AH85" i="28"/>
  <c r="AG85" i="28"/>
  <c r="AF85" i="28"/>
  <c r="AE85" i="28"/>
  <c r="AD85" i="28"/>
  <c r="AC85" i="28"/>
  <c r="AB85" i="28"/>
  <c r="AA85" i="28"/>
  <c r="AJ84" i="28"/>
  <c r="AI84" i="28"/>
  <c r="AH84" i="28"/>
  <c r="AG84" i="28"/>
  <c r="AF84" i="28"/>
  <c r="AE84" i="28"/>
  <c r="AD84" i="28"/>
  <c r="AC84" i="28"/>
  <c r="AB84" i="28"/>
  <c r="AA84" i="28"/>
  <c r="AJ83" i="28"/>
  <c r="AI83" i="28"/>
  <c r="AH83" i="28"/>
  <c r="AG83" i="28"/>
  <c r="AF83" i="28"/>
  <c r="AE83" i="28"/>
  <c r="AD83" i="28"/>
  <c r="AC83" i="28"/>
  <c r="AB83" i="28"/>
  <c r="AA83" i="28"/>
  <c r="AJ82" i="28"/>
  <c r="AI82" i="28"/>
  <c r="AH82" i="28"/>
  <c r="AG82" i="28"/>
  <c r="AF82" i="28"/>
  <c r="AE82" i="28"/>
  <c r="AD82" i="28"/>
  <c r="AC82" i="28"/>
  <c r="AB82" i="28"/>
  <c r="AA82" i="28"/>
  <c r="AJ81" i="28"/>
  <c r="AI81" i="28"/>
  <c r="AH81" i="28"/>
  <c r="AG81" i="28"/>
  <c r="AF81" i="28"/>
  <c r="AE81" i="28"/>
  <c r="AD81" i="28"/>
  <c r="AC81" i="28"/>
  <c r="AB81" i="28"/>
  <c r="AA81" i="28"/>
  <c r="AJ80" i="28"/>
  <c r="AI80" i="28"/>
  <c r="AH80" i="28"/>
  <c r="AG80" i="28"/>
  <c r="AF80" i="28"/>
  <c r="AE80" i="28"/>
  <c r="AD80" i="28"/>
  <c r="AC80" i="28"/>
  <c r="AB80" i="28"/>
  <c r="AA80" i="28"/>
  <c r="AI76" i="28"/>
  <c r="AE76" i="28"/>
  <c r="AA76" i="28"/>
  <c r="AJ74" i="28"/>
  <c r="AI74" i="28"/>
  <c r="AH74" i="28"/>
  <c r="AG74" i="28"/>
  <c r="AF74" i="28"/>
  <c r="AE74" i="28"/>
  <c r="AD74" i="28"/>
  <c r="AC74" i="28"/>
  <c r="AB74" i="28"/>
  <c r="AA74" i="28"/>
  <c r="AJ73" i="28"/>
  <c r="AI73" i="28"/>
  <c r="AH73" i="28"/>
  <c r="AG73" i="28"/>
  <c r="AF73" i="28"/>
  <c r="AE73" i="28"/>
  <c r="AD73" i="28"/>
  <c r="AC73" i="28"/>
  <c r="AB73" i="28"/>
  <c r="AA73" i="28"/>
  <c r="AJ72" i="28"/>
  <c r="AI72" i="28"/>
  <c r="AH72" i="28"/>
  <c r="AG72" i="28"/>
  <c r="AF72" i="28"/>
  <c r="AE72" i="28"/>
  <c r="AD72" i="28"/>
  <c r="AC72" i="28"/>
  <c r="AB72" i="28"/>
  <c r="AA72" i="28"/>
  <c r="AJ71" i="28"/>
  <c r="AI71" i="28"/>
  <c r="AH71" i="28"/>
  <c r="AG71" i="28"/>
  <c r="AF71" i="28"/>
  <c r="AE71" i="28"/>
  <c r="AD71" i="28"/>
  <c r="AC71" i="28"/>
  <c r="AB71" i="28"/>
  <c r="AA71" i="28"/>
  <c r="AJ70" i="28"/>
  <c r="AI70" i="28"/>
  <c r="AH70" i="28"/>
  <c r="AG70" i="28"/>
  <c r="AF70" i="28"/>
  <c r="AE70" i="28"/>
  <c r="AD70" i="28"/>
  <c r="AC70" i="28"/>
  <c r="AB70" i="28"/>
  <c r="AA70" i="28"/>
  <c r="AJ69" i="28"/>
  <c r="AI69" i="28"/>
  <c r="AH69" i="28"/>
  <c r="AG69" i="28"/>
  <c r="AF69" i="28"/>
  <c r="AE69" i="28"/>
  <c r="AD69" i="28"/>
  <c r="AC69" i="28"/>
  <c r="AB69" i="28"/>
  <c r="AA69" i="28"/>
  <c r="AJ68" i="28"/>
  <c r="AI68" i="28"/>
  <c r="AH68" i="28"/>
  <c r="AG68" i="28"/>
  <c r="AF68" i="28"/>
  <c r="AE68" i="28"/>
  <c r="AD68" i="28"/>
  <c r="AC68" i="28"/>
  <c r="AB68" i="28"/>
  <c r="AA68" i="28"/>
  <c r="AJ67" i="28"/>
  <c r="AI67" i="28"/>
  <c r="AH67" i="28"/>
  <c r="AG67" i="28"/>
  <c r="AF67" i="28"/>
  <c r="AE67" i="28"/>
  <c r="AD67" i="28"/>
  <c r="AC67" i="28"/>
  <c r="AB67" i="28"/>
  <c r="AA67" i="28"/>
  <c r="AJ66" i="28"/>
  <c r="AI66" i="28"/>
  <c r="AH66" i="28"/>
  <c r="AG66" i="28"/>
  <c r="AF66" i="28"/>
  <c r="AE66" i="28"/>
  <c r="AD66" i="28"/>
  <c r="AC66" i="28"/>
  <c r="AB66" i="28"/>
  <c r="AA66" i="28"/>
  <c r="AJ65" i="28"/>
  <c r="AI65" i="28"/>
  <c r="AH65" i="28"/>
  <c r="AG65" i="28"/>
  <c r="AF65" i="28"/>
  <c r="AE65" i="28"/>
  <c r="AD65" i="28"/>
  <c r="AC65" i="28"/>
  <c r="AB65" i="28"/>
  <c r="AA65" i="28"/>
  <c r="AJ64" i="28"/>
  <c r="AI64" i="28"/>
  <c r="AH64" i="28"/>
  <c r="AG64" i="28"/>
  <c r="AF64" i="28"/>
  <c r="AE64" i="28"/>
  <c r="AD64" i="28"/>
  <c r="AC64" i="28"/>
  <c r="AB64" i="28"/>
  <c r="AA64" i="28"/>
  <c r="AJ63" i="28"/>
  <c r="AI63" i="28"/>
  <c r="AH63" i="28"/>
  <c r="AG63" i="28"/>
  <c r="AF63" i="28"/>
  <c r="AE63" i="28"/>
  <c r="AD63" i="28"/>
  <c r="AC63" i="28"/>
  <c r="AB63" i="28"/>
  <c r="AA63" i="28"/>
  <c r="AJ62" i="28"/>
  <c r="AI62" i="28"/>
  <c r="AH62" i="28"/>
  <c r="AG62" i="28"/>
  <c r="AF62" i="28"/>
  <c r="AE62" i="28"/>
  <c r="AD62" i="28"/>
  <c r="AC62" i="28"/>
  <c r="AB62" i="28"/>
  <c r="AA62" i="28"/>
  <c r="AJ61" i="28"/>
  <c r="AI61" i="28"/>
  <c r="AH61" i="28"/>
  <c r="AG61" i="28"/>
  <c r="AF61" i="28"/>
  <c r="AE61" i="28"/>
  <c r="AD61" i="28"/>
  <c r="AC61" i="28"/>
  <c r="AB61" i="28"/>
  <c r="AA61" i="28"/>
  <c r="AJ60" i="28"/>
  <c r="AI60" i="28"/>
  <c r="AH60" i="28"/>
  <c r="AG60" i="28"/>
  <c r="AF60" i="28"/>
  <c r="AE60" i="28"/>
  <c r="AD60" i="28"/>
  <c r="AC60" i="28"/>
  <c r="AB60" i="28"/>
  <c r="AA60" i="28"/>
  <c r="AJ59" i="28"/>
  <c r="AI59" i="28"/>
  <c r="AH59" i="28"/>
  <c r="AG59" i="28"/>
  <c r="AF59" i="28"/>
  <c r="AE59" i="28"/>
  <c r="AD59" i="28"/>
  <c r="AC59" i="28"/>
  <c r="AB59" i="28"/>
  <c r="AA59" i="28"/>
  <c r="AJ58" i="28"/>
  <c r="AI58" i="28"/>
  <c r="AH58" i="28"/>
  <c r="AG58" i="28"/>
  <c r="AF58" i="28"/>
  <c r="AE58" i="28"/>
  <c r="AD58" i="28"/>
  <c r="AC58" i="28"/>
  <c r="AB58" i="28"/>
  <c r="AA58" i="28"/>
  <c r="AJ57" i="28"/>
  <c r="AI57" i="28"/>
  <c r="AH57" i="28"/>
  <c r="AG57" i="28"/>
  <c r="AF57" i="28"/>
  <c r="AE57" i="28"/>
  <c r="AD57" i="28"/>
  <c r="AC57" i="28"/>
  <c r="AB57" i="28"/>
  <c r="AA57" i="28"/>
  <c r="AJ56" i="28"/>
  <c r="AI56" i="28"/>
  <c r="AH56" i="28"/>
  <c r="AG56" i="28"/>
  <c r="AF56" i="28"/>
  <c r="AE56" i="28"/>
  <c r="AD56" i="28"/>
  <c r="AC56" i="28"/>
  <c r="AB56" i="28"/>
  <c r="AA56" i="28"/>
  <c r="AJ55" i="28"/>
  <c r="AI55" i="28"/>
  <c r="AH55" i="28"/>
  <c r="AG55" i="28"/>
  <c r="AF55" i="28"/>
  <c r="AE55" i="28"/>
  <c r="AD55" i="28"/>
  <c r="AC55" i="28"/>
  <c r="AB55" i="28"/>
  <c r="AA55" i="28"/>
  <c r="AJ54" i="28"/>
  <c r="AI54" i="28"/>
  <c r="AH54" i="28"/>
  <c r="AG54" i="28"/>
  <c r="AF54" i="28"/>
  <c r="AE54" i="28"/>
  <c r="AD54" i="28"/>
  <c r="AC54" i="28"/>
  <c r="AB54" i="28"/>
  <c r="AA54" i="28"/>
  <c r="AJ53" i="28"/>
  <c r="AI53" i="28"/>
  <c r="AH53" i="28"/>
  <c r="AG53" i="28"/>
  <c r="AF53" i="28"/>
  <c r="AE53" i="28"/>
  <c r="AD53" i="28"/>
  <c r="AC53" i="28"/>
  <c r="AB53" i="28"/>
  <c r="AA53" i="28"/>
  <c r="AJ52" i="28"/>
  <c r="AI52" i="28"/>
  <c r="AH52" i="28"/>
  <c r="AG52" i="28"/>
  <c r="AF52" i="28"/>
  <c r="AE52" i="28"/>
  <c r="AD52" i="28"/>
  <c r="AC52" i="28"/>
  <c r="AB52" i="28"/>
  <c r="AA52" i="28"/>
  <c r="AJ51" i="28"/>
  <c r="AI51" i="28"/>
  <c r="AH51" i="28"/>
  <c r="AG51" i="28"/>
  <c r="AF51" i="28"/>
  <c r="AE51" i="28"/>
  <c r="AD51" i="28"/>
  <c r="AC51" i="28"/>
  <c r="AB51" i="28"/>
  <c r="AA51" i="28"/>
  <c r="AJ50" i="28"/>
  <c r="AI50" i="28"/>
  <c r="AH50" i="28"/>
  <c r="AG50" i="28"/>
  <c r="AF50" i="28"/>
  <c r="AE50" i="28"/>
  <c r="AD50" i="28"/>
  <c r="AC50" i="28"/>
  <c r="AB50" i="28"/>
  <c r="AA50" i="28"/>
  <c r="AJ49" i="28"/>
  <c r="AI49" i="28"/>
  <c r="AH49" i="28"/>
  <c r="AG49" i="28"/>
  <c r="AF49" i="28"/>
  <c r="AE49" i="28"/>
  <c r="AD49" i="28"/>
  <c r="AC49" i="28"/>
  <c r="AB49" i="28"/>
  <c r="AA49" i="28"/>
  <c r="AJ48" i="28"/>
  <c r="AI48" i="28"/>
  <c r="AH48" i="28"/>
  <c r="AG48" i="28"/>
  <c r="AF48" i="28"/>
  <c r="AE48" i="28"/>
  <c r="AD48" i="28"/>
  <c r="AC48" i="28"/>
  <c r="AB48" i="28"/>
  <c r="AA48" i="28"/>
  <c r="AJ47" i="28"/>
  <c r="AI47" i="28"/>
  <c r="AH47" i="28"/>
  <c r="AG47" i="28"/>
  <c r="AF47" i="28"/>
  <c r="AE47" i="28"/>
  <c r="AD47" i="28"/>
  <c r="AC47" i="28"/>
  <c r="AB47" i="28"/>
  <c r="AA47" i="28"/>
  <c r="AJ46" i="28"/>
  <c r="AI46" i="28"/>
  <c r="AH46" i="28"/>
  <c r="AG46" i="28"/>
  <c r="AF46" i="28"/>
  <c r="AE46" i="28"/>
  <c r="AD46" i="28"/>
  <c r="AC46" i="28"/>
  <c r="AB46" i="28"/>
  <c r="AA46" i="28"/>
  <c r="AJ45" i="28"/>
  <c r="AI45" i="28"/>
  <c r="AH45" i="28"/>
  <c r="AG45" i="28"/>
  <c r="AF45" i="28"/>
  <c r="AE45" i="28"/>
  <c r="AD45" i="28"/>
  <c r="AC45" i="28"/>
  <c r="AB45" i="28"/>
  <c r="AA45" i="28"/>
  <c r="AJ44" i="28"/>
  <c r="AI44" i="28"/>
  <c r="AH44" i="28"/>
  <c r="AG44" i="28"/>
  <c r="AF44" i="28"/>
  <c r="AE44" i="28"/>
  <c r="AD44" i="28"/>
  <c r="AC44" i="28"/>
  <c r="AB44" i="28"/>
  <c r="AA44" i="28"/>
  <c r="AJ43" i="28"/>
  <c r="AI43" i="28"/>
  <c r="AH43" i="28"/>
  <c r="AG43" i="28"/>
  <c r="AF43" i="28"/>
  <c r="AE43" i="28"/>
  <c r="AD43" i="28"/>
  <c r="AC43" i="28"/>
  <c r="AB43" i="28"/>
  <c r="AA43" i="28"/>
  <c r="AJ42" i="28"/>
  <c r="AI42" i="28"/>
  <c r="AH42" i="28"/>
  <c r="AG42" i="28"/>
  <c r="AF42" i="28"/>
  <c r="AE42" i="28"/>
  <c r="AD42" i="28"/>
  <c r="AC42" i="28"/>
  <c r="AB42" i="28"/>
  <c r="AA42" i="28"/>
  <c r="AJ41" i="28"/>
  <c r="AI41" i="28"/>
  <c r="AH41" i="28"/>
  <c r="AG41" i="28"/>
  <c r="AF41" i="28"/>
  <c r="AE41" i="28"/>
  <c r="AD41" i="28"/>
  <c r="AC41" i="28"/>
  <c r="AB41" i="28"/>
  <c r="AA41" i="28"/>
  <c r="AJ40" i="28"/>
  <c r="AI40" i="28"/>
  <c r="AH40" i="28"/>
  <c r="AG40" i="28"/>
  <c r="AF40" i="28"/>
  <c r="AE40" i="28"/>
  <c r="AD40" i="28"/>
  <c r="AC40" i="28"/>
  <c r="AB40" i="28"/>
  <c r="AA40" i="28"/>
  <c r="AJ39" i="28"/>
  <c r="AI39" i="28"/>
  <c r="AH39" i="28"/>
  <c r="AG39" i="28"/>
  <c r="AF39" i="28"/>
  <c r="AE39" i="28"/>
  <c r="AD39" i="28"/>
  <c r="AC39" i="28"/>
  <c r="AB39" i="28"/>
  <c r="AA39" i="28"/>
  <c r="AJ38" i="28"/>
  <c r="AI38" i="28"/>
  <c r="AH38" i="28"/>
  <c r="AG38" i="28"/>
  <c r="AF38" i="28"/>
  <c r="AE38" i="28"/>
  <c r="AD38" i="28"/>
  <c r="AC38" i="28"/>
  <c r="AB38" i="28"/>
  <c r="AA38" i="28"/>
  <c r="AJ37" i="28"/>
  <c r="AI37" i="28"/>
  <c r="AH37" i="28"/>
  <c r="AG37" i="28"/>
  <c r="AF37" i="28"/>
  <c r="AE37" i="28"/>
  <c r="AD37" i="28"/>
  <c r="AC37" i="28"/>
  <c r="AB37" i="28"/>
  <c r="AA37" i="28"/>
  <c r="AJ36" i="28"/>
  <c r="AI36" i="28"/>
  <c r="AH36" i="28"/>
  <c r="AG36" i="28"/>
  <c r="AF36" i="28"/>
  <c r="AE36" i="28"/>
  <c r="AD36" i="28"/>
  <c r="AC36" i="28"/>
  <c r="AB36" i="28"/>
  <c r="AA36" i="28"/>
  <c r="AJ35" i="28"/>
  <c r="AI35" i="28"/>
  <c r="AH35" i="28"/>
  <c r="AG35" i="28"/>
  <c r="AF35" i="28"/>
  <c r="AE35" i="28"/>
  <c r="AD35" i="28"/>
  <c r="AC35" i="28"/>
  <c r="AB35" i="28"/>
  <c r="AA35" i="28"/>
  <c r="AJ34" i="28"/>
  <c r="AI34" i="28"/>
  <c r="AH34" i="28"/>
  <c r="AG34" i="28"/>
  <c r="AF34" i="28"/>
  <c r="AE34" i="28"/>
  <c r="AD34" i="28"/>
  <c r="AC34" i="28"/>
  <c r="AB34" i="28"/>
  <c r="AA34" i="28"/>
  <c r="AJ33" i="28"/>
  <c r="AI33" i="28"/>
  <c r="AH33" i="28"/>
  <c r="AG33" i="28"/>
  <c r="AF33" i="28"/>
  <c r="AE33" i="28"/>
  <c r="AD33" i="28"/>
  <c r="AC33" i="28"/>
  <c r="AB33" i="28"/>
  <c r="AA33" i="28"/>
  <c r="AJ32" i="28"/>
  <c r="AI32" i="28"/>
  <c r="AH32" i="28"/>
  <c r="AG32" i="28"/>
  <c r="AF32" i="28"/>
  <c r="AE32" i="28"/>
  <c r="AD32" i="28"/>
  <c r="AC32" i="28"/>
  <c r="AB32" i="28"/>
  <c r="AA32" i="28"/>
  <c r="AJ31" i="28"/>
  <c r="AI31" i="28"/>
  <c r="AH31" i="28"/>
  <c r="AG31" i="28"/>
  <c r="AF31" i="28"/>
  <c r="AE31" i="28"/>
  <c r="AD31" i="28"/>
  <c r="AC31" i="28"/>
  <c r="AB31" i="28"/>
  <c r="AA31" i="28"/>
  <c r="AJ30" i="28"/>
  <c r="AI30" i="28"/>
  <c r="AH30" i="28"/>
  <c r="AG30" i="28"/>
  <c r="AF30" i="28"/>
  <c r="AE30" i="28"/>
  <c r="AD30" i="28"/>
  <c r="AC30" i="28"/>
  <c r="AB30" i="28"/>
  <c r="AA30" i="28"/>
  <c r="AJ29" i="28"/>
  <c r="AI29" i="28"/>
  <c r="AH29" i="28"/>
  <c r="AG29" i="28"/>
  <c r="AF29" i="28"/>
  <c r="AE29" i="28"/>
  <c r="AD29" i="28"/>
  <c r="AC29" i="28"/>
  <c r="AB29" i="28"/>
  <c r="AA29" i="28"/>
  <c r="AJ28" i="28"/>
  <c r="AI28" i="28"/>
  <c r="AH28" i="28"/>
  <c r="AG28" i="28"/>
  <c r="AF28" i="28"/>
  <c r="AE28" i="28"/>
  <c r="AD28" i="28"/>
  <c r="AC28" i="28"/>
  <c r="AB28" i="28"/>
  <c r="AA28" i="28"/>
  <c r="AJ27" i="28"/>
  <c r="AI27" i="28"/>
  <c r="AH27" i="28"/>
  <c r="AG27" i="28"/>
  <c r="AF27" i="28"/>
  <c r="AE27" i="28"/>
  <c r="AD27" i="28"/>
  <c r="AC27" i="28"/>
  <c r="AB27" i="28"/>
  <c r="AA27" i="28"/>
  <c r="AJ26" i="28"/>
  <c r="AI26" i="28"/>
  <c r="AH26" i="28"/>
  <c r="AG26" i="28"/>
  <c r="AF26" i="28"/>
  <c r="AE26" i="28"/>
  <c r="AD26" i="28"/>
  <c r="AC26" i="28"/>
  <c r="AB26" i="28"/>
  <c r="AA26" i="28"/>
  <c r="AJ25" i="28"/>
  <c r="AI25" i="28"/>
  <c r="AH25" i="28"/>
  <c r="AG25" i="28"/>
  <c r="AF25" i="28"/>
  <c r="AE25" i="28"/>
  <c r="AD25" i="28"/>
  <c r="AC25" i="28"/>
  <c r="AB25" i="28"/>
  <c r="AA25" i="28"/>
  <c r="AJ24" i="28"/>
  <c r="AI24" i="28"/>
  <c r="AH24" i="28"/>
  <c r="AG24" i="28"/>
  <c r="AF24" i="28"/>
  <c r="AE24" i="28"/>
  <c r="AD24" i="28"/>
  <c r="AC24" i="28"/>
  <c r="AB24" i="28"/>
  <c r="AA24" i="28"/>
  <c r="AJ23" i="28"/>
  <c r="AI23" i="28"/>
  <c r="AH23" i="28"/>
  <c r="AG23" i="28"/>
  <c r="AF23" i="28"/>
  <c r="AE23" i="28"/>
  <c r="AD23" i="28"/>
  <c r="AC23" i="28"/>
  <c r="AB23" i="28"/>
  <c r="AA23" i="28"/>
  <c r="AJ22" i="28"/>
  <c r="AI22" i="28"/>
  <c r="AH22" i="28"/>
  <c r="AG22" i="28"/>
  <c r="AF22" i="28"/>
  <c r="AE22" i="28"/>
  <c r="AD22" i="28"/>
  <c r="AC22" i="28"/>
  <c r="AB22" i="28"/>
  <c r="AA22" i="28"/>
  <c r="AJ21" i="28"/>
  <c r="AI21" i="28"/>
  <c r="AH21" i="28"/>
  <c r="AG21" i="28"/>
  <c r="AF21" i="28"/>
  <c r="AE21" i="28"/>
  <c r="AD21" i="28"/>
  <c r="AC21" i="28"/>
  <c r="AB21" i="28"/>
  <c r="AA21" i="28"/>
  <c r="AJ20" i="28"/>
  <c r="AI20" i="28"/>
  <c r="AH20" i="28"/>
  <c r="AG20" i="28"/>
  <c r="AF20" i="28"/>
  <c r="AE20" i="28"/>
  <c r="AD20" i="28"/>
  <c r="AC20" i="28"/>
  <c r="AB20" i="28"/>
  <c r="AA20" i="28"/>
  <c r="AJ19" i="28"/>
  <c r="AI19" i="28"/>
  <c r="AH19" i="28"/>
  <c r="AG19" i="28"/>
  <c r="AF19" i="28"/>
  <c r="AE19" i="28"/>
  <c r="AD19" i="28"/>
  <c r="AC19" i="28"/>
  <c r="AB19" i="28"/>
  <c r="AA19" i="28"/>
  <c r="AJ18" i="28"/>
  <c r="AI18" i="28"/>
  <c r="AH18" i="28"/>
  <c r="AG18" i="28"/>
  <c r="AF18" i="28"/>
  <c r="AE18" i="28"/>
  <c r="AD18" i="28"/>
  <c r="AC18" i="28"/>
  <c r="AB18" i="28"/>
  <c r="AA18" i="28"/>
  <c r="AJ17" i="28"/>
  <c r="AI17" i="28"/>
  <c r="AH17" i="28"/>
  <c r="AG17" i="28"/>
  <c r="AF17" i="28"/>
  <c r="AE17" i="28"/>
  <c r="AD17" i="28"/>
  <c r="AC17" i="28"/>
  <c r="AB17" i="28"/>
  <c r="AA17" i="28"/>
  <c r="AJ16" i="28"/>
  <c r="AI16" i="28"/>
  <c r="AH16" i="28"/>
  <c r="AG16" i="28"/>
  <c r="AF16" i="28"/>
  <c r="AE16" i="28"/>
  <c r="AD16" i="28"/>
  <c r="AC16" i="28"/>
  <c r="AB16" i="28"/>
  <c r="AA16" i="28"/>
  <c r="AJ15" i="28"/>
  <c r="AI15" i="28"/>
  <c r="AH15" i="28"/>
  <c r="AG15" i="28"/>
  <c r="AF15" i="28"/>
  <c r="AE15" i="28"/>
  <c r="AD15" i="28"/>
  <c r="AC15" i="28"/>
  <c r="AB15" i="28"/>
  <c r="AA15" i="28"/>
  <c r="AJ14" i="28"/>
  <c r="AI14" i="28"/>
  <c r="AH14" i="28"/>
  <c r="AG14" i="28"/>
  <c r="AF14" i="28"/>
  <c r="AE14" i="28"/>
  <c r="AD14" i="28"/>
  <c r="AC14" i="28"/>
  <c r="AB14" i="28"/>
  <c r="AA14" i="28"/>
  <c r="AJ13" i="28"/>
  <c r="AI13" i="28"/>
  <c r="AH13" i="28"/>
  <c r="AG13" i="28"/>
  <c r="AF13" i="28"/>
  <c r="AE13" i="28"/>
  <c r="AD13" i="28"/>
  <c r="AC13" i="28"/>
  <c r="AB13" i="28"/>
  <c r="AA13" i="28"/>
  <c r="AJ12" i="28"/>
  <c r="AI12" i="28"/>
  <c r="AH12" i="28"/>
  <c r="AG12" i="28"/>
  <c r="AF12" i="28"/>
  <c r="AE12" i="28"/>
  <c r="AD12" i="28"/>
  <c r="AC12" i="28"/>
  <c r="AB12" i="28"/>
  <c r="AA12" i="28"/>
  <c r="AJ11" i="28"/>
  <c r="AI11" i="28"/>
  <c r="AH11" i="28"/>
  <c r="AG11" i="28"/>
  <c r="AF11" i="28"/>
  <c r="AE11" i="28"/>
  <c r="AD11" i="28"/>
  <c r="AC11" i="28"/>
  <c r="AB11" i="28"/>
  <c r="AA11" i="28"/>
  <c r="AJ10" i="28"/>
  <c r="AI10" i="28"/>
  <c r="AH10" i="28"/>
  <c r="AG10" i="28"/>
  <c r="AF10" i="28"/>
  <c r="AE10" i="28"/>
  <c r="AD10" i="28"/>
  <c r="AC10" i="28"/>
  <c r="AB10" i="28"/>
  <c r="AA10" i="28"/>
  <c r="AJ9" i="28"/>
  <c r="AI9" i="28"/>
  <c r="AH9" i="28"/>
  <c r="AG9" i="28"/>
  <c r="AF9" i="28"/>
  <c r="AE9" i="28"/>
  <c r="AD9" i="28"/>
  <c r="AC9" i="28"/>
  <c r="AB9" i="28"/>
  <c r="AA9" i="28"/>
  <c r="AJ8" i="28"/>
  <c r="AI8" i="28"/>
  <c r="AH8" i="28"/>
  <c r="AG8" i="28"/>
  <c r="AF8" i="28"/>
  <c r="AE8" i="28"/>
  <c r="AD8" i="28"/>
  <c r="AC8" i="28"/>
  <c r="AB8" i="28"/>
  <c r="AA8" i="28"/>
  <c r="AJ7" i="28"/>
  <c r="AI7" i="28"/>
  <c r="AH7" i="28"/>
  <c r="AG7" i="28"/>
  <c r="AF7" i="28"/>
  <c r="AE7" i="28"/>
  <c r="AD7" i="28"/>
  <c r="AC7" i="28"/>
  <c r="AB7" i="28"/>
  <c r="AA7" i="28"/>
  <c r="AJ92" i="2"/>
  <c r="AI92" i="2"/>
  <c r="AH92" i="2"/>
  <c r="AG92" i="2"/>
  <c r="AF92" i="2"/>
  <c r="AE92" i="2"/>
  <c r="AD92" i="2"/>
  <c r="AC92" i="2"/>
  <c r="AB92" i="2"/>
  <c r="AA92" i="2"/>
  <c r="AJ91" i="2"/>
  <c r="AI91" i="2"/>
  <c r="AH91" i="2"/>
  <c r="AG91" i="2"/>
  <c r="AF91" i="2"/>
  <c r="AE91" i="2"/>
  <c r="AD91" i="2"/>
  <c r="AC91" i="2"/>
  <c r="AB91" i="2"/>
  <c r="AA91" i="2"/>
  <c r="AJ90" i="2"/>
  <c r="AI90" i="2"/>
  <c r="AH90" i="2"/>
  <c r="AG90" i="2"/>
  <c r="AF90" i="2"/>
  <c r="AE90" i="2"/>
  <c r="AD90" i="2"/>
  <c r="AC90" i="2"/>
  <c r="AB90" i="2"/>
  <c r="AA90" i="2"/>
  <c r="AJ89" i="2"/>
  <c r="AI89" i="2"/>
  <c r="AH89" i="2"/>
  <c r="AG89" i="2"/>
  <c r="AF89" i="2"/>
  <c r="AE89" i="2"/>
  <c r="AD89" i="2"/>
  <c r="AC89" i="2"/>
  <c r="AB89" i="2"/>
  <c r="AA89" i="2"/>
  <c r="AJ88" i="2"/>
  <c r="AI88" i="2"/>
  <c r="AH88" i="2"/>
  <c r="AG88" i="2"/>
  <c r="AF88" i="2"/>
  <c r="AE88" i="2"/>
  <c r="AD88" i="2"/>
  <c r="AC88" i="2"/>
  <c r="AB88" i="2"/>
  <c r="AA88" i="2"/>
  <c r="AJ87" i="2"/>
  <c r="AI87" i="2"/>
  <c r="AH87" i="2"/>
  <c r="AG87" i="2"/>
  <c r="AF87" i="2"/>
  <c r="AE87" i="2"/>
  <c r="AD87" i="2"/>
  <c r="AC87" i="2"/>
  <c r="AB87" i="2"/>
  <c r="AA87" i="2"/>
  <c r="AJ86" i="2"/>
  <c r="AI86" i="2"/>
  <c r="AH86" i="2"/>
  <c r="AG86" i="2"/>
  <c r="AF86" i="2"/>
  <c r="AE86" i="2"/>
  <c r="AD86" i="2"/>
  <c r="AC86" i="2"/>
  <c r="AB86" i="2"/>
  <c r="AA86" i="2"/>
  <c r="AJ85" i="2"/>
  <c r="AI85" i="2"/>
  <c r="AH85" i="2"/>
  <c r="AG85" i="2"/>
  <c r="AF85" i="2"/>
  <c r="AE85" i="2"/>
  <c r="AD85" i="2"/>
  <c r="AC85" i="2"/>
  <c r="AB85" i="2"/>
  <c r="AA85" i="2"/>
  <c r="AJ84" i="2"/>
  <c r="AI84" i="2"/>
  <c r="AH84" i="2"/>
  <c r="AG84" i="2"/>
  <c r="AF84" i="2"/>
  <c r="AE84" i="2"/>
  <c r="AD84" i="2"/>
  <c r="AC84" i="2"/>
  <c r="AB84" i="2"/>
  <c r="AA84" i="2"/>
  <c r="AJ83" i="2"/>
  <c r="AI83" i="2"/>
  <c r="AH83" i="2"/>
  <c r="AG83" i="2"/>
  <c r="AF83" i="2"/>
  <c r="AE83" i="2"/>
  <c r="AD83" i="2"/>
  <c r="AC83" i="2"/>
  <c r="AB83" i="2"/>
  <c r="AA83" i="2"/>
  <c r="AJ82" i="2"/>
  <c r="AI82" i="2"/>
  <c r="AH82" i="2"/>
  <c r="AG82" i="2"/>
  <c r="AF82" i="2"/>
  <c r="AE82" i="2"/>
  <c r="AD82" i="2"/>
  <c r="AC82" i="2"/>
  <c r="AB82" i="2"/>
  <c r="AA82" i="2"/>
  <c r="AJ81" i="2"/>
  <c r="AI81" i="2"/>
  <c r="AH81" i="2"/>
  <c r="AG81" i="2"/>
  <c r="AF81" i="2"/>
  <c r="AE81" i="2"/>
  <c r="AD81" i="2"/>
  <c r="AC81" i="2"/>
  <c r="AB81" i="2"/>
  <c r="AA81" i="2"/>
  <c r="AJ80" i="2"/>
  <c r="AI80" i="2"/>
  <c r="AH80" i="2"/>
  <c r="AG80" i="2"/>
  <c r="AF80" i="2"/>
  <c r="AE80" i="2"/>
  <c r="AD80" i="2"/>
  <c r="AC80" i="2"/>
  <c r="AB80" i="2"/>
  <c r="AA80" i="2"/>
  <c r="AI76" i="2"/>
  <c r="AE76" i="2"/>
  <c r="AA76" i="2"/>
  <c r="AJ74" i="2"/>
  <c r="AI74" i="2"/>
  <c r="AH74" i="2"/>
  <c r="AG74" i="2"/>
  <c r="AF74" i="2"/>
  <c r="AE74" i="2"/>
  <c r="AD74" i="2"/>
  <c r="AC74" i="2"/>
  <c r="AB74" i="2"/>
  <c r="AA74" i="2"/>
  <c r="AJ73" i="2"/>
  <c r="AI73" i="2"/>
  <c r="AH73" i="2"/>
  <c r="AG73" i="2"/>
  <c r="AF73" i="2"/>
  <c r="AE73" i="2"/>
  <c r="AD73" i="2"/>
  <c r="AC73" i="2"/>
  <c r="AB73" i="2"/>
  <c r="AA73" i="2"/>
  <c r="AJ72" i="2"/>
  <c r="AI72" i="2"/>
  <c r="AH72" i="2"/>
  <c r="AG72" i="2"/>
  <c r="AF72" i="2"/>
  <c r="AE72" i="2"/>
  <c r="AD72" i="2"/>
  <c r="AC72" i="2"/>
  <c r="AB72" i="2"/>
  <c r="AA72" i="2"/>
  <c r="AJ71" i="2"/>
  <c r="AI71" i="2"/>
  <c r="AH71" i="2"/>
  <c r="AG71" i="2"/>
  <c r="AF71" i="2"/>
  <c r="AE71" i="2"/>
  <c r="AD71" i="2"/>
  <c r="AC71" i="2"/>
  <c r="AB71" i="2"/>
  <c r="AA71" i="2"/>
  <c r="AJ70" i="2"/>
  <c r="AI70" i="2"/>
  <c r="AH70" i="2"/>
  <c r="AG70" i="2"/>
  <c r="AF70" i="2"/>
  <c r="AE70" i="2"/>
  <c r="AD70" i="2"/>
  <c r="AC70" i="2"/>
  <c r="AB70" i="2"/>
  <c r="AA70" i="2"/>
  <c r="AJ69" i="2"/>
  <c r="AI69" i="2"/>
  <c r="AH69" i="2"/>
  <c r="AG69" i="2"/>
  <c r="AF69" i="2"/>
  <c r="AE69" i="2"/>
  <c r="AD69" i="2"/>
  <c r="AC69" i="2"/>
  <c r="AB69" i="2"/>
  <c r="AA69" i="2"/>
  <c r="AJ68" i="2"/>
  <c r="AI68" i="2"/>
  <c r="AH68" i="2"/>
  <c r="AG68" i="2"/>
  <c r="AF68" i="2"/>
  <c r="AE68" i="2"/>
  <c r="AD68" i="2"/>
  <c r="AC68" i="2"/>
  <c r="AB68" i="2"/>
  <c r="AA68" i="2"/>
  <c r="AJ67" i="2"/>
  <c r="AI67" i="2"/>
  <c r="AH67" i="2"/>
  <c r="AG67" i="2"/>
  <c r="AF67" i="2"/>
  <c r="AE67" i="2"/>
  <c r="AD67" i="2"/>
  <c r="AC67" i="2"/>
  <c r="AB67" i="2"/>
  <c r="AA67" i="2"/>
  <c r="AJ66" i="2"/>
  <c r="AI66" i="2"/>
  <c r="AH66" i="2"/>
  <c r="AG66" i="2"/>
  <c r="AF66" i="2"/>
  <c r="AE66" i="2"/>
  <c r="AD66" i="2"/>
  <c r="AC66" i="2"/>
  <c r="AB66" i="2"/>
  <c r="AA66" i="2"/>
  <c r="AJ65" i="2"/>
  <c r="AI65" i="2"/>
  <c r="AH65" i="2"/>
  <c r="AG65" i="2"/>
  <c r="AF65" i="2"/>
  <c r="AE65" i="2"/>
  <c r="AD65" i="2"/>
  <c r="AC65" i="2"/>
  <c r="AB65" i="2"/>
  <c r="AA65" i="2"/>
  <c r="AJ64" i="2"/>
  <c r="AI64" i="2"/>
  <c r="AH64" i="2"/>
  <c r="AG64" i="2"/>
  <c r="AF64" i="2"/>
  <c r="AE64" i="2"/>
  <c r="AD64" i="2"/>
  <c r="AC64" i="2"/>
  <c r="AB64" i="2"/>
  <c r="AA64" i="2"/>
  <c r="AJ63" i="2"/>
  <c r="AI63" i="2"/>
  <c r="AH63" i="2"/>
  <c r="AG63" i="2"/>
  <c r="AF63" i="2"/>
  <c r="AE63" i="2"/>
  <c r="AD63" i="2"/>
  <c r="AC63" i="2"/>
  <c r="AB63" i="2"/>
  <c r="AA63" i="2"/>
  <c r="AJ62" i="2"/>
  <c r="AI62" i="2"/>
  <c r="AH62" i="2"/>
  <c r="AG62" i="2"/>
  <c r="AF62" i="2"/>
  <c r="AE62" i="2"/>
  <c r="AD62" i="2"/>
  <c r="AC62" i="2"/>
  <c r="AB62" i="2"/>
  <c r="AA62" i="2"/>
  <c r="AJ61" i="2"/>
  <c r="AI61" i="2"/>
  <c r="AH61" i="2"/>
  <c r="AG61" i="2"/>
  <c r="AF61" i="2"/>
  <c r="AE61" i="2"/>
  <c r="AD61" i="2"/>
  <c r="AC61" i="2"/>
  <c r="AB61" i="2"/>
  <c r="AA61" i="2"/>
  <c r="AJ60" i="2"/>
  <c r="AI60" i="2"/>
  <c r="AH60" i="2"/>
  <c r="AG60" i="2"/>
  <c r="AF60" i="2"/>
  <c r="AE60" i="2"/>
  <c r="AD60" i="2"/>
  <c r="AC60" i="2"/>
  <c r="AB60" i="2"/>
  <c r="AA60" i="2"/>
  <c r="AJ59" i="2"/>
  <c r="AI59" i="2"/>
  <c r="AH59" i="2"/>
  <c r="AG59" i="2"/>
  <c r="AF59" i="2"/>
  <c r="AE59" i="2"/>
  <c r="AD59" i="2"/>
  <c r="AC59" i="2"/>
  <c r="AB59" i="2"/>
  <c r="AA59" i="2"/>
  <c r="AJ58" i="2"/>
  <c r="AI58" i="2"/>
  <c r="AH58" i="2"/>
  <c r="AG58" i="2"/>
  <c r="AF58" i="2"/>
  <c r="AE58" i="2"/>
  <c r="AD58" i="2"/>
  <c r="AC58" i="2"/>
  <c r="AB58" i="2"/>
  <c r="AA58" i="2"/>
  <c r="AJ57" i="2"/>
  <c r="AI57" i="2"/>
  <c r="AH57" i="2"/>
  <c r="AG57" i="2"/>
  <c r="AF57" i="2"/>
  <c r="AE57" i="2"/>
  <c r="AD57" i="2"/>
  <c r="AC57" i="2"/>
  <c r="AB57" i="2"/>
  <c r="AA57" i="2"/>
  <c r="AJ56" i="2"/>
  <c r="AI56" i="2"/>
  <c r="AH56" i="2"/>
  <c r="AG56" i="2"/>
  <c r="AF56" i="2"/>
  <c r="AE56" i="2"/>
  <c r="AD56" i="2"/>
  <c r="AC56" i="2"/>
  <c r="AB56" i="2"/>
  <c r="AA56" i="2"/>
  <c r="AJ55" i="2"/>
  <c r="AI55" i="2"/>
  <c r="AH55" i="2"/>
  <c r="AG55" i="2"/>
  <c r="AF55" i="2"/>
  <c r="AE55" i="2"/>
  <c r="AD55" i="2"/>
  <c r="AC55" i="2"/>
  <c r="AB55" i="2"/>
  <c r="AA55" i="2"/>
  <c r="AJ54" i="2"/>
  <c r="AI54" i="2"/>
  <c r="AH54" i="2"/>
  <c r="AG54" i="2"/>
  <c r="AF54" i="2"/>
  <c r="AE54" i="2"/>
  <c r="AD54" i="2"/>
  <c r="AC54" i="2"/>
  <c r="AB54" i="2"/>
  <c r="AA54" i="2"/>
  <c r="AJ53" i="2"/>
  <c r="AI53" i="2"/>
  <c r="AH53" i="2"/>
  <c r="AG53" i="2"/>
  <c r="AF53" i="2"/>
  <c r="AE53" i="2"/>
  <c r="AD53" i="2"/>
  <c r="AC53" i="2"/>
  <c r="AB53" i="2"/>
  <c r="AA53" i="2"/>
  <c r="AJ52" i="2"/>
  <c r="AI52" i="2"/>
  <c r="AH52" i="2"/>
  <c r="AG52" i="2"/>
  <c r="AF52" i="2"/>
  <c r="AE52" i="2"/>
  <c r="AD52" i="2"/>
  <c r="AC52" i="2"/>
  <c r="AB52" i="2"/>
  <c r="AA52" i="2"/>
  <c r="AJ51" i="2"/>
  <c r="AI51" i="2"/>
  <c r="AH51" i="2"/>
  <c r="AG51" i="2"/>
  <c r="AF51" i="2"/>
  <c r="AE51" i="2"/>
  <c r="AD51" i="2"/>
  <c r="AC51" i="2"/>
  <c r="AB51" i="2"/>
  <c r="AA51" i="2"/>
  <c r="AJ50" i="2"/>
  <c r="AI50" i="2"/>
  <c r="AH50" i="2"/>
  <c r="AG50" i="2"/>
  <c r="AF50" i="2"/>
  <c r="AE50" i="2"/>
  <c r="AD50" i="2"/>
  <c r="AC50" i="2"/>
  <c r="AB50" i="2"/>
  <c r="AA50" i="2"/>
  <c r="AJ49" i="2"/>
  <c r="AI49" i="2"/>
  <c r="AH49" i="2"/>
  <c r="AG49" i="2"/>
  <c r="AF49" i="2"/>
  <c r="AE49" i="2"/>
  <c r="AD49" i="2"/>
  <c r="AC49" i="2"/>
  <c r="AB49" i="2"/>
  <c r="AA49" i="2"/>
  <c r="AJ48" i="2"/>
  <c r="AI48" i="2"/>
  <c r="AH48" i="2"/>
  <c r="AG48" i="2"/>
  <c r="AF48" i="2"/>
  <c r="AE48" i="2"/>
  <c r="AD48" i="2"/>
  <c r="AC48" i="2"/>
  <c r="AB48" i="2"/>
  <c r="AA48" i="2"/>
  <c r="AJ47" i="2"/>
  <c r="AI47" i="2"/>
  <c r="AH47" i="2"/>
  <c r="AG47" i="2"/>
  <c r="AF47" i="2"/>
  <c r="AE47" i="2"/>
  <c r="AD47" i="2"/>
  <c r="AC47" i="2"/>
  <c r="AB47" i="2"/>
  <c r="AA47" i="2"/>
  <c r="AJ46" i="2"/>
  <c r="AI46" i="2"/>
  <c r="AH46" i="2"/>
  <c r="AG46" i="2"/>
  <c r="AF46" i="2"/>
  <c r="AE46" i="2"/>
  <c r="AD46" i="2"/>
  <c r="AC46" i="2"/>
  <c r="AB46" i="2"/>
  <c r="AA46" i="2"/>
  <c r="AJ45" i="2"/>
  <c r="AI45" i="2"/>
  <c r="AH45" i="2"/>
  <c r="AG45" i="2"/>
  <c r="AF45" i="2"/>
  <c r="AE45" i="2"/>
  <c r="AD45" i="2"/>
  <c r="AC45" i="2"/>
  <c r="AB45" i="2"/>
  <c r="AA45" i="2"/>
  <c r="AJ44" i="2"/>
  <c r="AI44" i="2"/>
  <c r="AH44" i="2"/>
  <c r="AG44" i="2"/>
  <c r="AF44" i="2"/>
  <c r="AE44" i="2"/>
  <c r="AD44" i="2"/>
  <c r="AC44" i="2"/>
  <c r="AB44" i="2"/>
  <c r="AA44" i="2"/>
  <c r="AJ43" i="2"/>
  <c r="AI43" i="2"/>
  <c r="AH43" i="2"/>
  <c r="AG43" i="2"/>
  <c r="AF43" i="2"/>
  <c r="AE43" i="2"/>
  <c r="AD43" i="2"/>
  <c r="AC43" i="2"/>
  <c r="AB43" i="2"/>
  <c r="AA43" i="2"/>
  <c r="AJ42" i="2"/>
  <c r="AI42" i="2"/>
  <c r="AH42" i="2"/>
  <c r="AG42" i="2"/>
  <c r="AF42" i="2"/>
  <c r="AE42" i="2"/>
  <c r="AD42" i="2"/>
  <c r="AC42" i="2"/>
  <c r="AB42" i="2"/>
  <c r="AA42" i="2"/>
  <c r="AJ41" i="2"/>
  <c r="AI41" i="2"/>
  <c r="AH41" i="2"/>
  <c r="AG41" i="2"/>
  <c r="AF41" i="2"/>
  <c r="AE41" i="2"/>
  <c r="AD41" i="2"/>
  <c r="AC41" i="2"/>
  <c r="AB41" i="2"/>
  <c r="AA41" i="2"/>
  <c r="AJ40" i="2"/>
  <c r="AI40" i="2"/>
  <c r="AH40" i="2"/>
  <c r="AG40" i="2"/>
  <c r="AF40" i="2"/>
  <c r="AE40" i="2"/>
  <c r="AD40" i="2"/>
  <c r="AC40" i="2"/>
  <c r="AB40" i="2"/>
  <c r="AA40" i="2"/>
  <c r="AJ39" i="2"/>
  <c r="AI39" i="2"/>
  <c r="AH39" i="2"/>
  <c r="AG39" i="2"/>
  <c r="AF39" i="2"/>
  <c r="AE39" i="2"/>
  <c r="AD39" i="2"/>
  <c r="AC39" i="2"/>
  <c r="AB39" i="2"/>
  <c r="AA39" i="2"/>
  <c r="AJ38" i="2"/>
  <c r="AI38" i="2"/>
  <c r="AH38" i="2"/>
  <c r="AG38" i="2"/>
  <c r="AF38" i="2"/>
  <c r="AE38" i="2"/>
  <c r="AD38" i="2"/>
  <c r="AC38" i="2"/>
  <c r="AB38" i="2"/>
  <c r="AA38" i="2"/>
  <c r="AJ37" i="2"/>
  <c r="AI37" i="2"/>
  <c r="AH37" i="2"/>
  <c r="AG37" i="2"/>
  <c r="AF37" i="2"/>
  <c r="AE37" i="2"/>
  <c r="AD37" i="2"/>
  <c r="AC37" i="2"/>
  <c r="AB37" i="2"/>
  <c r="AA37" i="2"/>
  <c r="AJ36" i="2"/>
  <c r="AI36" i="2"/>
  <c r="AH36" i="2"/>
  <c r="AG36" i="2"/>
  <c r="AF36" i="2"/>
  <c r="AE36" i="2"/>
  <c r="AD36" i="2"/>
  <c r="AC36" i="2"/>
  <c r="AB36" i="2"/>
  <c r="AA36" i="2"/>
  <c r="AJ35" i="2"/>
  <c r="AI35" i="2"/>
  <c r="AH35" i="2"/>
  <c r="AG35" i="2"/>
  <c r="AF35" i="2"/>
  <c r="AE35" i="2"/>
  <c r="AD35" i="2"/>
  <c r="AC35" i="2"/>
  <c r="AJ34" i="2"/>
  <c r="AI34" i="2"/>
  <c r="AH34" i="2"/>
  <c r="AG34" i="2"/>
  <c r="AF34" i="2"/>
  <c r="AE34" i="2"/>
  <c r="AD34" i="2"/>
  <c r="AC34" i="2"/>
  <c r="AB34" i="2"/>
  <c r="AA34" i="2"/>
  <c r="AJ33" i="2"/>
  <c r="AI33" i="2"/>
  <c r="AH33" i="2"/>
  <c r="AG33" i="2"/>
  <c r="AF33" i="2"/>
  <c r="AE33" i="2"/>
  <c r="AD33" i="2"/>
  <c r="AC33" i="2"/>
  <c r="AB33" i="2"/>
  <c r="AA33" i="2"/>
  <c r="AJ32" i="2"/>
  <c r="AI32" i="2"/>
  <c r="AH32" i="2"/>
  <c r="AG32" i="2"/>
  <c r="AF32" i="2"/>
  <c r="AE32" i="2"/>
  <c r="AD32" i="2"/>
  <c r="AC32" i="2"/>
  <c r="AB32" i="2"/>
  <c r="AA32" i="2"/>
  <c r="AJ31" i="2"/>
  <c r="AI31" i="2"/>
  <c r="AH31" i="2"/>
  <c r="AG31" i="2"/>
  <c r="AF31" i="2"/>
  <c r="AE31" i="2"/>
  <c r="AD31" i="2"/>
  <c r="AC31" i="2"/>
  <c r="AJ30" i="2"/>
  <c r="AI30" i="2"/>
  <c r="AH30" i="2"/>
  <c r="AG30" i="2"/>
  <c r="AF30" i="2"/>
  <c r="AE30" i="2"/>
  <c r="AD30" i="2"/>
  <c r="AC30" i="2"/>
  <c r="AJ29" i="2"/>
  <c r="AI29" i="2"/>
  <c r="AH29" i="2"/>
  <c r="AG29" i="2"/>
  <c r="AF29" i="2"/>
  <c r="AE29" i="2"/>
  <c r="AD29" i="2"/>
  <c r="AC29" i="2"/>
  <c r="AJ28" i="2"/>
  <c r="AI28" i="2"/>
  <c r="AH28" i="2"/>
  <c r="AG28" i="2"/>
  <c r="AF28" i="2"/>
  <c r="AE28" i="2"/>
  <c r="AD28" i="2"/>
  <c r="AC28" i="2"/>
  <c r="AJ27" i="2"/>
  <c r="AI27" i="2"/>
  <c r="AH27" i="2"/>
  <c r="AG27" i="2"/>
  <c r="AF27" i="2"/>
  <c r="AE27" i="2"/>
  <c r="AD27" i="2"/>
  <c r="AC27" i="2"/>
  <c r="AB27" i="2"/>
  <c r="AA27" i="2"/>
  <c r="AJ26" i="2"/>
  <c r="AI26" i="2"/>
  <c r="AH26" i="2"/>
  <c r="AG26" i="2"/>
  <c r="AF26" i="2"/>
  <c r="AE26" i="2"/>
  <c r="AD26" i="2"/>
  <c r="AC26" i="2"/>
  <c r="AB26" i="2"/>
  <c r="AA26" i="2"/>
  <c r="AJ25" i="2"/>
  <c r="AI25" i="2"/>
  <c r="AH25" i="2"/>
  <c r="AG25" i="2"/>
  <c r="AF25" i="2"/>
  <c r="AE25" i="2"/>
  <c r="AD25" i="2"/>
  <c r="AC25" i="2"/>
  <c r="AB25" i="2"/>
  <c r="AA25" i="2"/>
  <c r="AJ23" i="2"/>
  <c r="AI23" i="2"/>
  <c r="AH23" i="2"/>
  <c r="AG23" i="2"/>
  <c r="AF23" i="2"/>
  <c r="AE23" i="2"/>
  <c r="AD23" i="2"/>
  <c r="AC23" i="2"/>
  <c r="AB23" i="2"/>
  <c r="AA23" i="2"/>
  <c r="AJ22" i="2"/>
  <c r="AI22" i="2"/>
  <c r="AH22" i="2"/>
  <c r="AG22" i="2"/>
  <c r="AF22" i="2"/>
  <c r="AE22" i="2"/>
  <c r="AD22" i="2"/>
  <c r="AC22" i="2"/>
  <c r="AB22" i="2"/>
  <c r="AA22" i="2"/>
  <c r="AJ24" i="2"/>
  <c r="AI24" i="2"/>
  <c r="AH24" i="2"/>
  <c r="AG24" i="2"/>
  <c r="AF24" i="2"/>
  <c r="AE24" i="2"/>
  <c r="AD24" i="2"/>
  <c r="AC24" i="2"/>
  <c r="AB24" i="2"/>
  <c r="AA24" i="2"/>
  <c r="AJ21" i="2"/>
  <c r="AI21" i="2"/>
  <c r="AH21" i="2"/>
  <c r="AG21" i="2"/>
  <c r="AF21" i="2"/>
  <c r="AE21" i="2"/>
  <c r="AD21" i="2"/>
  <c r="AC21" i="2"/>
  <c r="AB21" i="2"/>
  <c r="AA21" i="2"/>
  <c r="AJ20" i="2"/>
  <c r="AI20" i="2"/>
  <c r="AH20" i="2"/>
  <c r="AG20" i="2"/>
  <c r="AF20" i="2"/>
  <c r="AE20" i="2"/>
  <c r="AD20" i="2"/>
  <c r="AC20" i="2"/>
  <c r="AB20" i="2"/>
  <c r="AA20" i="2"/>
  <c r="AJ19" i="2"/>
  <c r="AI19" i="2"/>
  <c r="AH19" i="2"/>
  <c r="AG19" i="2"/>
  <c r="AF19" i="2"/>
  <c r="AE19" i="2"/>
  <c r="AD19" i="2"/>
  <c r="AC19" i="2"/>
  <c r="AB19" i="2"/>
  <c r="AA19" i="2"/>
  <c r="AJ18" i="2"/>
  <c r="AI18" i="2"/>
  <c r="AH18" i="2"/>
  <c r="AG18" i="2"/>
  <c r="AF18" i="2"/>
  <c r="AE18" i="2"/>
  <c r="AD18" i="2"/>
  <c r="AC18" i="2"/>
  <c r="AB18" i="2"/>
  <c r="AA18" i="2"/>
  <c r="AJ17" i="2"/>
  <c r="AI17" i="2"/>
  <c r="AH17" i="2"/>
  <c r="AG17" i="2"/>
  <c r="AF17" i="2"/>
  <c r="AE17" i="2"/>
  <c r="AD17" i="2"/>
  <c r="AC17" i="2"/>
  <c r="AB17" i="2"/>
  <c r="AA17" i="2"/>
  <c r="AJ16" i="2"/>
  <c r="AI16" i="2"/>
  <c r="AH16" i="2"/>
  <c r="AG16" i="2"/>
  <c r="AF16" i="2"/>
  <c r="AE16" i="2"/>
  <c r="AD16" i="2"/>
  <c r="AC16" i="2"/>
  <c r="AB16" i="2"/>
  <c r="AA16" i="2"/>
  <c r="AJ15" i="2"/>
  <c r="AI15" i="2"/>
  <c r="AH15" i="2"/>
  <c r="AG15" i="2"/>
  <c r="AF15" i="2"/>
  <c r="AE15" i="2"/>
  <c r="AD15" i="2"/>
  <c r="AC15" i="2"/>
  <c r="AB15" i="2"/>
  <c r="AA15" i="2"/>
  <c r="AJ14" i="2"/>
  <c r="AI14" i="2"/>
  <c r="AH14" i="2"/>
  <c r="AG14" i="2"/>
  <c r="AF14" i="2"/>
  <c r="AE14" i="2"/>
  <c r="AD14" i="2"/>
  <c r="AC14" i="2"/>
  <c r="AB14" i="2"/>
  <c r="AA14" i="2"/>
  <c r="AJ13" i="2"/>
  <c r="AI13" i="2"/>
  <c r="AH13" i="2"/>
  <c r="AG13" i="2"/>
  <c r="AF13" i="2"/>
  <c r="AE13" i="2"/>
  <c r="AD13" i="2"/>
  <c r="AC13" i="2"/>
  <c r="AB13" i="2"/>
  <c r="AA13" i="2"/>
  <c r="AJ12" i="2"/>
  <c r="AI12" i="2"/>
  <c r="AH12" i="2"/>
  <c r="AG12" i="2"/>
  <c r="AF12" i="2"/>
  <c r="AE12" i="2"/>
  <c r="AD12" i="2"/>
  <c r="AC12" i="2"/>
  <c r="AB12" i="2"/>
  <c r="AA12" i="2"/>
  <c r="AJ11" i="2"/>
  <c r="AI11" i="2"/>
  <c r="AH11" i="2"/>
  <c r="AG11" i="2"/>
  <c r="AF11" i="2"/>
  <c r="AE11" i="2"/>
  <c r="AD11" i="2"/>
  <c r="AC11" i="2"/>
  <c r="AB11" i="2"/>
  <c r="AA11" i="2"/>
  <c r="AJ10" i="2"/>
  <c r="AI10" i="2"/>
  <c r="AH10" i="2"/>
  <c r="AG10" i="2"/>
  <c r="AF10" i="2"/>
  <c r="AE10" i="2"/>
  <c r="AD10" i="2"/>
  <c r="AC10" i="2"/>
  <c r="AB10" i="2"/>
  <c r="AA10" i="2"/>
  <c r="AJ9" i="2"/>
  <c r="AI9" i="2"/>
  <c r="AH9" i="2"/>
  <c r="AG9" i="2"/>
  <c r="AF9" i="2"/>
  <c r="AE9" i="2"/>
  <c r="AD9" i="2"/>
  <c r="AC9" i="2"/>
  <c r="AB9" i="2"/>
  <c r="AA9" i="2"/>
  <c r="AJ8" i="2"/>
  <c r="AI8" i="2"/>
  <c r="AH8" i="2"/>
  <c r="AG8" i="2"/>
  <c r="AF8" i="2"/>
  <c r="AE8" i="2"/>
  <c r="AD8" i="2"/>
  <c r="AC8" i="2"/>
  <c r="AB8" i="2"/>
  <c r="AA8" i="2"/>
  <c r="AJ7" i="2"/>
  <c r="AI7" i="2"/>
  <c r="AH7" i="2"/>
  <c r="AG7" i="2"/>
  <c r="AF7" i="2"/>
  <c r="AE7" i="2"/>
  <c r="AD7" i="2"/>
  <c r="AC7" i="2"/>
  <c r="AB7" i="2"/>
  <c r="AA7" i="2"/>
  <c r="AN7" i="2" s="1"/>
  <c r="Z92" i="2"/>
  <c r="Y92" i="2"/>
  <c r="X92" i="2"/>
  <c r="W92" i="2"/>
  <c r="V92" i="2"/>
  <c r="U92" i="2"/>
  <c r="T92" i="2"/>
  <c r="S92" i="2"/>
  <c r="R92" i="2"/>
  <c r="Q92" i="2"/>
  <c r="P92" i="2"/>
  <c r="O92" i="2"/>
  <c r="X91" i="2"/>
  <c r="W91" i="2"/>
  <c r="V91" i="2"/>
  <c r="U91" i="2"/>
  <c r="T91" i="2"/>
  <c r="S91" i="2"/>
  <c r="R91" i="2"/>
  <c r="Q91" i="2"/>
  <c r="P91" i="2"/>
  <c r="O91" i="2"/>
  <c r="Z90" i="2"/>
  <c r="Y90" i="2"/>
  <c r="X90" i="2"/>
  <c r="W90" i="2"/>
  <c r="V90" i="2"/>
  <c r="U90" i="2"/>
  <c r="T90" i="2"/>
  <c r="S90" i="2"/>
  <c r="R90" i="2"/>
  <c r="Q90" i="2"/>
  <c r="P90" i="2"/>
  <c r="O90" i="2"/>
  <c r="Z89" i="2"/>
  <c r="Y89" i="2"/>
  <c r="X89" i="2"/>
  <c r="W89" i="2"/>
  <c r="V89" i="2"/>
  <c r="U89" i="2"/>
  <c r="T89" i="2"/>
  <c r="S89" i="2"/>
  <c r="R89" i="2"/>
  <c r="Q89" i="2"/>
  <c r="P89" i="2"/>
  <c r="O89" i="2"/>
  <c r="Z88" i="2"/>
  <c r="Y88" i="2"/>
  <c r="X88" i="2"/>
  <c r="W88" i="2"/>
  <c r="V88" i="2"/>
  <c r="U88" i="2"/>
  <c r="T88" i="2"/>
  <c r="S88" i="2"/>
  <c r="R88" i="2"/>
  <c r="Q88" i="2"/>
  <c r="P88" i="2"/>
  <c r="O88" i="2"/>
  <c r="Z87" i="2"/>
  <c r="Y87" i="2"/>
  <c r="X87" i="2"/>
  <c r="W87" i="2"/>
  <c r="V87" i="2"/>
  <c r="U87" i="2"/>
  <c r="T87" i="2"/>
  <c r="S87" i="2"/>
  <c r="R87" i="2"/>
  <c r="Q87" i="2"/>
  <c r="P87" i="2"/>
  <c r="O87" i="2"/>
  <c r="Z86" i="2"/>
  <c r="Y86" i="2"/>
  <c r="X86" i="2"/>
  <c r="W86" i="2"/>
  <c r="V86" i="2"/>
  <c r="U86" i="2"/>
  <c r="T86" i="2"/>
  <c r="S86" i="2"/>
  <c r="R86" i="2"/>
  <c r="Q86" i="2"/>
  <c r="P86" i="2"/>
  <c r="O86" i="2"/>
  <c r="Z85" i="2"/>
  <c r="Y85" i="2"/>
  <c r="X85" i="2"/>
  <c r="W85" i="2"/>
  <c r="V85" i="2"/>
  <c r="U85" i="2"/>
  <c r="T85" i="2"/>
  <c r="S85" i="2"/>
  <c r="R85" i="2"/>
  <c r="Q85" i="2"/>
  <c r="P85" i="2"/>
  <c r="O85" i="2"/>
  <c r="Z84" i="2"/>
  <c r="Y84" i="2"/>
  <c r="X84" i="2"/>
  <c r="W84" i="2"/>
  <c r="V84" i="2"/>
  <c r="U84" i="2"/>
  <c r="T84" i="2"/>
  <c r="S84" i="2"/>
  <c r="R84" i="2"/>
  <c r="Q84" i="2"/>
  <c r="P84" i="2"/>
  <c r="O84" i="2"/>
  <c r="Z83" i="2"/>
  <c r="Y83" i="2"/>
  <c r="X83" i="2"/>
  <c r="W83" i="2"/>
  <c r="V83" i="2"/>
  <c r="U83" i="2"/>
  <c r="T83" i="2"/>
  <c r="S83" i="2"/>
  <c r="R83" i="2"/>
  <c r="Q83" i="2"/>
  <c r="P83" i="2"/>
  <c r="O83" i="2"/>
  <c r="Z82" i="2"/>
  <c r="Y82" i="2"/>
  <c r="X82" i="2"/>
  <c r="W82" i="2"/>
  <c r="V82" i="2"/>
  <c r="U82" i="2"/>
  <c r="T82" i="2"/>
  <c r="S82" i="2"/>
  <c r="R82" i="2"/>
  <c r="Q82" i="2"/>
  <c r="P82" i="2"/>
  <c r="O82" i="2"/>
  <c r="Z81" i="2"/>
  <c r="Y81" i="2"/>
  <c r="X81" i="2"/>
  <c r="W81" i="2"/>
  <c r="V81" i="2"/>
  <c r="U81" i="2"/>
  <c r="T81" i="2"/>
  <c r="S81" i="2"/>
  <c r="R81" i="2"/>
  <c r="Q81" i="2"/>
  <c r="P81" i="2"/>
  <c r="O81" i="2"/>
  <c r="Z80" i="2"/>
  <c r="Y80" i="2"/>
  <c r="X80" i="2"/>
  <c r="W80" i="2"/>
  <c r="V80" i="2"/>
  <c r="U80" i="2"/>
  <c r="T80" i="2"/>
  <c r="S80" i="2"/>
  <c r="R80" i="2"/>
  <c r="Q80" i="2"/>
  <c r="P80" i="2"/>
  <c r="O80" i="2"/>
  <c r="W76" i="2"/>
  <c r="S76" i="2"/>
  <c r="O76" i="2"/>
  <c r="Z74" i="2"/>
  <c r="Y74" i="2"/>
  <c r="X74" i="2"/>
  <c r="W74" i="2"/>
  <c r="V74" i="2"/>
  <c r="U74" i="2"/>
  <c r="T74" i="2"/>
  <c r="S74" i="2"/>
  <c r="R74" i="2"/>
  <c r="Q74" i="2"/>
  <c r="P74" i="2"/>
  <c r="O74" i="2"/>
  <c r="Z73" i="2"/>
  <c r="Y73" i="2"/>
  <c r="X73" i="2"/>
  <c r="W73" i="2"/>
  <c r="V73" i="2"/>
  <c r="U73" i="2"/>
  <c r="T73" i="2"/>
  <c r="S73" i="2"/>
  <c r="R73" i="2"/>
  <c r="Q73" i="2"/>
  <c r="P73" i="2"/>
  <c r="O73" i="2"/>
  <c r="Z72" i="2"/>
  <c r="Y72" i="2"/>
  <c r="X72" i="2"/>
  <c r="W72" i="2"/>
  <c r="V72" i="2"/>
  <c r="U72" i="2"/>
  <c r="T72" i="2"/>
  <c r="S72" i="2"/>
  <c r="R72" i="2"/>
  <c r="Q72" i="2"/>
  <c r="P72" i="2"/>
  <c r="O72" i="2"/>
  <c r="Z71" i="2"/>
  <c r="Y71" i="2"/>
  <c r="X71" i="2"/>
  <c r="W71" i="2"/>
  <c r="V71" i="2"/>
  <c r="U71" i="2"/>
  <c r="T71" i="2"/>
  <c r="S71" i="2"/>
  <c r="R71" i="2"/>
  <c r="Q71" i="2"/>
  <c r="P71" i="2"/>
  <c r="O71" i="2"/>
  <c r="Z70" i="2"/>
  <c r="Y70" i="2"/>
  <c r="X70" i="2"/>
  <c r="W70" i="2"/>
  <c r="V70" i="2"/>
  <c r="U70" i="2"/>
  <c r="T70" i="2"/>
  <c r="S70" i="2"/>
  <c r="R70" i="2"/>
  <c r="Q70" i="2"/>
  <c r="P70" i="2"/>
  <c r="O70" i="2"/>
  <c r="Z69" i="2"/>
  <c r="Y69" i="2"/>
  <c r="X69" i="2"/>
  <c r="W69" i="2"/>
  <c r="V69" i="2"/>
  <c r="U69" i="2"/>
  <c r="T69" i="2"/>
  <c r="S69" i="2"/>
  <c r="R69" i="2"/>
  <c r="Q69" i="2"/>
  <c r="P69" i="2"/>
  <c r="O69" i="2"/>
  <c r="Z68" i="2"/>
  <c r="Y68" i="2"/>
  <c r="X68" i="2"/>
  <c r="W68" i="2"/>
  <c r="V68" i="2"/>
  <c r="U68" i="2"/>
  <c r="T68" i="2"/>
  <c r="S68" i="2"/>
  <c r="R68" i="2"/>
  <c r="Q68" i="2"/>
  <c r="P68" i="2"/>
  <c r="O68" i="2"/>
  <c r="Z67" i="2"/>
  <c r="Y67" i="2"/>
  <c r="X67" i="2"/>
  <c r="W67" i="2"/>
  <c r="V67" i="2"/>
  <c r="U67" i="2"/>
  <c r="T67" i="2"/>
  <c r="S67" i="2"/>
  <c r="R67" i="2"/>
  <c r="Q67" i="2"/>
  <c r="P67" i="2"/>
  <c r="O67" i="2"/>
  <c r="Z66" i="2"/>
  <c r="Y66" i="2"/>
  <c r="X66" i="2"/>
  <c r="W66" i="2"/>
  <c r="V66" i="2"/>
  <c r="U66" i="2"/>
  <c r="T66" i="2"/>
  <c r="S66" i="2"/>
  <c r="R66" i="2"/>
  <c r="Q66" i="2"/>
  <c r="P66" i="2"/>
  <c r="O66" i="2"/>
  <c r="Z65" i="2"/>
  <c r="Y65" i="2"/>
  <c r="X65" i="2"/>
  <c r="W65" i="2"/>
  <c r="V65" i="2"/>
  <c r="U65" i="2"/>
  <c r="T65" i="2"/>
  <c r="S65" i="2"/>
  <c r="R65" i="2"/>
  <c r="Q65" i="2"/>
  <c r="P65" i="2"/>
  <c r="O65" i="2"/>
  <c r="Z64" i="2"/>
  <c r="Y64" i="2"/>
  <c r="X64" i="2"/>
  <c r="W64" i="2"/>
  <c r="V64" i="2"/>
  <c r="U64" i="2"/>
  <c r="T64" i="2"/>
  <c r="S64" i="2"/>
  <c r="R64" i="2"/>
  <c r="Q64" i="2"/>
  <c r="P64" i="2"/>
  <c r="O64" i="2"/>
  <c r="Z63" i="2"/>
  <c r="Y63" i="2"/>
  <c r="X63" i="2"/>
  <c r="W63" i="2"/>
  <c r="V63" i="2"/>
  <c r="U63" i="2"/>
  <c r="T63" i="2"/>
  <c r="S63" i="2"/>
  <c r="R63" i="2"/>
  <c r="Q63" i="2"/>
  <c r="P63" i="2"/>
  <c r="O63" i="2"/>
  <c r="Z62" i="2"/>
  <c r="Y62" i="2"/>
  <c r="X62" i="2"/>
  <c r="W62" i="2"/>
  <c r="V62" i="2"/>
  <c r="U62" i="2"/>
  <c r="T62" i="2"/>
  <c r="S62" i="2"/>
  <c r="R62" i="2"/>
  <c r="Q62" i="2"/>
  <c r="P62" i="2"/>
  <c r="O62" i="2"/>
  <c r="Z61" i="2"/>
  <c r="Y61" i="2"/>
  <c r="X61" i="2"/>
  <c r="W61" i="2"/>
  <c r="V61" i="2"/>
  <c r="U61" i="2"/>
  <c r="T61" i="2"/>
  <c r="S61" i="2"/>
  <c r="R61" i="2"/>
  <c r="Q61" i="2"/>
  <c r="P61" i="2"/>
  <c r="O61" i="2"/>
  <c r="Z60" i="2"/>
  <c r="Y60" i="2"/>
  <c r="X60" i="2"/>
  <c r="W60" i="2"/>
  <c r="V60" i="2"/>
  <c r="U60" i="2"/>
  <c r="T60" i="2"/>
  <c r="S60" i="2"/>
  <c r="R60" i="2"/>
  <c r="Q60" i="2"/>
  <c r="P60" i="2"/>
  <c r="O60" i="2"/>
  <c r="Z59" i="2"/>
  <c r="Y59" i="2"/>
  <c r="X59" i="2"/>
  <c r="W59" i="2"/>
  <c r="V59" i="2"/>
  <c r="U59" i="2"/>
  <c r="T59" i="2"/>
  <c r="S59" i="2"/>
  <c r="R59" i="2"/>
  <c r="Q59" i="2"/>
  <c r="P59" i="2"/>
  <c r="O59" i="2"/>
  <c r="Z58" i="2"/>
  <c r="Y58" i="2"/>
  <c r="X58" i="2"/>
  <c r="W58" i="2"/>
  <c r="V58" i="2"/>
  <c r="U58" i="2"/>
  <c r="T58" i="2"/>
  <c r="S58" i="2"/>
  <c r="R58" i="2"/>
  <c r="Q58" i="2"/>
  <c r="P58" i="2"/>
  <c r="O58" i="2"/>
  <c r="Z57" i="2"/>
  <c r="Y57" i="2"/>
  <c r="X57" i="2"/>
  <c r="W57" i="2"/>
  <c r="V57" i="2"/>
  <c r="U57" i="2"/>
  <c r="T57" i="2"/>
  <c r="S57" i="2"/>
  <c r="R57" i="2"/>
  <c r="Q57" i="2"/>
  <c r="P57" i="2"/>
  <c r="O57" i="2"/>
  <c r="Z56" i="2"/>
  <c r="Y56" i="2"/>
  <c r="X56" i="2"/>
  <c r="W56" i="2"/>
  <c r="V56" i="2"/>
  <c r="U56" i="2"/>
  <c r="T56" i="2"/>
  <c r="S56" i="2"/>
  <c r="R56" i="2"/>
  <c r="Q56" i="2"/>
  <c r="P56" i="2"/>
  <c r="O56" i="2"/>
  <c r="Z55" i="2"/>
  <c r="Y55" i="2"/>
  <c r="X55" i="2"/>
  <c r="W55" i="2"/>
  <c r="V55" i="2"/>
  <c r="U55" i="2"/>
  <c r="T55" i="2"/>
  <c r="S55" i="2"/>
  <c r="R55" i="2"/>
  <c r="Q55" i="2"/>
  <c r="P55" i="2"/>
  <c r="O55" i="2"/>
  <c r="Z54" i="2"/>
  <c r="Y54" i="2"/>
  <c r="X54" i="2"/>
  <c r="W54" i="2"/>
  <c r="V54" i="2"/>
  <c r="U54" i="2"/>
  <c r="T54" i="2"/>
  <c r="S54" i="2"/>
  <c r="R54" i="2"/>
  <c r="Q54" i="2"/>
  <c r="P54" i="2"/>
  <c r="O54" i="2"/>
  <c r="Z53" i="2"/>
  <c r="Y53" i="2"/>
  <c r="X53" i="2"/>
  <c r="W53" i="2"/>
  <c r="V53" i="2"/>
  <c r="U53" i="2"/>
  <c r="T53" i="2"/>
  <c r="S53" i="2"/>
  <c r="R53" i="2"/>
  <c r="Q53" i="2"/>
  <c r="P53" i="2"/>
  <c r="O53" i="2"/>
  <c r="Z52" i="2"/>
  <c r="Y52" i="2"/>
  <c r="X52" i="2"/>
  <c r="W52" i="2"/>
  <c r="V52" i="2"/>
  <c r="U52" i="2"/>
  <c r="T52" i="2"/>
  <c r="S52" i="2"/>
  <c r="R52" i="2"/>
  <c r="Q52" i="2"/>
  <c r="P52" i="2"/>
  <c r="O52" i="2"/>
  <c r="Z51" i="2"/>
  <c r="Y51" i="2"/>
  <c r="X51" i="2"/>
  <c r="W51" i="2"/>
  <c r="V51" i="2"/>
  <c r="U51" i="2"/>
  <c r="T51" i="2"/>
  <c r="S51" i="2"/>
  <c r="R51" i="2"/>
  <c r="Q51" i="2"/>
  <c r="P51" i="2"/>
  <c r="O51" i="2"/>
  <c r="Z50" i="2"/>
  <c r="Y50" i="2"/>
  <c r="X50" i="2"/>
  <c r="W50" i="2"/>
  <c r="V50" i="2"/>
  <c r="U50" i="2"/>
  <c r="T50" i="2"/>
  <c r="S50" i="2"/>
  <c r="R50" i="2"/>
  <c r="Q50" i="2"/>
  <c r="P50" i="2"/>
  <c r="O50" i="2"/>
  <c r="Z49" i="2"/>
  <c r="Y49" i="2"/>
  <c r="X49" i="2"/>
  <c r="W49" i="2"/>
  <c r="V49" i="2"/>
  <c r="U49" i="2"/>
  <c r="T49" i="2"/>
  <c r="S49" i="2"/>
  <c r="R49" i="2"/>
  <c r="Q49" i="2"/>
  <c r="P49" i="2"/>
  <c r="O49" i="2"/>
  <c r="Z48" i="2"/>
  <c r="Y48" i="2"/>
  <c r="X48" i="2"/>
  <c r="W48" i="2"/>
  <c r="V48" i="2"/>
  <c r="U48" i="2"/>
  <c r="T48" i="2"/>
  <c r="S48" i="2"/>
  <c r="R48" i="2"/>
  <c r="Q48" i="2"/>
  <c r="P48" i="2"/>
  <c r="O48" i="2"/>
  <c r="Z47" i="2"/>
  <c r="Y47" i="2"/>
  <c r="X47" i="2"/>
  <c r="W47" i="2"/>
  <c r="V47" i="2"/>
  <c r="U47" i="2"/>
  <c r="T47" i="2"/>
  <c r="S47" i="2"/>
  <c r="R47" i="2"/>
  <c r="Q47" i="2"/>
  <c r="P47" i="2"/>
  <c r="O47" i="2"/>
  <c r="Z46" i="2"/>
  <c r="Y46" i="2"/>
  <c r="X46" i="2"/>
  <c r="W46" i="2"/>
  <c r="V46" i="2"/>
  <c r="U46" i="2"/>
  <c r="T46" i="2"/>
  <c r="S46" i="2"/>
  <c r="R46" i="2"/>
  <c r="Q46" i="2"/>
  <c r="P46" i="2"/>
  <c r="O46" i="2"/>
  <c r="Z45" i="2"/>
  <c r="Y45" i="2"/>
  <c r="X45" i="2"/>
  <c r="W45" i="2"/>
  <c r="V45" i="2"/>
  <c r="U45" i="2"/>
  <c r="T45" i="2"/>
  <c r="S45" i="2"/>
  <c r="R45" i="2"/>
  <c r="Q45" i="2"/>
  <c r="P45" i="2"/>
  <c r="O45" i="2"/>
  <c r="Z44" i="2"/>
  <c r="Y44" i="2"/>
  <c r="X44" i="2"/>
  <c r="W44" i="2"/>
  <c r="V44" i="2"/>
  <c r="U44" i="2"/>
  <c r="T44" i="2"/>
  <c r="S44" i="2"/>
  <c r="R44" i="2"/>
  <c r="Q44" i="2"/>
  <c r="P44" i="2"/>
  <c r="O44" i="2"/>
  <c r="Z43" i="2"/>
  <c r="Y43" i="2"/>
  <c r="X43" i="2"/>
  <c r="W43" i="2"/>
  <c r="V43" i="2"/>
  <c r="U43" i="2"/>
  <c r="T43" i="2"/>
  <c r="S43" i="2"/>
  <c r="R43" i="2"/>
  <c r="Q43" i="2"/>
  <c r="P43" i="2"/>
  <c r="O43" i="2"/>
  <c r="Z42" i="2"/>
  <c r="Y42" i="2"/>
  <c r="X42" i="2"/>
  <c r="W42" i="2"/>
  <c r="V42" i="2"/>
  <c r="U42" i="2"/>
  <c r="T42" i="2"/>
  <c r="S42" i="2"/>
  <c r="R42" i="2"/>
  <c r="Q42" i="2"/>
  <c r="P42" i="2"/>
  <c r="O42" i="2"/>
  <c r="Z41" i="2"/>
  <c r="Y41" i="2"/>
  <c r="X41" i="2"/>
  <c r="W41" i="2"/>
  <c r="V41" i="2"/>
  <c r="U41" i="2"/>
  <c r="T41" i="2"/>
  <c r="S41" i="2"/>
  <c r="R41" i="2"/>
  <c r="Q41" i="2"/>
  <c r="P41" i="2"/>
  <c r="O41" i="2"/>
  <c r="Z40" i="2"/>
  <c r="Y40" i="2"/>
  <c r="X40" i="2"/>
  <c r="W40" i="2"/>
  <c r="V40" i="2"/>
  <c r="U40" i="2"/>
  <c r="T40" i="2"/>
  <c r="S40" i="2"/>
  <c r="R40" i="2"/>
  <c r="Q40" i="2"/>
  <c r="P40" i="2"/>
  <c r="O40" i="2"/>
  <c r="Z39" i="2"/>
  <c r="Y39" i="2"/>
  <c r="X39" i="2"/>
  <c r="W39" i="2"/>
  <c r="V39" i="2"/>
  <c r="U39" i="2"/>
  <c r="T39" i="2"/>
  <c r="S39" i="2"/>
  <c r="R39" i="2"/>
  <c r="Q39" i="2"/>
  <c r="P39" i="2"/>
  <c r="O39" i="2"/>
  <c r="Z38" i="2"/>
  <c r="Y38" i="2"/>
  <c r="X38" i="2"/>
  <c r="W38" i="2"/>
  <c r="V38" i="2"/>
  <c r="U38" i="2"/>
  <c r="T38" i="2"/>
  <c r="S38" i="2"/>
  <c r="R38" i="2"/>
  <c r="Q38" i="2"/>
  <c r="P38" i="2"/>
  <c r="O38" i="2"/>
  <c r="Z37" i="2"/>
  <c r="Y37" i="2"/>
  <c r="X37" i="2"/>
  <c r="W37" i="2"/>
  <c r="V37" i="2"/>
  <c r="U37" i="2"/>
  <c r="T37" i="2"/>
  <c r="S37" i="2"/>
  <c r="R37" i="2"/>
  <c r="Q37" i="2"/>
  <c r="P37" i="2"/>
  <c r="O37" i="2"/>
  <c r="Z36" i="2"/>
  <c r="Y36" i="2"/>
  <c r="X36" i="2"/>
  <c r="W36" i="2"/>
  <c r="V36" i="2"/>
  <c r="U36" i="2"/>
  <c r="T36" i="2"/>
  <c r="S36" i="2"/>
  <c r="R36" i="2"/>
  <c r="Q36" i="2"/>
  <c r="P36" i="2"/>
  <c r="O36" i="2"/>
  <c r="Z35" i="2"/>
  <c r="Y35" i="2"/>
  <c r="X35" i="2"/>
  <c r="W35" i="2"/>
  <c r="V35" i="2"/>
  <c r="U35" i="2"/>
  <c r="T35" i="2"/>
  <c r="S35" i="2"/>
  <c r="R35" i="2"/>
  <c r="Q35" i="2"/>
  <c r="P35" i="2"/>
  <c r="O35" i="2"/>
  <c r="Z34" i="2"/>
  <c r="Y34" i="2"/>
  <c r="X34" i="2"/>
  <c r="W34" i="2"/>
  <c r="V34" i="2"/>
  <c r="U34" i="2"/>
  <c r="T34" i="2"/>
  <c r="S34" i="2"/>
  <c r="R34" i="2"/>
  <c r="Q34" i="2"/>
  <c r="Z33" i="2"/>
  <c r="Y33" i="2"/>
  <c r="X33" i="2"/>
  <c r="W33" i="2"/>
  <c r="V33" i="2"/>
  <c r="U33" i="2"/>
  <c r="T33" i="2"/>
  <c r="S33" i="2"/>
  <c r="R33" i="2"/>
  <c r="Q33" i="2"/>
  <c r="Z32" i="2"/>
  <c r="Y32" i="2"/>
  <c r="X32" i="2"/>
  <c r="W32" i="2"/>
  <c r="V32" i="2"/>
  <c r="U32" i="2"/>
  <c r="T32" i="2"/>
  <c r="S32" i="2"/>
  <c r="R32" i="2"/>
  <c r="Q32" i="2"/>
  <c r="P32" i="2"/>
  <c r="O32" i="2"/>
  <c r="Z31" i="2"/>
  <c r="Y31" i="2"/>
  <c r="X31" i="2"/>
  <c r="W31" i="2"/>
  <c r="V31" i="2"/>
  <c r="U31" i="2"/>
  <c r="T31" i="2"/>
  <c r="S31" i="2"/>
  <c r="R31" i="2"/>
  <c r="Q31" i="2"/>
  <c r="P31" i="2"/>
  <c r="O31" i="2"/>
  <c r="Z30" i="2"/>
  <c r="Y30" i="2"/>
  <c r="X30" i="2"/>
  <c r="W30" i="2"/>
  <c r="V30" i="2"/>
  <c r="U30" i="2"/>
  <c r="T30" i="2"/>
  <c r="S30" i="2"/>
  <c r="R30" i="2"/>
  <c r="Q30" i="2"/>
  <c r="P30" i="2"/>
  <c r="O30" i="2"/>
  <c r="Z29" i="2"/>
  <c r="Y29" i="2"/>
  <c r="X29" i="2"/>
  <c r="W29" i="2"/>
  <c r="V29" i="2"/>
  <c r="U29" i="2"/>
  <c r="T29" i="2"/>
  <c r="S29" i="2"/>
  <c r="R29" i="2"/>
  <c r="Q29" i="2"/>
  <c r="P29" i="2"/>
  <c r="O29" i="2"/>
  <c r="Z28" i="2"/>
  <c r="Y28" i="2"/>
  <c r="X28" i="2"/>
  <c r="W28" i="2"/>
  <c r="V28" i="2"/>
  <c r="U28" i="2"/>
  <c r="T28" i="2"/>
  <c r="S28" i="2"/>
  <c r="R28" i="2"/>
  <c r="Q28" i="2"/>
  <c r="P28" i="2"/>
  <c r="O28" i="2"/>
  <c r="Z27" i="2"/>
  <c r="Y27" i="2"/>
  <c r="X27" i="2"/>
  <c r="W27" i="2"/>
  <c r="V27" i="2"/>
  <c r="U27" i="2"/>
  <c r="T27" i="2"/>
  <c r="S27" i="2"/>
  <c r="R27" i="2"/>
  <c r="Q27" i="2"/>
  <c r="P27" i="2"/>
  <c r="O27" i="2"/>
  <c r="Z26" i="2"/>
  <c r="Y26" i="2"/>
  <c r="X26" i="2"/>
  <c r="W26" i="2"/>
  <c r="V26" i="2"/>
  <c r="U26" i="2"/>
  <c r="T26" i="2"/>
  <c r="S26" i="2"/>
  <c r="R26" i="2"/>
  <c r="Q26" i="2"/>
  <c r="P26" i="2"/>
  <c r="O26" i="2"/>
  <c r="Z25" i="2"/>
  <c r="Y25" i="2"/>
  <c r="X25" i="2"/>
  <c r="W25" i="2"/>
  <c r="V25" i="2"/>
  <c r="U25" i="2"/>
  <c r="T25" i="2"/>
  <c r="S25" i="2"/>
  <c r="R25" i="2"/>
  <c r="Q25" i="2"/>
  <c r="P25" i="2"/>
  <c r="O25" i="2"/>
  <c r="Z23" i="2"/>
  <c r="Y23" i="2"/>
  <c r="X23" i="2"/>
  <c r="W23" i="2"/>
  <c r="V23" i="2"/>
  <c r="U23" i="2"/>
  <c r="T23" i="2"/>
  <c r="S23" i="2"/>
  <c r="R23" i="2"/>
  <c r="Q23" i="2"/>
  <c r="P23" i="2"/>
  <c r="O23" i="2"/>
  <c r="Z22" i="2"/>
  <c r="Y22" i="2"/>
  <c r="X22" i="2"/>
  <c r="W22" i="2"/>
  <c r="V22" i="2"/>
  <c r="U22" i="2"/>
  <c r="T22" i="2"/>
  <c r="S22" i="2"/>
  <c r="R22" i="2"/>
  <c r="Q22" i="2"/>
  <c r="P22" i="2"/>
  <c r="O22" i="2"/>
  <c r="Z24" i="2"/>
  <c r="Y24" i="2"/>
  <c r="X24" i="2"/>
  <c r="W24" i="2"/>
  <c r="V24" i="2"/>
  <c r="U24" i="2"/>
  <c r="T24" i="2"/>
  <c r="S24" i="2"/>
  <c r="R24" i="2"/>
  <c r="Q24" i="2"/>
  <c r="P24" i="2"/>
  <c r="O24" i="2"/>
  <c r="Z21" i="2"/>
  <c r="Y21" i="2"/>
  <c r="X21" i="2"/>
  <c r="W21" i="2"/>
  <c r="V21" i="2"/>
  <c r="U21" i="2"/>
  <c r="T21" i="2"/>
  <c r="S21" i="2"/>
  <c r="R21" i="2"/>
  <c r="Q21" i="2"/>
  <c r="P21" i="2"/>
  <c r="O21" i="2"/>
  <c r="Z20" i="2"/>
  <c r="Y20" i="2"/>
  <c r="X20" i="2"/>
  <c r="W20" i="2"/>
  <c r="V20" i="2"/>
  <c r="U20" i="2"/>
  <c r="T20" i="2"/>
  <c r="S20" i="2"/>
  <c r="R20" i="2"/>
  <c r="Q20" i="2"/>
  <c r="P20" i="2"/>
  <c r="O20" i="2"/>
  <c r="Z19" i="2"/>
  <c r="Y19" i="2"/>
  <c r="X19" i="2"/>
  <c r="W19" i="2"/>
  <c r="V19" i="2"/>
  <c r="U19" i="2"/>
  <c r="T19" i="2"/>
  <c r="S19" i="2"/>
  <c r="R19" i="2"/>
  <c r="Q19" i="2"/>
  <c r="P19" i="2"/>
  <c r="O19" i="2"/>
  <c r="Z18" i="2"/>
  <c r="Y18" i="2"/>
  <c r="X18" i="2"/>
  <c r="W18" i="2"/>
  <c r="V18" i="2"/>
  <c r="U18" i="2"/>
  <c r="T18" i="2"/>
  <c r="S18" i="2"/>
  <c r="R18" i="2"/>
  <c r="Q18" i="2"/>
  <c r="P18" i="2"/>
  <c r="O18" i="2"/>
  <c r="Z17" i="2"/>
  <c r="Y17" i="2"/>
  <c r="X17" i="2"/>
  <c r="W17" i="2"/>
  <c r="V17" i="2"/>
  <c r="U17" i="2"/>
  <c r="T17" i="2"/>
  <c r="S17" i="2"/>
  <c r="R17" i="2"/>
  <c r="Q17" i="2"/>
  <c r="P17" i="2"/>
  <c r="O17" i="2"/>
  <c r="Z16" i="2"/>
  <c r="Y16" i="2"/>
  <c r="X16" i="2"/>
  <c r="W16" i="2"/>
  <c r="V16" i="2"/>
  <c r="U16" i="2"/>
  <c r="T16" i="2"/>
  <c r="S16" i="2"/>
  <c r="R16" i="2"/>
  <c r="Q16" i="2"/>
  <c r="P16" i="2"/>
  <c r="O16" i="2"/>
  <c r="Z15" i="2"/>
  <c r="Y15" i="2"/>
  <c r="X15" i="2"/>
  <c r="W15" i="2"/>
  <c r="V15" i="2"/>
  <c r="U15" i="2"/>
  <c r="T15" i="2"/>
  <c r="S15" i="2"/>
  <c r="R15" i="2"/>
  <c r="Q15" i="2"/>
  <c r="P15" i="2"/>
  <c r="O15" i="2"/>
  <c r="Z14" i="2"/>
  <c r="Y14" i="2"/>
  <c r="X14" i="2"/>
  <c r="W14" i="2"/>
  <c r="V14" i="2"/>
  <c r="U14" i="2"/>
  <c r="T14" i="2"/>
  <c r="S14" i="2"/>
  <c r="R14" i="2"/>
  <c r="Q14" i="2"/>
  <c r="P14" i="2"/>
  <c r="O14" i="2"/>
  <c r="Z13" i="2"/>
  <c r="Y13" i="2"/>
  <c r="X13" i="2"/>
  <c r="W13" i="2"/>
  <c r="V13" i="2"/>
  <c r="U13" i="2"/>
  <c r="T13" i="2"/>
  <c r="S13" i="2"/>
  <c r="R13" i="2"/>
  <c r="Q13" i="2"/>
  <c r="P13" i="2"/>
  <c r="O13" i="2"/>
  <c r="Z12" i="2"/>
  <c r="Y12" i="2"/>
  <c r="X12" i="2"/>
  <c r="W12" i="2"/>
  <c r="V12" i="2"/>
  <c r="U12" i="2"/>
  <c r="T12" i="2"/>
  <c r="S12" i="2"/>
  <c r="R12" i="2"/>
  <c r="Q12" i="2"/>
  <c r="P12" i="2"/>
  <c r="O12" i="2"/>
  <c r="Z11" i="2"/>
  <c r="Y11" i="2"/>
  <c r="X11" i="2"/>
  <c r="W11" i="2"/>
  <c r="V11" i="2"/>
  <c r="U11" i="2"/>
  <c r="T11" i="2"/>
  <c r="S11" i="2"/>
  <c r="R11" i="2"/>
  <c r="Q11" i="2"/>
  <c r="P11" i="2"/>
  <c r="O11" i="2"/>
  <c r="Z10" i="2"/>
  <c r="Y10" i="2"/>
  <c r="X10" i="2"/>
  <c r="W10" i="2"/>
  <c r="V10" i="2"/>
  <c r="U10" i="2"/>
  <c r="T10" i="2"/>
  <c r="S10" i="2"/>
  <c r="R10" i="2"/>
  <c r="Q10" i="2"/>
  <c r="P10" i="2"/>
  <c r="O10" i="2"/>
  <c r="Z9" i="2"/>
  <c r="Y9" i="2"/>
  <c r="X9" i="2"/>
  <c r="W9" i="2"/>
  <c r="V9" i="2"/>
  <c r="U9" i="2"/>
  <c r="T9" i="2"/>
  <c r="S9" i="2"/>
  <c r="R9" i="2"/>
  <c r="Q9" i="2"/>
  <c r="P9" i="2"/>
  <c r="O9" i="2"/>
  <c r="Z8" i="2"/>
  <c r="Y8" i="2"/>
  <c r="X8" i="2"/>
  <c r="W8" i="2"/>
  <c r="V8" i="2"/>
  <c r="U8" i="2"/>
  <c r="T8" i="2"/>
  <c r="S8" i="2"/>
  <c r="R8" i="2"/>
  <c r="Q8" i="2"/>
  <c r="P8" i="2"/>
  <c r="O8" i="2"/>
  <c r="Z7" i="2"/>
  <c r="Y7" i="2"/>
  <c r="X7" i="2"/>
  <c r="W7" i="2"/>
  <c r="V7" i="2"/>
  <c r="U7" i="2"/>
  <c r="T7" i="2"/>
  <c r="S7" i="2"/>
  <c r="R7" i="2"/>
  <c r="Q7" i="2"/>
  <c r="P7" i="2"/>
  <c r="O7" i="2"/>
  <c r="AL92" i="28"/>
  <c r="AK92" i="28"/>
  <c r="N92" i="28"/>
  <c r="M92" i="28"/>
  <c r="L92" i="28"/>
  <c r="K92" i="28"/>
  <c r="J92" i="28"/>
  <c r="I92" i="28"/>
  <c r="H92" i="28"/>
  <c r="G92" i="28"/>
  <c r="F92" i="28"/>
  <c r="E92" i="28"/>
  <c r="D92" i="28"/>
  <c r="C92" i="28"/>
  <c r="N91" i="28"/>
  <c r="M91" i="28"/>
  <c r="L91" i="28"/>
  <c r="K91" i="28"/>
  <c r="J91" i="28"/>
  <c r="I91" i="28"/>
  <c r="H91" i="28"/>
  <c r="G91" i="28"/>
  <c r="F91" i="28"/>
  <c r="E91" i="28"/>
  <c r="D91" i="28"/>
  <c r="C91" i="28"/>
  <c r="AL90" i="28"/>
  <c r="AK90" i="28"/>
  <c r="N90" i="28"/>
  <c r="M90" i="28"/>
  <c r="L90" i="28"/>
  <c r="K90" i="28"/>
  <c r="J90" i="28"/>
  <c r="I90" i="28"/>
  <c r="H90" i="28"/>
  <c r="G90" i="28"/>
  <c r="F90" i="28"/>
  <c r="E90" i="28"/>
  <c r="D90" i="28"/>
  <c r="C90" i="28"/>
  <c r="AL89" i="28"/>
  <c r="AK89" i="28"/>
  <c r="N89" i="28"/>
  <c r="M89" i="28"/>
  <c r="L89" i="28"/>
  <c r="K89" i="28"/>
  <c r="J89" i="28"/>
  <c r="I89" i="28"/>
  <c r="H89" i="28"/>
  <c r="G89" i="28"/>
  <c r="F89" i="28"/>
  <c r="E89" i="28"/>
  <c r="D89" i="28"/>
  <c r="C89" i="28"/>
  <c r="AL88" i="28"/>
  <c r="AK88" i="28"/>
  <c r="N88" i="28"/>
  <c r="M88" i="28"/>
  <c r="L88" i="28"/>
  <c r="K88" i="28"/>
  <c r="J88" i="28"/>
  <c r="I88" i="28"/>
  <c r="H88" i="28"/>
  <c r="G88" i="28"/>
  <c r="F88" i="28"/>
  <c r="E88" i="28"/>
  <c r="D88" i="28"/>
  <c r="C88" i="28"/>
  <c r="AL87" i="28"/>
  <c r="AK87" i="28"/>
  <c r="N87" i="28"/>
  <c r="M87" i="28"/>
  <c r="L87" i="28"/>
  <c r="K87" i="28"/>
  <c r="J87" i="28"/>
  <c r="I87" i="28"/>
  <c r="H87" i="28"/>
  <c r="G87" i="28"/>
  <c r="F87" i="28"/>
  <c r="E87" i="28"/>
  <c r="D87" i="28"/>
  <c r="C87" i="28"/>
  <c r="AL86" i="28"/>
  <c r="AK86" i="28"/>
  <c r="N86" i="28"/>
  <c r="M86" i="28"/>
  <c r="L86" i="28"/>
  <c r="K86" i="28"/>
  <c r="J86" i="28"/>
  <c r="I86" i="28"/>
  <c r="H86" i="28"/>
  <c r="G86" i="28"/>
  <c r="F86" i="28"/>
  <c r="E86" i="28"/>
  <c r="D86" i="28"/>
  <c r="C86" i="28"/>
  <c r="AL85" i="28"/>
  <c r="AK85" i="28"/>
  <c r="N85" i="28"/>
  <c r="M85" i="28"/>
  <c r="L85" i="28"/>
  <c r="K85" i="28"/>
  <c r="J85" i="28"/>
  <c r="I85" i="28"/>
  <c r="H85" i="28"/>
  <c r="G85" i="28"/>
  <c r="F85" i="28"/>
  <c r="E85" i="28"/>
  <c r="D85" i="28"/>
  <c r="C85" i="28"/>
  <c r="AL84" i="28"/>
  <c r="AK84" i="28"/>
  <c r="N84" i="28"/>
  <c r="M84" i="28"/>
  <c r="L84" i="28"/>
  <c r="K84" i="28"/>
  <c r="J84" i="28"/>
  <c r="I84" i="28"/>
  <c r="H84" i="28"/>
  <c r="G84" i="28"/>
  <c r="F84" i="28"/>
  <c r="E84" i="28"/>
  <c r="D84" i="28"/>
  <c r="C84" i="28"/>
  <c r="AL83" i="28"/>
  <c r="AK83" i="28"/>
  <c r="N83" i="28"/>
  <c r="M83" i="28"/>
  <c r="L83" i="28"/>
  <c r="K83" i="28"/>
  <c r="J83" i="28"/>
  <c r="I83" i="28"/>
  <c r="H83" i="28"/>
  <c r="G83" i="28"/>
  <c r="F83" i="28"/>
  <c r="E83" i="28"/>
  <c r="D83" i="28"/>
  <c r="C83" i="28"/>
  <c r="AL82" i="28"/>
  <c r="AK82" i="28"/>
  <c r="N82" i="28"/>
  <c r="M82" i="28"/>
  <c r="L82" i="28"/>
  <c r="K82" i="28"/>
  <c r="J82" i="28"/>
  <c r="I82" i="28"/>
  <c r="H82" i="28"/>
  <c r="G82" i="28"/>
  <c r="F82" i="28"/>
  <c r="E82" i="28"/>
  <c r="D82" i="28"/>
  <c r="C82" i="28"/>
  <c r="AL81" i="28"/>
  <c r="AK81" i="28"/>
  <c r="N81" i="28"/>
  <c r="M81" i="28"/>
  <c r="L81" i="28"/>
  <c r="K81" i="28"/>
  <c r="J81" i="28"/>
  <c r="I81" i="28"/>
  <c r="H81" i="28"/>
  <c r="G81" i="28"/>
  <c r="F81" i="28"/>
  <c r="E81" i="28"/>
  <c r="D81" i="28"/>
  <c r="C81" i="28"/>
  <c r="AL80" i="28"/>
  <c r="AK80" i="28"/>
  <c r="N80" i="28"/>
  <c r="M80" i="28"/>
  <c r="L80" i="28"/>
  <c r="K80" i="28"/>
  <c r="J80" i="28"/>
  <c r="I80" i="28"/>
  <c r="H80" i="28"/>
  <c r="G80" i="28"/>
  <c r="F80" i="28"/>
  <c r="E80" i="28"/>
  <c r="D80" i="28"/>
  <c r="C80" i="28"/>
  <c r="K76" i="28"/>
  <c r="G76" i="28"/>
  <c r="C76" i="28"/>
  <c r="AL74" i="28"/>
  <c r="AK74" i="28"/>
  <c r="N74" i="28"/>
  <c r="M74" i="28"/>
  <c r="L74" i="28"/>
  <c r="K74" i="28"/>
  <c r="J74" i="28"/>
  <c r="I74" i="28"/>
  <c r="H74" i="28"/>
  <c r="G74" i="28"/>
  <c r="F74" i="28"/>
  <c r="E74" i="28"/>
  <c r="D74" i="28"/>
  <c r="C74" i="28"/>
  <c r="AL73" i="28"/>
  <c r="AK73" i="28"/>
  <c r="N73" i="28"/>
  <c r="M73" i="28"/>
  <c r="L73" i="28"/>
  <c r="K73" i="28"/>
  <c r="J73" i="28"/>
  <c r="I73" i="28"/>
  <c r="H73" i="28"/>
  <c r="G73" i="28"/>
  <c r="F73" i="28"/>
  <c r="E73" i="28"/>
  <c r="D73" i="28"/>
  <c r="C73" i="28"/>
  <c r="AL72" i="28"/>
  <c r="AK72" i="28"/>
  <c r="N72" i="28"/>
  <c r="M72" i="28"/>
  <c r="L72" i="28"/>
  <c r="K72" i="28"/>
  <c r="J72" i="28"/>
  <c r="I72" i="28"/>
  <c r="H72" i="28"/>
  <c r="G72" i="28"/>
  <c r="F72" i="28"/>
  <c r="E72" i="28"/>
  <c r="D72" i="28"/>
  <c r="C72" i="28"/>
  <c r="AL71" i="28"/>
  <c r="AK71" i="28"/>
  <c r="N71" i="28"/>
  <c r="M71" i="28"/>
  <c r="L71" i="28"/>
  <c r="K71" i="28"/>
  <c r="J71" i="28"/>
  <c r="I71" i="28"/>
  <c r="H71" i="28"/>
  <c r="G71" i="28"/>
  <c r="F71" i="28"/>
  <c r="E71" i="28"/>
  <c r="D71" i="28"/>
  <c r="C71" i="28"/>
  <c r="AL70" i="28"/>
  <c r="AK70" i="28"/>
  <c r="N70" i="28"/>
  <c r="M70" i="28"/>
  <c r="L70" i="28"/>
  <c r="K70" i="28"/>
  <c r="J70" i="28"/>
  <c r="I70" i="28"/>
  <c r="H70" i="28"/>
  <c r="G70" i="28"/>
  <c r="F70" i="28"/>
  <c r="E70" i="28"/>
  <c r="D70" i="28"/>
  <c r="C70" i="28"/>
  <c r="AL69" i="28"/>
  <c r="AK69" i="28"/>
  <c r="N69" i="28"/>
  <c r="M69" i="28"/>
  <c r="L69" i="28"/>
  <c r="K69" i="28"/>
  <c r="J69" i="28"/>
  <c r="I69" i="28"/>
  <c r="H69" i="28"/>
  <c r="G69" i="28"/>
  <c r="F69" i="28"/>
  <c r="E69" i="28"/>
  <c r="D69" i="28"/>
  <c r="C69" i="28"/>
  <c r="AL68" i="28"/>
  <c r="AK68" i="28"/>
  <c r="N68" i="28"/>
  <c r="M68" i="28"/>
  <c r="L68" i="28"/>
  <c r="K68" i="28"/>
  <c r="J68" i="28"/>
  <c r="I68" i="28"/>
  <c r="H68" i="28"/>
  <c r="G68" i="28"/>
  <c r="F68" i="28"/>
  <c r="E68" i="28"/>
  <c r="D68" i="28"/>
  <c r="C68" i="28"/>
  <c r="AL67" i="28"/>
  <c r="AK67" i="28"/>
  <c r="N67" i="28"/>
  <c r="M67" i="28"/>
  <c r="L67" i="28"/>
  <c r="K67" i="28"/>
  <c r="J67" i="28"/>
  <c r="I67" i="28"/>
  <c r="H67" i="28"/>
  <c r="G67" i="28"/>
  <c r="F67" i="28"/>
  <c r="E67" i="28"/>
  <c r="D67" i="28"/>
  <c r="C67" i="28"/>
  <c r="AL66" i="28"/>
  <c r="AK66" i="28"/>
  <c r="N66" i="28"/>
  <c r="M66" i="28"/>
  <c r="L66" i="28"/>
  <c r="K66" i="28"/>
  <c r="J66" i="28"/>
  <c r="I66" i="28"/>
  <c r="H66" i="28"/>
  <c r="G66" i="28"/>
  <c r="F66" i="28"/>
  <c r="E66" i="28"/>
  <c r="D66" i="28"/>
  <c r="C66" i="28"/>
  <c r="AL65" i="28"/>
  <c r="AK65" i="28"/>
  <c r="N65" i="28"/>
  <c r="M65" i="28"/>
  <c r="L65" i="28"/>
  <c r="K65" i="28"/>
  <c r="J65" i="28"/>
  <c r="I65" i="28"/>
  <c r="H65" i="28"/>
  <c r="G65" i="28"/>
  <c r="F65" i="28"/>
  <c r="E65" i="28"/>
  <c r="D65" i="28"/>
  <c r="C65" i="28"/>
  <c r="AL64" i="28"/>
  <c r="AK64" i="28"/>
  <c r="N64" i="28"/>
  <c r="M64" i="28"/>
  <c r="L64" i="28"/>
  <c r="K64" i="28"/>
  <c r="J64" i="28"/>
  <c r="I64" i="28"/>
  <c r="H64" i="28"/>
  <c r="G64" i="28"/>
  <c r="F64" i="28"/>
  <c r="E64" i="28"/>
  <c r="D64" i="28"/>
  <c r="C64" i="28"/>
  <c r="AL63" i="28"/>
  <c r="AK63" i="28"/>
  <c r="N63" i="28"/>
  <c r="M63" i="28"/>
  <c r="L63" i="28"/>
  <c r="K63" i="28"/>
  <c r="J63" i="28"/>
  <c r="I63" i="28"/>
  <c r="H63" i="28"/>
  <c r="G63" i="28"/>
  <c r="F63" i="28"/>
  <c r="E63" i="28"/>
  <c r="D63" i="28"/>
  <c r="C63" i="28"/>
  <c r="AL62" i="28"/>
  <c r="AK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AL61" i="28"/>
  <c r="AK61" i="28"/>
  <c r="N61" i="28"/>
  <c r="M61" i="28"/>
  <c r="L61" i="28"/>
  <c r="K61" i="28"/>
  <c r="J61" i="28"/>
  <c r="I61" i="28"/>
  <c r="H61" i="28"/>
  <c r="G61" i="28"/>
  <c r="F61" i="28"/>
  <c r="E61" i="28"/>
  <c r="D61" i="28"/>
  <c r="C61" i="28"/>
  <c r="AL60" i="28"/>
  <c r="AK60" i="28"/>
  <c r="N60" i="28"/>
  <c r="M60" i="28"/>
  <c r="L60" i="28"/>
  <c r="K60" i="28"/>
  <c r="J60" i="28"/>
  <c r="I60" i="28"/>
  <c r="H60" i="28"/>
  <c r="G60" i="28"/>
  <c r="F60" i="28"/>
  <c r="E60" i="28"/>
  <c r="D60" i="28"/>
  <c r="C60" i="28"/>
  <c r="AL59" i="28"/>
  <c r="AK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AL58" i="28"/>
  <c r="AK58" i="28"/>
  <c r="N58" i="28"/>
  <c r="M58" i="28"/>
  <c r="L58" i="28"/>
  <c r="K58" i="28"/>
  <c r="J58" i="28"/>
  <c r="I58" i="28"/>
  <c r="H58" i="28"/>
  <c r="G58" i="28"/>
  <c r="F58" i="28"/>
  <c r="E58" i="28"/>
  <c r="D58" i="28"/>
  <c r="C58" i="28"/>
  <c r="AL57" i="28"/>
  <c r="AK57" i="28"/>
  <c r="N57" i="28"/>
  <c r="M57" i="28"/>
  <c r="L57" i="28"/>
  <c r="K57" i="28"/>
  <c r="J57" i="28"/>
  <c r="I57" i="28"/>
  <c r="H57" i="28"/>
  <c r="G57" i="28"/>
  <c r="F57" i="28"/>
  <c r="E57" i="28"/>
  <c r="D57" i="28"/>
  <c r="C57" i="28"/>
  <c r="AL56" i="28"/>
  <c r="AK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AL55" i="28"/>
  <c r="AK55" i="28"/>
  <c r="N55" i="28"/>
  <c r="M55" i="28"/>
  <c r="L55" i="28"/>
  <c r="K55" i="28"/>
  <c r="J55" i="28"/>
  <c r="I55" i="28"/>
  <c r="H55" i="28"/>
  <c r="G55" i="28"/>
  <c r="F55" i="28"/>
  <c r="E55" i="28"/>
  <c r="D55" i="28"/>
  <c r="C55" i="28"/>
  <c r="AL54" i="28"/>
  <c r="AK54" i="28"/>
  <c r="N54" i="28"/>
  <c r="M54" i="28"/>
  <c r="L54" i="28"/>
  <c r="K54" i="28"/>
  <c r="J54" i="28"/>
  <c r="I54" i="28"/>
  <c r="H54" i="28"/>
  <c r="G54" i="28"/>
  <c r="F54" i="28"/>
  <c r="E54" i="28"/>
  <c r="D54" i="28"/>
  <c r="C54" i="28"/>
  <c r="AL53" i="28"/>
  <c r="AK53" i="28"/>
  <c r="N53" i="28"/>
  <c r="M53" i="28"/>
  <c r="L53" i="28"/>
  <c r="K53" i="28"/>
  <c r="J53" i="28"/>
  <c r="I53" i="28"/>
  <c r="H53" i="28"/>
  <c r="G53" i="28"/>
  <c r="F53" i="28"/>
  <c r="E53" i="28"/>
  <c r="D53" i="28"/>
  <c r="C53" i="28"/>
  <c r="AL52" i="28"/>
  <c r="AK52" i="28"/>
  <c r="N52" i="28"/>
  <c r="M52" i="28"/>
  <c r="L52" i="28"/>
  <c r="K52" i="28"/>
  <c r="J52" i="28"/>
  <c r="I52" i="28"/>
  <c r="H52" i="28"/>
  <c r="G52" i="28"/>
  <c r="F52" i="28"/>
  <c r="E52" i="28"/>
  <c r="D52" i="28"/>
  <c r="C52" i="28"/>
  <c r="AL51" i="28"/>
  <c r="AK51" i="28"/>
  <c r="N51" i="28"/>
  <c r="M51" i="28"/>
  <c r="L51" i="28"/>
  <c r="K51" i="28"/>
  <c r="J51" i="28"/>
  <c r="I51" i="28"/>
  <c r="H51" i="28"/>
  <c r="G51" i="28"/>
  <c r="F51" i="28"/>
  <c r="E51" i="28"/>
  <c r="D51" i="28"/>
  <c r="C51" i="28"/>
  <c r="AL50" i="28"/>
  <c r="AK50" i="28"/>
  <c r="N50" i="28"/>
  <c r="M50" i="28"/>
  <c r="L50" i="28"/>
  <c r="K50" i="28"/>
  <c r="J50" i="28"/>
  <c r="I50" i="28"/>
  <c r="H50" i="28"/>
  <c r="G50" i="28"/>
  <c r="F50" i="28"/>
  <c r="E50" i="28"/>
  <c r="D50" i="28"/>
  <c r="C50" i="28"/>
  <c r="AL49" i="28"/>
  <c r="AK49" i="28"/>
  <c r="N49" i="28"/>
  <c r="M49" i="28"/>
  <c r="L49" i="28"/>
  <c r="K49" i="28"/>
  <c r="J49" i="28"/>
  <c r="I49" i="28"/>
  <c r="H49" i="28"/>
  <c r="G49" i="28"/>
  <c r="F49" i="28"/>
  <c r="E49" i="28"/>
  <c r="D49" i="28"/>
  <c r="C49" i="28"/>
  <c r="AL48" i="28"/>
  <c r="AK48" i="28"/>
  <c r="N48" i="28"/>
  <c r="M48" i="28"/>
  <c r="L48" i="28"/>
  <c r="K48" i="28"/>
  <c r="J48" i="28"/>
  <c r="I48" i="28"/>
  <c r="H48" i="28"/>
  <c r="G48" i="28"/>
  <c r="F48" i="28"/>
  <c r="E48" i="28"/>
  <c r="D48" i="28"/>
  <c r="C48" i="28"/>
  <c r="AL47" i="28"/>
  <c r="AK47" i="28"/>
  <c r="N47" i="28"/>
  <c r="M47" i="28"/>
  <c r="L47" i="28"/>
  <c r="K47" i="28"/>
  <c r="J47" i="28"/>
  <c r="I47" i="28"/>
  <c r="H47" i="28"/>
  <c r="G47" i="28"/>
  <c r="F47" i="28"/>
  <c r="E47" i="28"/>
  <c r="D47" i="28"/>
  <c r="C47" i="28"/>
  <c r="AL46" i="28"/>
  <c r="AK46" i="28"/>
  <c r="N46" i="28"/>
  <c r="M46" i="28"/>
  <c r="L46" i="28"/>
  <c r="K46" i="28"/>
  <c r="J46" i="28"/>
  <c r="I46" i="28"/>
  <c r="H46" i="28"/>
  <c r="G46" i="28"/>
  <c r="F46" i="28"/>
  <c r="E46" i="28"/>
  <c r="D46" i="28"/>
  <c r="C46" i="28"/>
  <c r="AL45" i="28"/>
  <c r="AK45" i="28"/>
  <c r="N45" i="28"/>
  <c r="M45" i="28"/>
  <c r="L45" i="28"/>
  <c r="K45" i="28"/>
  <c r="J45" i="28"/>
  <c r="I45" i="28"/>
  <c r="H45" i="28"/>
  <c r="G45" i="28"/>
  <c r="F45" i="28"/>
  <c r="E45" i="28"/>
  <c r="D45" i="28"/>
  <c r="C45" i="28"/>
  <c r="AL44" i="28"/>
  <c r="AK44" i="28"/>
  <c r="N44" i="28"/>
  <c r="M44" i="28"/>
  <c r="L44" i="28"/>
  <c r="K44" i="28"/>
  <c r="J44" i="28"/>
  <c r="I44" i="28"/>
  <c r="H44" i="28"/>
  <c r="G44" i="28"/>
  <c r="F44" i="28"/>
  <c r="E44" i="28"/>
  <c r="D44" i="28"/>
  <c r="C44" i="28"/>
  <c r="AL43" i="28"/>
  <c r="AK43" i="28"/>
  <c r="N43" i="28"/>
  <c r="M43" i="28"/>
  <c r="L43" i="28"/>
  <c r="K43" i="28"/>
  <c r="J43" i="28"/>
  <c r="I43" i="28"/>
  <c r="H43" i="28"/>
  <c r="G43" i="28"/>
  <c r="F43" i="28"/>
  <c r="E43" i="28"/>
  <c r="D43" i="28"/>
  <c r="C43" i="28"/>
  <c r="AL42" i="28"/>
  <c r="AK42" i="28"/>
  <c r="N42" i="28"/>
  <c r="M42" i="28"/>
  <c r="L42" i="28"/>
  <c r="K42" i="28"/>
  <c r="J42" i="28"/>
  <c r="I42" i="28"/>
  <c r="H42" i="28"/>
  <c r="G42" i="28"/>
  <c r="F42" i="28"/>
  <c r="E42" i="28"/>
  <c r="D42" i="28"/>
  <c r="C42" i="28"/>
  <c r="AL41" i="28"/>
  <c r="AK41" i="28"/>
  <c r="N41" i="28"/>
  <c r="M41" i="28"/>
  <c r="L41" i="28"/>
  <c r="K41" i="28"/>
  <c r="J41" i="28"/>
  <c r="I41" i="28"/>
  <c r="H41" i="28"/>
  <c r="G41" i="28"/>
  <c r="F41" i="28"/>
  <c r="E41" i="28"/>
  <c r="D41" i="28"/>
  <c r="C41" i="28"/>
  <c r="AL40" i="28"/>
  <c r="AK40" i="28"/>
  <c r="N40" i="28"/>
  <c r="M40" i="28"/>
  <c r="L40" i="28"/>
  <c r="K40" i="28"/>
  <c r="J40" i="28"/>
  <c r="I40" i="28"/>
  <c r="H40" i="28"/>
  <c r="G40" i="28"/>
  <c r="F40" i="28"/>
  <c r="E40" i="28"/>
  <c r="D40" i="28"/>
  <c r="C40" i="28"/>
  <c r="AL39" i="28"/>
  <c r="AK39" i="28"/>
  <c r="N39" i="28"/>
  <c r="M39" i="28"/>
  <c r="L39" i="28"/>
  <c r="K39" i="28"/>
  <c r="J39" i="28"/>
  <c r="I39" i="28"/>
  <c r="H39" i="28"/>
  <c r="G39" i="28"/>
  <c r="F39" i="28"/>
  <c r="E39" i="28"/>
  <c r="D39" i="28"/>
  <c r="C39" i="28"/>
  <c r="AL38" i="28"/>
  <c r="AK38" i="28"/>
  <c r="N38" i="28"/>
  <c r="M38" i="28"/>
  <c r="L38" i="28"/>
  <c r="K38" i="28"/>
  <c r="J38" i="28"/>
  <c r="I38" i="28"/>
  <c r="H38" i="28"/>
  <c r="G38" i="28"/>
  <c r="F38" i="28"/>
  <c r="E38" i="28"/>
  <c r="D38" i="28"/>
  <c r="C38" i="28"/>
  <c r="AL37" i="28"/>
  <c r="AK37" i="28"/>
  <c r="N37" i="28"/>
  <c r="M37" i="28"/>
  <c r="L37" i="28"/>
  <c r="K37" i="28"/>
  <c r="J37" i="28"/>
  <c r="I37" i="28"/>
  <c r="H37" i="28"/>
  <c r="G37" i="28"/>
  <c r="F37" i="28"/>
  <c r="E37" i="28"/>
  <c r="D37" i="28"/>
  <c r="C37" i="28"/>
  <c r="AL36" i="28"/>
  <c r="AK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AL35" i="28"/>
  <c r="AK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AL34" i="28"/>
  <c r="AK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AL33" i="28"/>
  <c r="AK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AL32" i="28"/>
  <c r="AK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AL31" i="28"/>
  <c r="AK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AL30" i="28"/>
  <c r="AK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AL29" i="28"/>
  <c r="AK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AL28" i="28"/>
  <c r="AK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AL27" i="28"/>
  <c r="AK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AL26" i="28"/>
  <c r="AK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AL25" i="28"/>
  <c r="AK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AL24" i="28"/>
  <c r="AK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AL23" i="28"/>
  <c r="AK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AL22" i="28"/>
  <c r="AK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AL21" i="28"/>
  <c r="AK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AL20" i="28"/>
  <c r="AK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AL19" i="28"/>
  <c r="AK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AL18" i="28"/>
  <c r="AK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AL17" i="28"/>
  <c r="AK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AL16" i="28"/>
  <c r="AK16" i="28"/>
  <c r="N16" i="28"/>
  <c r="M16" i="28"/>
  <c r="L16" i="28"/>
  <c r="K16" i="28"/>
  <c r="J16" i="28"/>
  <c r="I16" i="28"/>
  <c r="H16" i="28"/>
  <c r="G16" i="28"/>
  <c r="F16" i="28"/>
  <c r="E16" i="28"/>
  <c r="D16" i="28"/>
  <c r="C16" i="28"/>
  <c r="AL15" i="28"/>
  <c r="AK15" i="28"/>
  <c r="N15" i="28"/>
  <c r="M15" i="28"/>
  <c r="L15" i="28"/>
  <c r="K15" i="28"/>
  <c r="J15" i="28"/>
  <c r="I15" i="28"/>
  <c r="H15" i="28"/>
  <c r="G15" i="28"/>
  <c r="F15" i="28"/>
  <c r="E15" i="28"/>
  <c r="D15" i="28"/>
  <c r="C15" i="28"/>
  <c r="AL14" i="28"/>
  <c r="AK14" i="28"/>
  <c r="N14" i="28"/>
  <c r="M14" i="28"/>
  <c r="L14" i="28"/>
  <c r="K14" i="28"/>
  <c r="J14" i="28"/>
  <c r="I14" i="28"/>
  <c r="H14" i="28"/>
  <c r="G14" i="28"/>
  <c r="F14" i="28"/>
  <c r="E14" i="28"/>
  <c r="D14" i="28"/>
  <c r="C14" i="28"/>
  <c r="AL13" i="28"/>
  <c r="AK13" i="28"/>
  <c r="N13" i="28"/>
  <c r="M13" i="28"/>
  <c r="L13" i="28"/>
  <c r="K13" i="28"/>
  <c r="J13" i="28"/>
  <c r="I13" i="28"/>
  <c r="H13" i="28"/>
  <c r="G13" i="28"/>
  <c r="F13" i="28"/>
  <c r="E13" i="28"/>
  <c r="D13" i="28"/>
  <c r="C13" i="28"/>
  <c r="AL12" i="28"/>
  <c r="AK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AL11" i="28"/>
  <c r="AK11" i="28"/>
  <c r="N11" i="28"/>
  <c r="M11" i="28"/>
  <c r="L11" i="28"/>
  <c r="K11" i="28"/>
  <c r="J11" i="28"/>
  <c r="I11" i="28"/>
  <c r="H11" i="28"/>
  <c r="G11" i="28"/>
  <c r="F11" i="28"/>
  <c r="E11" i="28"/>
  <c r="D11" i="28"/>
  <c r="C11" i="28"/>
  <c r="AL10" i="28"/>
  <c r="AK10" i="28"/>
  <c r="N10" i="28"/>
  <c r="M10" i="28"/>
  <c r="L10" i="28"/>
  <c r="K10" i="28"/>
  <c r="J10" i="28"/>
  <c r="I10" i="28"/>
  <c r="H10" i="28"/>
  <c r="G10" i="28"/>
  <c r="F10" i="28"/>
  <c r="E10" i="28"/>
  <c r="D10" i="28"/>
  <c r="C10" i="28"/>
  <c r="AL9" i="28"/>
  <c r="AK9" i="28"/>
  <c r="N9" i="28"/>
  <c r="M9" i="28"/>
  <c r="L9" i="28"/>
  <c r="K9" i="28"/>
  <c r="J9" i="28"/>
  <c r="I9" i="28"/>
  <c r="H9" i="28"/>
  <c r="G9" i="28"/>
  <c r="F9" i="28"/>
  <c r="E9" i="28"/>
  <c r="D9" i="28"/>
  <c r="C9" i="28"/>
  <c r="AL8" i="28"/>
  <c r="AK8" i="28"/>
  <c r="N8" i="28"/>
  <c r="M8" i="28"/>
  <c r="L8" i="28"/>
  <c r="K8" i="28"/>
  <c r="J8" i="28"/>
  <c r="I8" i="28"/>
  <c r="H8" i="28"/>
  <c r="G8" i="28"/>
  <c r="F8" i="28"/>
  <c r="E8" i="28"/>
  <c r="D8" i="28"/>
  <c r="C8" i="28"/>
  <c r="AL7" i="28"/>
  <c r="AK7" i="28"/>
  <c r="N7" i="28"/>
  <c r="M7" i="28"/>
  <c r="L7" i="28"/>
  <c r="K7" i="28"/>
  <c r="J7" i="28"/>
  <c r="I7" i="28"/>
  <c r="H7" i="28"/>
  <c r="G7" i="28"/>
  <c r="F7" i="28"/>
  <c r="E7" i="28"/>
  <c r="D7" i="28"/>
  <c r="C7" i="28"/>
  <c r="C18" i="2"/>
  <c r="G18" i="2"/>
  <c r="D18" i="2"/>
  <c r="H18" i="2"/>
  <c r="K18" i="2"/>
  <c r="L18" i="2"/>
  <c r="L7" i="2"/>
  <c r="K7" i="2"/>
  <c r="H7" i="2"/>
  <c r="G7" i="2"/>
  <c r="D7" i="2"/>
  <c r="C7" i="2"/>
  <c r="L6" i="29" s="1"/>
  <c r="C92" i="2"/>
  <c r="AI68" i="27"/>
  <c r="AI67" i="27"/>
  <c r="AI66" i="27"/>
  <c r="AE68" i="27"/>
  <c r="AE67" i="27"/>
  <c r="AE66" i="27"/>
  <c r="AA68" i="27"/>
  <c r="AA67" i="27"/>
  <c r="AA66" i="27"/>
  <c r="W68" i="27"/>
  <c r="W67" i="27"/>
  <c r="W66" i="27"/>
  <c r="S68" i="27"/>
  <c r="S67" i="27"/>
  <c r="S66" i="27"/>
  <c r="O68" i="27"/>
  <c r="O67" i="27"/>
  <c r="O66" i="27"/>
  <c r="K68" i="27"/>
  <c r="K67" i="27"/>
  <c r="K66" i="27"/>
  <c r="G68" i="27"/>
  <c r="G67" i="27"/>
  <c r="G66" i="27"/>
  <c r="C68" i="27"/>
  <c r="C67" i="27"/>
  <c r="C66" i="27"/>
  <c r="AI41" i="27"/>
  <c r="AE41" i="27"/>
  <c r="AA41" i="27"/>
  <c r="W41" i="27"/>
  <c r="S41" i="27"/>
  <c r="O41" i="27"/>
  <c r="K41" i="27"/>
  <c r="H41" i="27"/>
  <c r="G41" i="27"/>
  <c r="C41" i="27"/>
  <c r="AJ92" i="27"/>
  <c r="AI92" i="27"/>
  <c r="AH92" i="27"/>
  <c r="AG92" i="27"/>
  <c r="AF92" i="27"/>
  <c r="AE92" i="27"/>
  <c r="AD92" i="27"/>
  <c r="AC92" i="27"/>
  <c r="AB92" i="27"/>
  <c r="AA92" i="27"/>
  <c r="X92" i="27"/>
  <c r="W92" i="27"/>
  <c r="V92" i="27"/>
  <c r="U92" i="27"/>
  <c r="T92" i="27"/>
  <c r="S92" i="27"/>
  <c r="R92" i="27"/>
  <c r="Q92" i="27"/>
  <c r="P92" i="27"/>
  <c r="O92" i="27"/>
  <c r="L92" i="27"/>
  <c r="K92" i="27"/>
  <c r="J92" i="27"/>
  <c r="I92" i="27"/>
  <c r="H92" i="27"/>
  <c r="G92" i="27"/>
  <c r="F92" i="27"/>
  <c r="E92" i="27"/>
  <c r="D92" i="27"/>
  <c r="C92" i="27"/>
  <c r="AJ91" i="27"/>
  <c r="AI91" i="27"/>
  <c r="AH91" i="27"/>
  <c r="AG91" i="27"/>
  <c r="AF91" i="27"/>
  <c r="AE91" i="27"/>
  <c r="AD91" i="27"/>
  <c r="AC91" i="27"/>
  <c r="AB91" i="27"/>
  <c r="AA91" i="27"/>
  <c r="X91" i="27"/>
  <c r="W91" i="27"/>
  <c r="V91" i="27"/>
  <c r="U91" i="27"/>
  <c r="T91" i="27"/>
  <c r="S91" i="27"/>
  <c r="R91" i="27"/>
  <c r="Q91" i="27"/>
  <c r="P91" i="27"/>
  <c r="O91" i="27"/>
  <c r="L91" i="27"/>
  <c r="K91" i="27"/>
  <c r="J91" i="27"/>
  <c r="I91" i="27"/>
  <c r="H91" i="27"/>
  <c r="G91" i="27"/>
  <c r="F91" i="27"/>
  <c r="E91" i="27"/>
  <c r="D91" i="27"/>
  <c r="C91" i="27"/>
  <c r="AJ90" i="27"/>
  <c r="AI90" i="27"/>
  <c r="AH90" i="27"/>
  <c r="AG90" i="27"/>
  <c r="AF90" i="27"/>
  <c r="AE90" i="27"/>
  <c r="AD90" i="27"/>
  <c r="AC90" i="27"/>
  <c r="AB90" i="27"/>
  <c r="AA90" i="27"/>
  <c r="X90" i="27"/>
  <c r="W90" i="27"/>
  <c r="V90" i="27"/>
  <c r="U90" i="27"/>
  <c r="T90" i="27"/>
  <c r="S90" i="27"/>
  <c r="R90" i="27"/>
  <c r="Q90" i="27"/>
  <c r="P90" i="27"/>
  <c r="O90" i="27"/>
  <c r="L90" i="27"/>
  <c r="K90" i="27"/>
  <c r="J90" i="27"/>
  <c r="I90" i="27"/>
  <c r="H90" i="27"/>
  <c r="G90" i="27"/>
  <c r="F90" i="27"/>
  <c r="E90" i="27"/>
  <c r="D90" i="27"/>
  <c r="C90" i="27"/>
  <c r="AJ89" i="27"/>
  <c r="AI89" i="27"/>
  <c r="AH89" i="27"/>
  <c r="AG89" i="27"/>
  <c r="AF89" i="27"/>
  <c r="AE89" i="27"/>
  <c r="AD89" i="27"/>
  <c r="AC89" i="27"/>
  <c r="AB89" i="27"/>
  <c r="AA89" i="27"/>
  <c r="X89" i="27"/>
  <c r="W89" i="27"/>
  <c r="V89" i="27"/>
  <c r="U89" i="27"/>
  <c r="T89" i="27"/>
  <c r="S89" i="27"/>
  <c r="R89" i="27"/>
  <c r="Q89" i="27"/>
  <c r="P89" i="27"/>
  <c r="O89" i="27"/>
  <c r="L89" i="27"/>
  <c r="K89" i="27"/>
  <c r="J89" i="27"/>
  <c r="I89" i="27"/>
  <c r="H89" i="27"/>
  <c r="G89" i="27"/>
  <c r="F89" i="27"/>
  <c r="E89" i="27"/>
  <c r="D89" i="27"/>
  <c r="C89" i="27"/>
  <c r="AJ88" i="27"/>
  <c r="AI88" i="27"/>
  <c r="AH88" i="27"/>
  <c r="AG88" i="27"/>
  <c r="AF88" i="27"/>
  <c r="AE88" i="27"/>
  <c r="AD88" i="27"/>
  <c r="AC88" i="27"/>
  <c r="AB88" i="27"/>
  <c r="AA88" i="27"/>
  <c r="X88" i="27"/>
  <c r="W88" i="27"/>
  <c r="V88" i="27"/>
  <c r="U88" i="27"/>
  <c r="T88" i="27"/>
  <c r="S88" i="27"/>
  <c r="R88" i="27"/>
  <c r="Q88" i="27"/>
  <c r="P88" i="27"/>
  <c r="O88" i="27"/>
  <c r="L88" i="27"/>
  <c r="K88" i="27"/>
  <c r="J88" i="27"/>
  <c r="I88" i="27"/>
  <c r="H88" i="27"/>
  <c r="G88" i="27"/>
  <c r="F88" i="27"/>
  <c r="E88" i="27"/>
  <c r="D88" i="27"/>
  <c r="C88" i="27"/>
  <c r="AJ87" i="27"/>
  <c r="AI87" i="27"/>
  <c r="AH87" i="27"/>
  <c r="AG87" i="27"/>
  <c r="AF87" i="27"/>
  <c r="AE87" i="27"/>
  <c r="AD87" i="27"/>
  <c r="AC87" i="27"/>
  <c r="AB87" i="27"/>
  <c r="AA87" i="27"/>
  <c r="X87" i="27"/>
  <c r="W87" i="27"/>
  <c r="V87" i="27"/>
  <c r="U87" i="27"/>
  <c r="T87" i="27"/>
  <c r="S87" i="27"/>
  <c r="R87" i="27"/>
  <c r="Q87" i="27"/>
  <c r="P87" i="27"/>
  <c r="O87" i="27"/>
  <c r="L87" i="27"/>
  <c r="K87" i="27"/>
  <c r="J87" i="27"/>
  <c r="I87" i="27"/>
  <c r="H87" i="27"/>
  <c r="G87" i="27"/>
  <c r="F87" i="27"/>
  <c r="E87" i="27"/>
  <c r="D87" i="27"/>
  <c r="C87" i="27"/>
  <c r="AJ86" i="27"/>
  <c r="AI86" i="27"/>
  <c r="AH86" i="27"/>
  <c r="AG86" i="27"/>
  <c r="AF86" i="27"/>
  <c r="AE86" i="27"/>
  <c r="AD86" i="27"/>
  <c r="AC86" i="27"/>
  <c r="AB86" i="27"/>
  <c r="AA86" i="27"/>
  <c r="X86" i="27"/>
  <c r="W86" i="27"/>
  <c r="V86" i="27"/>
  <c r="U86" i="27"/>
  <c r="T86" i="27"/>
  <c r="S86" i="27"/>
  <c r="R86" i="27"/>
  <c r="Q86" i="27"/>
  <c r="P86" i="27"/>
  <c r="O86" i="27"/>
  <c r="L86" i="27"/>
  <c r="K86" i="27"/>
  <c r="J86" i="27"/>
  <c r="I86" i="27"/>
  <c r="H86" i="27"/>
  <c r="G86" i="27"/>
  <c r="F86" i="27"/>
  <c r="E86" i="27"/>
  <c r="D86" i="27"/>
  <c r="C86" i="27"/>
  <c r="AJ85" i="27"/>
  <c r="AI85" i="27"/>
  <c r="AH85" i="27"/>
  <c r="AG85" i="27"/>
  <c r="AF85" i="27"/>
  <c r="AE85" i="27"/>
  <c r="AD85" i="27"/>
  <c r="AC85" i="27"/>
  <c r="AB85" i="27"/>
  <c r="AA85" i="27"/>
  <c r="X85" i="27"/>
  <c r="W85" i="27"/>
  <c r="V85" i="27"/>
  <c r="U85" i="27"/>
  <c r="T85" i="27"/>
  <c r="S85" i="27"/>
  <c r="R85" i="27"/>
  <c r="Q85" i="27"/>
  <c r="P85" i="27"/>
  <c r="O85" i="27"/>
  <c r="L85" i="27"/>
  <c r="K85" i="27"/>
  <c r="J85" i="27"/>
  <c r="I85" i="27"/>
  <c r="H85" i="27"/>
  <c r="G85" i="27"/>
  <c r="F85" i="27"/>
  <c r="E85" i="27"/>
  <c r="D85" i="27"/>
  <c r="C85" i="27"/>
  <c r="AI81" i="27"/>
  <c r="AE81" i="27"/>
  <c r="AA81" i="27"/>
  <c r="W81" i="27"/>
  <c r="S81" i="27"/>
  <c r="O81" i="27"/>
  <c r="K81" i="27"/>
  <c r="G81" i="27"/>
  <c r="C81" i="27"/>
  <c r="AJ79" i="27"/>
  <c r="AI79" i="27"/>
  <c r="AH79" i="27"/>
  <c r="AG79" i="27"/>
  <c r="AF79" i="27"/>
  <c r="AE79" i="27"/>
  <c r="AD79" i="27"/>
  <c r="AC79" i="27"/>
  <c r="AB79" i="27"/>
  <c r="AA79" i="27"/>
  <c r="X79" i="27"/>
  <c r="W79" i="27"/>
  <c r="V79" i="27"/>
  <c r="U79" i="27"/>
  <c r="T79" i="27"/>
  <c r="S79" i="27"/>
  <c r="R79" i="27"/>
  <c r="Q79" i="27"/>
  <c r="P79" i="27"/>
  <c r="O79" i="27"/>
  <c r="L79" i="27"/>
  <c r="K79" i="27"/>
  <c r="J79" i="27"/>
  <c r="I79" i="27"/>
  <c r="H79" i="27"/>
  <c r="G79" i="27"/>
  <c r="F79" i="27"/>
  <c r="E79" i="27"/>
  <c r="D79" i="27"/>
  <c r="C79" i="27"/>
  <c r="AJ78" i="27"/>
  <c r="AI78" i="27"/>
  <c r="AH78" i="27"/>
  <c r="AG78" i="27"/>
  <c r="AF78" i="27"/>
  <c r="AE78" i="27"/>
  <c r="AD78" i="27"/>
  <c r="AC78" i="27"/>
  <c r="AB78" i="27"/>
  <c r="AA78" i="27"/>
  <c r="X78" i="27"/>
  <c r="W78" i="27"/>
  <c r="V78" i="27"/>
  <c r="U78" i="27"/>
  <c r="T78" i="27"/>
  <c r="S78" i="27"/>
  <c r="R78" i="27"/>
  <c r="Q78" i="27"/>
  <c r="P78" i="27"/>
  <c r="O78" i="27"/>
  <c r="L78" i="27"/>
  <c r="K78" i="27"/>
  <c r="J78" i="27"/>
  <c r="I78" i="27"/>
  <c r="H78" i="27"/>
  <c r="G78" i="27"/>
  <c r="F78" i="27"/>
  <c r="E78" i="27"/>
  <c r="D78" i="27"/>
  <c r="C78" i="27"/>
  <c r="AJ77" i="27"/>
  <c r="AI77" i="27"/>
  <c r="AH77" i="27"/>
  <c r="AG77" i="27"/>
  <c r="AF77" i="27"/>
  <c r="AE77" i="27"/>
  <c r="AD77" i="27"/>
  <c r="AC77" i="27"/>
  <c r="AB77" i="27"/>
  <c r="AA77" i="27"/>
  <c r="X77" i="27"/>
  <c r="W77" i="27"/>
  <c r="V77" i="27"/>
  <c r="U77" i="27"/>
  <c r="T77" i="27"/>
  <c r="S77" i="27"/>
  <c r="R77" i="27"/>
  <c r="Q77" i="27"/>
  <c r="P77" i="27"/>
  <c r="O77" i="27"/>
  <c r="L77" i="27"/>
  <c r="K77" i="27"/>
  <c r="J77" i="27"/>
  <c r="I77" i="27"/>
  <c r="H77" i="27"/>
  <c r="G77" i="27"/>
  <c r="F77" i="27"/>
  <c r="E77" i="27"/>
  <c r="D77" i="27"/>
  <c r="C77" i="27"/>
  <c r="AJ76" i="27"/>
  <c r="AI76" i="27"/>
  <c r="AH76" i="27"/>
  <c r="AG76" i="27"/>
  <c r="AF76" i="27"/>
  <c r="AE76" i="27"/>
  <c r="AD76" i="27"/>
  <c r="AC76" i="27"/>
  <c r="AB76" i="27"/>
  <c r="AA76" i="27"/>
  <c r="X76" i="27"/>
  <c r="W76" i="27"/>
  <c r="V76" i="27"/>
  <c r="U76" i="27"/>
  <c r="T76" i="27"/>
  <c r="S76" i="27"/>
  <c r="R76" i="27"/>
  <c r="Q76" i="27"/>
  <c r="P76" i="27"/>
  <c r="O76" i="27"/>
  <c r="L76" i="27"/>
  <c r="K76" i="27"/>
  <c r="J76" i="27"/>
  <c r="I76" i="27"/>
  <c r="H76" i="27"/>
  <c r="G76" i="27"/>
  <c r="F76" i="27"/>
  <c r="E76" i="27"/>
  <c r="D76" i="27"/>
  <c r="C76" i="27"/>
  <c r="AJ75" i="27"/>
  <c r="AI75" i="27"/>
  <c r="AH75" i="27"/>
  <c r="AG75" i="27"/>
  <c r="AF75" i="27"/>
  <c r="AE75" i="27"/>
  <c r="AD75" i="27"/>
  <c r="AC75" i="27"/>
  <c r="AB75" i="27"/>
  <c r="AA75" i="27"/>
  <c r="X75" i="27"/>
  <c r="W75" i="27"/>
  <c r="V75" i="27"/>
  <c r="U75" i="27"/>
  <c r="T75" i="27"/>
  <c r="S75" i="27"/>
  <c r="R75" i="27"/>
  <c r="Q75" i="27"/>
  <c r="P75" i="27"/>
  <c r="O75" i="27"/>
  <c r="L75" i="27"/>
  <c r="K75" i="27"/>
  <c r="J75" i="27"/>
  <c r="I75" i="27"/>
  <c r="H75" i="27"/>
  <c r="G75" i="27"/>
  <c r="F75" i="27"/>
  <c r="E75" i="27"/>
  <c r="D75" i="27"/>
  <c r="C75" i="27"/>
  <c r="AJ74" i="27"/>
  <c r="AI74" i="27"/>
  <c r="AH74" i="27"/>
  <c r="AG74" i="27"/>
  <c r="AF74" i="27"/>
  <c r="AE74" i="27"/>
  <c r="AD74" i="27"/>
  <c r="AC74" i="27"/>
  <c r="AB74" i="27"/>
  <c r="AA74" i="27"/>
  <c r="X74" i="27"/>
  <c r="W74" i="27"/>
  <c r="V74" i="27"/>
  <c r="U74" i="27"/>
  <c r="T74" i="27"/>
  <c r="S74" i="27"/>
  <c r="R74" i="27"/>
  <c r="Q74" i="27"/>
  <c r="P74" i="27"/>
  <c r="O74" i="27"/>
  <c r="L74" i="27"/>
  <c r="K74" i="27"/>
  <c r="J74" i="27"/>
  <c r="I74" i="27"/>
  <c r="H74" i="27"/>
  <c r="G74" i="27"/>
  <c r="F74" i="27"/>
  <c r="E74" i="27"/>
  <c r="D74" i="27"/>
  <c r="C74" i="27"/>
  <c r="AJ73" i="27"/>
  <c r="AI73" i="27"/>
  <c r="AH73" i="27"/>
  <c r="AG73" i="27"/>
  <c r="AF73" i="27"/>
  <c r="AE73" i="27"/>
  <c r="AD73" i="27"/>
  <c r="AC73" i="27"/>
  <c r="AB73" i="27"/>
  <c r="AA73" i="27"/>
  <c r="X73" i="27"/>
  <c r="W73" i="27"/>
  <c r="V73" i="27"/>
  <c r="U73" i="27"/>
  <c r="T73" i="27"/>
  <c r="S73" i="27"/>
  <c r="R73" i="27"/>
  <c r="Q73" i="27"/>
  <c r="P73" i="27"/>
  <c r="O73" i="27"/>
  <c r="L73" i="27"/>
  <c r="K73" i="27"/>
  <c r="J73" i="27"/>
  <c r="I73" i="27"/>
  <c r="H73" i="27"/>
  <c r="G73" i="27"/>
  <c r="F73" i="27"/>
  <c r="E73" i="27"/>
  <c r="D73" i="27"/>
  <c r="C73" i="27"/>
  <c r="AJ72" i="27"/>
  <c r="AI72" i="27"/>
  <c r="AH72" i="27"/>
  <c r="AG72" i="27"/>
  <c r="AF72" i="27"/>
  <c r="AE72" i="27"/>
  <c r="AD72" i="27"/>
  <c r="AC72" i="27"/>
  <c r="AB72" i="27"/>
  <c r="AA72" i="27"/>
  <c r="X72" i="27"/>
  <c r="W72" i="27"/>
  <c r="V72" i="27"/>
  <c r="U72" i="27"/>
  <c r="T72" i="27"/>
  <c r="S72" i="27"/>
  <c r="R72" i="27"/>
  <c r="Q72" i="27"/>
  <c r="P72" i="27"/>
  <c r="O72" i="27"/>
  <c r="L72" i="27"/>
  <c r="K72" i="27"/>
  <c r="J72" i="27"/>
  <c r="I72" i="27"/>
  <c r="H72" i="27"/>
  <c r="G72" i="27"/>
  <c r="F72" i="27"/>
  <c r="E72" i="27"/>
  <c r="D72" i="27"/>
  <c r="C72" i="27"/>
  <c r="AJ71" i="27"/>
  <c r="AI71" i="27"/>
  <c r="AH71" i="27"/>
  <c r="AG71" i="27"/>
  <c r="AF71" i="27"/>
  <c r="AE71" i="27"/>
  <c r="AD71" i="27"/>
  <c r="AC71" i="27"/>
  <c r="AB71" i="27"/>
  <c r="AA71" i="27"/>
  <c r="X71" i="27"/>
  <c r="W71" i="27"/>
  <c r="V71" i="27"/>
  <c r="U71" i="27"/>
  <c r="T71" i="27"/>
  <c r="S71" i="27"/>
  <c r="R71" i="27"/>
  <c r="Q71" i="27"/>
  <c r="P71" i="27"/>
  <c r="O71" i="27"/>
  <c r="L71" i="27"/>
  <c r="K71" i="27"/>
  <c r="J71" i="27"/>
  <c r="I71" i="27"/>
  <c r="H71" i="27"/>
  <c r="G71" i="27"/>
  <c r="F71" i="27"/>
  <c r="E71" i="27"/>
  <c r="D71" i="27"/>
  <c r="C71" i="27"/>
  <c r="AJ70" i="27"/>
  <c r="AI70" i="27"/>
  <c r="AH70" i="27"/>
  <c r="AG70" i="27"/>
  <c r="AF70" i="27"/>
  <c r="AE70" i="27"/>
  <c r="AD70" i="27"/>
  <c r="AC70" i="27"/>
  <c r="AB70" i="27"/>
  <c r="AA70" i="27"/>
  <c r="X70" i="27"/>
  <c r="W70" i="27"/>
  <c r="V70" i="27"/>
  <c r="U70" i="27"/>
  <c r="T70" i="27"/>
  <c r="S70" i="27"/>
  <c r="R70" i="27"/>
  <c r="Q70" i="27"/>
  <c r="P70" i="27"/>
  <c r="O70" i="27"/>
  <c r="L70" i="27"/>
  <c r="K70" i="27"/>
  <c r="J70" i="27"/>
  <c r="I70" i="27"/>
  <c r="H70" i="27"/>
  <c r="G70" i="27"/>
  <c r="F70" i="27"/>
  <c r="E70" i="27"/>
  <c r="D70" i="27"/>
  <c r="C70" i="27"/>
  <c r="AJ69" i="27"/>
  <c r="AI69" i="27"/>
  <c r="AH69" i="27"/>
  <c r="AG69" i="27"/>
  <c r="AF69" i="27"/>
  <c r="AE69" i="27"/>
  <c r="AD69" i="27"/>
  <c r="AC69" i="27"/>
  <c r="AB69" i="27"/>
  <c r="AA69" i="27"/>
  <c r="X69" i="27"/>
  <c r="W69" i="27"/>
  <c r="V69" i="27"/>
  <c r="U69" i="27"/>
  <c r="T69" i="27"/>
  <c r="S69" i="27"/>
  <c r="R69" i="27"/>
  <c r="Q69" i="27"/>
  <c r="P69" i="27"/>
  <c r="O69" i="27"/>
  <c r="L69" i="27"/>
  <c r="K69" i="27"/>
  <c r="J69" i="27"/>
  <c r="I69" i="27"/>
  <c r="H69" i="27"/>
  <c r="G69" i="27"/>
  <c r="F69" i="27"/>
  <c r="E69" i="27"/>
  <c r="D69" i="27"/>
  <c r="C69" i="27"/>
  <c r="AJ68" i="27"/>
  <c r="AH68" i="27"/>
  <c r="AG68" i="27"/>
  <c r="AF68" i="27"/>
  <c r="AD68" i="27"/>
  <c r="AC68" i="27"/>
  <c r="AB68" i="27"/>
  <c r="X68" i="27"/>
  <c r="V68" i="27"/>
  <c r="U68" i="27"/>
  <c r="T68" i="27"/>
  <c r="R68" i="27"/>
  <c r="Q68" i="27"/>
  <c r="P68" i="27"/>
  <c r="L68" i="27"/>
  <c r="J68" i="27"/>
  <c r="I68" i="27"/>
  <c r="H68" i="27"/>
  <c r="F68" i="27"/>
  <c r="E68" i="27"/>
  <c r="D68" i="27"/>
  <c r="AJ67" i="27"/>
  <c r="AH67" i="27"/>
  <c r="AG67" i="27"/>
  <c r="AF67" i="27"/>
  <c r="AD67" i="27"/>
  <c r="AC67" i="27"/>
  <c r="AB67" i="27"/>
  <c r="X67" i="27"/>
  <c r="V67" i="27"/>
  <c r="U67" i="27"/>
  <c r="T67" i="27"/>
  <c r="R67" i="27"/>
  <c r="Q67" i="27"/>
  <c r="P67" i="27"/>
  <c r="L67" i="27"/>
  <c r="J67" i="27"/>
  <c r="I67" i="27"/>
  <c r="H67" i="27"/>
  <c r="F67" i="27"/>
  <c r="E67" i="27"/>
  <c r="D67" i="27"/>
  <c r="AJ66" i="27"/>
  <c r="AH66" i="27"/>
  <c r="AG66" i="27"/>
  <c r="AF66" i="27"/>
  <c r="AD66" i="27"/>
  <c r="AC66" i="27"/>
  <c r="AB66" i="27"/>
  <c r="X66" i="27"/>
  <c r="V66" i="27"/>
  <c r="U66" i="27"/>
  <c r="T66" i="27"/>
  <c r="R66" i="27"/>
  <c r="Q66" i="27"/>
  <c r="P66" i="27"/>
  <c r="L66" i="27"/>
  <c r="J66" i="27"/>
  <c r="I66" i="27"/>
  <c r="H66" i="27"/>
  <c r="F66" i="27"/>
  <c r="E66" i="27"/>
  <c r="D66" i="27"/>
  <c r="AJ65" i="27"/>
  <c r="AI65" i="27"/>
  <c r="AH65" i="27"/>
  <c r="AG65" i="27"/>
  <c r="AF65" i="27"/>
  <c r="AE65" i="27"/>
  <c r="AD65" i="27"/>
  <c r="AC65" i="27"/>
  <c r="AB65" i="27"/>
  <c r="AA65" i="27"/>
  <c r="X65" i="27"/>
  <c r="W65" i="27"/>
  <c r="V65" i="27"/>
  <c r="U65" i="27"/>
  <c r="T65" i="27"/>
  <c r="S65" i="27"/>
  <c r="R65" i="27"/>
  <c r="Q65" i="27"/>
  <c r="P65" i="27"/>
  <c r="O65" i="27"/>
  <c r="L65" i="27"/>
  <c r="K65" i="27"/>
  <c r="J65" i="27"/>
  <c r="I65" i="27"/>
  <c r="H65" i="27"/>
  <c r="G65" i="27"/>
  <c r="F65" i="27"/>
  <c r="E65" i="27"/>
  <c r="D65" i="27"/>
  <c r="C65" i="27"/>
  <c r="AJ64" i="27"/>
  <c r="AI64" i="27"/>
  <c r="AH64" i="27"/>
  <c r="AG64" i="27"/>
  <c r="AF64" i="27"/>
  <c r="AE64" i="27"/>
  <c r="AD64" i="27"/>
  <c r="AC64" i="27"/>
  <c r="AB64" i="27"/>
  <c r="AA64" i="27"/>
  <c r="X64" i="27"/>
  <c r="W64" i="27"/>
  <c r="V64" i="27"/>
  <c r="U64" i="27"/>
  <c r="T64" i="27"/>
  <c r="S64" i="27"/>
  <c r="R64" i="27"/>
  <c r="Q64" i="27"/>
  <c r="P64" i="27"/>
  <c r="O64" i="27"/>
  <c r="L64" i="27"/>
  <c r="K64" i="27"/>
  <c r="J64" i="27"/>
  <c r="I64" i="27"/>
  <c r="H64" i="27"/>
  <c r="G64" i="27"/>
  <c r="F64" i="27"/>
  <c r="E64" i="27"/>
  <c r="D64" i="27"/>
  <c r="C64" i="27"/>
  <c r="AJ63" i="27"/>
  <c r="AI63" i="27"/>
  <c r="AH63" i="27"/>
  <c r="AG63" i="27"/>
  <c r="AF63" i="27"/>
  <c r="AE63" i="27"/>
  <c r="AD63" i="27"/>
  <c r="AC63" i="27"/>
  <c r="AB63" i="27"/>
  <c r="AA63" i="27"/>
  <c r="X63" i="27"/>
  <c r="W63" i="27"/>
  <c r="V63" i="27"/>
  <c r="U63" i="27"/>
  <c r="T63" i="27"/>
  <c r="S63" i="27"/>
  <c r="R63" i="27"/>
  <c r="Q63" i="27"/>
  <c r="P63" i="27"/>
  <c r="O63" i="27"/>
  <c r="L63" i="27"/>
  <c r="K63" i="27"/>
  <c r="J63" i="27"/>
  <c r="I63" i="27"/>
  <c r="H63" i="27"/>
  <c r="G63" i="27"/>
  <c r="F63" i="27"/>
  <c r="E63" i="27"/>
  <c r="D63" i="27"/>
  <c r="C63" i="27"/>
  <c r="AJ62" i="27"/>
  <c r="AI62" i="27"/>
  <c r="AH62" i="27"/>
  <c r="AG62" i="27"/>
  <c r="AF62" i="27"/>
  <c r="AE62" i="27"/>
  <c r="AD62" i="27"/>
  <c r="AC62" i="27"/>
  <c r="AB62" i="27"/>
  <c r="AA62" i="27"/>
  <c r="X62" i="27"/>
  <c r="W62" i="27"/>
  <c r="V62" i="27"/>
  <c r="U62" i="27"/>
  <c r="T62" i="27"/>
  <c r="S62" i="27"/>
  <c r="R62" i="27"/>
  <c r="Q62" i="27"/>
  <c r="P62" i="27"/>
  <c r="O62" i="27"/>
  <c r="L62" i="27"/>
  <c r="K62" i="27"/>
  <c r="J62" i="27"/>
  <c r="I62" i="27"/>
  <c r="H62" i="27"/>
  <c r="G62" i="27"/>
  <c r="F62" i="27"/>
  <c r="E62" i="27"/>
  <c r="D62" i="27"/>
  <c r="C62" i="27"/>
  <c r="AJ61" i="27"/>
  <c r="AI61" i="27"/>
  <c r="AH61" i="27"/>
  <c r="AG61" i="27"/>
  <c r="AF61" i="27"/>
  <c r="AE61" i="27"/>
  <c r="AD61" i="27"/>
  <c r="AC61" i="27"/>
  <c r="AB61" i="27"/>
  <c r="AA61" i="27"/>
  <c r="X61" i="27"/>
  <c r="W61" i="27"/>
  <c r="V61" i="27"/>
  <c r="U61" i="27"/>
  <c r="T61" i="27"/>
  <c r="S61" i="27"/>
  <c r="R61" i="27"/>
  <c r="Q61" i="27"/>
  <c r="P61" i="27"/>
  <c r="O61" i="27"/>
  <c r="L61" i="27"/>
  <c r="K61" i="27"/>
  <c r="J61" i="27"/>
  <c r="I61" i="27"/>
  <c r="H61" i="27"/>
  <c r="G61" i="27"/>
  <c r="F61" i="27"/>
  <c r="E61" i="27"/>
  <c r="D61" i="27"/>
  <c r="C61" i="27"/>
  <c r="AJ60" i="27"/>
  <c r="AI60" i="27"/>
  <c r="AH60" i="27"/>
  <c r="AG60" i="27"/>
  <c r="AF60" i="27"/>
  <c r="AE60" i="27"/>
  <c r="AD60" i="27"/>
  <c r="AC60" i="27"/>
  <c r="AB60" i="27"/>
  <c r="AA60" i="27"/>
  <c r="X60" i="27"/>
  <c r="W60" i="27"/>
  <c r="V60" i="27"/>
  <c r="U60" i="27"/>
  <c r="T60" i="27"/>
  <c r="S60" i="27"/>
  <c r="R60" i="27"/>
  <c r="Q60" i="27"/>
  <c r="P60" i="27"/>
  <c r="O60" i="27"/>
  <c r="L60" i="27"/>
  <c r="K60" i="27"/>
  <c r="J60" i="27"/>
  <c r="I60" i="27"/>
  <c r="H60" i="27"/>
  <c r="G60" i="27"/>
  <c r="F60" i="27"/>
  <c r="E60" i="27"/>
  <c r="D60" i="27"/>
  <c r="C60" i="27"/>
  <c r="AJ59" i="27"/>
  <c r="AI59" i="27"/>
  <c r="AH59" i="27"/>
  <c r="AG59" i="27"/>
  <c r="AF59" i="27"/>
  <c r="AE59" i="27"/>
  <c r="AD59" i="27"/>
  <c r="AC59" i="27"/>
  <c r="AB59" i="27"/>
  <c r="AA59" i="27"/>
  <c r="X59" i="27"/>
  <c r="W59" i="27"/>
  <c r="V59" i="27"/>
  <c r="U59" i="27"/>
  <c r="T59" i="27"/>
  <c r="S59" i="27"/>
  <c r="R59" i="27"/>
  <c r="Q59" i="27"/>
  <c r="P59" i="27"/>
  <c r="O59" i="27"/>
  <c r="L59" i="27"/>
  <c r="K59" i="27"/>
  <c r="J59" i="27"/>
  <c r="I59" i="27"/>
  <c r="H59" i="27"/>
  <c r="G59" i="27"/>
  <c r="F59" i="27"/>
  <c r="E59" i="27"/>
  <c r="D59" i="27"/>
  <c r="C59" i="27"/>
  <c r="AJ58" i="27"/>
  <c r="AI58" i="27"/>
  <c r="AH58" i="27"/>
  <c r="AG58" i="27"/>
  <c r="AF58" i="27"/>
  <c r="AE58" i="27"/>
  <c r="AD58" i="27"/>
  <c r="AC58" i="27"/>
  <c r="AB58" i="27"/>
  <c r="AA58" i="27"/>
  <c r="X58" i="27"/>
  <c r="W58" i="27"/>
  <c r="V58" i="27"/>
  <c r="U58" i="27"/>
  <c r="T58" i="27"/>
  <c r="S58" i="27"/>
  <c r="R58" i="27"/>
  <c r="Q58" i="27"/>
  <c r="P58" i="27"/>
  <c r="O58" i="27"/>
  <c r="L58" i="27"/>
  <c r="K58" i="27"/>
  <c r="J58" i="27"/>
  <c r="I58" i="27"/>
  <c r="H58" i="27"/>
  <c r="G58" i="27"/>
  <c r="F58" i="27"/>
  <c r="E58" i="27"/>
  <c r="D58" i="27"/>
  <c r="C58" i="27"/>
  <c r="AJ57" i="27"/>
  <c r="AI57" i="27"/>
  <c r="AH57" i="27"/>
  <c r="AG57" i="27"/>
  <c r="AF57" i="27"/>
  <c r="AE57" i="27"/>
  <c r="AD57" i="27"/>
  <c r="AC57" i="27"/>
  <c r="AB57" i="27"/>
  <c r="AA57" i="27"/>
  <c r="X57" i="27"/>
  <c r="W57" i="27"/>
  <c r="V57" i="27"/>
  <c r="U57" i="27"/>
  <c r="T57" i="27"/>
  <c r="S57" i="27"/>
  <c r="R57" i="27"/>
  <c r="Q57" i="27"/>
  <c r="P57" i="27"/>
  <c r="O57" i="27"/>
  <c r="L57" i="27"/>
  <c r="K57" i="27"/>
  <c r="J57" i="27"/>
  <c r="I57" i="27"/>
  <c r="H57" i="27"/>
  <c r="G57" i="27"/>
  <c r="F57" i="27"/>
  <c r="E57" i="27"/>
  <c r="D57" i="27"/>
  <c r="C57" i="27"/>
  <c r="AJ56" i="27"/>
  <c r="AI56" i="27"/>
  <c r="AH56" i="27"/>
  <c r="AG56" i="27"/>
  <c r="AF56" i="27"/>
  <c r="AE56" i="27"/>
  <c r="AD56" i="27"/>
  <c r="AC56" i="27"/>
  <c r="AB56" i="27"/>
  <c r="AA56" i="27"/>
  <c r="X56" i="27"/>
  <c r="W56" i="27"/>
  <c r="V56" i="27"/>
  <c r="U56" i="27"/>
  <c r="T56" i="27"/>
  <c r="S56" i="27"/>
  <c r="R56" i="27"/>
  <c r="Q56" i="27"/>
  <c r="P56" i="27"/>
  <c r="O56" i="27"/>
  <c r="L56" i="27"/>
  <c r="K56" i="27"/>
  <c r="J56" i="27"/>
  <c r="I56" i="27"/>
  <c r="H56" i="27"/>
  <c r="G56" i="27"/>
  <c r="F56" i="27"/>
  <c r="E56" i="27"/>
  <c r="D56" i="27"/>
  <c r="C56" i="27"/>
  <c r="AJ55" i="27"/>
  <c r="AI55" i="27"/>
  <c r="AH55" i="27"/>
  <c r="AG55" i="27"/>
  <c r="AF55" i="27"/>
  <c r="AE55" i="27"/>
  <c r="AD55" i="27"/>
  <c r="AC55" i="27"/>
  <c r="AB55" i="27"/>
  <c r="AA55" i="27"/>
  <c r="X55" i="27"/>
  <c r="W55" i="27"/>
  <c r="V55" i="27"/>
  <c r="U55" i="27"/>
  <c r="T55" i="27"/>
  <c r="S55" i="27"/>
  <c r="R55" i="27"/>
  <c r="Q55" i="27"/>
  <c r="P55" i="27"/>
  <c r="O55" i="27"/>
  <c r="L55" i="27"/>
  <c r="K55" i="27"/>
  <c r="J55" i="27"/>
  <c r="I55" i="27"/>
  <c r="H55" i="27"/>
  <c r="G55" i="27"/>
  <c r="F55" i="27"/>
  <c r="E55" i="27"/>
  <c r="D55" i="27"/>
  <c r="C55" i="27"/>
  <c r="AJ54" i="27"/>
  <c r="AI54" i="27"/>
  <c r="AH54" i="27"/>
  <c r="AG54" i="27"/>
  <c r="AF54" i="27"/>
  <c r="AE54" i="27"/>
  <c r="AD54" i="27"/>
  <c r="AC54" i="27"/>
  <c r="AB54" i="27"/>
  <c r="AA54" i="27"/>
  <c r="X54" i="27"/>
  <c r="W54" i="27"/>
  <c r="V54" i="27"/>
  <c r="U54" i="27"/>
  <c r="T54" i="27"/>
  <c r="S54" i="27"/>
  <c r="R54" i="27"/>
  <c r="Q54" i="27"/>
  <c r="P54" i="27"/>
  <c r="O54" i="27"/>
  <c r="L54" i="27"/>
  <c r="K54" i="27"/>
  <c r="J54" i="27"/>
  <c r="I54" i="27"/>
  <c r="H54" i="27"/>
  <c r="G54" i="27"/>
  <c r="F54" i="27"/>
  <c r="E54" i="27"/>
  <c r="D54" i="27"/>
  <c r="C54" i="27"/>
  <c r="AJ53" i="27"/>
  <c r="AI53" i="27"/>
  <c r="AH53" i="27"/>
  <c r="AG53" i="27"/>
  <c r="AF53" i="27"/>
  <c r="AE53" i="27"/>
  <c r="AD53" i="27"/>
  <c r="AC53" i="27"/>
  <c r="AB53" i="27"/>
  <c r="AA53" i="27"/>
  <c r="X53" i="27"/>
  <c r="W53" i="27"/>
  <c r="V53" i="27"/>
  <c r="U53" i="27"/>
  <c r="T53" i="27"/>
  <c r="S53" i="27"/>
  <c r="R53" i="27"/>
  <c r="Q53" i="27"/>
  <c r="P53" i="27"/>
  <c r="O53" i="27"/>
  <c r="L53" i="27"/>
  <c r="K53" i="27"/>
  <c r="J53" i="27"/>
  <c r="I53" i="27"/>
  <c r="H53" i="27"/>
  <c r="G53" i="27"/>
  <c r="F53" i="27"/>
  <c r="E53" i="27"/>
  <c r="D53" i="27"/>
  <c r="C53" i="27"/>
  <c r="AJ52" i="27"/>
  <c r="AI52" i="27"/>
  <c r="AH52" i="27"/>
  <c r="AG52" i="27"/>
  <c r="AF52" i="27"/>
  <c r="AE52" i="27"/>
  <c r="AD52" i="27"/>
  <c r="AC52" i="27"/>
  <c r="AB52" i="27"/>
  <c r="AA52" i="27"/>
  <c r="X52" i="27"/>
  <c r="W52" i="27"/>
  <c r="V52" i="27"/>
  <c r="U52" i="27"/>
  <c r="T52" i="27"/>
  <c r="S52" i="27"/>
  <c r="R52" i="27"/>
  <c r="Q52" i="27"/>
  <c r="P52" i="27"/>
  <c r="O52" i="27"/>
  <c r="L52" i="27"/>
  <c r="K52" i="27"/>
  <c r="J52" i="27"/>
  <c r="I52" i="27"/>
  <c r="H52" i="27"/>
  <c r="G52" i="27"/>
  <c r="F52" i="27"/>
  <c r="E52" i="27"/>
  <c r="D52" i="27"/>
  <c r="C52" i="27"/>
  <c r="AJ51" i="27"/>
  <c r="AI51" i="27"/>
  <c r="AH51" i="27"/>
  <c r="AG51" i="27"/>
  <c r="AF51" i="27"/>
  <c r="AE51" i="27"/>
  <c r="AD51" i="27"/>
  <c r="AC51" i="27"/>
  <c r="AB51" i="27"/>
  <c r="AA51" i="27"/>
  <c r="X51" i="27"/>
  <c r="W51" i="27"/>
  <c r="V51" i="27"/>
  <c r="U51" i="27"/>
  <c r="T51" i="27"/>
  <c r="S51" i="27"/>
  <c r="R51" i="27"/>
  <c r="Q51" i="27"/>
  <c r="P51" i="27"/>
  <c r="O51" i="27"/>
  <c r="L51" i="27"/>
  <c r="K51" i="27"/>
  <c r="J51" i="27"/>
  <c r="I51" i="27"/>
  <c r="H51" i="27"/>
  <c r="G51" i="27"/>
  <c r="F51" i="27"/>
  <c r="E51" i="27"/>
  <c r="D51" i="27"/>
  <c r="C51" i="27"/>
  <c r="AJ50" i="27"/>
  <c r="AI50" i="27"/>
  <c r="AH50" i="27"/>
  <c r="AG50" i="27"/>
  <c r="AF50" i="27"/>
  <c r="AE50" i="27"/>
  <c r="AD50" i="27"/>
  <c r="AC50" i="27"/>
  <c r="AB50" i="27"/>
  <c r="AA50" i="27"/>
  <c r="X50" i="27"/>
  <c r="W50" i="27"/>
  <c r="V50" i="27"/>
  <c r="U50" i="27"/>
  <c r="T50" i="27"/>
  <c r="S50" i="27"/>
  <c r="R50" i="27"/>
  <c r="Q50" i="27"/>
  <c r="P50" i="27"/>
  <c r="O50" i="27"/>
  <c r="L50" i="27"/>
  <c r="K50" i="27"/>
  <c r="J50" i="27"/>
  <c r="I50" i="27"/>
  <c r="H50" i="27"/>
  <c r="G50" i="27"/>
  <c r="F50" i="27"/>
  <c r="E50" i="27"/>
  <c r="D50" i="27"/>
  <c r="C50" i="27"/>
  <c r="AJ49" i="27"/>
  <c r="AI49" i="27"/>
  <c r="AH49" i="27"/>
  <c r="AG49" i="27"/>
  <c r="AF49" i="27"/>
  <c r="AE49" i="27"/>
  <c r="AD49" i="27"/>
  <c r="AC49" i="27"/>
  <c r="AB49" i="27"/>
  <c r="AA49" i="27"/>
  <c r="X49" i="27"/>
  <c r="W49" i="27"/>
  <c r="V49" i="27"/>
  <c r="U49" i="27"/>
  <c r="T49" i="27"/>
  <c r="S49" i="27"/>
  <c r="R49" i="27"/>
  <c r="Q49" i="27"/>
  <c r="P49" i="27"/>
  <c r="O49" i="27"/>
  <c r="L49" i="27"/>
  <c r="K49" i="27"/>
  <c r="J49" i="27"/>
  <c r="I49" i="27"/>
  <c r="H49" i="27"/>
  <c r="G49" i="27"/>
  <c r="F49" i="27"/>
  <c r="E49" i="27"/>
  <c r="D49" i="27"/>
  <c r="C49" i="27"/>
  <c r="AJ48" i="27"/>
  <c r="AI48" i="27"/>
  <c r="AH48" i="27"/>
  <c r="AG48" i="27"/>
  <c r="AF48" i="27"/>
  <c r="AE48" i="27"/>
  <c r="AD48" i="27"/>
  <c r="AC48" i="27"/>
  <c r="AB48" i="27"/>
  <c r="AA48" i="27"/>
  <c r="X48" i="27"/>
  <c r="W48" i="27"/>
  <c r="V48" i="27"/>
  <c r="U48" i="27"/>
  <c r="T48" i="27"/>
  <c r="S48" i="27"/>
  <c r="R48" i="27"/>
  <c r="Q48" i="27"/>
  <c r="P48" i="27"/>
  <c r="O48" i="27"/>
  <c r="L48" i="27"/>
  <c r="K48" i="27"/>
  <c r="J48" i="27"/>
  <c r="I48" i="27"/>
  <c r="H48" i="27"/>
  <c r="G48" i="27"/>
  <c r="F48" i="27"/>
  <c r="E48" i="27"/>
  <c r="D48" i="27"/>
  <c r="C48" i="27"/>
  <c r="AJ47" i="27"/>
  <c r="AI47" i="27"/>
  <c r="AH47" i="27"/>
  <c r="AG47" i="27"/>
  <c r="AF47" i="27"/>
  <c r="AE47" i="27"/>
  <c r="AD47" i="27"/>
  <c r="AC47" i="27"/>
  <c r="AB47" i="27"/>
  <c r="AA47" i="27"/>
  <c r="X47" i="27"/>
  <c r="W47" i="27"/>
  <c r="V47" i="27"/>
  <c r="U47" i="27"/>
  <c r="T47" i="27"/>
  <c r="S47" i="27"/>
  <c r="R47" i="27"/>
  <c r="Q47" i="27"/>
  <c r="P47" i="27"/>
  <c r="O47" i="27"/>
  <c r="L47" i="27"/>
  <c r="K47" i="27"/>
  <c r="J47" i="27"/>
  <c r="I47" i="27"/>
  <c r="H47" i="27"/>
  <c r="G47" i="27"/>
  <c r="F47" i="27"/>
  <c r="E47" i="27"/>
  <c r="D47" i="27"/>
  <c r="C47" i="27"/>
  <c r="AJ46" i="27"/>
  <c r="AI46" i="27"/>
  <c r="AH46" i="27"/>
  <c r="AG46" i="27"/>
  <c r="AF46" i="27"/>
  <c r="AE46" i="27"/>
  <c r="AD46" i="27"/>
  <c r="AC46" i="27"/>
  <c r="AB46" i="27"/>
  <c r="AA46" i="27"/>
  <c r="X46" i="27"/>
  <c r="W46" i="27"/>
  <c r="V46" i="27"/>
  <c r="U46" i="27"/>
  <c r="T46" i="27"/>
  <c r="S46" i="27"/>
  <c r="R46" i="27"/>
  <c r="Q46" i="27"/>
  <c r="P46" i="27"/>
  <c r="O46" i="27"/>
  <c r="L46" i="27"/>
  <c r="K46" i="27"/>
  <c r="J46" i="27"/>
  <c r="I46" i="27"/>
  <c r="H46" i="27"/>
  <c r="G46" i="27"/>
  <c r="F46" i="27"/>
  <c r="E46" i="27"/>
  <c r="D46" i="27"/>
  <c r="C46" i="27"/>
  <c r="AJ45" i="27"/>
  <c r="AI45" i="27"/>
  <c r="AH45" i="27"/>
  <c r="AG45" i="27"/>
  <c r="AF45" i="27"/>
  <c r="AE45" i="27"/>
  <c r="AD45" i="27"/>
  <c r="AC45" i="27"/>
  <c r="AB45" i="27"/>
  <c r="AA45" i="27"/>
  <c r="X45" i="27"/>
  <c r="W45" i="27"/>
  <c r="V45" i="27"/>
  <c r="U45" i="27"/>
  <c r="T45" i="27"/>
  <c r="S45" i="27"/>
  <c r="R45" i="27"/>
  <c r="Q45" i="27"/>
  <c r="P45" i="27"/>
  <c r="O45" i="27"/>
  <c r="L45" i="27"/>
  <c r="K45" i="27"/>
  <c r="J45" i="27"/>
  <c r="I45" i="27"/>
  <c r="H45" i="27"/>
  <c r="G45" i="27"/>
  <c r="F45" i="27"/>
  <c r="E45" i="27"/>
  <c r="D45" i="27"/>
  <c r="C45" i="27"/>
  <c r="AJ44" i="27"/>
  <c r="AI44" i="27"/>
  <c r="AH44" i="27"/>
  <c r="AG44" i="27"/>
  <c r="AF44" i="27"/>
  <c r="AE44" i="27"/>
  <c r="AD44" i="27"/>
  <c r="AC44" i="27"/>
  <c r="AB44" i="27"/>
  <c r="AA44" i="27"/>
  <c r="X44" i="27"/>
  <c r="W44" i="27"/>
  <c r="V44" i="27"/>
  <c r="U44" i="27"/>
  <c r="T44" i="27"/>
  <c r="S44" i="27"/>
  <c r="R44" i="27"/>
  <c r="Q44" i="27"/>
  <c r="P44" i="27"/>
  <c r="O44" i="27"/>
  <c r="L44" i="27"/>
  <c r="K44" i="27"/>
  <c r="J44" i="27"/>
  <c r="I44" i="27"/>
  <c r="H44" i="27"/>
  <c r="G44" i="27"/>
  <c r="F44" i="27"/>
  <c r="E44" i="27"/>
  <c r="D44" i="27"/>
  <c r="C44" i="27"/>
  <c r="AJ43" i="27"/>
  <c r="AI43" i="27"/>
  <c r="AH43" i="27"/>
  <c r="AG43" i="27"/>
  <c r="AF43" i="27"/>
  <c r="AE43" i="27"/>
  <c r="AD43" i="27"/>
  <c r="AC43" i="27"/>
  <c r="AB43" i="27"/>
  <c r="AA43" i="27"/>
  <c r="X43" i="27"/>
  <c r="W43" i="27"/>
  <c r="V43" i="27"/>
  <c r="U43" i="27"/>
  <c r="T43" i="27"/>
  <c r="S43" i="27"/>
  <c r="R43" i="27"/>
  <c r="Q43" i="27"/>
  <c r="P43" i="27"/>
  <c r="O43" i="27"/>
  <c r="L43" i="27"/>
  <c r="K43" i="27"/>
  <c r="J43" i="27"/>
  <c r="I43" i="27"/>
  <c r="H43" i="27"/>
  <c r="G43" i="27"/>
  <c r="F43" i="27"/>
  <c r="E43" i="27"/>
  <c r="D43" i="27"/>
  <c r="C43" i="27"/>
  <c r="AJ42" i="27"/>
  <c r="AI42" i="27"/>
  <c r="AH42" i="27"/>
  <c r="AG42" i="27"/>
  <c r="AF42" i="27"/>
  <c r="AE42" i="27"/>
  <c r="AD42" i="27"/>
  <c r="AC42" i="27"/>
  <c r="AB42" i="27"/>
  <c r="AA42" i="27"/>
  <c r="X42" i="27"/>
  <c r="W42" i="27"/>
  <c r="V42" i="27"/>
  <c r="U42" i="27"/>
  <c r="T42" i="27"/>
  <c r="S42" i="27"/>
  <c r="R42" i="27"/>
  <c r="Q42" i="27"/>
  <c r="P42" i="27"/>
  <c r="O42" i="27"/>
  <c r="L42" i="27"/>
  <c r="K42" i="27"/>
  <c r="J42" i="27"/>
  <c r="I42" i="27"/>
  <c r="H42" i="27"/>
  <c r="G42" i="27"/>
  <c r="F42" i="27"/>
  <c r="E42" i="27"/>
  <c r="D42" i="27"/>
  <c r="C42" i="27"/>
  <c r="AJ41" i="27"/>
  <c r="AH41" i="27"/>
  <c r="AG41" i="27"/>
  <c r="AF41" i="27"/>
  <c r="AD41" i="27"/>
  <c r="AC41" i="27"/>
  <c r="AB41" i="27"/>
  <c r="X41" i="27"/>
  <c r="V41" i="27"/>
  <c r="U41" i="27"/>
  <c r="T41" i="27"/>
  <c r="R41" i="27"/>
  <c r="Q41" i="27"/>
  <c r="P41" i="27"/>
  <c r="L41" i="27"/>
  <c r="J41" i="27"/>
  <c r="I41" i="27"/>
  <c r="F41" i="27"/>
  <c r="E41" i="27"/>
  <c r="D41" i="27"/>
  <c r="AJ40" i="27"/>
  <c r="AI40" i="27"/>
  <c r="AH40" i="27"/>
  <c r="AG40" i="27"/>
  <c r="AF40" i="27"/>
  <c r="AE40" i="27"/>
  <c r="AD40" i="27"/>
  <c r="AC40" i="27"/>
  <c r="AB40" i="27"/>
  <c r="AA40" i="27"/>
  <c r="X40" i="27"/>
  <c r="W40" i="27"/>
  <c r="V40" i="27"/>
  <c r="U40" i="27"/>
  <c r="T40" i="27"/>
  <c r="S40" i="27"/>
  <c r="R40" i="27"/>
  <c r="Q40" i="27"/>
  <c r="P40" i="27"/>
  <c r="O40" i="27"/>
  <c r="L40" i="27"/>
  <c r="K40" i="27"/>
  <c r="J40" i="27"/>
  <c r="I40" i="27"/>
  <c r="H40" i="27"/>
  <c r="G40" i="27"/>
  <c r="F40" i="27"/>
  <c r="E40" i="27"/>
  <c r="D40" i="27"/>
  <c r="C40" i="27"/>
  <c r="AJ39" i="27"/>
  <c r="AI39" i="27"/>
  <c r="AH39" i="27"/>
  <c r="AG39" i="27"/>
  <c r="AF39" i="27"/>
  <c r="AE39" i="27"/>
  <c r="AD39" i="27"/>
  <c r="AC39" i="27"/>
  <c r="AB39" i="27"/>
  <c r="AA39" i="27"/>
  <c r="X39" i="27"/>
  <c r="W39" i="27"/>
  <c r="V39" i="27"/>
  <c r="U39" i="27"/>
  <c r="T39" i="27"/>
  <c r="S39" i="27"/>
  <c r="R39" i="27"/>
  <c r="Q39" i="27"/>
  <c r="P39" i="27"/>
  <c r="O39" i="27"/>
  <c r="L39" i="27"/>
  <c r="K39" i="27"/>
  <c r="J39" i="27"/>
  <c r="I39" i="27"/>
  <c r="H39" i="27"/>
  <c r="G39" i="27"/>
  <c r="F39" i="27"/>
  <c r="E39" i="27"/>
  <c r="D39" i="27"/>
  <c r="C39" i="27"/>
  <c r="AH38" i="27"/>
  <c r="AG38" i="27"/>
  <c r="AD38" i="27"/>
  <c r="AC38" i="27"/>
  <c r="V38" i="27"/>
  <c r="U38" i="27"/>
  <c r="R38" i="27"/>
  <c r="Q38" i="27"/>
  <c r="J38" i="27"/>
  <c r="I38" i="27"/>
  <c r="F38" i="27"/>
  <c r="E38" i="27"/>
  <c r="AJ37" i="27"/>
  <c r="AI37" i="27"/>
  <c r="AH37" i="27"/>
  <c r="AG37" i="27"/>
  <c r="AF37" i="27"/>
  <c r="AE37" i="27"/>
  <c r="AD37" i="27"/>
  <c r="AC37" i="27"/>
  <c r="AB37" i="27"/>
  <c r="AA37" i="27"/>
  <c r="X37" i="27"/>
  <c r="W37" i="27"/>
  <c r="V37" i="27"/>
  <c r="U37" i="27"/>
  <c r="T37" i="27"/>
  <c r="S37" i="27"/>
  <c r="R37" i="27"/>
  <c r="Q37" i="27"/>
  <c r="P37" i="27"/>
  <c r="O37" i="27"/>
  <c r="L37" i="27"/>
  <c r="K37" i="27"/>
  <c r="J37" i="27"/>
  <c r="I37" i="27"/>
  <c r="H37" i="27"/>
  <c r="G37" i="27"/>
  <c r="F37" i="27"/>
  <c r="E37" i="27"/>
  <c r="D37" i="27"/>
  <c r="C37" i="27"/>
  <c r="AJ36" i="27"/>
  <c r="AI36" i="27"/>
  <c r="AH36" i="27"/>
  <c r="AG36" i="27"/>
  <c r="AF36" i="27"/>
  <c r="AE36" i="27"/>
  <c r="AD36" i="27"/>
  <c r="AC36" i="27"/>
  <c r="AB36" i="27"/>
  <c r="AA36" i="27"/>
  <c r="X36" i="27"/>
  <c r="W36" i="27"/>
  <c r="V36" i="27"/>
  <c r="U36" i="27"/>
  <c r="T36" i="27"/>
  <c r="S36" i="27"/>
  <c r="R36" i="27"/>
  <c r="Q36" i="27"/>
  <c r="P36" i="27"/>
  <c r="O36" i="27"/>
  <c r="L36" i="27"/>
  <c r="K36" i="27"/>
  <c r="J36" i="27"/>
  <c r="I36" i="27"/>
  <c r="H36" i="27"/>
  <c r="G36" i="27"/>
  <c r="F36" i="27"/>
  <c r="E36" i="27"/>
  <c r="D36" i="27"/>
  <c r="C36" i="27"/>
  <c r="AJ35" i="27"/>
  <c r="AI35" i="27"/>
  <c r="AH35" i="27"/>
  <c r="AG35" i="27"/>
  <c r="AF35" i="27"/>
  <c r="AE35" i="27"/>
  <c r="AD35" i="27"/>
  <c r="AC35" i="27"/>
  <c r="AB35" i="27"/>
  <c r="AA35" i="27"/>
  <c r="X35" i="27"/>
  <c r="W35" i="27"/>
  <c r="V35" i="27"/>
  <c r="U35" i="27"/>
  <c r="T35" i="27"/>
  <c r="S35" i="27"/>
  <c r="R35" i="27"/>
  <c r="Q35" i="27"/>
  <c r="P35" i="27"/>
  <c r="O35" i="27"/>
  <c r="L35" i="27"/>
  <c r="K35" i="27"/>
  <c r="J35" i="27"/>
  <c r="I35" i="27"/>
  <c r="H35" i="27"/>
  <c r="G35" i="27"/>
  <c r="F35" i="27"/>
  <c r="E35" i="27"/>
  <c r="D35" i="27"/>
  <c r="C35" i="27"/>
  <c r="AH34" i="27"/>
  <c r="AG34" i="27"/>
  <c r="AD34" i="27"/>
  <c r="AC34" i="27"/>
  <c r="V34" i="27"/>
  <c r="U34" i="27"/>
  <c r="R34" i="27"/>
  <c r="Q34" i="27"/>
  <c r="J34" i="27"/>
  <c r="I34" i="27"/>
  <c r="F34" i="27"/>
  <c r="E34" i="27"/>
  <c r="AH33" i="27"/>
  <c r="AG33" i="27"/>
  <c r="AD33" i="27"/>
  <c r="AC33" i="27"/>
  <c r="V33" i="27"/>
  <c r="U33" i="27"/>
  <c r="R33" i="27"/>
  <c r="Q33" i="27"/>
  <c r="J33" i="27"/>
  <c r="I33" i="27"/>
  <c r="F33" i="27"/>
  <c r="E33" i="27"/>
  <c r="AH32" i="27"/>
  <c r="AG32" i="27"/>
  <c r="AD32" i="27"/>
  <c r="AC32" i="27"/>
  <c r="V32" i="27"/>
  <c r="U32" i="27"/>
  <c r="R32" i="27"/>
  <c r="Q32" i="27"/>
  <c r="J32" i="27"/>
  <c r="I32" i="27"/>
  <c r="F32" i="27"/>
  <c r="E32" i="27"/>
  <c r="AH31" i="27"/>
  <c r="AG31" i="27"/>
  <c r="AD31" i="27"/>
  <c r="AC31" i="27"/>
  <c r="V31" i="27"/>
  <c r="U31" i="27"/>
  <c r="R31" i="27"/>
  <c r="Q31" i="27"/>
  <c r="J31" i="27"/>
  <c r="I31" i="27"/>
  <c r="F31" i="27"/>
  <c r="E31" i="27"/>
  <c r="AJ30" i="27"/>
  <c r="AI30" i="27"/>
  <c r="AH30" i="27"/>
  <c r="AG30" i="27"/>
  <c r="AF30" i="27"/>
  <c r="AE30" i="27"/>
  <c r="AD30" i="27"/>
  <c r="AC30" i="27"/>
  <c r="AB30" i="27"/>
  <c r="AA30" i="27"/>
  <c r="X30" i="27"/>
  <c r="W30" i="27"/>
  <c r="V30" i="27"/>
  <c r="U30" i="27"/>
  <c r="T30" i="27"/>
  <c r="S30" i="27"/>
  <c r="R30" i="27"/>
  <c r="Q30" i="27"/>
  <c r="P30" i="27"/>
  <c r="O30" i="27"/>
  <c r="L30" i="27"/>
  <c r="K30" i="27"/>
  <c r="J30" i="27"/>
  <c r="I30" i="27"/>
  <c r="H30" i="27"/>
  <c r="G30" i="27"/>
  <c r="F30" i="27"/>
  <c r="E30" i="27"/>
  <c r="D30" i="27"/>
  <c r="C30" i="27"/>
  <c r="AJ29" i="27"/>
  <c r="AI29" i="27"/>
  <c r="AH29" i="27"/>
  <c r="AG29" i="27"/>
  <c r="AF29" i="27"/>
  <c r="AE29" i="27"/>
  <c r="AD29" i="27"/>
  <c r="AC29" i="27"/>
  <c r="AB29" i="27"/>
  <c r="AA29" i="27"/>
  <c r="X29" i="27"/>
  <c r="W29" i="27"/>
  <c r="V29" i="27"/>
  <c r="U29" i="27"/>
  <c r="T29" i="27"/>
  <c r="S29" i="27"/>
  <c r="R29" i="27"/>
  <c r="Q29" i="27"/>
  <c r="P29" i="27"/>
  <c r="O29" i="27"/>
  <c r="L29" i="27"/>
  <c r="K29" i="27"/>
  <c r="J29" i="27"/>
  <c r="I29" i="27"/>
  <c r="H29" i="27"/>
  <c r="G29" i="27"/>
  <c r="F29" i="27"/>
  <c r="E29" i="27"/>
  <c r="D29" i="27"/>
  <c r="C29" i="27"/>
  <c r="AJ28" i="27"/>
  <c r="AI28" i="27"/>
  <c r="AH28" i="27"/>
  <c r="AG28" i="27"/>
  <c r="AF28" i="27"/>
  <c r="AE28" i="27"/>
  <c r="AD28" i="27"/>
  <c r="AC28" i="27"/>
  <c r="AB28" i="27"/>
  <c r="AA28" i="27"/>
  <c r="X28" i="27"/>
  <c r="W28" i="27"/>
  <c r="V28" i="27"/>
  <c r="U28" i="27"/>
  <c r="T28" i="27"/>
  <c r="S28" i="27"/>
  <c r="R28" i="27"/>
  <c r="Q28" i="27"/>
  <c r="P28" i="27"/>
  <c r="O28" i="27"/>
  <c r="L28" i="27"/>
  <c r="K28" i="27"/>
  <c r="J28" i="27"/>
  <c r="I28" i="27"/>
  <c r="H28" i="27"/>
  <c r="G28" i="27"/>
  <c r="F28" i="27"/>
  <c r="E28" i="27"/>
  <c r="D28" i="27"/>
  <c r="C28" i="27"/>
  <c r="AJ27" i="27"/>
  <c r="AI27" i="27"/>
  <c r="AH27" i="27"/>
  <c r="AG27" i="27"/>
  <c r="AF27" i="27"/>
  <c r="AE27" i="27"/>
  <c r="AD27" i="27"/>
  <c r="AC27" i="27"/>
  <c r="AB27" i="27"/>
  <c r="AA27" i="27"/>
  <c r="X27" i="27"/>
  <c r="W27" i="27"/>
  <c r="V27" i="27"/>
  <c r="U27" i="27"/>
  <c r="T27" i="27"/>
  <c r="S27" i="27"/>
  <c r="R27" i="27"/>
  <c r="Q27" i="27"/>
  <c r="P27" i="27"/>
  <c r="O27" i="27"/>
  <c r="L27" i="27"/>
  <c r="K27" i="27"/>
  <c r="J27" i="27"/>
  <c r="I27" i="27"/>
  <c r="H27" i="27"/>
  <c r="G27" i="27"/>
  <c r="F27" i="27"/>
  <c r="E27" i="27"/>
  <c r="D27" i="27"/>
  <c r="C27" i="27"/>
  <c r="AJ26" i="27"/>
  <c r="AI26" i="27"/>
  <c r="AH26" i="27"/>
  <c r="AG26" i="27"/>
  <c r="AF26" i="27"/>
  <c r="AE26" i="27"/>
  <c r="AD26" i="27"/>
  <c r="AC26" i="27"/>
  <c r="AB26" i="27"/>
  <c r="AA26" i="27"/>
  <c r="X26" i="27"/>
  <c r="W26" i="27"/>
  <c r="V26" i="27"/>
  <c r="U26" i="27"/>
  <c r="T26" i="27"/>
  <c r="S26" i="27"/>
  <c r="R26" i="27"/>
  <c r="Q26" i="27"/>
  <c r="P26" i="27"/>
  <c r="O26" i="27"/>
  <c r="L26" i="27"/>
  <c r="K26" i="27"/>
  <c r="J26" i="27"/>
  <c r="I26" i="27"/>
  <c r="H26" i="27"/>
  <c r="G26" i="27"/>
  <c r="F26" i="27"/>
  <c r="E26" i="27"/>
  <c r="D26" i="27"/>
  <c r="C26" i="27"/>
  <c r="AJ25" i="27"/>
  <c r="AI25" i="27"/>
  <c r="AH25" i="27"/>
  <c r="AG25" i="27"/>
  <c r="AF25" i="27"/>
  <c r="AE25" i="27"/>
  <c r="AD25" i="27"/>
  <c r="AC25" i="27"/>
  <c r="AB25" i="27"/>
  <c r="AA25" i="27"/>
  <c r="X25" i="27"/>
  <c r="W25" i="27"/>
  <c r="V25" i="27"/>
  <c r="U25" i="27"/>
  <c r="T25" i="27"/>
  <c r="S25" i="27"/>
  <c r="R25" i="27"/>
  <c r="Q25" i="27"/>
  <c r="P25" i="27"/>
  <c r="O25" i="27"/>
  <c r="L25" i="27"/>
  <c r="K25" i="27"/>
  <c r="J25" i="27"/>
  <c r="I25" i="27"/>
  <c r="H25" i="27"/>
  <c r="G25" i="27"/>
  <c r="F25" i="27"/>
  <c r="E25" i="27"/>
  <c r="D25" i="27"/>
  <c r="C25" i="27"/>
  <c r="AJ24" i="27"/>
  <c r="AI24" i="27"/>
  <c r="AH24" i="27"/>
  <c r="AG24" i="27"/>
  <c r="AF24" i="27"/>
  <c r="AE24" i="27"/>
  <c r="AD24" i="27"/>
  <c r="AC24" i="27"/>
  <c r="AB24" i="27"/>
  <c r="AA24" i="27"/>
  <c r="X24" i="27"/>
  <c r="W24" i="27"/>
  <c r="V24" i="27"/>
  <c r="U24" i="27"/>
  <c r="T24" i="27"/>
  <c r="S24" i="27"/>
  <c r="R24" i="27"/>
  <c r="Q24" i="27"/>
  <c r="P24" i="27"/>
  <c r="O24" i="27"/>
  <c r="L24" i="27"/>
  <c r="K24" i="27"/>
  <c r="J24" i="27"/>
  <c r="I24" i="27"/>
  <c r="H24" i="27"/>
  <c r="G24" i="27"/>
  <c r="F24" i="27"/>
  <c r="E24" i="27"/>
  <c r="D24" i="27"/>
  <c r="C24" i="27"/>
  <c r="AJ23" i="27"/>
  <c r="AI23" i="27"/>
  <c r="AH23" i="27"/>
  <c r="AG23" i="27"/>
  <c r="AF23" i="27"/>
  <c r="AE23" i="27"/>
  <c r="AD23" i="27"/>
  <c r="AC23" i="27"/>
  <c r="AB23" i="27"/>
  <c r="AA23" i="27"/>
  <c r="X23" i="27"/>
  <c r="W23" i="27"/>
  <c r="V23" i="27"/>
  <c r="U23" i="27"/>
  <c r="T23" i="27"/>
  <c r="S23" i="27"/>
  <c r="R23" i="27"/>
  <c r="Q23" i="27"/>
  <c r="P23" i="27"/>
  <c r="O23" i="27"/>
  <c r="L23" i="27"/>
  <c r="K23" i="27"/>
  <c r="J23" i="27"/>
  <c r="I23" i="27"/>
  <c r="H23" i="27"/>
  <c r="G23" i="27"/>
  <c r="F23" i="27"/>
  <c r="E23" i="27"/>
  <c r="D23" i="27"/>
  <c r="C23" i="27"/>
  <c r="AJ22" i="27"/>
  <c r="AI22" i="27"/>
  <c r="AH22" i="27"/>
  <c r="AG22" i="27"/>
  <c r="AF22" i="27"/>
  <c r="AE22" i="27"/>
  <c r="AD22" i="27"/>
  <c r="AC22" i="27"/>
  <c r="AB22" i="27"/>
  <c r="AA22" i="27"/>
  <c r="X22" i="27"/>
  <c r="W22" i="27"/>
  <c r="V22" i="27"/>
  <c r="U22" i="27"/>
  <c r="T22" i="27"/>
  <c r="S22" i="27"/>
  <c r="R22" i="27"/>
  <c r="Q22" i="27"/>
  <c r="P22" i="27"/>
  <c r="O22" i="27"/>
  <c r="L22" i="27"/>
  <c r="K22" i="27"/>
  <c r="J22" i="27"/>
  <c r="I22" i="27"/>
  <c r="H22" i="27"/>
  <c r="G22" i="27"/>
  <c r="F22" i="27"/>
  <c r="E22" i="27"/>
  <c r="D22" i="27"/>
  <c r="C22" i="27"/>
  <c r="AJ21" i="27"/>
  <c r="AI21" i="27"/>
  <c r="AH21" i="27"/>
  <c r="AG21" i="27"/>
  <c r="AF21" i="27"/>
  <c r="AE21" i="27"/>
  <c r="AD21" i="27"/>
  <c r="AC21" i="27"/>
  <c r="AB21" i="27"/>
  <c r="AA21" i="27"/>
  <c r="X21" i="27"/>
  <c r="W21" i="27"/>
  <c r="V21" i="27"/>
  <c r="U21" i="27"/>
  <c r="T21" i="27"/>
  <c r="S21" i="27"/>
  <c r="R21" i="27"/>
  <c r="Q21" i="27"/>
  <c r="P21" i="27"/>
  <c r="O21" i="27"/>
  <c r="L21" i="27"/>
  <c r="K21" i="27"/>
  <c r="J21" i="27"/>
  <c r="I21" i="27"/>
  <c r="H21" i="27"/>
  <c r="G21" i="27"/>
  <c r="F21" i="27"/>
  <c r="E21" i="27"/>
  <c r="D21" i="27"/>
  <c r="C21" i="27"/>
  <c r="AJ20" i="27"/>
  <c r="AI20" i="27"/>
  <c r="AH20" i="27"/>
  <c r="AG20" i="27"/>
  <c r="AF20" i="27"/>
  <c r="AE20" i="27"/>
  <c r="AD20" i="27"/>
  <c r="AC20" i="27"/>
  <c r="AB20" i="27"/>
  <c r="AA20" i="27"/>
  <c r="X20" i="27"/>
  <c r="W20" i="27"/>
  <c r="V20" i="27"/>
  <c r="U20" i="27"/>
  <c r="T20" i="27"/>
  <c r="S20" i="27"/>
  <c r="R20" i="27"/>
  <c r="Q20" i="27"/>
  <c r="P20" i="27"/>
  <c r="O20" i="27"/>
  <c r="L20" i="27"/>
  <c r="K20" i="27"/>
  <c r="J20" i="27"/>
  <c r="I20" i="27"/>
  <c r="H20" i="27"/>
  <c r="G20" i="27"/>
  <c r="F20" i="27"/>
  <c r="E20" i="27"/>
  <c r="D20" i="27"/>
  <c r="C20" i="27"/>
  <c r="AJ19" i="27"/>
  <c r="AI19" i="27"/>
  <c r="AH19" i="27"/>
  <c r="AG19" i="27"/>
  <c r="AF19" i="27"/>
  <c r="AE19" i="27"/>
  <c r="AD19" i="27"/>
  <c r="AC19" i="27"/>
  <c r="AB19" i="27"/>
  <c r="AA19" i="27"/>
  <c r="X19" i="27"/>
  <c r="W19" i="27"/>
  <c r="V19" i="27"/>
  <c r="U19" i="27"/>
  <c r="T19" i="27"/>
  <c r="S19" i="27"/>
  <c r="R19" i="27"/>
  <c r="Q19" i="27"/>
  <c r="P19" i="27"/>
  <c r="O19" i="27"/>
  <c r="L19" i="27"/>
  <c r="K19" i="27"/>
  <c r="J19" i="27"/>
  <c r="I19" i="27"/>
  <c r="H19" i="27"/>
  <c r="G19" i="27"/>
  <c r="F19" i="27"/>
  <c r="E19" i="27"/>
  <c r="D19" i="27"/>
  <c r="C19" i="27"/>
  <c r="AJ18" i="27"/>
  <c r="AI18" i="27"/>
  <c r="AH18" i="27"/>
  <c r="AG18" i="27"/>
  <c r="AF18" i="27"/>
  <c r="AE18" i="27"/>
  <c r="AD18" i="27"/>
  <c r="AC18" i="27"/>
  <c r="AB18" i="27"/>
  <c r="AA18" i="27"/>
  <c r="X18" i="27"/>
  <c r="W18" i="27"/>
  <c r="V18" i="27"/>
  <c r="U18" i="27"/>
  <c r="T18" i="27"/>
  <c r="S18" i="27"/>
  <c r="R18" i="27"/>
  <c r="Q18" i="27"/>
  <c r="P18" i="27"/>
  <c r="O18" i="27"/>
  <c r="L18" i="27"/>
  <c r="K18" i="27"/>
  <c r="J18" i="27"/>
  <c r="I18" i="27"/>
  <c r="H18" i="27"/>
  <c r="G18" i="27"/>
  <c r="F18" i="27"/>
  <c r="E18" i="27"/>
  <c r="D18" i="27"/>
  <c r="C18" i="27"/>
  <c r="AJ17" i="27"/>
  <c r="AI17" i="27"/>
  <c r="AH17" i="27"/>
  <c r="AG17" i="27"/>
  <c r="AF17" i="27"/>
  <c r="AE17" i="27"/>
  <c r="AD17" i="27"/>
  <c r="AC17" i="27"/>
  <c r="AB17" i="27"/>
  <c r="AA17" i="27"/>
  <c r="X17" i="27"/>
  <c r="W17" i="27"/>
  <c r="V17" i="27"/>
  <c r="U17" i="27"/>
  <c r="T17" i="27"/>
  <c r="S17" i="27"/>
  <c r="R17" i="27"/>
  <c r="Q17" i="27"/>
  <c r="P17" i="27"/>
  <c r="O17" i="27"/>
  <c r="L17" i="27"/>
  <c r="K17" i="27"/>
  <c r="J17" i="27"/>
  <c r="I17" i="27"/>
  <c r="H17" i="27"/>
  <c r="G17" i="27"/>
  <c r="F17" i="27"/>
  <c r="E17" i="27"/>
  <c r="D17" i="27"/>
  <c r="C17" i="27"/>
  <c r="AJ16" i="27"/>
  <c r="AI16" i="27"/>
  <c r="AH16" i="27"/>
  <c r="AG16" i="27"/>
  <c r="AF16" i="27"/>
  <c r="AE16" i="27"/>
  <c r="AD16" i="27"/>
  <c r="AC16" i="27"/>
  <c r="AB16" i="27"/>
  <c r="AA16" i="27"/>
  <c r="X16" i="27"/>
  <c r="W16" i="27"/>
  <c r="V16" i="27"/>
  <c r="U16" i="27"/>
  <c r="T16" i="27"/>
  <c r="S16" i="27"/>
  <c r="R16" i="27"/>
  <c r="Q16" i="27"/>
  <c r="P16" i="27"/>
  <c r="O16" i="27"/>
  <c r="L16" i="27"/>
  <c r="K16" i="27"/>
  <c r="J16" i="27"/>
  <c r="I16" i="27"/>
  <c r="H16" i="27"/>
  <c r="G16" i="27"/>
  <c r="F16" i="27"/>
  <c r="E16" i="27"/>
  <c r="D16" i="27"/>
  <c r="C16" i="27"/>
  <c r="AJ15" i="27"/>
  <c r="AI15" i="27"/>
  <c r="AH15" i="27"/>
  <c r="AG15" i="27"/>
  <c r="AF15" i="27"/>
  <c r="AE15" i="27"/>
  <c r="AD15" i="27"/>
  <c r="AC15" i="27"/>
  <c r="AB15" i="27"/>
  <c r="AA15" i="27"/>
  <c r="X15" i="27"/>
  <c r="W15" i="27"/>
  <c r="V15" i="27"/>
  <c r="U15" i="27"/>
  <c r="T15" i="27"/>
  <c r="S15" i="27"/>
  <c r="R15" i="27"/>
  <c r="Q15" i="27"/>
  <c r="P15" i="27"/>
  <c r="O15" i="27"/>
  <c r="L15" i="27"/>
  <c r="K15" i="27"/>
  <c r="J15" i="27"/>
  <c r="I15" i="27"/>
  <c r="H15" i="27"/>
  <c r="G15" i="27"/>
  <c r="F15" i="27"/>
  <c r="E15" i="27"/>
  <c r="D15" i="27"/>
  <c r="C15" i="27"/>
  <c r="AJ14" i="27"/>
  <c r="AI14" i="27"/>
  <c r="AH14" i="27"/>
  <c r="AG14" i="27"/>
  <c r="AF14" i="27"/>
  <c r="AE14" i="27"/>
  <c r="AD14" i="27"/>
  <c r="AC14" i="27"/>
  <c r="AB14" i="27"/>
  <c r="AA14" i="27"/>
  <c r="X14" i="27"/>
  <c r="W14" i="27"/>
  <c r="V14" i="27"/>
  <c r="U14" i="27"/>
  <c r="T14" i="27"/>
  <c r="S14" i="27"/>
  <c r="R14" i="27"/>
  <c r="Q14" i="27"/>
  <c r="P14" i="27"/>
  <c r="O14" i="27"/>
  <c r="L14" i="27"/>
  <c r="K14" i="27"/>
  <c r="J14" i="27"/>
  <c r="I14" i="27"/>
  <c r="H14" i="27"/>
  <c r="G14" i="27"/>
  <c r="F14" i="27"/>
  <c r="E14" i="27"/>
  <c r="D14" i="27"/>
  <c r="C14" i="27"/>
  <c r="AJ13" i="27"/>
  <c r="AI13" i="27"/>
  <c r="AH13" i="27"/>
  <c r="AG13" i="27"/>
  <c r="AF13" i="27"/>
  <c r="AE13" i="27"/>
  <c r="AD13" i="27"/>
  <c r="AC13" i="27"/>
  <c r="AB13" i="27"/>
  <c r="AA13" i="27"/>
  <c r="X13" i="27"/>
  <c r="W13" i="27"/>
  <c r="V13" i="27"/>
  <c r="U13" i="27"/>
  <c r="T13" i="27"/>
  <c r="S13" i="27"/>
  <c r="R13" i="27"/>
  <c r="Q13" i="27"/>
  <c r="P13" i="27"/>
  <c r="O13" i="27"/>
  <c r="L13" i="27"/>
  <c r="K13" i="27"/>
  <c r="J13" i="27"/>
  <c r="I13" i="27"/>
  <c r="H13" i="27"/>
  <c r="G13" i="27"/>
  <c r="F13" i="27"/>
  <c r="E13" i="27"/>
  <c r="D13" i="27"/>
  <c r="C13" i="27"/>
  <c r="AJ12" i="27"/>
  <c r="AI12" i="27"/>
  <c r="AH12" i="27"/>
  <c r="AG12" i="27"/>
  <c r="AF12" i="27"/>
  <c r="AE12" i="27"/>
  <c r="AD12" i="27"/>
  <c r="AC12" i="27"/>
  <c r="AB12" i="27"/>
  <c r="AA12" i="27"/>
  <c r="X12" i="27"/>
  <c r="W12" i="27"/>
  <c r="V12" i="27"/>
  <c r="U12" i="27"/>
  <c r="T12" i="27"/>
  <c r="S12" i="27"/>
  <c r="R12" i="27"/>
  <c r="Q12" i="27"/>
  <c r="P12" i="27"/>
  <c r="O12" i="27"/>
  <c r="L12" i="27"/>
  <c r="K12" i="27"/>
  <c r="J12" i="27"/>
  <c r="I12" i="27"/>
  <c r="H12" i="27"/>
  <c r="G12" i="27"/>
  <c r="F12" i="27"/>
  <c r="E12" i="27"/>
  <c r="D12" i="27"/>
  <c r="C12" i="27"/>
  <c r="AJ11" i="27"/>
  <c r="AI11" i="27"/>
  <c r="AH11" i="27"/>
  <c r="AG11" i="27"/>
  <c r="AF11" i="27"/>
  <c r="AE11" i="27"/>
  <c r="AD11" i="27"/>
  <c r="AC11" i="27"/>
  <c r="AB11" i="27"/>
  <c r="AA11" i="27"/>
  <c r="X11" i="27"/>
  <c r="W11" i="27"/>
  <c r="V11" i="27"/>
  <c r="U11" i="27"/>
  <c r="T11" i="27"/>
  <c r="S11" i="27"/>
  <c r="R11" i="27"/>
  <c r="Q11" i="27"/>
  <c r="P11" i="27"/>
  <c r="O11" i="27"/>
  <c r="L11" i="27"/>
  <c r="K11" i="27"/>
  <c r="J11" i="27"/>
  <c r="I11" i="27"/>
  <c r="H11" i="27"/>
  <c r="G11" i="27"/>
  <c r="F11" i="27"/>
  <c r="E11" i="27"/>
  <c r="D11" i="27"/>
  <c r="C11" i="27"/>
  <c r="AJ10" i="27"/>
  <c r="AI10" i="27"/>
  <c r="AH10" i="27"/>
  <c r="AG10" i="27"/>
  <c r="AF10" i="27"/>
  <c r="AE10" i="27"/>
  <c r="AD10" i="27"/>
  <c r="AC10" i="27"/>
  <c r="AB10" i="27"/>
  <c r="AA10" i="27"/>
  <c r="X10" i="27"/>
  <c r="W10" i="27"/>
  <c r="V10" i="27"/>
  <c r="U10" i="27"/>
  <c r="T10" i="27"/>
  <c r="S10" i="27"/>
  <c r="R10" i="27"/>
  <c r="Q10" i="27"/>
  <c r="P10" i="27"/>
  <c r="O10" i="27"/>
  <c r="L10" i="27"/>
  <c r="K10" i="27"/>
  <c r="J10" i="27"/>
  <c r="I10" i="27"/>
  <c r="H10" i="27"/>
  <c r="G10" i="27"/>
  <c r="F10" i="27"/>
  <c r="E10" i="27"/>
  <c r="D10" i="27"/>
  <c r="C10" i="27"/>
  <c r="AJ9" i="27"/>
  <c r="AI9" i="27"/>
  <c r="AH9" i="27"/>
  <c r="AG9" i="27"/>
  <c r="AF9" i="27"/>
  <c r="AE9" i="27"/>
  <c r="AD9" i="27"/>
  <c r="AC9" i="27"/>
  <c r="AB9" i="27"/>
  <c r="AA9" i="27"/>
  <c r="X9" i="27"/>
  <c r="W9" i="27"/>
  <c r="V9" i="27"/>
  <c r="U9" i="27"/>
  <c r="T9" i="27"/>
  <c r="S9" i="27"/>
  <c r="R9" i="27"/>
  <c r="Q9" i="27"/>
  <c r="P9" i="27"/>
  <c r="O9" i="27"/>
  <c r="L9" i="27"/>
  <c r="K9" i="27"/>
  <c r="J9" i="27"/>
  <c r="I9" i="27"/>
  <c r="H9" i="27"/>
  <c r="G9" i="27"/>
  <c r="F9" i="27"/>
  <c r="E9" i="27"/>
  <c r="D9" i="27"/>
  <c r="C9" i="27"/>
  <c r="AJ8" i="27"/>
  <c r="AI8" i="27"/>
  <c r="AH8" i="27"/>
  <c r="AG8" i="27"/>
  <c r="AF8" i="27"/>
  <c r="AE8" i="27"/>
  <c r="AD8" i="27"/>
  <c r="AC8" i="27"/>
  <c r="AB8" i="27"/>
  <c r="AA8" i="27"/>
  <c r="X8" i="27"/>
  <c r="W8" i="27"/>
  <c r="V8" i="27"/>
  <c r="U8" i="27"/>
  <c r="T8" i="27"/>
  <c r="S8" i="27"/>
  <c r="R8" i="27"/>
  <c r="Q8" i="27"/>
  <c r="P8" i="27"/>
  <c r="O8" i="27"/>
  <c r="L8" i="27"/>
  <c r="K8" i="27"/>
  <c r="J8" i="27"/>
  <c r="I8" i="27"/>
  <c r="H8" i="27"/>
  <c r="G8" i="27"/>
  <c r="F8" i="27"/>
  <c r="E8" i="27"/>
  <c r="D8" i="27"/>
  <c r="C8" i="27"/>
  <c r="AJ7" i="27"/>
  <c r="AI7" i="27"/>
  <c r="AH7" i="27"/>
  <c r="AG7" i="27"/>
  <c r="AF7" i="27"/>
  <c r="AE7" i="27"/>
  <c r="AD7" i="27"/>
  <c r="AC7" i="27"/>
  <c r="AB7" i="27"/>
  <c r="AA7" i="27"/>
  <c r="X7" i="27"/>
  <c r="W7" i="27"/>
  <c r="V7" i="27"/>
  <c r="U7" i="27"/>
  <c r="T7" i="27"/>
  <c r="S7" i="27"/>
  <c r="R7" i="27"/>
  <c r="Q7" i="27"/>
  <c r="P7" i="27"/>
  <c r="O7" i="27"/>
  <c r="L7" i="27"/>
  <c r="K7" i="27"/>
  <c r="J7" i="27"/>
  <c r="I7" i="27"/>
  <c r="H7" i="27"/>
  <c r="G7" i="27"/>
  <c r="F7" i="27"/>
  <c r="E7" i="27"/>
  <c r="D7" i="27"/>
  <c r="C7" i="27"/>
  <c r="AL92" i="27"/>
  <c r="AK92" i="27"/>
  <c r="Z92" i="27"/>
  <c r="Y92" i="27"/>
  <c r="N92" i="27"/>
  <c r="M92" i="27"/>
  <c r="AL91" i="27"/>
  <c r="AK91" i="27"/>
  <c r="Z91" i="27"/>
  <c r="Y91" i="27"/>
  <c r="N91" i="27"/>
  <c r="M91" i="27"/>
  <c r="AL90" i="27"/>
  <c r="AK90" i="27"/>
  <c r="Z90" i="27"/>
  <c r="Y90" i="27"/>
  <c r="N90" i="27"/>
  <c r="M90" i="27"/>
  <c r="AL89" i="27"/>
  <c r="AK89" i="27"/>
  <c r="Z89" i="27"/>
  <c r="Y89" i="27"/>
  <c r="N89" i="27"/>
  <c r="M89" i="27"/>
  <c r="AL88" i="27"/>
  <c r="AK88" i="27"/>
  <c r="Z88" i="27"/>
  <c r="Y88" i="27"/>
  <c r="N88" i="27"/>
  <c r="M88" i="27"/>
  <c r="AL87" i="27"/>
  <c r="AK87" i="27"/>
  <c r="Z87" i="27"/>
  <c r="Y87" i="27"/>
  <c r="N87" i="27"/>
  <c r="M87" i="27"/>
  <c r="AL86" i="27"/>
  <c r="AK86" i="27"/>
  <c r="Z86" i="27"/>
  <c r="Y86" i="27"/>
  <c r="N86" i="27"/>
  <c r="M86" i="27"/>
  <c r="AL85" i="27"/>
  <c r="AK85" i="27"/>
  <c r="Z85" i="27"/>
  <c r="Y85" i="27"/>
  <c r="N85" i="27"/>
  <c r="M85" i="27"/>
  <c r="AL79" i="27"/>
  <c r="AK79" i="27"/>
  <c r="Z79" i="27"/>
  <c r="Y79" i="27"/>
  <c r="N79" i="27"/>
  <c r="M79" i="27"/>
  <c r="AL78" i="27"/>
  <c r="AK78" i="27"/>
  <c r="Z78" i="27"/>
  <c r="Y78" i="27"/>
  <c r="N78" i="27"/>
  <c r="M78" i="27"/>
  <c r="AL77" i="27"/>
  <c r="AK77" i="27"/>
  <c r="Z77" i="27"/>
  <c r="Y77" i="27"/>
  <c r="N77" i="27"/>
  <c r="M77" i="27"/>
  <c r="AL76" i="27"/>
  <c r="AK76" i="27"/>
  <c r="Z76" i="27"/>
  <c r="Y76" i="27"/>
  <c r="N76" i="27"/>
  <c r="M76" i="27"/>
  <c r="AL75" i="27"/>
  <c r="AK75" i="27"/>
  <c r="Z75" i="27"/>
  <c r="Y75" i="27"/>
  <c r="N75" i="27"/>
  <c r="M75" i="27"/>
  <c r="AL74" i="27"/>
  <c r="AK74" i="27"/>
  <c r="Z74" i="27"/>
  <c r="Y74" i="27"/>
  <c r="N74" i="27"/>
  <c r="M74" i="27"/>
  <c r="AL73" i="27"/>
  <c r="AK73" i="27"/>
  <c r="Z73" i="27"/>
  <c r="Y73" i="27"/>
  <c r="N73" i="27"/>
  <c r="M73" i="27"/>
  <c r="AL72" i="27"/>
  <c r="AK72" i="27"/>
  <c r="Z72" i="27"/>
  <c r="Y72" i="27"/>
  <c r="N72" i="27"/>
  <c r="M72" i="27"/>
  <c r="AL71" i="27"/>
  <c r="AK71" i="27"/>
  <c r="Z71" i="27"/>
  <c r="Y71" i="27"/>
  <c r="N71" i="27"/>
  <c r="M71" i="27"/>
  <c r="AL70" i="27"/>
  <c r="AK70" i="27"/>
  <c r="Z70" i="27"/>
  <c r="Y70" i="27"/>
  <c r="N70" i="27"/>
  <c r="M70" i="27"/>
  <c r="AL69" i="27"/>
  <c r="AK69" i="27"/>
  <c r="Z69" i="27"/>
  <c r="Y69" i="27"/>
  <c r="N69" i="27"/>
  <c r="M69" i="27"/>
  <c r="AL68" i="27"/>
  <c r="AK68" i="27"/>
  <c r="Z68" i="27"/>
  <c r="Y68" i="27"/>
  <c r="N68" i="27"/>
  <c r="M68" i="27"/>
  <c r="AL67" i="27"/>
  <c r="AK67" i="27"/>
  <c r="Z67" i="27"/>
  <c r="Y67" i="27"/>
  <c r="N67" i="27"/>
  <c r="M67" i="27"/>
  <c r="AL66" i="27"/>
  <c r="AK66" i="27"/>
  <c r="Z66" i="27"/>
  <c r="Y66" i="27"/>
  <c r="N66" i="27"/>
  <c r="M66" i="27"/>
  <c r="AL65" i="27"/>
  <c r="AK65" i="27"/>
  <c r="Z65" i="27"/>
  <c r="Y65" i="27"/>
  <c r="N65" i="27"/>
  <c r="M65" i="27"/>
  <c r="AL64" i="27"/>
  <c r="AK64" i="27"/>
  <c r="Z64" i="27"/>
  <c r="Y64" i="27"/>
  <c r="N64" i="27"/>
  <c r="M64" i="27"/>
  <c r="AL63" i="27"/>
  <c r="AK63" i="27"/>
  <c r="Z63" i="27"/>
  <c r="Y63" i="27"/>
  <c r="N63" i="27"/>
  <c r="M63" i="27"/>
  <c r="AL62" i="27"/>
  <c r="AK62" i="27"/>
  <c r="Z62" i="27"/>
  <c r="Y62" i="27"/>
  <c r="N62" i="27"/>
  <c r="M62" i="27"/>
  <c r="AL61" i="27"/>
  <c r="AK61" i="27"/>
  <c r="Z61" i="27"/>
  <c r="Y61" i="27"/>
  <c r="N61" i="27"/>
  <c r="M61" i="27"/>
  <c r="AL60" i="27"/>
  <c r="AK60" i="27"/>
  <c r="Z60" i="27"/>
  <c r="Y60" i="27"/>
  <c r="N60" i="27"/>
  <c r="M60" i="27"/>
  <c r="AL59" i="27"/>
  <c r="AK59" i="27"/>
  <c r="Z59" i="27"/>
  <c r="Y59" i="27"/>
  <c r="N59" i="27"/>
  <c r="M59" i="27"/>
  <c r="AL58" i="27"/>
  <c r="AK58" i="27"/>
  <c r="Z58" i="27"/>
  <c r="Y58" i="27"/>
  <c r="N58" i="27"/>
  <c r="M58" i="27"/>
  <c r="AL57" i="27"/>
  <c r="AK57" i="27"/>
  <c r="Z57" i="27"/>
  <c r="Y57" i="27"/>
  <c r="N57" i="27"/>
  <c r="M57" i="27"/>
  <c r="AL56" i="27"/>
  <c r="AK56" i="27"/>
  <c r="Z56" i="27"/>
  <c r="Y56" i="27"/>
  <c r="N56" i="27"/>
  <c r="M56" i="27"/>
  <c r="AL55" i="27"/>
  <c r="AK55" i="27"/>
  <c r="Z55" i="27"/>
  <c r="Y55" i="27"/>
  <c r="N55" i="27"/>
  <c r="M55" i="27"/>
  <c r="AL54" i="27"/>
  <c r="AK54" i="27"/>
  <c r="Z54" i="27"/>
  <c r="Y54" i="27"/>
  <c r="N54" i="27"/>
  <c r="M54" i="27"/>
  <c r="AL53" i="27"/>
  <c r="AK53" i="27"/>
  <c r="Z53" i="27"/>
  <c r="Y53" i="27"/>
  <c r="N53" i="27"/>
  <c r="M53" i="27"/>
  <c r="AL52" i="27"/>
  <c r="AK52" i="27"/>
  <c r="Z52" i="27"/>
  <c r="Y52" i="27"/>
  <c r="N52" i="27"/>
  <c r="M52" i="27"/>
  <c r="AL51" i="27"/>
  <c r="AK51" i="27"/>
  <c r="Z51" i="27"/>
  <c r="Y51" i="27"/>
  <c r="N51" i="27"/>
  <c r="M51" i="27"/>
  <c r="AL50" i="27"/>
  <c r="AK50" i="27"/>
  <c r="Z50" i="27"/>
  <c r="Y50" i="27"/>
  <c r="N50" i="27"/>
  <c r="M50" i="27"/>
  <c r="AL49" i="27"/>
  <c r="AK49" i="27"/>
  <c r="Z49" i="27"/>
  <c r="Y49" i="27"/>
  <c r="N49" i="27"/>
  <c r="M49" i="27"/>
  <c r="AL48" i="27"/>
  <c r="AK48" i="27"/>
  <c r="Z48" i="27"/>
  <c r="Y48" i="27"/>
  <c r="N48" i="27"/>
  <c r="M48" i="27"/>
  <c r="AL47" i="27"/>
  <c r="AK47" i="27"/>
  <c r="Z47" i="27"/>
  <c r="Y47" i="27"/>
  <c r="N47" i="27"/>
  <c r="M47" i="27"/>
  <c r="AL46" i="27"/>
  <c r="AK46" i="27"/>
  <c r="Z46" i="27"/>
  <c r="Y46" i="27"/>
  <c r="N46" i="27"/>
  <c r="M46" i="27"/>
  <c r="AL45" i="27"/>
  <c r="AK45" i="27"/>
  <c r="Z45" i="27"/>
  <c r="Y45" i="27"/>
  <c r="N45" i="27"/>
  <c r="M45" i="27"/>
  <c r="AL44" i="27"/>
  <c r="AK44" i="27"/>
  <c r="Z44" i="27"/>
  <c r="Y44" i="27"/>
  <c r="N44" i="27"/>
  <c r="M44" i="27"/>
  <c r="AL43" i="27"/>
  <c r="AK43" i="27"/>
  <c r="Z43" i="27"/>
  <c r="Y43" i="27"/>
  <c r="N43" i="27"/>
  <c r="M43" i="27"/>
  <c r="AL42" i="27"/>
  <c r="AK42" i="27"/>
  <c r="Z42" i="27"/>
  <c r="Y42" i="27"/>
  <c r="N42" i="27"/>
  <c r="M42" i="27"/>
  <c r="AL41" i="27"/>
  <c r="AK41" i="27"/>
  <c r="Z41" i="27"/>
  <c r="Y41" i="27"/>
  <c r="N41" i="27"/>
  <c r="M41" i="27"/>
  <c r="AL40" i="27"/>
  <c r="AK40" i="27"/>
  <c r="Z40" i="27"/>
  <c r="Y40" i="27"/>
  <c r="N40" i="27"/>
  <c r="M40" i="27"/>
  <c r="AL39" i="27"/>
  <c r="AK39" i="27"/>
  <c r="Z39" i="27"/>
  <c r="Y39" i="27"/>
  <c r="N39" i="27"/>
  <c r="M39" i="27"/>
  <c r="AL38" i="27"/>
  <c r="AK38" i="27"/>
  <c r="Z38" i="27"/>
  <c r="Y38" i="27"/>
  <c r="N38" i="27"/>
  <c r="M38" i="27"/>
  <c r="AL37" i="27"/>
  <c r="AK37" i="27"/>
  <c r="Z37" i="27"/>
  <c r="Y37" i="27"/>
  <c r="N37" i="27"/>
  <c r="M37" i="27"/>
  <c r="AL36" i="27"/>
  <c r="AK36" i="27"/>
  <c r="Z36" i="27"/>
  <c r="Y36" i="27"/>
  <c r="N36" i="27"/>
  <c r="M36" i="27"/>
  <c r="AL35" i="27"/>
  <c r="AK35" i="27"/>
  <c r="Z35" i="27"/>
  <c r="Y35" i="27"/>
  <c r="N35" i="27"/>
  <c r="M35" i="27"/>
  <c r="AL34" i="27"/>
  <c r="AK34" i="27"/>
  <c r="Z34" i="27"/>
  <c r="Y34" i="27"/>
  <c r="N34" i="27"/>
  <c r="M34" i="27"/>
  <c r="AL33" i="27"/>
  <c r="AK33" i="27"/>
  <c r="Z33" i="27"/>
  <c r="Y33" i="27"/>
  <c r="N33" i="27"/>
  <c r="M33" i="27"/>
  <c r="AL32" i="27"/>
  <c r="AK32" i="27"/>
  <c r="Z32" i="27"/>
  <c r="Y32" i="27"/>
  <c r="N32" i="27"/>
  <c r="M32" i="27"/>
  <c r="AL31" i="27"/>
  <c r="AK31" i="27"/>
  <c r="Z31" i="27"/>
  <c r="Y31" i="27"/>
  <c r="N31" i="27"/>
  <c r="M31" i="27"/>
  <c r="AL30" i="27"/>
  <c r="AK30" i="27"/>
  <c r="Z30" i="27"/>
  <c r="Y30" i="27"/>
  <c r="N30" i="27"/>
  <c r="M30" i="27"/>
  <c r="AL29" i="27"/>
  <c r="AK29" i="27"/>
  <c r="Z29" i="27"/>
  <c r="Y29" i="27"/>
  <c r="N29" i="27"/>
  <c r="M29" i="27"/>
  <c r="AL28" i="27"/>
  <c r="AK28" i="27"/>
  <c r="Z28" i="27"/>
  <c r="Y28" i="27"/>
  <c r="N28" i="27"/>
  <c r="M28" i="27"/>
  <c r="AL27" i="27"/>
  <c r="AK27" i="27"/>
  <c r="Z27" i="27"/>
  <c r="Y27" i="27"/>
  <c r="N27" i="27"/>
  <c r="M27" i="27"/>
  <c r="AL26" i="27"/>
  <c r="AK26" i="27"/>
  <c r="Z26" i="27"/>
  <c r="Y26" i="27"/>
  <c r="N26" i="27"/>
  <c r="M26" i="27"/>
  <c r="AL25" i="27"/>
  <c r="AK25" i="27"/>
  <c r="Z25" i="27"/>
  <c r="Y25" i="27"/>
  <c r="N25" i="27"/>
  <c r="M25" i="27"/>
  <c r="AL24" i="27"/>
  <c r="AK24" i="27"/>
  <c r="Z24" i="27"/>
  <c r="Y24" i="27"/>
  <c r="N24" i="27"/>
  <c r="M24" i="27"/>
  <c r="AL23" i="27"/>
  <c r="AK23" i="27"/>
  <c r="Z23" i="27"/>
  <c r="Y23" i="27"/>
  <c r="N23" i="27"/>
  <c r="M23" i="27"/>
  <c r="AL22" i="27"/>
  <c r="AK22" i="27"/>
  <c r="Z22" i="27"/>
  <c r="Y22" i="27"/>
  <c r="N22" i="27"/>
  <c r="M22" i="27"/>
  <c r="AL21" i="27"/>
  <c r="AK21" i="27"/>
  <c r="Z21" i="27"/>
  <c r="Y21" i="27"/>
  <c r="N21" i="27"/>
  <c r="M21" i="27"/>
  <c r="AL20" i="27"/>
  <c r="AK20" i="27"/>
  <c r="Z20" i="27"/>
  <c r="Y20" i="27"/>
  <c r="N20" i="27"/>
  <c r="M20" i="27"/>
  <c r="AL19" i="27"/>
  <c r="AK19" i="27"/>
  <c r="Z19" i="27"/>
  <c r="Y19" i="27"/>
  <c r="N19" i="27"/>
  <c r="M19" i="27"/>
  <c r="AL18" i="27"/>
  <c r="AK18" i="27"/>
  <c r="Z18" i="27"/>
  <c r="Y18" i="27"/>
  <c r="N18" i="27"/>
  <c r="M18" i="27"/>
  <c r="AL17" i="27"/>
  <c r="AK17" i="27"/>
  <c r="Z17" i="27"/>
  <c r="Y17" i="27"/>
  <c r="N17" i="27"/>
  <c r="M17" i="27"/>
  <c r="AL16" i="27"/>
  <c r="AK16" i="27"/>
  <c r="Z16" i="27"/>
  <c r="Y16" i="27"/>
  <c r="N16" i="27"/>
  <c r="M16" i="27"/>
  <c r="AL15" i="27"/>
  <c r="AK15" i="27"/>
  <c r="Z15" i="27"/>
  <c r="Y15" i="27"/>
  <c r="N15" i="27"/>
  <c r="M15" i="27"/>
  <c r="AL14" i="27"/>
  <c r="AK14" i="27"/>
  <c r="Z14" i="27"/>
  <c r="Y14" i="27"/>
  <c r="N14" i="27"/>
  <c r="M14" i="27"/>
  <c r="AL13" i="27"/>
  <c r="AK13" i="27"/>
  <c r="Z13" i="27"/>
  <c r="Y13" i="27"/>
  <c r="N13" i="27"/>
  <c r="M13" i="27"/>
  <c r="AL12" i="27"/>
  <c r="AK12" i="27"/>
  <c r="Z12" i="27"/>
  <c r="Y12" i="27"/>
  <c r="N12" i="27"/>
  <c r="M12" i="27"/>
  <c r="AL11" i="27"/>
  <c r="AK11" i="27"/>
  <c r="Z11" i="27"/>
  <c r="Y11" i="27"/>
  <c r="N11" i="27"/>
  <c r="M11" i="27"/>
  <c r="AL10" i="27"/>
  <c r="AK10" i="27"/>
  <c r="Z10" i="27"/>
  <c r="Y10" i="27"/>
  <c r="N10" i="27"/>
  <c r="M10" i="27"/>
  <c r="N9" i="27"/>
  <c r="M9" i="27"/>
  <c r="AN8" i="27"/>
  <c r="AL8" i="27"/>
  <c r="AK8" i="27"/>
  <c r="Z8" i="27"/>
  <c r="Y8" i="27"/>
  <c r="N8" i="27"/>
  <c r="M8" i="27"/>
  <c r="AL7" i="27"/>
  <c r="AK7" i="27"/>
  <c r="Z7" i="27"/>
  <c r="Y7" i="27"/>
  <c r="N7" i="27"/>
  <c r="M7" i="27"/>
  <c r="AJ92" i="26"/>
  <c r="AI92" i="26"/>
  <c r="AH92" i="26"/>
  <c r="AG92" i="26"/>
  <c r="AF92" i="26"/>
  <c r="AE92" i="26"/>
  <c r="AD92" i="26"/>
  <c r="AC92" i="26"/>
  <c r="AB92" i="26"/>
  <c r="AA92" i="26"/>
  <c r="AJ91" i="26"/>
  <c r="AI91" i="26"/>
  <c r="AH91" i="26"/>
  <c r="AG91" i="26"/>
  <c r="AF91" i="26"/>
  <c r="AE91" i="26"/>
  <c r="AD91" i="26"/>
  <c r="AC91" i="26"/>
  <c r="AB91" i="26"/>
  <c r="AA91" i="26"/>
  <c r="AJ90" i="26"/>
  <c r="AI90" i="26"/>
  <c r="AH90" i="26"/>
  <c r="AG90" i="26"/>
  <c r="AF90" i="26"/>
  <c r="AE90" i="26"/>
  <c r="AD90" i="26"/>
  <c r="AC90" i="26"/>
  <c r="AB90" i="26"/>
  <c r="AA90" i="26"/>
  <c r="AJ89" i="26"/>
  <c r="AI89" i="26"/>
  <c r="AH89" i="26"/>
  <c r="AG89" i="26"/>
  <c r="AF89" i="26"/>
  <c r="AE89" i="26"/>
  <c r="AD89" i="26"/>
  <c r="AC89" i="26"/>
  <c r="AB89" i="26"/>
  <c r="AA89" i="26"/>
  <c r="AJ88" i="26"/>
  <c r="AI88" i="26"/>
  <c r="AH88" i="26"/>
  <c r="AG88" i="26"/>
  <c r="AF88" i="26"/>
  <c r="AE88" i="26"/>
  <c r="AD88" i="26"/>
  <c r="AC88" i="26"/>
  <c r="AB88" i="26"/>
  <c r="AA88" i="26"/>
  <c r="AJ87" i="26"/>
  <c r="AI87" i="26"/>
  <c r="AH87" i="26"/>
  <c r="AG87" i="26"/>
  <c r="AF87" i="26"/>
  <c r="AE87" i="26"/>
  <c r="AD87" i="26"/>
  <c r="AC87" i="26"/>
  <c r="AB87" i="26"/>
  <c r="AA87" i="26"/>
  <c r="AJ86" i="26"/>
  <c r="AI86" i="26"/>
  <c r="AH86" i="26"/>
  <c r="AG86" i="26"/>
  <c r="AF86" i="26"/>
  <c r="AE86" i="26"/>
  <c r="AD86" i="26"/>
  <c r="AC86" i="26"/>
  <c r="AB86" i="26"/>
  <c r="AA86" i="26"/>
  <c r="AJ85" i="26"/>
  <c r="AI85" i="26"/>
  <c r="AH85" i="26"/>
  <c r="AG85" i="26"/>
  <c r="AF85" i="26"/>
  <c r="AE85" i="26"/>
  <c r="AD85" i="26"/>
  <c r="AC85" i="26"/>
  <c r="AB85" i="26"/>
  <c r="AA85" i="26"/>
  <c r="AI81" i="26"/>
  <c r="AE81" i="26"/>
  <c r="AA81" i="26"/>
  <c r="AJ79" i="26"/>
  <c r="AI79" i="26"/>
  <c r="AH79" i="26"/>
  <c r="AG79" i="26"/>
  <c r="AF79" i="26"/>
  <c r="AE79" i="26"/>
  <c r="AD79" i="26"/>
  <c r="AC79" i="26"/>
  <c r="AB79" i="26"/>
  <c r="AA79" i="26"/>
  <c r="AJ78" i="26"/>
  <c r="AI78" i="26"/>
  <c r="AH78" i="26"/>
  <c r="AG78" i="26"/>
  <c r="AF78" i="26"/>
  <c r="AE78" i="26"/>
  <c r="AD78" i="26"/>
  <c r="AC78" i="26"/>
  <c r="AB78" i="26"/>
  <c r="AA78" i="26"/>
  <c r="AJ77" i="26"/>
  <c r="AI77" i="26"/>
  <c r="AH77" i="26"/>
  <c r="AG77" i="26"/>
  <c r="AF77" i="26"/>
  <c r="AE77" i="26"/>
  <c r="AD77" i="26"/>
  <c r="AC77" i="26"/>
  <c r="AB77" i="26"/>
  <c r="AA77" i="26"/>
  <c r="AJ76" i="26"/>
  <c r="AI76" i="26"/>
  <c r="AH76" i="26"/>
  <c r="AG76" i="26"/>
  <c r="AF76" i="26"/>
  <c r="AE76" i="26"/>
  <c r="AD76" i="26"/>
  <c r="AC76" i="26"/>
  <c r="AB76" i="26"/>
  <c r="AA76" i="26"/>
  <c r="AJ75" i="26"/>
  <c r="AI75" i="26"/>
  <c r="AH75" i="26"/>
  <c r="AG75" i="26"/>
  <c r="AF75" i="26"/>
  <c r="AE75" i="26"/>
  <c r="AD75" i="26"/>
  <c r="AC75" i="26"/>
  <c r="AB75" i="26"/>
  <c r="AA75" i="26"/>
  <c r="AJ74" i="26"/>
  <c r="AI74" i="26"/>
  <c r="AH74" i="26"/>
  <c r="AG74" i="26"/>
  <c r="AF74" i="26"/>
  <c r="AE74" i="26"/>
  <c r="AD74" i="26"/>
  <c r="AC74" i="26"/>
  <c r="AB74" i="26"/>
  <c r="AA74" i="26"/>
  <c r="AJ73" i="26"/>
  <c r="AI73" i="26"/>
  <c r="AH73" i="26"/>
  <c r="AG73" i="26"/>
  <c r="AF73" i="26"/>
  <c r="AE73" i="26"/>
  <c r="AD73" i="26"/>
  <c r="AC73" i="26"/>
  <c r="AB73" i="26"/>
  <c r="AA73" i="26"/>
  <c r="AJ72" i="26"/>
  <c r="AI72" i="26"/>
  <c r="AH72" i="26"/>
  <c r="AG72" i="26"/>
  <c r="AF72" i="26"/>
  <c r="AE72" i="26"/>
  <c r="AD72" i="26"/>
  <c r="AC72" i="26"/>
  <c r="AB72" i="26"/>
  <c r="AA72" i="26"/>
  <c r="AJ71" i="26"/>
  <c r="AI71" i="26"/>
  <c r="AH71" i="26"/>
  <c r="AG71" i="26"/>
  <c r="AF71" i="26"/>
  <c r="AE71" i="26"/>
  <c r="AD71" i="26"/>
  <c r="AC71" i="26"/>
  <c r="AB71" i="26"/>
  <c r="AA71" i="26"/>
  <c r="AJ70" i="26"/>
  <c r="AI70" i="26"/>
  <c r="AH70" i="26"/>
  <c r="AG70" i="26"/>
  <c r="AF70" i="26"/>
  <c r="AE70" i="26"/>
  <c r="AD70" i="26"/>
  <c r="AC70" i="26"/>
  <c r="AB70" i="26"/>
  <c r="AA70" i="26"/>
  <c r="AJ69" i="26"/>
  <c r="AI69" i="26"/>
  <c r="AH69" i="26"/>
  <c r="AG69" i="26"/>
  <c r="AF69" i="26"/>
  <c r="AE69" i="26"/>
  <c r="AD69" i="26"/>
  <c r="AC69" i="26"/>
  <c r="AB69" i="26"/>
  <c r="AA69" i="26"/>
  <c r="AJ68" i="26"/>
  <c r="AI68" i="26"/>
  <c r="AH68" i="26"/>
  <c r="AG68" i="26"/>
  <c r="AF68" i="26"/>
  <c r="AE68" i="26"/>
  <c r="AD68" i="26"/>
  <c r="AC68" i="26"/>
  <c r="AB68" i="26"/>
  <c r="AA68" i="26"/>
  <c r="AJ67" i="26"/>
  <c r="AI67" i="26"/>
  <c r="AH67" i="26"/>
  <c r="AG67" i="26"/>
  <c r="AF67" i="26"/>
  <c r="AE67" i="26"/>
  <c r="AD67" i="26"/>
  <c r="AC67" i="26"/>
  <c r="AB67" i="26"/>
  <c r="AA67" i="26"/>
  <c r="AJ66" i="26"/>
  <c r="AI66" i="26"/>
  <c r="AH66" i="26"/>
  <c r="AG66" i="26"/>
  <c r="AF66" i="26"/>
  <c r="AE66" i="26"/>
  <c r="AD66" i="26"/>
  <c r="AC66" i="26"/>
  <c r="AB66" i="26"/>
  <c r="AA66" i="26"/>
  <c r="AJ65" i="26"/>
  <c r="AI65" i="26"/>
  <c r="AH65" i="26"/>
  <c r="AG65" i="26"/>
  <c r="AF65" i="26"/>
  <c r="AE65" i="26"/>
  <c r="AD65" i="26"/>
  <c r="AC65" i="26"/>
  <c r="AB65" i="26"/>
  <c r="AA65" i="26"/>
  <c r="AJ64" i="26"/>
  <c r="AI64" i="26"/>
  <c r="AH64" i="26"/>
  <c r="AG64" i="26"/>
  <c r="AF64" i="26"/>
  <c r="AE64" i="26"/>
  <c r="AD64" i="26"/>
  <c r="AC64" i="26"/>
  <c r="AB64" i="26"/>
  <c r="AA64" i="26"/>
  <c r="AJ63" i="26"/>
  <c r="AI63" i="26"/>
  <c r="AH63" i="26"/>
  <c r="AG63" i="26"/>
  <c r="AF63" i="26"/>
  <c r="AE63" i="26"/>
  <c r="AD63" i="26"/>
  <c r="AC63" i="26"/>
  <c r="AB63" i="26"/>
  <c r="AA63" i="26"/>
  <c r="AJ62" i="26"/>
  <c r="AI62" i="26"/>
  <c r="AH62" i="26"/>
  <c r="AG62" i="26"/>
  <c r="AF62" i="26"/>
  <c r="AE62" i="26"/>
  <c r="AD62" i="26"/>
  <c r="AC62" i="26"/>
  <c r="AB62" i="26"/>
  <c r="AA62" i="26"/>
  <c r="AJ61" i="26"/>
  <c r="AI61" i="26"/>
  <c r="AH61" i="26"/>
  <c r="AG61" i="26"/>
  <c r="AF61" i="26"/>
  <c r="AE61" i="26"/>
  <c r="AD61" i="26"/>
  <c r="AC61" i="26"/>
  <c r="AB61" i="26"/>
  <c r="AA61" i="26"/>
  <c r="AJ60" i="26"/>
  <c r="AI60" i="26"/>
  <c r="AH60" i="26"/>
  <c r="AG60" i="26"/>
  <c r="AF60" i="26"/>
  <c r="AE60" i="26"/>
  <c r="AD60" i="26"/>
  <c r="AC60" i="26"/>
  <c r="AB60" i="26"/>
  <c r="AA60" i="26"/>
  <c r="AJ59" i="26"/>
  <c r="AI59" i="26"/>
  <c r="AH59" i="26"/>
  <c r="AG59" i="26"/>
  <c r="AF59" i="26"/>
  <c r="AE59" i="26"/>
  <c r="AD59" i="26"/>
  <c r="AC59" i="26"/>
  <c r="AB59" i="26"/>
  <c r="AA59" i="26"/>
  <c r="AJ58" i="26"/>
  <c r="AI58" i="26"/>
  <c r="AH58" i="26"/>
  <c r="AG58" i="26"/>
  <c r="AF58" i="26"/>
  <c r="AE58" i="26"/>
  <c r="AD58" i="26"/>
  <c r="AC58" i="26"/>
  <c r="AB58" i="26"/>
  <c r="AA58" i="26"/>
  <c r="AJ57" i="26"/>
  <c r="AI57" i="26"/>
  <c r="AH57" i="26"/>
  <c r="AG57" i="26"/>
  <c r="AF57" i="26"/>
  <c r="AE57" i="26"/>
  <c r="AD57" i="26"/>
  <c r="AC57" i="26"/>
  <c r="AB57" i="26"/>
  <c r="AA57" i="26"/>
  <c r="AJ56" i="26"/>
  <c r="AI56" i="26"/>
  <c r="AH56" i="26"/>
  <c r="AG56" i="26"/>
  <c r="AF56" i="26"/>
  <c r="AE56" i="26"/>
  <c r="AD56" i="26"/>
  <c r="AC56" i="26"/>
  <c r="AB56" i="26"/>
  <c r="AA56" i="26"/>
  <c r="AJ55" i="26"/>
  <c r="AI55" i="26"/>
  <c r="AH55" i="26"/>
  <c r="AG55" i="26"/>
  <c r="AF55" i="26"/>
  <c r="AE55" i="26"/>
  <c r="AD55" i="26"/>
  <c r="AC55" i="26"/>
  <c r="AB55" i="26"/>
  <c r="AA55" i="26"/>
  <c r="AJ54" i="26"/>
  <c r="AI54" i="26"/>
  <c r="AH54" i="26"/>
  <c r="AG54" i="26"/>
  <c r="AF54" i="26"/>
  <c r="AE54" i="26"/>
  <c r="AD54" i="26"/>
  <c r="AC54" i="26"/>
  <c r="AB54" i="26"/>
  <c r="AA54" i="26"/>
  <c r="AJ53" i="26"/>
  <c r="AI53" i="26"/>
  <c r="AH53" i="26"/>
  <c r="AG53" i="26"/>
  <c r="AF53" i="26"/>
  <c r="AE53" i="26"/>
  <c r="AD53" i="26"/>
  <c r="AC53" i="26"/>
  <c r="AB53" i="26"/>
  <c r="AA53" i="26"/>
  <c r="AJ52" i="26"/>
  <c r="AI52" i="26"/>
  <c r="AH52" i="26"/>
  <c r="AG52" i="26"/>
  <c r="AF52" i="26"/>
  <c r="AE52" i="26"/>
  <c r="AD52" i="26"/>
  <c r="AC52" i="26"/>
  <c r="AB52" i="26"/>
  <c r="AA52" i="26"/>
  <c r="AJ51" i="26"/>
  <c r="AI51" i="26"/>
  <c r="AH51" i="26"/>
  <c r="AG51" i="26"/>
  <c r="AF51" i="26"/>
  <c r="AE51" i="26"/>
  <c r="AD51" i="26"/>
  <c r="AC51" i="26"/>
  <c r="AB51" i="26"/>
  <c r="AA51" i="26"/>
  <c r="AJ50" i="26"/>
  <c r="AI50" i="26"/>
  <c r="AH50" i="26"/>
  <c r="AG50" i="26"/>
  <c r="AF50" i="26"/>
  <c r="AE50" i="26"/>
  <c r="AD50" i="26"/>
  <c r="AC50" i="26"/>
  <c r="AB50" i="26"/>
  <c r="AA50" i="26"/>
  <c r="AJ49" i="26"/>
  <c r="AI49" i="26"/>
  <c r="AH49" i="26"/>
  <c r="AG49" i="26"/>
  <c r="AF49" i="26"/>
  <c r="AE49" i="26"/>
  <c r="AD49" i="26"/>
  <c r="AC49" i="26"/>
  <c r="AB49" i="26"/>
  <c r="AA49" i="26"/>
  <c r="AJ48" i="26"/>
  <c r="AI48" i="26"/>
  <c r="AH48" i="26"/>
  <c r="AG48" i="26"/>
  <c r="AF48" i="26"/>
  <c r="AE48" i="26"/>
  <c r="AD48" i="26"/>
  <c r="AC48" i="26"/>
  <c r="AB48" i="26"/>
  <c r="AA48" i="26"/>
  <c r="AJ47" i="26"/>
  <c r="AI47" i="26"/>
  <c r="AH47" i="26"/>
  <c r="AG47" i="26"/>
  <c r="AF47" i="26"/>
  <c r="AE47" i="26"/>
  <c r="AD47" i="26"/>
  <c r="AC47" i="26"/>
  <c r="AB47" i="26"/>
  <c r="AA47" i="26"/>
  <c r="AJ46" i="26"/>
  <c r="AI46" i="26"/>
  <c r="AH46" i="26"/>
  <c r="AG46" i="26"/>
  <c r="AF46" i="26"/>
  <c r="AE46" i="26"/>
  <c r="AD46" i="26"/>
  <c r="AC46" i="26"/>
  <c r="AB46" i="26"/>
  <c r="AA46" i="26"/>
  <c r="AJ45" i="26"/>
  <c r="AI45" i="26"/>
  <c r="AH45" i="26"/>
  <c r="AG45" i="26"/>
  <c r="AF45" i="26"/>
  <c r="AE45" i="26"/>
  <c r="AD45" i="26"/>
  <c r="AC45" i="26"/>
  <c r="AB45" i="26"/>
  <c r="AA45" i="26"/>
  <c r="AJ44" i="26"/>
  <c r="AI44" i="26"/>
  <c r="AH44" i="26"/>
  <c r="AG44" i="26"/>
  <c r="AF44" i="26"/>
  <c r="AE44" i="26"/>
  <c r="AD44" i="26"/>
  <c r="AC44" i="26"/>
  <c r="AB44" i="26"/>
  <c r="AA44" i="26"/>
  <c r="AJ43" i="26"/>
  <c r="AI43" i="26"/>
  <c r="AH43" i="26"/>
  <c r="AG43" i="26"/>
  <c r="AF43" i="26"/>
  <c r="AE43" i="26"/>
  <c r="AD43" i="26"/>
  <c r="AC43" i="26"/>
  <c r="AB43" i="26"/>
  <c r="AA43" i="26"/>
  <c r="AJ42" i="26"/>
  <c r="AI42" i="26"/>
  <c r="AH42" i="26"/>
  <c r="AG42" i="26"/>
  <c r="AF42" i="26"/>
  <c r="AE42" i="26"/>
  <c r="AD42" i="26"/>
  <c r="AC42" i="26"/>
  <c r="AB42" i="26"/>
  <c r="AA42" i="26"/>
  <c r="AJ41" i="26"/>
  <c r="AI41" i="26"/>
  <c r="AH41" i="26"/>
  <c r="AG41" i="26"/>
  <c r="AF41" i="26"/>
  <c r="AE41" i="26"/>
  <c r="AD41" i="26"/>
  <c r="AC41" i="26"/>
  <c r="AB41" i="26"/>
  <c r="AA41" i="26"/>
  <c r="AJ40" i="26"/>
  <c r="AI40" i="26"/>
  <c r="AH40" i="26"/>
  <c r="AG40" i="26"/>
  <c r="AF40" i="26"/>
  <c r="AE40" i="26"/>
  <c r="AD40" i="26"/>
  <c r="AC40" i="26"/>
  <c r="AB40" i="26"/>
  <c r="AA40" i="26"/>
  <c r="AJ39" i="26"/>
  <c r="AI39" i="26"/>
  <c r="AH39" i="26"/>
  <c r="AG39" i="26"/>
  <c r="AF39" i="26"/>
  <c r="AE39" i="26"/>
  <c r="AD39" i="26"/>
  <c r="AC39" i="26"/>
  <c r="AB39" i="26"/>
  <c r="AA39" i="26"/>
  <c r="AJ38" i="26"/>
  <c r="AI38" i="26"/>
  <c r="AH38" i="26"/>
  <c r="AG38" i="26"/>
  <c r="AF38" i="26"/>
  <c r="AE38" i="26"/>
  <c r="AD38" i="26"/>
  <c r="AC38" i="26"/>
  <c r="AB38" i="26"/>
  <c r="AA38" i="26"/>
  <c r="AJ37" i="26"/>
  <c r="AI37" i="26"/>
  <c r="AH37" i="26"/>
  <c r="AG37" i="26"/>
  <c r="AF37" i="26"/>
  <c r="AE37" i="26"/>
  <c r="AD37" i="26"/>
  <c r="AC37" i="26"/>
  <c r="AB37" i="26"/>
  <c r="AA37" i="26"/>
  <c r="AJ36" i="26"/>
  <c r="AI36" i="26"/>
  <c r="AH36" i="26"/>
  <c r="AG36" i="26"/>
  <c r="AF36" i="26"/>
  <c r="AE36" i="26"/>
  <c r="AD36" i="26"/>
  <c r="AC36" i="26"/>
  <c r="AB36" i="26"/>
  <c r="AA36" i="26"/>
  <c r="AJ35" i="26"/>
  <c r="AI35" i="26"/>
  <c r="AH35" i="26"/>
  <c r="AG35" i="26"/>
  <c r="AF35" i="26"/>
  <c r="AE35" i="26"/>
  <c r="AD35" i="26"/>
  <c r="AC35" i="26"/>
  <c r="AB35" i="26"/>
  <c r="AA35" i="26"/>
  <c r="AJ34" i="26"/>
  <c r="AI34" i="26"/>
  <c r="AH34" i="26"/>
  <c r="AG34" i="26"/>
  <c r="AF34" i="26"/>
  <c r="AE34" i="26"/>
  <c r="AD34" i="26"/>
  <c r="AC34" i="26"/>
  <c r="AB34" i="26"/>
  <c r="AA34" i="26"/>
  <c r="AJ33" i="26"/>
  <c r="AI33" i="26"/>
  <c r="AH33" i="26"/>
  <c r="AG33" i="26"/>
  <c r="AF33" i="26"/>
  <c r="AE33" i="26"/>
  <c r="AD33" i="26"/>
  <c r="AC33" i="26"/>
  <c r="AB33" i="26"/>
  <c r="AA33" i="26"/>
  <c r="AJ32" i="26"/>
  <c r="AI32" i="26"/>
  <c r="AH32" i="26"/>
  <c r="AG32" i="26"/>
  <c r="AF32" i="26"/>
  <c r="AE32" i="26"/>
  <c r="AD32" i="26"/>
  <c r="AC32" i="26"/>
  <c r="AB32" i="26"/>
  <c r="AA32" i="26"/>
  <c r="AJ31" i="26"/>
  <c r="AI31" i="26"/>
  <c r="AH31" i="26"/>
  <c r="AG31" i="26"/>
  <c r="AF31" i="26"/>
  <c r="AE31" i="26"/>
  <c r="AD31" i="26"/>
  <c r="AC31" i="26"/>
  <c r="AB31" i="26"/>
  <c r="AA31" i="26"/>
  <c r="AJ30" i="26"/>
  <c r="AI30" i="26"/>
  <c r="AH30" i="26"/>
  <c r="AG30" i="26"/>
  <c r="AF30" i="26"/>
  <c r="AE30" i="26"/>
  <c r="AD30" i="26"/>
  <c r="AC30" i="26"/>
  <c r="AB30" i="26"/>
  <c r="AA30" i="26"/>
  <c r="AJ29" i="26"/>
  <c r="AI29" i="26"/>
  <c r="AH29" i="26"/>
  <c r="AG29" i="26"/>
  <c r="AF29" i="26"/>
  <c r="AE29" i="26"/>
  <c r="AD29" i="26"/>
  <c r="AC29" i="26"/>
  <c r="AB29" i="26"/>
  <c r="AA29" i="26"/>
  <c r="AJ28" i="26"/>
  <c r="AI28" i="26"/>
  <c r="AH28" i="26"/>
  <c r="AG28" i="26"/>
  <c r="AF28" i="26"/>
  <c r="AE28" i="26"/>
  <c r="AD28" i="26"/>
  <c r="AC28" i="26"/>
  <c r="AB28" i="26"/>
  <c r="AA28" i="26"/>
  <c r="AJ27" i="26"/>
  <c r="AI27" i="26"/>
  <c r="AH27" i="26"/>
  <c r="AG27" i="26"/>
  <c r="AF27" i="26"/>
  <c r="AE27" i="26"/>
  <c r="AD27" i="26"/>
  <c r="AC27" i="26"/>
  <c r="AB27" i="26"/>
  <c r="AA27" i="26"/>
  <c r="AJ26" i="26"/>
  <c r="AI26" i="26"/>
  <c r="AH26" i="26"/>
  <c r="AG26" i="26"/>
  <c r="AF26" i="26"/>
  <c r="AE26" i="26"/>
  <c r="AD26" i="26"/>
  <c r="AC26" i="26"/>
  <c r="AB26" i="26"/>
  <c r="AA26" i="26"/>
  <c r="AJ25" i="26"/>
  <c r="AI25" i="26"/>
  <c r="AH25" i="26"/>
  <c r="AG25" i="26"/>
  <c r="AF25" i="26"/>
  <c r="AE25" i="26"/>
  <c r="AD25" i="26"/>
  <c r="AC25" i="26"/>
  <c r="AB25" i="26"/>
  <c r="AA25" i="26"/>
  <c r="AJ24" i="26"/>
  <c r="AI24" i="26"/>
  <c r="AH24" i="26"/>
  <c r="AG24" i="26"/>
  <c r="AF24" i="26"/>
  <c r="AE24" i="26"/>
  <c r="AD24" i="26"/>
  <c r="AC24" i="26"/>
  <c r="AB24" i="26"/>
  <c r="AA24" i="26"/>
  <c r="AJ23" i="26"/>
  <c r="AI23" i="26"/>
  <c r="AH23" i="26"/>
  <c r="AG23" i="26"/>
  <c r="AF23" i="26"/>
  <c r="AE23" i="26"/>
  <c r="AD23" i="26"/>
  <c r="AC23" i="26"/>
  <c r="AB23" i="26"/>
  <c r="AA23" i="26"/>
  <c r="AJ22" i="26"/>
  <c r="AI22" i="26"/>
  <c r="AH22" i="26"/>
  <c r="AG22" i="26"/>
  <c r="AF22" i="26"/>
  <c r="AE22" i="26"/>
  <c r="AD22" i="26"/>
  <c r="AC22" i="26"/>
  <c r="AB22" i="26"/>
  <c r="AA22" i="26"/>
  <c r="AJ21" i="26"/>
  <c r="AI21" i="26"/>
  <c r="AH21" i="26"/>
  <c r="AG21" i="26"/>
  <c r="AF21" i="26"/>
  <c r="AE21" i="26"/>
  <c r="AD21" i="26"/>
  <c r="AC21" i="26"/>
  <c r="AB21" i="26"/>
  <c r="AA21" i="26"/>
  <c r="AJ20" i="26"/>
  <c r="AI20" i="26"/>
  <c r="AH20" i="26"/>
  <c r="AG20" i="26"/>
  <c r="AF20" i="26"/>
  <c r="AE20" i="26"/>
  <c r="AD20" i="26"/>
  <c r="AC20" i="26"/>
  <c r="AB20" i="26"/>
  <c r="AA20" i="26"/>
  <c r="AJ19" i="26"/>
  <c r="AI19" i="26"/>
  <c r="AH19" i="26"/>
  <c r="AG19" i="26"/>
  <c r="AF19" i="26"/>
  <c r="AE19" i="26"/>
  <c r="AD19" i="26"/>
  <c r="AC19" i="26"/>
  <c r="AB19" i="26"/>
  <c r="AA19" i="26"/>
  <c r="AJ18" i="26"/>
  <c r="AI18" i="26"/>
  <c r="AH18" i="26"/>
  <c r="AG18" i="26"/>
  <c r="AF18" i="26"/>
  <c r="AE18" i="26"/>
  <c r="AD18" i="26"/>
  <c r="AC18" i="26"/>
  <c r="AB18" i="26"/>
  <c r="AA18" i="26"/>
  <c r="AJ17" i="26"/>
  <c r="AI17" i="26"/>
  <c r="AH17" i="26"/>
  <c r="AG17" i="26"/>
  <c r="AF17" i="26"/>
  <c r="AE17" i="26"/>
  <c r="AD17" i="26"/>
  <c r="AC17" i="26"/>
  <c r="AB17" i="26"/>
  <c r="AA17" i="26"/>
  <c r="AJ16" i="26"/>
  <c r="AI16" i="26"/>
  <c r="AH16" i="26"/>
  <c r="AG16" i="26"/>
  <c r="AF16" i="26"/>
  <c r="AE16" i="26"/>
  <c r="AD16" i="26"/>
  <c r="AC16" i="26"/>
  <c r="AB16" i="26"/>
  <c r="AA16" i="26"/>
  <c r="AJ15" i="26"/>
  <c r="AI15" i="26"/>
  <c r="AH15" i="26"/>
  <c r="AG15" i="26"/>
  <c r="AF15" i="26"/>
  <c r="AE15" i="26"/>
  <c r="AD15" i="26"/>
  <c r="AC15" i="26"/>
  <c r="AB15" i="26"/>
  <c r="AA15" i="26"/>
  <c r="AJ14" i="26"/>
  <c r="AI14" i="26"/>
  <c r="AH14" i="26"/>
  <c r="AG14" i="26"/>
  <c r="AF14" i="26"/>
  <c r="AE14" i="26"/>
  <c r="AD14" i="26"/>
  <c r="AC14" i="26"/>
  <c r="AB14" i="26"/>
  <c r="AA14" i="26"/>
  <c r="AJ13" i="26"/>
  <c r="AI13" i="26"/>
  <c r="AH13" i="26"/>
  <c r="AG13" i="26"/>
  <c r="AF13" i="26"/>
  <c r="AE13" i="26"/>
  <c r="AD13" i="26"/>
  <c r="AC13" i="26"/>
  <c r="AB13" i="26"/>
  <c r="AA13" i="26"/>
  <c r="AJ12" i="26"/>
  <c r="AI12" i="26"/>
  <c r="AH12" i="26"/>
  <c r="AG12" i="26"/>
  <c r="AF12" i="26"/>
  <c r="AE12" i="26"/>
  <c r="AD12" i="26"/>
  <c r="AC12" i="26"/>
  <c r="AB12" i="26"/>
  <c r="AA12" i="26"/>
  <c r="AJ11" i="26"/>
  <c r="AI11" i="26"/>
  <c r="AH11" i="26"/>
  <c r="AG11" i="26"/>
  <c r="AF11" i="26"/>
  <c r="AE11" i="26"/>
  <c r="AD11" i="26"/>
  <c r="AC11" i="26"/>
  <c r="AB11" i="26"/>
  <c r="AA11" i="26"/>
  <c r="AJ10" i="26"/>
  <c r="AI10" i="26"/>
  <c r="AH10" i="26"/>
  <c r="AG10" i="26"/>
  <c r="AF10" i="26"/>
  <c r="AE10" i="26"/>
  <c r="AD10" i="26"/>
  <c r="AC10" i="26"/>
  <c r="AB10" i="26"/>
  <c r="AA10" i="26"/>
  <c r="AJ9" i="26"/>
  <c r="AI9" i="26"/>
  <c r="AH9" i="26"/>
  <c r="AG9" i="26"/>
  <c r="AF9" i="26"/>
  <c r="AE9" i="26"/>
  <c r="AD9" i="26"/>
  <c r="AC9" i="26"/>
  <c r="AB9" i="26"/>
  <c r="AA9" i="26"/>
  <c r="AJ8" i="26"/>
  <c r="AI8" i="26"/>
  <c r="AH8" i="26"/>
  <c r="AG8" i="26"/>
  <c r="AF8" i="26"/>
  <c r="AE8" i="26"/>
  <c r="AD8" i="26"/>
  <c r="AC8" i="26"/>
  <c r="AB8" i="26"/>
  <c r="AA8" i="26"/>
  <c r="AJ7" i="26"/>
  <c r="AI7" i="26"/>
  <c r="AH7" i="26"/>
  <c r="AG7" i="26"/>
  <c r="AF7" i="26"/>
  <c r="AE7" i="26"/>
  <c r="AD7" i="26"/>
  <c r="AC7" i="26"/>
  <c r="AB7" i="26"/>
  <c r="AA7" i="26"/>
  <c r="X92" i="26"/>
  <c r="W92" i="26"/>
  <c r="V92" i="26"/>
  <c r="U92" i="26"/>
  <c r="T92" i="26"/>
  <c r="S92" i="26"/>
  <c r="R92" i="26"/>
  <c r="Q92" i="26"/>
  <c r="P92" i="26"/>
  <c r="O92" i="26"/>
  <c r="X91" i="26"/>
  <c r="W91" i="26"/>
  <c r="V91" i="26"/>
  <c r="U91" i="26"/>
  <c r="T91" i="26"/>
  <c r="S91" i="26"/>
  <c r="R91" i="26"/>
  <c r="Q91" i="26"/>
  <c r="P91" i="26"/>
  <c r="O91" i="26"/>
  <c r="X90" i="26"/>
  <c r="W90" i="26"/>
  <c r="V90" i="26"/>
  <c r="U90" i="26"/>
  <c r="T90" i="26"/>
  <c r="S90" i="26"/>
  <c r="R90" i="26"/>
  <c r="Q90" i="26"/>
  <c r="P90" i="26"/>
  <c r="O90" i="26"/>
  <c r="X89" i="26"/>
  <c r="W89" i="26"/>
  <c r="V89" i="26"/>
  <c r="U89" i="26"/>
  <c r="T89" i="26"/>
  <c r="S89" i="26"/>
  <c r="R89" i="26"/>
  <c r="Q89" i="26"/>
  <c r="P89" i="26"/>
  <c r="O89" i="26"/>
  <c r="X88" i="26"/>
  <c r="W88" i="26"/>
  <c r="V88" i="26"/>
  <c r="U88" i="26"/>
  <c r="T88" i="26"/>
  <c r="S88" i="26"/>
  <c r="R88" i="26"/>
  <c r="Q88" i="26"/>
  <c r="P88" i="26"/>
  <c r="O88" i="26"/>
  <c r="X87" i="26"/>
  <c r="W87" i="26"/>
  <c r="V87" i="26"/>
  <c r="U87" i="26"/>
  <c r="T87" i="26"/>
  <c r="S87" i="26"/>
  <c r="R87" i="26"/>
  <c r="Q87" i="26"/>
  <c r="P87" i="26"/>
  <c r="O87" i="26"/>
  <c r="X86" i="26"/>
  <c r="W86" i="26"/>
  <c r="V86" i="26"/>
  <c r="U86" i="26"/>
  <c r="T86" i="26"/>
  <c r="S86" i="26"/>
  <c r="R86" i="26"/>
  <c r="Q86" i="26"/>
  <c r="P86" i="26"/>
  <c r="O86" i="26"/>
  <c r="X85" i="26"/>
  <c r="W85" i="26"/>
  <c r="V85" i="26"/>
  <c r="U85" i="26"/>
  <c r="T85" i="26"/>
  <c r="S85" i="26"/>
  <c r="R85" i="26"/>
  <c r="Q85" i="26"/>
  <c r="P85" i="26"/>
  <c r="O85" i="26"/>
  <c r="W81" i="26"/>
  <c r="S81" i="26"/>
  <c r="O81" i="26"/>
  <c r="X79" i="26"/>
  <c r="W79" i="26"/>
  <c r="V79" i="26"/>
  <c r="U79" i="26"/>
  <c r="T79" i="26"/>
  <c r="S79" i="26"/>
  <c r="R79" i="26"/>
  <c r="Q79" i="26"/>
  <c r="P79" i="26"/>
  <c r="O79" i="26"/>
  <c r="X78" i="26"/>
  <c r="W78" i="26"/>
  <c r="V78" i="26"/>
  <c r="U78" i="26"/>
  <c r="T78" i="26"/>
  <c r="S78" i="26"/>
  <c r="R78" i="26"/>
  <c r="Q78" i="26"/>
  <c r="P78" i="26"/>
  <c r="O78" i="26"/>
  <c r="X77" i="26"/>
  <c r="W77" i="26"/>
  <c r="V77" i="26"/>
  <c r="U77" i="26"/>
  <c r="T77" i="26"/>
  <c r="S77" i="26"/>
  <c r="R77" i="26"/>
  <c r="Q77" i="26"/>
  <c r="P77" i="26"/>
  <c r="O77" i="26"/>
  <c r="X76" i="26"/>
  <c r="W76" i="26"/>
  <c r="V76" i="26"/>
  <c r="U76" i="26"/>
  <c r="T76" i="26"/>
  <c r="S76" i="26"/>
  <c r="R76" i="26"/>
  <c r="Q76" i="26"/>
  <c r="P76" i="26"/>
  <c r="O76" i="26"/>
  <c r="X75" i="26"/>
  <c r="W75" i="26"/>
  <c r="V75" i="26"/>
  <c r="U75" i="26"/>
  <c r="T75" i="26"/>
  <c r="S75" i="26"/>
  <c r="R75" i="26"/>
  <c r="Q75" i="26"/>
  <c r="P75" i="26"/>
  <c r="O75" i="26"/>
  <c r="X74" i="26"/>
  <c r="W74" i="26"/>
  <c r="V74" i="26"/>
  <c r="U74" i="26"/>
  <c r="T74" i="26"/>
  <c r="S74" i="26"/>
  <c r="R74" i="26"/>
  <c r="Q74" i="26"/>
  <c r="P74" i="26"/>
  <c r="O74" i="26"/>
  <c r="X73" i="26"/>
  <c r="W73" i="26"/>
  <c r="V73" i="26"/>
  <c r="U73" i="26"/>
  <c r="T73" i="26"/>
  <c r="S73" i="26"/>
  <c r="R73" i="26"/>
  <c r="Q73" i="26"/>
  <c r="P73" i="26"/>
  <c r="O73" i="26"/>
  <c r="X72" i="26"/>
  <c r="W72" i="26"/>
  <c r="V72" i="26"/>
  <c r="U72" i="26"/>
  <c r="T72" i="26"/>
  <c r="S72" i="26"/>
  <c r="R72" i="26"/>
  <c r="Q72" i="26"/>
  <c r="P72" i="26"/>
  <c r="O72" i="26"/>
  <c r="X71" i="26"/>
  <c r="W71" i="26"/>
  <c r="V71" i="26"/>
  <c r="U71" i="26"/>
  <c r="T71" i="26"/>
  <c r="S71" i="26"/>
  <c r="R71" i="26"/>
  <c r="Q71" i="26"/>
  <c r="P71" i="26"/>
  <c r="O71" i="26"/>
  <c r="X70" i="26"/>
  <c r="W70" i="26"/>
  <c r="V70" i="26"/>
  <c r="U70" i="26"/>
  <c r="T70" i="26"/>
  <c r="S70" i="26"/>
  <c r="R70" i="26"/>
  <c r="Q70" i="26"/>
  <c r="P70" i="26"/>
  <c r="O70" i="26"/>
  <c r="X69" i="26"/>
  <c r="W69" i="26"/>
  <c r="V69" i="26"/>
  <c r="U69" i="26"/>
  <c r="T69" i="26"/>
  <c r="S69" i="26"/>
  <c r="R69" i="26"/>
  <c r="Q69" i="26"/>
  <c r="P69" i="26"/>
  <c r="O69" i="26"/>
  <c r="X68" i="26"/>
  <c r="W68" i="26"/>
  <c r="V68" i="26"/>
  <c r="U68" i="26"/>
  <c r="T68" i="26"/>
  <c r="S68" i="26"/>
  <c r="R68" i="26"/>
  <c r="Q68" i="26"/>
  <c r="P68" i="26"/>
  <c r="O68" i="26"/>
  <c r="X67" i="26"/>
  <c r="W67" i="26"/>
  <c r="V67" i="26"/>
  <c r="U67" i="26"/>
  <c r="T67" i="26"/>
  <c r="S67" i="26"/>
  <c r="R67" i="26"/>
  <c r="Q67" i="26"/>
  <c r="P67" i="26"/>
  <c r="O67" i="26"/>
  <c r="X66" i="26"/>
  <c r="W66" i="26"/>
  <c r="V66" i="26"/>
  <c r="U66" i="26"/>
  <c r="T66" i="26"/>
  <c r="S66" i="26"/>
  <c r="R66" i="26"/>
  <c r="Q66" i="26"/>
  <c r="P66" i="26"/>
  <c r="O66" i="26"/>
  <c r="X65" i="26"/>
  <c r="W65" i="26"/>
  <c r="V65" i="26"/>
  <c r="U65" i="26"/>
  <c r="T65" i="26"/>
  <c r="S65" i="26"/>
  <c r="R65" i="26"/>
  <c r="Q65" i="26"/>
  <c r="P65" i="26"/>
  <c r="O65" i="26"/>
  <c r="X64" i="26"/>
  <c r="W64" i="26"/>
  <c r="V64" i="26"/>
  <c r="U64" i="26"/>
  <c r="T64" i="26"/>
  <c r="S64" i="26"/>
  <c r="R64" i="26"/>
  <c r="Q64" i="26"/>
  <c r="P64" i="26"/>
  <c r="O64" i="26"/>
  <c r="X63" i="26"/>
  <c r="W63" i="26"/>
  <c r="V63" i="26"/>
  <c r="U63" i="26"/>
  <c r="T63" i="26"/>
  <c r="S63" i="26"/>
  <c r="R63" i="26"/>
  <c r="Q63" i="26"/>
  <c r="P63" i="26"/>
  <c r="O63" i="26"/>
  <c r="X62" i="26"/>
  <c r="W62" i="26"/>
  <c r="V62" i="26"/>
  <c r="U62" i="26"/>
  <c r="T62" i="26"/>
  <c r="S62" i="26"/>
  <c r="R62" i="26"/>
  <c r="Q62" i="26"/>
  <c r="P62" i="26"/>
  <c r="O62" i="26"/>
  <c r="X61" i="26"/>
  <c r="W61" i="26"/>
  <c r="V61" i="26"/>
  <c r="U61" i="26"/>
  <c r="T61" i="26"/>
  <c r="S61" i="26"/>
  <c r="R61" i="26"/>
  <c r="Q61" i="26"/>
  <c r="P61" i="26"/>
  <c r="O61" i="26"/>
  <c r="X60" i="26"/>
  <c r="W60" i="26"/>
  <c r="V60" i="26"/>
  <c r="U60" i="26"/>
  <c r="T60" i="26"/>
  <c r="S60" i="26"/>
  <c r="R60" i="26"/>
  <c r="Q60" i="26"/>
  <c r="P60" i="26"/>
  <c r="O60" i="26"/>
  <c r="X59" i="26"/>
  <c r="W59" i="26"/>
  <c r="V59" i="26"/>
  <c r="U59" i="26"/>
  <c r="T59" i="26"/>
  <c r="S59" i="26"/>
  <c r="R59" i="26"/>
  <c r="Q59" i="26"/>
  <c r="P59" i="26"/>
  <c r="O59" i="26"/>
  <c r="X58" i="26"/>
  <c r="W58" i="26"/>
  <c r="V58" i="26"/>
  <c r="U58" i="26"/>
  <c r="T58" i="26"/>
  <c r="S58" i="26"/>
  <c r="R58" i="26"/>
  <c r="Q58" i="26"/>
  <c r="P58" i="26"/>
  <c r="O58" i="26"/>
  <c r="X57" i="26"/>
  <c r="W57" i="26"/>
  <c r="V57" i="26"/>
  <c r="U57" i="26"/>
  <c r="T57" i="26"/>
  <c r="S57" i="26"/>
  <c r="R57" i="26"/>
  <c r="Q57" i="26"/>
  <c r="P57" i="26"/>
  <c r="O57" i="26"/>
  <c r="X56" i="26"/>
  <c r="W56" i="26"/>
  <c r="V56" i="26"/>
  <c r="U56" i="26"/>
  <c r="T56" i="26"/>
  <c r="S56" i="26"/>
  <c r="R56" i="26"/>
  <c r="Q56" i="26"/>
  <c r="P56" i="26"/>
  <c r="O56" i="26"/>
  <c r="X55" i="26"/>
  <c r="W55" i="26"/>
  <c r="V55" i="26"/>
  <c r="U55" i="26"/>
  <c r="T55" i="26"/>
  <c r="S55" i="26"/>
  <c r="R55" i="26"/>
  <c r="Q55" i="26"/>
  <c r="P55" i="26"/>
  <c r="O55" i="26"/>
  <c r="X54" i="26"/>
  <c r="W54" i="26"/>
  <c r="V54" i="26"/>
  <c r="U54" i="26"/>
  <c r="T54" i="26"/>
  <c r="S54" i="26"/>
  <c r="R54" i="26"/>
  <c r="Q54" i="26"/>
  <c r="P54" i="26"/>
  <c r="O54" i="26"/>
  <c r="X53" i="26"/>
  <c r="W53" i="26"/>
  <c r="V53" i="26"/>
  <c r="U53" i="26"/>
  <c r="T53" i="26"/>
  <c r="S53" i="26"/>
  <c r="R53" i="26"/>
  <c r="Q53" i="26"/>
  <c r="P53" i="26"/>
  <c r="O53" i="26"/>
  <c r="X52" i="26"/>
  <c r="W52" i="26"/>
  <c r="V52" i="26"/>
  <c r="U52" i="26"/>
  <c r="T52" i="26"/>
  <c r="S52" i="26"/>
  <c r="R52" i="26"/>
  <c r="Q52" i="26"/>
  <c r="P52" i="26"/>
  <c r="O52" i="26"/>
  <c r="X51" i="26"/>
  <c r="W51" i="26"/>
  <c r="V51" i="26"/>
  <c r="U51" i="26"/>
  <c r="T51" i="26"/>
  <c r="S51" i="26"/>
  <c r="R51" i="26"/>
  <c r="Q51" i="26"/>
  <c r="P51" i="26"/>
  <c r="O51" i="26"/>
  <c r="X50" i="26"/>
  <c r="W50" i="26"/>
  <c r="V50" i="26"/>
  <c r="U50" i="26"/>
  <c r="T50" i="26"/>
  <c r="S50" i="26"/>
  <c r="R50" i="26"/>
  <c r="Q50" i="26"/>
  <c r="P50" i="26"/>
  <c r="O50" i="26"/>
  <c r="X49" i="26"/>
  <c r="W49" i="26"/>
  <c r="V49" i="26"/>
  <c r="U49" i="26"/>
  <c r="T49" i="26"/>
  <c r="S49" i="26"/>
  <c r="R49" i="26"/>
  <c r="Q49" i="26"/>
  <c r="P49" i="26"/>
  <c r="O49" i="26"/>
  <c r="X48" i="26"/>
  <c r="W48" i="26"/>
  <c r="V48" i="26"/>
  <c r="U48" i="26"/>
  <c r="T48" i="26"/>
  <c r="S48" i="26"/>
  <c r="R48" i="26"/>
  <c r="Q48" i="26"/>
  <c r="P48" i="26"/>
  <c r="O48" i="26"/>
  <c r="X47" i="26"/>
  <c r="W47" i="26"/>
  <c r="V47" i="26"/>
  <c r="U47" i="26"/>
  <c r="T47" i="26"/>
  <c r="S47" i="26"/>
  <c r="R47" i="26"/>
  <c r="Q47" i="26"/>
  <c r="P47" i="26"/>
  <c r="O47" i="26"/>
  <c r="X46" i="26"/>
  <c r="W46" i="26"/>
  <c r="V46" i="26"/>
  <c r="U46" i="26"/>
  <c r="T46" i="26"/>
  <c r="S46" i="26"/>
  <c r="R46" i="26"/>
  <c r="Q46" i="26"/>
  <c r="P46" i="26"/>
  <c r="O46" i="26"/>
  <c r="X45" i="26"/>
  <c r="W45" i="26"/>
  <c r="V45" i="26"/>
  <c r="U45" i="26"/>
  <c r="T45" i="26"/>
  <c r="S45" i="26"/>
  <c r="R45" i="26"/>
  <c r="Q45" i="26"/>
  <c r="P45" i="26"/>
  <c r="O45" i="26"/>
  <c r="X44" i="26"/>
  <c r="W44" i="26"/>
  <c r="V44" i="26"/>
  <c r="U44" i="26"/>
  <c r="T44" i="26"/>
  <c r="S44" i="26"/>
  <c r="R44" i="26"/>
  <c r="Q44" i="26"/>
  <c r="P44" i="26"/>
  <c r="O44" i="26"/>
  <c r="X43" i="26"/>
  <c r="W43" i="26"/>
  <c r="V43" i="26"/>
  <c r="U43" i="26"/>
  <c r="T43" i="26"/>
  <c r="S43" i="26"/>
  <c r="R43" i="26"/>
  <c r="Q43" i="26"/>
  <c r="P43" i="26"/>
  <c r="O43" i="26"/>
  <c r="X42" i="26"/>
  <c r="W42" i="26"/>
  <c r="V42" i="26"/>
  <c r="U42" i="26"/>
  <c r="T42" i="26"/>
  <c r="S42" i="26"/>
  <c r="R42" i="26"/>
  <c r="Q42" i="26"/>
  <c r="P42" i="26"/>
  <c r="O42" i="26"/>
  <c r="X41" i="26"/>
  <c r="W41" i="26"/>
  <c r="V41" i="26"/>
  <c r="U41" i="26"/>
  <c r="T41" i="26"/>
  <c r="S41" i="26"/>
  <c r="R41" i="26"/>
  <c r="Q41" i="26"/>
  <c r="P41" i="26"/>
  <c r="O41" i="26"/>
  <c r="X40" i="26"/>
  <c r="W40" i="26"/>
  <c r="V40" i="26"/>
  <c r="U40" i="26"/>
  <c r="T40" i="26"/>
  <c r="S40" i="26"/>
  <c r="R40" i="26"/>
  <c r="Q40" i="26"/>
  <c r="P40" i="26"/>
  <c r="O40" i="26"/>
  <c r="X39" i="26"/>
  <c r="W39" i="26"/>
  <c r="V39" i="26"/>
  <c r="U39" i="26"/>
  <c r="T39" i="26"/>
  <c r="S39" i="26"/>
  <c r="R39" i="26"/>
  <c r="Q39" i="26"/>
  <c r="P39" i="26"/>
  <c r="O39" i="26"/>
  <c r="X38" i="26"/>
  <c r="W38" i="26"/>
  <c r="V38" i="26"/>
  <c r="U38" i="26"/>
  <c r="T38" i="26"/>
  <c r="S38" i="26"/>
  <c r="R38" i="26"/>
  <c r="Q38" i="26"/>
  <c r="P38" i="26"/>
  <c r="O38" i="26"/>
  <c r="X37" i="26"/>
  <c r="W37" i="26"/>
  <c r="V37" i="26"/>
  <c r="U37" i="26"/>
  <c r="T37" i="26"/>
  <c r="S37" i="26"/>
  <c r="R37" i="26"/>
  <c r="Q37" i="26"/>
  <c r="P37" i="26"/>
  <c r="O37" i="26"/>
  <c r="X36" i="26"/>
  <c r="W36" i="26"/>
  <c r="V36" i="26"/>
  <c r="U36" i="26"/>
  <c r="T36" i="26"/>
  <c r="S36" i="26"/>
  <c r="R36" i="26"/>
  <c r="Q36" i="26"/>
  <c r="P36" i="26"/>
  <c r="O36" i="26"/>
  <c r="X35" i="26"/>
  <c r="W35" i="26"/>
  <c r="V35" i="26"/>
  <c r="U35" i="26"/>
  <c r="T35" i="26"/>
  <c r="S35" i="26"/>
  <c r="R35" i="26"/>
  <c r="Q35" i="26"/>
  <c r="P35" i="26"/>
  <c r="O35" i="26"/>
  <c r="X34" i="26"/>
  <c r="W34" i="26"/>
  <c r="V34" i="26"/>
  <c r="U34" i="26"/>
  <c r="T34" i="26"/>
  <c r="S34" i="26"/>
  <c r="R34" i="26"/>
  <c r="Q34" i="26"/>
  <c r="P34" i="26"/>
  <c r="O34" i="26"/>
  <c r="X33" i="26"/>
  <c r="W33" i="26"/>
  <c r="V33" i="26"/>
  <c r="U33" i="26"/>
  <c r="T33" i="26"/>
  <c r="S33" i="26"/>
  <c r="R33" i="26"/>
  <c r="Q33" i="26"/>
  <c r="P33" i="26"/>
  <c r="O33" i="26"/>
  <c r="X32" i="26"/>
  <c r="W32" i="26"/>
  <c r="V32" i="26"/>
  <c r="U32" i="26"/>
  <c r="T32" i="26"/>
  <c r="S32" i="26"/>
  <c r="R32" i="26"/>
  <c r="Q32" i="26"/>
  <c r="P32" i="26"/>
  <c r="O32" i="26"/>
  <c r="X31" i="26"/>
  <c r="W31" i="26"/>
  <c r="V31" i="26"/>
  <c r="U31" i="26"/>
  <c r="T31" i="26"/>
  <c r="S31" i="26"/>
  <c r="R31" i="26"/>
  <c r="Q31" i="26"/>
  <c r="P31" i="26"/>
  <c r="O31" i="26"/>
  <c r="X30" i="26"/>
  <c r="W30" i="26"/>
  <c r="V30" i="26"/>
  <c r="U30" i="26"/>
  <c r="T30" i="26"/>
  <c r="S30" i="26"/>
  <c r="R30" i="26"/>
  <c r="Q30" i="26"/>
  <c r="P30" i="26"/>
  <c r="O30" i="26"/>
  <c r="X29" i="26"/>
  <c r="W29" i="26"/>
  <c r="V29" i="26"/>
  <c r="U29" i="26"/>
  <c r="T29" i="26"/>
  <c r="S29" i="26"/>
  <c r="R29" i="26"/>
  <c r="Q29" i="26"/>
  <c r="P29" i="26"/>
  <c r="O29" i="26"/>
  <c r="X28" i="26"/>
  <c r="W28" i="26"/>
  <c r="V28" i="26"/>
  <c r="U28" i="26"/>
  <c r="T28" i="26"/>
  <c r="S28" i="26"/>
  <c r="R28" i="26"/>
  <c r="Q28" i="26"/>
  <c r="P28" i="26"/>
  <c r="O28" i="26"/>
  <c r="X27" i="26"/>
  <c r="W27" i="26"/>
  <c r="V27" i="26"/>
  <c r="U27" i="26"/>
  <c r="T27" i="26"/>
  <c r="S27" i="26"/>
  <c r="R27" i="26"/>
  <c r="Q27" i="26"/>
  <c r="P27" i="26"/>
  <c r="O27" i="26"/>
  <c r="X26" i="26"/>
  <c r="W26" i="26"/>
  <c r="V26" i="26"/>
  <c r="U26" i="26"/>
  <c r="T26" i="26"/>
  <c r="S26" i="26"/>
  <c r="R26" i="26"/>
  <c r="Q26" i="26"/>
  <c r="P26" i="26"/>
  <c r="O26" i="26"/>
  <c r="X25" i="26"/>
  <c r="W25" i="26"/>
  <c r="V25" i="26"/>
  <c r="U25" i="26"/>
  <c r="T25" i="26"/>
  <c r="S25" i="26"/>
  <c r="R25" i="26"/>
  <c r="Q25" i="26"/>
  <c r="P25" i="26"/>
  <c r="O25" i="26"/>
  <c r="X24" i="26"/>
  <c r="W24" i="26"/>
  <c r="V24" i="26"/>
  <c r="U24" i="26"/>
  <c r="T24" i="26"/>
  <c r="S24" i="26"/>
  <c r="R24" i="26"/>
  <c r="Q24" i="26"/>
  <c r="P24" i="26"/>
  <c r="O24" i="26"/>
  <c r="X23" i="26"/>
  <c r="W23" i="26"/>
  <c r="V23" i="26"/>
  <c r="U23" i="26"/>
  <c r="T23" i="26"/>
  <c r="S23" i="26"/>
  <c r="R23" i="26"/>
  <c r="Q23" i="26"/>
  <c r="P23" i="26"/>
  <c r="O23" i="26"/>
  <c r="X22" i="26"/>
  <c r="W22" i="26"/>
  <c r="V22" i="26"/>
  <c r="U22" i="26"/>
  <c r="T22" i="26"/>
  <c r="S22" i="26"/>
  <c r="R22" i="26"/>
  <c r="Q22" i="26"/>
  <c r="P22" i="26"/>
  <c r="O22" i="26"/>
  <c r="X21" i="26"/>
  <c r="W21" i="26"/>
  <c r="V21" i="26"/>
  <c r="U21" i="26"/>
  <c r="T21" i="26"/>
  <c r="S21" i="26"/>
  <c r="R21" i="26"/>
  <c r="Q21" i="26"/>
  <c r="P21" i="26"/>
  <c r="O21" i="26"/>
  <c r="X20" i="26"/>
  <c r="W20" i="26"/>
  <c r="V20" i="26"/>
  <c r="U20" i="26"/>
  <c r="T20" i="26"/>
  <c r="S20" i="26"/>
  <c r="R20" i="26"/>
  <c r="Q20" i="26"/>
  <c r="P20" i="26"/>
  <c r="O20" i="26"/>
  <c r="X19" i="26"/>
  <c r="W19" i="26"/>
  <c r="V19" i="26"/>
  <c r="U19" i="26"/>
  <c r="T19" i="26"/>
  <c r="S19" i="26"/>
  <c r="R19" i="26"/>
  <c r="Q19" i="26"/>
  <c r="P19" i="26"/>
  <c r="O19" i="26"/>
  <c r="X18" i="26"/>
  <c r="W18" i="26"/>
  <c r="V18" i="26"/>
  <c r="U18" i="26"/>
  <c r="T18" i="26"/>
  <c r="S18" i="26"/>
  <c r="R18" i="26"/>
  <c r="Q18" i="26"/>
  <c r="P18" i="26"/>
  <c r="O18" i="26"/>
  <c r="X17" i="26"/>
  <c r="W17" i="26"/>
  <c r="V17" i="26"/>
  <c r="U17" i="26"/>
  <c r="T17" i="26"/>
  <c r="S17" i="26"/>
  <c r="R17" i="26"/>
  <c r="Q17" i="26"/>
  <c r="P17" i="26"/>
  <c r="O17" i="26"/>
  <c r="X16" i="26"/>
  <c r="W16" i="26"/>
  <c r="V16" i="26"/>
  <c r="U16" i="26"/>
  <c r="T16" i="26"/>
  <c r="S16" i="26"/>
  <c r="R16" i="26"/>
  <c r="Q16" i="26"/>
  <c r="P16" i="26"/>
  <c r="O16" i="26"/>
  <c r="X15" i="26"/>
  <c r="W15" i="26"/>
  <c r="V15" i="26"/>
  <c r="U15" i="26"/>
  <c r="T15" i="26"/>
  <c r="S15" i="26"/>
  <c r="R15" i="26"/>
  <c r="Q15" i="26"/>
  <c r="P15" i="26"/>
  <c r="O15" i="26"/>
  <c r="X14" i="26"/>
  <c r="W14" i="26"/>
  <c r="V14" i="26"/>
  <c r="U14" i="26"/>
  <c r="T14" i="26"/>
  <c r="S14" i="26"/>
  <c r="R14" i="26"/>
  <c r="Q14" i="26"/>
  <c r="P14" i="26"/>
  <c r="O14" i="26"/>
  <c r="X13" i="26"/>
  <c r="W13" i="26"/>
  <c r="V13" i="26"/>
  <c r="U13" i="26"/>
  <c r="T13" i="26"/>
  <c r="S13" i="26"/>
  <c r="R13" i="26"/>
  <c r="Q13" i="26"/>
  <c r="P13" i="26"/>
  <c r="O13" i="26"/>
  <c r="X12" i="26"/>
  <c r="W12" i="26"/>
  <c r="V12" i="26"/>
  <c r="U12" i="26"/>
  <c r="T12" i="26"/>
  <c r="S12" i="26"/>
  <c r="R12" i="26"/>
  <c r="Q12" i="26"/>
  <c r="P12" i="26"/>
  <c r="O12" i="26"/>
  <c r="X11" i="26"/>
  <c r="W11" i="26"/>
  <c r="V11" i="26"/>
  <c r="U11" i="26"/>
  <c r="T11" i="26"/>
  <c r="S11" i="26"/>
  <c r="R11" i="26"/>
  <c r="Q11" i="26"/>
  <c r="P11" i="26"/>
  <c r="O11" i="26"/>
  <c r="X10" i="26"/>
  <c r="W10" i="26"/>
  <c r="V10" i="26"/>
  <c r="U10" i="26"/>
  <c r="T10" i="26"/>
  <c r="S10" i="26"/>
  <c r="R10" i="26"/>
  <c r="Q10" i="26"/>
  <c r="P10" i="26"/>
  <c r="O10" i="26"/>
  <c r="X9" i="26"/>
  <c r="W9" i="26"/>
  <c r="V9" i="26"/>
  <c r="U9" i="26"/>
  <c r="T9" i="26"/>
  <c r="S9" i="26"/>
  <c r="R9" i="26"/>
  <c r="Q9" i="26"/>
  <c r="P9" i="26"/>
  <c r="O9" i="26"/>
  <c r="X8" i="26"/>
  <c r="W8" i="26"/>
  <c r="V8" i="26"/>
  <c r="U8" i="26"/>
  <c r="T8" i="26"/>
  <c r="S8" i="26"/>
  <c r="R8" i="26"/>
  <c r="Q8" i="26"/>
  <c r="P8" i="26"/>
  <c r="O8" i="26"/>
  <c r="X7" i="26"/>
  <c r="W7" i="26"/>
  <c r="V7" i="26"/>
  <c r="U7" i="26"/>
  <c r="T7" i="26"/>
  <c r="S7" i="26"/>
  <c r="R7" i="26"/>
  <c r="Q7" i="26"/>
  <c r="P7" i="26"/>
  <c r="O7" i="26"/>
  <c r="L92" i="26"/>
  <c r="K92" i="26"/>
  <c r="J92" i="26"/>
  <c r="I92" i="26"/>
  <c r="H92" i="26"/>
  <c r="G92" i="26"/>
  <c r="F92" i="26"/>
  <c r="E92" i="26"/>
  <c r="D92" i="26"/>
  <c r="C92" i="26"/>
  <c r="L91" i="26"/>
  <c r="K91" i="26"/>
  <c r="J91" i="26"/>
  <c r="I91" i="26"/>
  <c r="H91" i="26"/>
  <c r="G91" i="26"/>
  <c r="F91" i="26"/>
  <c r="E91" i="26"/>
  <c r="D91" i="26"/>
  <c r="C91" i="26"/>
  <c r="L90" i="26"/>
  <c r="K90" i="26"/>
  <c r="J90" i="26"/>
  <c r="I90" i="26"/>
  <c r="H90" i="26"/>
  <c r="G90" i="26"/>
  <c r="F90" i="26"/>
  <c r="E90" i="26"/>
  <c r="D90" i="26"/>
  <c r="C90" i="26"/>
  <c r="L89" i="26"/>
  <c r="K89" i="26"/>
  <c r="J89" i="26"/>
  <c r="I89" i="26"/>
  <c r="H89" i="26"/>
  <c r="G89" i="26"/>
  <c r="F89" i="26"/>
  <c r="E89" i="26"/>
  <c r="D89" i="26"/>
  <c r="C89" i="26"/>
  <c r="L88" i="26"/>
  <c r="K88" i="26"/>
  <c r="J88" i="26"/>
  <c r="I88" i="26"/>
  <c r="H88" i="26"/>
  <c r="G88" i="26"/>
  <c r="F88" i="26"/>
  <c r="E88" i="26"/>
  <c r="D88" i="26"/>
  <c r="C88" i="26"/>
  <c r="L87" i="26"/>
  <c r="K87" i="26"/>
  <c r="J87" i="26"/>
  <c r="I87" i="26"/>
  <c r="H87" i="26"/>
  <c r="G87" i="26"/>
  <c r="F87" i="26"/>
  <c r="E87" i="26"/>
  <c r="D87" i="26"/>
  <c r="C87" i="26"/>
  <c r="L86" i="26"/>
  <c r="K86" i="26"/>
  <c r="J86" i="26"/>
  <c r="I86" i="26"/>
  <c r="H86" i="26"/>
  <c r="G86" i="26"/>
  <c r="F86" i="26"/>
  <c r="E86" i="26"/>
  <c r="D86" i="26"/>
  <c r="C86" i="26"/>
  <c r="L85" i="26"/>
  <c r="K85" i="26"/>
  <c r="J85" i="26"/>
  <c r="I85" i="26"/>
  <c r="H85" i="26"/>
  <c r="G85" i="26"/>
  <c r="F85" i="26"/>
  <c r="E85" i="26"/>
  <c r="D85" i="26"/>
  <c r="C85" i="26"/>
  <c r="K81" i="26"/>
  <c r="G81" i="26"/>
  <c r="C81" i="26"/>
  <c r="L79" i="26"/>
  <c r="K79" i="26"/>
  <c r="J79" i="26"/>
  <c r="I79" i="26"/>
  <c r="H79" i="26"/>
  <c r="G79" i="26"/>
  <c r="F79" i="26"/>
  <c r="E79" i="26"/>
  <c r="D79" i="26"/>
  <c r="C79" i="26"/>
  <c r="L78" i="26"/>
  <c r="K78" i="26"/>
  <c r="J78" i="26"/>
  <c r="I78" i="26"/>
  <c r="H78" i="26"/>
  <c r="G78" i="26"/>
  <c r="F78" i="26"/>
  <c r="E78" i="26"/>
  <c r="D78" i="26"/>
  <c r="C78" i="26"/>
  <c r="L77" i="26"/>
  <c r="K77" i="26"/>
  <c r="J77" i="26"/>
  <c r="I77" i="26"/>
  <c r="H77" i="26"/>
  <c r="G77" i="26"/>
  <c r="F77" i="26"/>
  <c r="E77" i="26"/>
  <c r="D77" i="26"/>
  <c r="C77" i="26"/>
  <c r="L76" i="26"/>
  <c r="K76" i="26"/>
  <c r="J76" i="26"/>
  <c r="I76" i="26"/>
  <c r="H76" i="26"/>
  <c r="G76" i="26"/>
  <c r="F76" i="26"/>
  <c r="E76" i="26"/>
  <c r="D76" i="26"/>
  <c r="C76" i="26"/>
  <c r="L75" i="26"/>
  <c r="K75" i="26"/>
  <c r="J75" i="26"/>
  <c r="I75" i="26"/>
  <c r="H75" i="26"/>
  <c r="G75" i="26"/>
  <c r="F75" i="26"/>
  <c r="E75" i="26"/>
  <c r="D75" i="26"/>
  <c r="C75" i="26"/>
  <c r="L74" i="26"/>
  <c r="K74" i="26"/>
  <c r="J74" i="26"/>
  <c r="I74" i="26"/>
  <c r="H74" i="26"/>
  <c r="G74" i="26"/>
  <c r="F74" i="26"/>
  <c r="E74" i="26"/>
  <c r="D74" i="26"/>
  <c r="C74" i="26"/>
  <c r="L73" i="26"/>
  <c r="K73" i="26"/>
  <c r="J73" i="26"/>
  <c r="I73" i="26"/>
  <c r="H73" i="26"/>
  <c r="G73" i="26"/>
  <c r="F73" i="26"/>
  <c r="E73" i="26"/>
  <c r="D73" i="26"/>
  <c r="C73" i="26"/>
  <c r="L72" i="26"/>
  <c r="K72" i="26"/>
  <c r="J72" i="26"/>
  <c r="I72" i="26"/>
  <c r="H72" i="26"/>
  <c r="G72" i="26"/>
  <c r="F72" i="26"/>
  <c r="E72" i="26"/>
  <c r="D72" i="26"/>
  <c r="C72" i="26"/>
  <c r="L71" i="26"/>
  <c r="K71" i="26"/>
  <c r="J71" i="26"/>
  <c r="I71" i="26"/>
  <c r="H71" i="26"/>
  <c r="G71" i="26"/>
  <c r="F71" i="26"/>
  <c r="E71" i="26"/>
  <c r="D71" i="26"/>
  <c r="C71" i="26"/>
  <c r="L70" i="26"/>
  <c r="K70" i="26"/>
  <c r="J70" i="26"/>
  <c r="I70" i="26"/>
  <c r="H70" i="26"/>
  <c r="G70" i="26"/>
  <c r="F70" i="26"/>
  <c r="E70" i="26"/>
  <c r="D70" i="26"/>
  <c r="C70" i="26"/>
  <c r="L69" i="26"/>
  <c r="K69" i="26"/>
  <c r="J69" i="26"/>
  <c r="I69" i="26"/>
  <c r="H69" i="26"/>
  <c r="G69" i="26"/>
  <c r="F69" i="26"/>
  <c r="E69" i="26"/>
  <c r="D69" i="26"/>
  <c r="C69" i="26"/>
  <c r="L68" i="26"/>
  <c r="K68" i="26"/>
  <c r="J68" i="26"/>
  <c r="I68" i="26"/>
  <c r="H68" i="26"/>
  <c r="G68" i="26"/>
  <c r="F68" i="26"/>
  <c r="E68" i="26"/>
  <c r="D68" i="26"/>
  <c r="C68" i="26"/>
  <c r="L67" i="26"/>
  <c r="K67" i="26"/>
  <c r="J67" i="26"/>
  <c r="I67" i="26"/>
  <c r="H67" i="26"/>
  <c r="G67" i="26"/>
  <c r="F67" i="26"/>
  <c r="E67" i="26"/>
  <c r="D67" i="26"/>
  <c r="C67" i="26"/>
  <c r="L66" i="26"/>
  <c r="K66" i="26"/>
  <c r="J66" i="26"/>
  <c r="I66" i="26"/>
  <c r="H66" i="26"/>
  <c r="G66" i="26"/>
  <c r="F66" i="26"/>
  <c r="E66" i="26"/>
  <c r="D66" i="26"/>
  <c r="C66" i="26"/>
  <c r="L65" i="26"/>
  <c r="K65" i="26"/>
  <c r="J65" i="26"/>
  <c r="I65" i="26"/>
  <c r="H65" i="26"/>
  <c r="G65" i="26"/>
  <c r="F65" i="26"/>
  <c r="E65" i="26"/>
  <c r="D65" i="26"/>
  <c r="C65" i="26"/>
  <c r="L64" i="26"/>
  <c r="K64" i="26"/>
  <c r="J64" i="26"/>
  <c r="I64" i="26"/>
  <c r="H64" i="26"/>
  <c r="G64" i="26"/>
  <c r="F64" i="26"/>
  <c r="E64" i="26"/>
  <c r="D64" i="26"/>
  <c r="C64" i="26"/>
  <c r="L63" i="26"/>
  <c r="K63" i="26"/>
  <c r="J63" i="26"/>
  <c r="I63" i="26"/>
  <c r="H63" i="26"/>
  <c r="G63" i="26"/>
  <c r="F63" i="26"/>
  <c r="E63" i="26"/>
  <c r="D63" i="26"/>
  <c r="C63" i="26"/>
  <c r="L62" i="26"/>
  <c r="K62" i="26"/>
  <c r="J62" i="26"/>
  <c r="I62" i="26"/>
  <c r="H62" i="26"/>
  <c r="G62" i="26"/>
  <c r="F62" i="26"/>
  <c r="E62" i="26"/>
  <c r="D62" i="26"/>
  <c r="C62" i="26"/>
  <c r="L61" i="26"/>
  <c r="K61" i="26"/>
  <c r="J61" i="26"/>
  <c r="I61" i="26"/>
  <c r="H61" i="26"/>
  <c r="G61" i="26"/>
  <c r="F61" i="26"/>
  <c r="E61" i="26"/>
  <c r="D61" i="26"/>
  <c r="C61" i="26"/>
  <c r="L60" i="26"/>
  <c r="K60" i="26"/>
  <c r="J60" i="26"/>
  <c r="I60" i="26"/>
  <c r="H60" i="26"/>
  <c r="G60" i="26"/>
  <c r="F60" i="26"/>
  <c r="E60" i="26"/>
  <c r="D60" i="26"/>
  <c r="C60" i="26"/>
  <c r="L59" i="26"/>
  <c r="K59" i="26"/>
  <c r="J59" i="26"/>
  <c r="I59" i="26"/>
  <c r="H59" i="26"/>
  <c r="G59" i="26"/>
  <c r="F59" i="26"/>
  <c r="E59" i="26"/>
  <c r="D59" i="26"/>
  <c r="C59" i="26"/>
  <c r="L58" i="26"/>
  <c r="K58" i="26"/>
  <c r="J58" i="26"/>
  <c r="I58" i="26"/>
  <c r="H58" i="26"/>
  <c r="G58" i="26"/>
  <c r="F58" i="26"/>
  <c r="E58" i="26"/>
  <c r="D58" i="26"/>
  <c r="C58" i="26"/>
  <c r="L57" i="26"/>
  <c r="K57" i="26"/>
  <c r="J57" i="26"/>
  <c r="I57" i="26"/>
  <c r="H57" i="26"/>
  <c r="G57" i="26"/>
  <c r="F57" i="26"/>
  <c r="E57" i="26"/>
  <c r="D57" i="26"/>
  <c r="C57" i="26"/>
  <c r="L56" i="26"/>
  <c r="K56" i="26"/>
  <c r="J56" i="26"/>
  <c r="I56" i="26"/>
  <c r="H56" i="26"/>
  <c r="G56" i="26"/>
  <c r="F56" i="26"/>
  <c r="E56" i="26"/>
  <c r="D56" i="26"/>
  <c r="C56" i="26"/>
  <c r="L55" i="26"/>
  <c r="K55" i="26"/>
  <c r="J55" i="26"/>
  <c r="I55" i="26"/>
  <c r="H55" i="26"/>
  <c r="G55" i="26"/>
  <c r="F55" i="26"/>
  <c r="E55" i="26"/>
  <c r="D55" i="26"/>
  <c r="C55" i="26"/>
  <c r="L54" i="26"/>
  <c r="K54" i="26"/>
  <c r="J54" i="26"/>
  <c r="I54" i="26"/>
  <c r="H54" i="26"/>
  <c r="G54" i="26"/>
  <c r="F54" i="26"/>
  <c r="E54" i="26"/>
  <c r="D54" i="26"/>
  <c r="C54" i="26"/>
  <c r="L53" i="26"/>
  <c r="K53" i="26"/>
  <c r="J53" i="26"/>
  <c r="I53" i="26"/>
  <c r="H53" i="26"/>
  <c r="G53" i="26"/>
  <c r="F53" i="26"/>
  <c r="E53" i="26"/>
  <c r="D53" i="26"/>
  <c r="C53" i="26"/>
  <c r="L52" i="26"/>
  <c r="K52" i="26"/>
  <c r="J52" i="26"/>
  <c r="I52" i="26"/>
  <c r="H52" i="26"/>
  <c r="G52" i="26"/>
  <c r="F52" i="26"/>
  <c r="E52" i="26"/>
  <c r="D52" i="26"/>
  <c r="C52" i="26"/>
  <c r="L51" i="26"/>
  <c r="K51" i="26"/>
  <c r="J51" i="26"/>
  <c r="I51" i="26"/>
  <c r="H51" i="26"/>
  <c r="G51" i="26"/>
  <c r="F51" i="26"/>
  <c r="E51" i="26"/>
  <c r="D51" i="26"/>
  <c r="C51" i="26"/>
  <c r="L50" i="26"/>
  <c r="K50" i="26"/>
  <c r="J50" i="26"/>
  <c r="I50" i="26"/>
  <c r="H50" i="26"/>
  <c r="G50" i="26"/>
  <c r="F50" i="26"/>
  <c r="E50" i="26"/>
  <c r="D50" i="26"/>
  <c r="C50" i="26"/>
  <c r="L49" i="26"/>
  <c r="K49" i="26"/>
  <c r="J49" i="26"/>
  <c r="I49" i="26"/>
  <c r="H49" i="26"/>
  <c r="G49" i="26"/>
  <c r="F49" i="26"/>
  <c r="E49" i="26"/>
  <c r="D49" i="26"/>
  <c r="C49" i="26"/>
  <c r="L48" i="26"/>
  <c r="K48" i="26"/>
  <c r="J48" i="26"/>
  <c r="I48" i="26"/>
  <c r="H48" i="26"/>
  <c r="G48" i="26"/>
  <c r="F48" i="26"/>
  <c r="E48" i="26"/>
  <c r="D48" i="26"/>
  <c r="C48" i="26"/>
  <c r="L47" i="26"/>
  <c r="K47" i="26"/>
  <c r="J47" i="26"/>
  <c r="I47" i="26"/>
  <c r="H47" i="26"/>
  <c r="G47" i="26"/>
  <c r="F47" i="26"/>
  <c r="E47" i="26"/>
  <c r="D47" i="26"/>
  <c r="C47" i="26"/>
  <c r="L46" i="26"/>
  <c r="K46" i="26"/>
  <c r="J46" i="26"/>
  <c r="I46" i="26"/>
  <c r="H46" i="26"/>
  <c r="G46" i="26"/>
  <c r="F46" i="26"/>
  <c r="E46" i="26"/>
  <c r="D46" i="26"/>
  <c r="C46" i="26"/>
  <c r="L45" i="26"/>
  <c r="K45" i="26"/>
  <c r="J45" i="26"/>
  <c r="I45" i="26"/>
  <c r="H45" i="26"/>
  <c r="G45" i="26"/>
  <c r="F45" i="26"/>
  <c r="E45" i="26"/>
  <c r="D45" i="26"/>
  <c r="C45" i="26"/>
  <c r="L44" i="26"/>
  <c r="K44" i="26"/>
  <c r="J44" i="26"/>
  <c r="I44" i="26"/>
  <c r="H44" i="26"/>
  <c r="G44" i="26"/>
  <c r="F44" i="26"/>
  <c r="E44" i="26"/>
  <c r="D44" i="26"/>
  <c r="C44" i="26"/>
  <c r="L43" i="26"/>
  <c r="K43" i="26"/>
  <c r="J43" i="26"/>
  <c r="I43" i="26"/>
  <c r="H43" i="26"/>
  <c r="G43" i="26"/>
  <c r="F43" i="26"/>
  <c r="E43" i="26"/>
  <c r="D43" i="26"/>
  <c r="C43" i="26"/>
  <c r="L42" i="26"/>
  <c r="K42" i="26"/>
  <c r="J42" i="26"/>
  <c r="I42" i="26"/>
  <c r="H42" i="26"/>
  <c r="G42" i="26"/>
  <c r="F42" i="26"/>
  <c r="E42" i="26"/>
  <c r="D42" i="26"/>
  <c r="C42" i="26"/>
  <c r="L41" i="26"/>
  <c r="K41" i="26"/>
  <c r="J41" i="26"/>
  <c r="I41" i="26"/>
  <c r="H41" i="26"/>
  <c r="G41" i="26"/>
  <c r="F41" i="26"/>
  <c r="E41" i="26"/>
  <c r="D41" i="26"/>
  <c r="C41" i="26"/>
  <c r="L40" i="26"/>
  <c r="K40" i="26"/>
  <c r="J40" i="26"/>
  <c r="I40" i="26"/>
  <c r="H40" i="26"/>
  <c r="G40" i="26"/>
  <c r="F40" i="26"/>
  <c r="E40" i="26"/>
  <c r="D40" i="26"/>
  <c r="C40" i="26"/>
  <c r="L39" i="26"/>
  <c r="K39" i="26"/>
  <c r="J39" i="26"/>
  <c r="I39" i="26"/>
  <c r="H39" i="26"/>
  <c r="G39" i="26"/>
  <c r="F39" i="26"/>
  <c r="E39" i="26"/>
  <c r="D39" i="26"/>
  <c r="C39" i="26"/>
  <c r="L38" i="26"/>
  <c r="K38" i="26"/>
  <c r="J38" i="26"/>
  <c r="I38" i="26"/>
  <c r="H38" i="26"/>
  <c r="G38" i="26"/>
  <c r="F38" i="26"/>
  <c r="E38" i="26"/>
  <c r="D38" i="26"/>
  <c r="C38" i="26"/>
  <c r="L37" i="26"/>
  <c r="K37" i="26"/>
  <c r="J37" i="26"/>
  <c r="I37" i="26"/>
  <c r="H37" i="26"/>
  <c r="G37" i="26"/>
  <c r="F37" i="26"/>
  <c r="E37" i="26"/>
  <c r="D37" i="26"/>
  <c r="C37" i="26"/>
  <c r="L36" i="26"/>
  <c r="K36" i="26"/>
  <c r="J36" i="26"/>
  <c r="I36" i="26"/>
  <c r="H36" i="26"/>
  <c r="G36" i="26"/>
  <c r="F36" i="26"/>
  <c r="E36" i="26"/>
  <c r="D36" i="26"/>
  <c r="C36" i="26"/>
  <c r="L35" i="26"/>
  <c r="K35" i="26"/>
  <c r="J35" i="26"/>
  <c r="I35" i="26"/>
  <c r="H35" i="26"/>
  <c r="G35" i="26"/>
  <c r="F35" i="26"/>
  <c r="E35" i="26"/>
  <c r="D35" i="26"/>
  <c r="C35" i="26"/>
  <c r="L34" i="26"/>
  <c r="K34" i="26"/>
  <c r="J34" i="26"/>
  <c r="I34" i="26"/>
  <c r="H34" i="26"/>
  <c r="G34" i="26"/>
  <c r="F34" i="26"/>
  <c r="E34" i="26"/>
  <c r="D34" i="26"/>
  <c r="C34" i="26"/>
  <c r="L33" i="26"/>
  <c r="K33" i="26"/>
  <c r="J33" i="26"/>
  <c r="I33" i="26"/>
  <c r="H33" i="26"/>
  <c r="G33" i="26"/>
  <c r="F33" i="26"/>
  <c r="E33" i="26"/>
  <c r="D33" i="26"/>
  <c r="C33" i="26"/>
  <c r="L32" i="26"/>
  <c r="K32" i="26"/>
  <c r="J32" i="26"/>
  <c r="I32" i="26"/>
  <c r="H32" i="26"/>
  <c r="G32" i="26"/>
  <c r="F32" i="26"/>
  <c r="E32" i="26"/>
  <c r="D32" i="26"/>
  <c r="C32" i="26"/>
  <c r="L31" i="26"/>
  <c r="K31" i="26"/>
  <c r="J31" i="26"/>
  <c r="I31" i="26"/>
  <c r="H31" i="26"/>
  <c r="G31" i="26"/>
  <c r="F31" i="26"/>
  <c r="E31" i="26"/>
  <c r="D31" i="26"/>
  <c r="C31" i="26"/>
  <c r="L30" i="26"/>
  <c r="K30" i="26"/>
  <c r="J30" i="26"/>
  <c r="I30" i="26"/>
  <c r="H30" i="26"/>
  <c r="G30" i="26"/>
  <c r="F30" i="26"/>
  <c r="E30" i="26"/>
  <c r="D30" i="26"/>
  <c r="C30" i="26"/>
  <c r="L29" i="26"/>
  <c r="K29" i="26"/>
  <c r="J29" i="26"/>
  <c r="I29" i="26"/>
  <c r="H29" i="26"/>
  <c r="G29" i="26"/>
  <c r="F29" i="26"/>
  <c r="E29" i="26"/>
  <c r="D29" i="26"/>
  <c r="C29" i="26"/>
  <c r="L28" i="26"/>
  <c r="K28" i="26"/>
  <c r="J28" i="26"/>
  <c r="I28" i="26"/>
  <c r="H28" i="26"/>
  <c r="G28" i="26"/>
  <c r="F28" i="26"/>
  <c r="E28" i="26"/>
  <c r="D28" i="26"/>
  <c r="C28" i="26"/>
  <c r="L27" i="26"/>
  <c r="K27" i="26"/>
  <c r="J27" i="26"/>
  <c r="I27" i="26"/>
  <c r="H27" i="26"/>
  <c r="G27" i="26"/>
  <c r="F27" i="26"/>
  <c r="E27" i="26"/>
  <c r="D27" i="26"/>
  <c r="C27" i="26"/>
  <c r="L26" i="26"/>
  <c r="K26" i="26"/>
  <c r="J26" i="26"/>
  <c r="I26" i="26"/>
  <c r="H26" i="26"/>
  <c r="G26" i="26"/>
  <c r="F26" i="26"/>
  <c r="E26" i="26"/>
  <c r="D26" i="26"/>
  <c r="C26" i="26"/>
  <c r="L25" i="26"/>
  <c r="K25" i="26"/>
  <c r="J25" i="26"/>
  <c r="I25" i="26"/>
  <c r="H25" i="26"/>
  <c r="G25" i="26"/>
  <c r="F25" i="26"/>
  <c r="E25" i="26"/>
  <c r="D25" i="26"/>
  <c r="C25" i="26"/>
  <c r="L24" i="26"/>
  <c r="K24" i="26"/>
  <c r="J24" i="26"/>
  <c r="I24" i="26"/>
  <c r="H24" i="26"/>
  <c r="G24" i="26"/>
  <c r="F24" i="26"/>
  <c r="E24" i="26"/>
  <c r="D24" i="26"/>
  <c r="C24" i="26"/>
  <c r="L23" i="26"/>
  <c r="K23" i="26"/>
  <c r="J23" i="26"/>
  <c r="I23" i="26"/>
  <c r="H23" i="26"/>
  <c r="G23" i="26"/>
  <c r="F23" i="26"/>
  <c r="E23" i="26"/>
  <c r="D23" i="26"/>
  <c r="C23" i="26"/>
  <c r="L22" i="26"/>
  <c r="K22" i="26"/>
  <c r="J22" i="26"/>
  <c r="I22" i="26"/>
  <c r="H22" i="26"/>
  <c r="G22" i="26"/>
  <c r="F22" i="26"/>
  <c r="E22" i="26"/>
  <c r="D22" i="26"/>
  <c r="C22" i="26"/>
  <c r="L21" i="26"/>
  <c r="K21" i="26"/>
  <c r="J21" i="26"/>
  <c r="I21" i="26"/>
  <c r="H21" i="26"/>
  <c r="G21" i="26"/>
  <c r="F21" i="26"/>
  <c r="E21" i="26"/>
  <c r="D21" i="26"/>
  <c r="C21" i="26"/>
  <c r="L20" i="26"/>
  <c r="K20" i="26"/>
  <c r="J20" i="26"/>
  <c r="I20" i="26"/>
  <c r="H20" i="26"/>
  <c r="G20" i="26"/>
  <c r="F20" i="26"/>
  <c r="E20" i="26"/>
  <c r="D20" i="26"/>
  <c r="C20" i="26"/>
  <c r="L19" i="26"/>
  <c r="K19" i="26"/>
  <c r="J19" i="26"/>
  <c r="I19" i="26"/>
  <c r="H19" i="26"/>
  <c r="G19" i="26"/>
  <c r="F19" i="26"/>
  <c r="E19" i="26"/>
  <c r="D19" i="26"/>
  <c r="C19" i="26"/>
  <c r="L18" i="26"/>
  <c r="K18" i="26"/>
  <c r="J18" i="26"/>
  <c r="I18" i="26"/>
  <c r="H18" i="26"/>
  <c r="G18" i="26"/>
  <c r="F18" i="26"/>
  <c r="E18" i="26"/>
  <c r="D18" i="26"/>
  <c r="C18" i="26"/>
  <c r="L17" i="26"/>
  <c r="K17" i="26"/>
  <c r="J17" i="26"/>
  <c r="I17" i="26"/>
  <c r="H17" i="26"/>
  <c r="G17" i="26"/>
  <c r="F17" i="26"/>
  <c r="E17" i="26"/>
  <c r="D17" i="26"/>
  <c r="C17" i="26"/>
  <c r="L16" i="26"/>
  <c r="K16" i="26"/>
  <c r="J16" i="26"/>
  <c r="I16" i="26"/>
  <c r="H16" i="26"/>
  <c r="G16" i="26"/>
  <c r="F16" i="26"/>
  <c r="E16" i="26"/>
  <c r="D16" i="26"/>
  <c r="C16" i="26"/>
  <c r="L15" i="26"/>
  <c r="K15" i="26"/>
  <c r="J15" i="26"/>
  <c r="I15" i="26"/>
  <c r="H15" i="26"/>
  <c r="G15" i="26"/>
  <c r="F15" i="26"/>
  <c r="E15" i="26"/>
  <c r="D15" i="26"/>
  <c r="C15" i="26"/>
  <c r="L14" i="26"/>
  <c r="K14" i="26"/>
  <c r="J14" i="26"/>
  <c r="I14" i="26"/>
  <c r="H14" i="26"/>
  <c r="G14" i="26"/>
  <c r="F14" i="26"/>
  <c r="E14" i="26"/>
  <c r="D14" i="26"/>
  <c r="C14" i="26"/>
  <c r="L13" i="26"/>
  <c r="K13" i="26"/>
  <c r="J13" i="26"/>
  <c r="I13" i="26"/>
  <c r="H13" i="26"/>
  <c r="G13" i="26"/>
  <c r="F13" i="26"/>
  <c r="E13" i="26"/>
  <c r="D13" i="26"/>
  <c r="C13" i="26"/>
  <c r="L12" i="26"/>
  <c r="K12" i="26"/>
  <c r="J12" i="26"/>
  <c r="I12" i="26"/>
  <c r="H12" i="26"/>
  <c r="G12" i="26"/>
  <c r="F12" i="26"/>
  <c r="E12" i="26"/>
  <c r="D12" i="26"/>
  <c r="C12" i="26"/>
  <c r="L11" i="26"/>
  <c r="K11" i="26"/>
  <c r="J11" i="26"/>
  <c r="I11" i="26"/>
  <c r="H11" i="26"/>
  <c r="G11" i="26"/>
  <c r="F11" i="26"/>
  <c r="E11" i="26"/>
  <c r="D11" i="26"/>
  <c r="C11" i="26"/>
  <c r="L10" i="26"/>
  <c r="K10" i="26"/>
  <c r="J10" i="26"/>
  <c r="I10" i="26"/>
  <c r="H10" i="26"/>
  <c r="G10" i="26"/>
  <c r="F10" i="26"/>
  <c r="E10" i="26"/>
  <c r="D10" i="26"/>
  <c r="C10" i="26"/>
  <c r="L9" i="26"/>
  <c r="K9" i="26"/>
  <c r="J9" i="26"/>
  <c r="I9" i="26"/>
  <c r="H9" i="26"/>
  <c r="G9" i="26"/>
  <c r="F9" i="26"/>
  <c r="E9" i="26"/>
  <c r="D9" i="26"/>
  <c r="C9" i="26"/>
  <c r="L8" i="26"/>
  <c r="K8" i="26"/>
  <c r="J8" i="26"/>
  <c r="I8" i="26"/>
  <c r="H8" i="26"/>
  <c r="G8" i="26"/>
  <c r="F8" i="26"/>
  <c r="E8" i="26"/>
  <c r="D8" i="26"/>
  <c r="C8" i="26"/>
  <c r="L7" i="26"/>
  <c r="K7" i="26"/>
  <c r="J7" i="26"/>
  <c r="I7" i="26"/>
  <c r="H7" i="26"/>
  <c r="G7" i="26"/>
  <c r="F7" i="26"/>
  <c r="E7" i="26"/>
  <c r="D7" i="26"/>
  <c r="C7" i="26"/>
  <c r="AL92" i="26"/>
  <c r="AK92" i="26"/>
  <c r="Z92" i="26"/>
  <c r="Y92" i="26"/>
  <c r="N92" i="26"/>
  <c r="M92" i="26"/>
  <c r="AL91" i="26"/>
  <c r="AK91" i="26"/>
  <c r="Z91" i="26"/>
  <c r="Y91" i="26"/>
  <c r="N91" i="26"/>
  <c r="M91" i="26"/>
  <c r="AL90" i="26"/>
  <c r="AK90" i="26"/>
  <c r="Z90" i="26"/>
  <c r="Y90" i="26"/>
  <c r="N90" i="26"/>
  <c r="M90" i="26"/>
  <c r="AL89" i="26"/>
  <c r="AK89" i="26"/>
  <c r="Z89" i="26"/>
  <c r="Y89" i="26"/>
  <c r="N89" i="26"/>
  <c r="M89" i="26"/>
  <c r="AL88" i="26"/>
  <c r="AK88" i="26"/>
  <c r="Z88" i="26"/>
  <c r="Y88" i="26"/>
  <c r="N88" i="26"/>
  <c r="M88" i="26"/>
  <c r="AL87" i="26"/>
  <c r="AK87" i="26"/>
  <c r="Z87" i="26"/>
  <c r="Y87" i="26"/>
  <c r="N87" i="26"/>
  <c r="M87" i="26"/>
  <c r="AL86" i="26"/>
  <c r="AK86" i="26"/>
  <c r="Z86" i="26"/>
  <c r="Y86" i="26"/>
  <c r="N86" i="26"/>
  <c r="M86" i="26"/>
  <c r="AL85" i="26"/>
  <c r="AK85" i="26"/>
  <c r="Z85" i="26"/>
  <c r="Y85" i="26"/>
  <c r="N85" i="26"/>
  <c r="M85" i="26"/>
  <c r="AL79" i="26"/>
  <c r="AK79" i="26"/>
  <c r="Z79" i="26"/>
  <c r="Y79" i="26"/>
  <c r="N79" i="26"/>
  <c r="M79" i="26"/>
  <c r="AL78" i="26"/>
  <c r="AK78" i="26"/>
  <c r="Z78" i="26"/>
  <c r="Y78" i="26"/>
  <c r="N78" i="26"/>
  <c r="M78" i="26"/>
  <c r="AL77" i="26"/>
  <c r="AK77" i="26"/>
  <c r="Z77" i="26"/>
  <c r="Y77" i="26"/>
  <c r="N77" i="26"/>
  <c r="M77" i="26"/>
  <c r="AL76" i="26"/>
  <c r="AK76" i="26"/>
  <c r="Z76" i="26"/>
  <c r="Y76" i="26"/>
  <c r="N76" i="26"/>
  <c r="M76" i="26"/>
  <c r="AL75" i="26"/>
  <c r="AK75" i="26"/>
  <c r="Z75" i="26"/>
  <c r="Y75" i="26"/>
  <c r="N75" i="26"/>
  <c r="M75" i="26"/>
  <c r="AL74" i="26"/>
  <c r="AK74" i="26"/>
  <c r="Z74" i="26"/>
  <c r="Y74" i="26"/>
  <c r="N74" i="26"/>
  <c r="M74" i="26"/>
  <c r="AL73" i="26"/>
  <c r="AK73" i="26"/>
  <c r="Z73" i="26"/>
  <c r="Y73" i="26"/>
  <c r="N73" i="26"/>
  <c r="M73" i="26"/>
  <c r="AL72" i="26"/>
  <c r="AK72" i="26"/>
  <c r="Z72" i="26"/>
  <c r="Y72" i="26"/>
  <c r="N72" i="26"/>
  <c r="M72" i="26"/>
  <c r="AL71" i="26"/>
  <c r="AK71" i="26"/>
  <c r="Z71" i="26"/>
  <c r="Y71" i="26"/>
  <c r="N71" i="26"/>
  <c r="M71" i="26"/>
  <c r="AL70" i="26"/>
  <c r="AK70" i="26"/>
  <c r="Z70" i="26"/>
  <c r="Y70" i="26"/>
  <c r="N70" i="26"/>
  <c r="M70" i="26"/>
  <c r="AL69" i="26"/>
  <c r="AK69" i="26"/>
  <c r="Z69" i="26"/>
  <c r="Y69" i="26"/>
  <c r="N69" i="26"/>
  <c r="M69" i="26"/>
  <c r="AL68" i="26"/>
  <c r="AK68" i="26"/>
  <c r="Z68" i="26"/>
  <c r="Y68" i="26"/>
  <c r="N68" i="26"/>
  <c r="M68" i="26"/>
  <c r="AL67" i="26"/>
  <c r="AK67" i="26"/>
  <c r="Z67" i="26"/>
  <c r="Y67" i="26"/>
  <c r="N67" i="26"/>
  <c r="M67" i="26"/>
  <c r="AL66" i="26"/>
  <c r="AK66" i="26"/>
  <c r="Z66" i="26"/>
  <c r="Y66" i="26"/>
  <c r="N66" i="26"/>
  <c r="M66" i="26"/>
  <c r="AL65" i="26"/>
  <c r="AK65" i="26"/>
  <c r="Z65" i="26"/>
  <c r="Y65" i="26"/>
  <c r="N65" i="26"/>
  <c r="M65" i="26"/>
  <c r="AL64" i="26"/>
  <c r="AK64" i="26"/>
  <c r="Z64" i="26"/>
  <c r="Y64" i="26"/>
  <c r="N64" i="26"/>
  <c r="M64" i="26"/>
  <c r="AL63" i="26"/>
  <c r="AK63" i="26"/>
  <c r="Z63" i="26"/>
  <c r="Y63" i="26"/>
  <c r="N63" i="26"/>
  <c r="M63" i="26"/>
  <c r="AL62" i="26"/>
  <c r="AK62" i="26"/>
  <c r="Z62" i="26"/>
  <c r="Y62" i="26"/>
  <c r="N62" i="26"/>
  <c r="M62" i="26"/>
  <c r="AL61" i="26"/>
  <c r="AK61" i="26"/>
  <c r="Z61" i="26"/>
  <c r="Y61" i="26"/>
  <c r="N61" i="26"/>
  <c r="M61" i="26"/>
  <c r="AL60" i="26"/>
  <c r="AK60" i="26"/>
  <c r="Z60" i="26"/>
  <c r="Y60" i="26"/>
  <c r="N60" i="26"/>
  <c r="M60" i="26"/>
  <c r="AL59" i="26"/>
  <c r="AK59" i="26"/>
  <c r="Z59" i="26"/>
  <c r="Y59" i="26"/>
  <c r="N59" i="26"/>
  <c r="M59" i="26"/>
  <c r="AL58" i="26"/>
  <c r="AK58" i="26"/>
  <c r="Z58" i="26"/>
  <c r="Y58" i="26"/>
  <c r="N58" i="26"/>
  <c r="M58" i="26"/>
  <c r="AL57" i="26"/>
  <c r="AK57" i="26"/>
  <c r="Z57" i="26"/>
  <c r="Y57" i="26"/>
  <c r="N57" i="26"/>
  <c r="M57" i="26"/>
  <c r="AL56" i="26"/>
  <c r="AK56" i="26"/>
  <c r="Z56" i="26"/>
  <c r="Y56" i="26"/>
  <c r="N56" i="26"/>
  <c r="M56" i="26"/>
  <c r="AL55" i="26"/>
  <c r="AK55" i="26"/>
  <c r="Z55" i="26"/>
  <c r="Y55" i="26"/>
  <c r="N55" i="26"/>
  <c r="M55" i="26"/>
  <c r="AL54" i="26"/>
  <c r="AK54" i="26"/>
  <c r="Z54" i="26"/>
  <c r="Y54" i="26"/>
  <c r="N54" i="26"/>
  <c r="M54" i="26"/>
  <c r="AL53" i="26"/>
  <c r="AK53" i="26"/>
  <c r="Z53" i="26"/>
  <c r="Y53" i="26"/>
  <c r="N53" i="26"/>
  <c r="M53" i="26"/>
  <c r="AL52" i="26"/>
  <c r="AK52" i="26"/>
  <c r="Z52" i="26"/>
  <c r="Y52" i="26"/>
  <c r="N52" i="26"/>
  <c r="M52" i="26"/>
  <c r="AL51" i="26"/>
  <c r="AK51" i="26"/>
  <c r="Z51" i="26"/>
  <c r="Y51" i="26"/>
  <c r="N51" i="26"/>
  <c r="M51" i="26"/>
  <c r="AL50" i="26"/>
  <c r="AK50" i="26"/>
  <c r="Z50" i="26"/>
  <c r="Y50" i="26"/>
  <c r="N50" i="26"/>
  <c r="M50" i="26"/>
  <c r="AL49" i="26"/>
  <c r="AK49" i="26"/>
  <c r="Z49" i="26"/>
  <c r="Y49" i="26"/>
  <c r="N49" i="26"/>
  <c r="M49" i="26"/>
  <c r="AL48" i="26"/>
  <c r="AK48" i="26"/>
  <c r="Z48" i="26"/>
  <c r="Y48" i="26"/>
  <c r="N48" i="26"/>
  <c r="M48" i="26"/>
  <c r="AL47" i="26"/>
  <c r="AK47" i="26"/>
  <c r="Z47" i="26"/>
  <c r="Y47" i="26"/>
  <c r="N47" i="26"/>
  <c r="M47" i="26"/>
  <c r="AL46" i="26"/>
  <c r="AK46" i="26"/>
  <c r="Z46" i="26"/>
  <c r="Y46" i="26"/>
  <c r="N46" i="26"/>
  <c r="M46" i="26"/>
  <c r="AL45" i="26"/>
  <c r="AK45" i="26"/>
  <c r="Z45" i="26"/>
  <c r="Y45" i="26"/>
  <c r="N45" i="26"/>
  <c r="M45" i="26"/>
  <c r="AL44" i="26"/>
  <c r="AK44" i="26"/>
  <c r="Z44" i="26"/>
  <c r="Y44" i="26"/>
  <c r="N44" i="26"/>
  <c r="M44" i="26"/>
  <c r="AL43" i="26"/>
  <c r="AK43" i="26"/>
  <c r="Z43" i="26"/>
  <c r="Y43" i="26"/>
  <c r="N43" i="26"/>
  <c r="M43" i="26"/>
  <c r="AL42" i="26"/>
  <c r="AK42" i="26"/>
  <c r="Z42" i="26"/>
  <c r="Y42" i="26"/>
  <c r="N42" i="26"/>
  <c r="M42" i="26"/>
  <c r="AL41" i="26"/>
  <c r="AK41" i="26"/>
  <c r="Z41" i="26"/>
  <c r="Y41" i="26"/>
  <c r="N41" i="26"/>
  <c r="M41" i="26"/>
  <c r="AL40" i="26"/>
  <c r="AK40" i="26"/>
  <c r="Z40" i="26"/>
  <c r="Y40" i="26"/>
  <c r="N40" i="26"/>
  <c r="M40" i="26"/>
  <c r="AL39" i="26"/>
  <c r="AK39" i="26"/>
  <c r="Z39" i="26"/>
  <c r="Y39" i="26"/>
  <c r="N39" i="26"/>
  <c r="M39" i="26"/>
  <c r="AL38" i="26"/>
  <c r="AK38" i="26"/>
  <c r="Z38" i="26"/>
  <c r="Y38" i="26"/>
  <c r="N38" i="26"/>
  <c r="M38" i="26"/>
  <c r="AL37" i="26"/>
  <c r="AK37" i="26"/>
  <c r="Z37" i="26"/>
  <c r="Y37" i="26"/>
  <c r="N37" i="26"/>
  <c r="M37" i="26"/>
  <c r="AL36" i="26"/>
  <c r="AK36" i="26"/>
  <c r="Z36" i="26"/>
  <c r="Y36" i="26"/>
  <c r="N36" i="26"/>
  <c r="M36" i="26"/>
  <c r="AL35" i="26"/>
  <c r="AK35" i="26"/>
  <c r="Z35" i="26"/>
  <c r="Y35" i="26"/>
  <c r="N35" i="26"/>
  <c r="M35" i="26"/>
  <c r="AL34" i="26"/>
  <c r="AK34" i="26"/>
  <c r="Z34" i="26"/>
  <c r="Y34" i="26"/>
  <c r="N34" i="26"/>
  <c r="M34" i="26"/>
  <c r="AL33" i="26"/>
  <c r="AK33" i="26"/>
  <c r="Z33" i="26"/>
  <c r="Y33" i="26"/>
  <c r="N33" i="26"/>
  <c r="M33" i="26"/>
  <c r="AL32" i="26"/>
  <c r="AK32" i="26"/>
  <c r="Z32" i="26"/>
  <c r="Y32" i="26"/>
  <c r="N32" i="26"/>
  <c r="M32" i="26"/>
  <c r="AL31" i="26"/>
  <c r="AK31" i="26"/>
  <c r="Z31" i="26"/>
  <c r="Y31" i="26"/>
  <c r="N31" i="26"/>
  <c r="M31" i="26"/>
  <c r="AL30" i="26"/>
  <c r="AK30" i="26"/>
  <c r="Z30" i="26"/>
  <c r="Y30" i="26"/>
  <c r="N30" i="26"/>
  <c r="M30" i="26"/>
  <c r="AL29" i="26"/>
  <c r="AK29" i="26"/>
  <c r="Z29" i="26"/>
  <c r="Y29" i="26"/>
  <c r="N29" i="26"/>
  <c r="M29" i="26"/>
  <c r="AL28" i="26"/>
  <c r="AK28" i="26"/>
  <c r="Z28" i="26"/>
  <c r="Y28" i="26"/>
  <c r="N28" i="26"/>
  <c r="M28" i="26"/>
  <c r="AL27" i="26"/>
  <c r="AK27" i="26"/>
  <c r="Z27" i="26"/>
  <c r="Y27" i="26"/>
  <c r="N27" i="26"/>
  <c r="M27" i="26"/>
  <c r="AL26" i="26"/>
  <c r="AK26" i="26"/>
  <c r="Z26" i="26"/>
  <c r="Y26" i="26"/>
  <c r="N26" i="26"/>
  <c r="M26" i="26"/>
  <c r="AL25" i="26"/>
  <c r="AK25" i="26"/>
  <c r="Z25" i="26"/>
  <c r="Y25" i="26"/>
  <c r="N25" i="26"/>
  <c r="M25" i="26"/>
  <c r="AL24" i="26"/>
  <c r="AK24" i="26"/>
  <c r="Z24" i="26"/>
  <c r="Y24" i="26"/>
  <c r="N24" i="26"/>
  <c r="M24" i="26"/>
  <c r="AL23" i="26"/>
  <c r="AK23" i="26"/>
  <c r="Z23" i="26"/>
  <c r="Y23" i="26"/>
  <c r="N23" i="26"/>
  <c r="M23" i="26"/>
  <c r="AL22" i="26"/>
  <c r="AK22" i="26"/>
  <c r="Z22" i="26"/>
  <c r="Y22" i="26"/>
  <c r="N22" i="26"/>
  <c r="M22" i="26"/>
  <c r="AL21" i="26"/>
  <c r="AK21" i="26"/>
  <c r="Z21" i="26"/>
  <c r="Y21" i="26"/>
  <c r="N21" i="26"/>
  <c r="M21" i="26"/>
  <c r="AL20" i="26"/>
  <c r="AK20" i="26"/>
  <c r="Z20" i="26"/>
  <c r="Y20" i="26"/>
  <c r="N20" i="26"/>
  <c r="M20" i="26"/>
  <c r="AL19" i="26"/>
  <c r="AK19" i="26"/>
  <c r="Z19" i="26"/>
  <c r="Y19" i="26"/>
  <c r="N19" i="26"/>
  <c r="M19" i="26"/>
  <c r="AL18" i="26"/>
  <c r="AK18" i="26"/>
  <c r="Z18" i="26"/>
  <c r="Y18" i="26"/>
  <c r="N18" i="26"/>
  <c r="M18" i="26"/>
  <c r="AL17" i="26"/>
  <c r="AK17" i="26"/>
  <c r="Z17" i="26"/>
  <c r="Y17" i="26"/>
  <c r="N17" i="26"/>
  <c r="M17" i="26"/>
  <c r="AL16" i="26"/>
  <c r="AK16" i="26"/>
  <c r="Z16" i="26"/>
  <c r="Y16" i="26"/>
  <c r="N16" i="26"/>
  <c r="M16" i="26"/>
  <c r="AL15" i="26"/>
  <c r="AK15" i="26"/>
  <c r="Z15" i="26"/>
  <c r="Y15" i="26"/>
  <c r="N15" i="26"/>
  <c r="M15" i="26"/>
  <c r="AL14" i="26"/>
  <c r="AK14" i="26"/>
  <c r="Z14" i="26"/>
  <c r="Y14" i="26"/>
  <c r="N14" i="26"/>
  <c r="M14" i="26"/>
  <c r="AL13" i="26"/>
  <c r="AK13" i="26"/>
  <c r="Z13" i="26"/>
  <c r="Y13" i="26"/>
  <c r="N13" i="26"/>
  <c r="M13" i="26"/>
  <c r="AL12" i="26"/>
  <c r="AK12" i="26"/>
  <c r="Z12" i="26"/>
  <c r="Y12" i="26"/>
  <c r="N12" i="26"/>
  <c r="M12" i="26"/>
  <c r="AL11" i="26"/>
  <c r="AK11" i="26"/>
  <c r="Z11" i="26"/>
  <c r="Y11" i="26"/>
  <c r="N11" i="26"/>
  <c r="M11" i="26"/>
  <c r="AL10" i="26"/>
  <c r="AK10" i="26"/>
  <c r="Z10" i="26"/>
  <c r="Y10" i="26"/>
  <c r="N10" i="26"/>
  <c r="M10" i="26"/>
  <c r="N9" i="26"/>
  <c r="M9" i="26"/>
  <c r="AN8" i="26"/>
  <c r="AL8" i="26"/>
  <c r="AK8" i="26"/>
  <c r="Z8" i="26"/>
  <c r="Y8" i="26"/>
  <c r="N8" i="26"/>
  <c r="M8" i="26"/>
  <c r="AL7" i="26"/>
  <c r="AK7" i="26"/>
  <c r="Z7" i="26"/>
  <c r="Y7" i="26"/>
  <c r="N7" i="26"/>
  <c r="M7" i="26"/>
  <c r="AL87" i="2"/>
  <c r="AK87" i="2"/>
  <c r="AL86" i="2"/>
  <c r="AK86" i="2"/>
  <c r="AL85" i="2"/>
  <c r="AK85" i="2"/>
  <c r="AL84" i="2"/>
  <c r="AK84" i="2"/>
  <c r="AL83" i="2"/>
  <c r="AK83" i="2"/>
  <c r="AL82" i="2"/>
  <c r="AK82" i="2"/>
  <c r="AL81" i="2"/>
  <c r="AK81" i="2"/>
  <c r="AL80" i="2"/>
  <c r="AK80" i="2"/>
  <c r="AL74" i="2"/>
  <c r="AK74" i="2"/>
  <c r="AL73" i="2"/>
  <c r="AK73" i="2"/>
  <c r="AL72" i="2"/>
  <c r="AK72" i="2"/>
  <c r="AL71" i="2"/>
  <c r="AK71" i="2"/>
  <c r="AL70" i="2"/>
  <c r="AK70" i="2"/>
  <c r="AL69" i="2"/>
  <c r="AK69" i="2"/>
  <c r="AL68" i="2"/>
  <c r="AK68" i="2"/>
  <c r="AL67" i="2"/>
  <c r="AK67" i="2"/>
  <c r="AL66" i="2"/>
  <c r="AK66" i="2"/>
  <c r="AL65" i="2"/>
  <c r="AK65" i="2"/>
  <c r="AL64" i="2"/>
  <c r="AK64" i="2"/>
  <c r="AL63" i="2"/>
  <c r="AK63" i="2"/>
  <c r="AL62" i="2"/>
  <c r="AK62" i="2"/>
  <c r="AL61" i="2"/>
  <c r="AK61" i="2"/>
  <c r="AL60" i="2"/>
  <c r="AK60" i="2"/>
  <c r="AL89" i="2"/>
  <c r="AK89" i="2"/>
  <c r="AL88" i="2"/>
  <c r="AK88" i="2"/>
  <c r="AL59" i="2"/>
  <c r="AK59" i="2"/>
  <c r="AL58" i="2"/>
  <c r="AK58" i="2"/>
  <c r="AL57" i="2"/>
  <c r="AK57" i="2"/>
  <c r="AL56" i="2"/>
  <c r="AK56" i="2"/>
  <c r="AL55" i="2"/>
  <c r="AK55" i="2"/>
  <c r="AL54" i="2"/>
  <c r="AK54" i="2"/>
  <c r="AL53" i="2"/>
  <c r="AK53" i="2"/>
  <c r="AL52" i="2"/>
  <c r="AK52" i="2"/>
  <c r="AL51" i="2"/>
  <c r="AK51" i="2"/>
  <c r="AL50" i="2"/>
  <c r="AK50" i="2"/>
  <c r="AL49" i="2"/>
  <c r="AK49" i="2"/>
  <c r="AL48" i="2"/>
  <c r="AK48" i="2"/>
  <c r="AL47" i="2"/>
  <c r="AK47" i="2"/>
  <c r="AL46" i="2"/>
  <c r="AK46" i="2"/>
  <c r="AL45" i="2"/>
  <c r="AK45" i="2"/>
  <c r="AL44" i="2"/>
  <c r="AK44" i="2"/>
  <c r="AL43" i="2"/>
  <c r="AK43" i="2"/>
  <c r="AL42" i="2"/>
  <c r="AK42" i="2"/>
  <c r="AL41" i="2"/>
  <c r="AK41" i="2"/>
  <c r="AL40" i="2"/>
  <c r="AK40" i="2"/>
  <c r="AL39" i="2"/>
  <c r="AK39" i="2"/>
  <c r="AL38" i="2"/>
  <c r="AK38" i="2"/>
  <c r="AL37" i="2"/>
  <c r="AK37" i="2"/>
  <c r="AL36" i="2"/>
  <c r="AK36" i="2"/>
  <c r="AL35" i="2"/>
  <c r="AK35" i="2"/>
  <c r="AL34" i="2"/>
  <c r="AK34" i="2"/>
  <c r="AL33" i="2"/>
  <c r="AK33" i="2"/>
  <c r="AL32" i="2"/>
  <c r="AK32" i="2"/>
  <c r="AL31" i="2"/>
  <c r="AK31" i="2"/>
  <c r="AL30" i="2"/>
  <c r="AK30" i="2"/>
  <c r="AL29" i="2"/>
  <c r="AK29" i="2"/>
  <c r="AL28" i="2"/>
  <c r="AK28" i="2"/>
  <c r="AL27" i="2"/>
  <c r="AK27" i="2"/>
  <c r="AL26" i="2"/>
  <c r="AK26" i="2"/>
  <c r="AL25" i="2"/>
  <c r="AK25" i="2"/>
  <c r="AL23" i="2"/>
  <c r="AK23" i="2"/>
  <c r="AL22" i="2"/>
  <c r="AK22" i="2"/>
  <c r="AL24" i="2"/>
  <c r="AK24" i="2"/>
  <c r="AL21" i="2"/>
  <c r="AK21" i="2"/>
  <c r="AL20" i="2"/>
  <c r="AK20" i="2"/>
  <c r="AL19" i="2"/>
  <c r="AK19" i="2"/>
  <c r="AL18" i="2"/>
  <c r="AK18" i="2"/>
  <c r="AL17" i="2"/>
  <c r="AK17" i="2"/>
  <c r="AL16" i="2"/>
  <c r="AK16" i="2"/>
  <c r="AL15" i="2"/>
  <c r="AK15" i="2"/>
  <c r="AL14" i="2"/>
  <c r="AK14" i="2"/>
  <c r="AL13" i="2"/>
  <c r="AK13" i="2"/>
  <c r="AL12" i="2"/>
  <c r="AK12" i="2"/>
  <c r="AL90" i="2"/>
  <c r="AK90" i="2"/>
  <c r="AL11" i="2"/>
  <c r="AK11" i="2"/>
  <c r="AL10" i="2"/>
  <c r="AK10" i="2"/>
  <c r="AL9" i="2"/>
  <c r="AK9" i="2"/>
  <c r="AL8" i="2"/>
  <c r="AK8" i="2"/>
  <c r="AL7" i="2"/>
  <c r="AK7" i="2"/>
  <c r="AL92" i="2"/>
  <c r="AK92" i="2"/>
  <c r="F58" i="35" l="1"/>
  <c r="C91" i="2" l="1"/>
  <c r="D91" i="2"/>
  <c r="E91" i="2"/>
  <c r="F91" i="2"/>
  <c r="G91" i="2"/>
  <c r="H91" i="2"/>
  <c r="I91" i="2"/>
  <c r="J91" i="2"/>
  <c r="K91" i="2"/>
  <c r="L91" i="2"/>
  <c r="M91" i="2"/>
  <c r="N91" i="2"/>
  <c r="K76" i="2"/>
  <c r="G76" i="2"/>
  <c r="C76" i="2"/>
  <c r="E7" i="2"/>
  <c r="F7" i="2"/>
  <c r="I7" i="2"/>
  <c r="J7" i="2"/>
  <c r="M7" i="2"/>
  <c r="N7" i="2"/>
  <c r="C8" i="2"/>
  <c r="D8" i="2"/>
  <c r="E8" i="2"/>
  <c r="F8" i="2"/>
  <c r="G8" i="2"/>
  <c r="H8" i="2"/>
  <c r="I8" i="2"/>
  <c r="J8" i="2"/>
  <c r="K8" i="2"/>
  <c r="L8" i="2"/>
  <c r="M8" i="2"/>
  <c r="N8" i="2"/>
  <c r="C9" i="2"/>
  <c r="D9" i="2"/>
  <c r="E9" i="2"/>
  <c r="F9" i="2"/>
  <c r="G9" i="2"/>
  <c r="H9" i="2"/>
  <c r="I9" i="2"/>
  <c r="J9" i="2"/>
  <c r="K9" i="2"/>
  <c r="L9" i="2"/>
  <c r="M9" i="2"/>
  <c r="N9" i="2"/>
  <c r="C10" i="2"/>
  <c r="D10" i="2"/>
  <c r="E10" i="2"/>
  <c r="F10" i="2"/>
  <c r="G10" i="2"/>
  <c r="H10" i="2"/>
  <c r="I10" i="2"/>
  <c r="J10" i="2"/>
  <c r="K10" i="2"/>
  <c r="L10" i="2"/>
  <c r="M10" i="2"/>
  <c r="N10" i="2"/>
  <c r="C11" i="2"/>
  <c r="D11" i="2"/>
  <c r="E11" i="2"/>
  <c r="F11" i="2"/>
  <c r="G11" i="2"/>
  <c r="H11" i="2"/>
  <c r="I11" i="2"/>
  <c r="J11" i="2"/>
  <c r="K11" i="2"/>
  <c r="L11" i="2"/>
  <c r="M11" i="2"/>
  <c r="N11" i="2"/>
  <c r="C90" i="2"/>
  <c r="D90" i="2"/>
  <c r="E90" i="2"/>
  <c r="F90" i="2"/>
  <c r="G90" i="2"/>
  <c r="H90" i="2"/>
  <c r="I90" i="2"/>
  <c r="J90" i="2"/>
  <c r="K90" i="2"/>
  <c r="L90" i="2"/>
  <c r="M90" i="2"/>
  <c r="N90" i="2"/>
  <c r="C12" i="2"/>
  <c r="D12" i="2"/>
  <c r="E12" i="2"/>
  <c r="F12" i="2"/>
  <c r="G12" i="2"/>
  <c r="H12" i="2"/>
  <c r="I12" i="2"/>
  <c r="J12" i="2"/>
  <c r="K12" i="2"/>
  <c r="L12" i="2"/>
  <c r="M12" i="2"/>
  <c r="N12" i="2"/>
  <c r="C13" i="2"/>
  <c r="D13" i="2"/>
  <c r="E13" i="2"/>
  <c r="F13" i="2"/>
  <c r="G13" i="2"/>
  <c r="H13" i="2"/>
  <c r="I13" i="2"/>
  <c r="J13" i="2"/>
  <c r="K13" i="2"/>
  <c r="L13" i="2"/>
  <c r="M13" i="2"/>
  <c r="N13" i="2"/>
  <c r="C14" i="2"/>
  <c r="D14" i="2"/>
  <c r="E14" i="2"/>
  <c r="F14" i="2"/>
  <c r="G14" i="2"/>
  <c r="H14" i="2"/>
  <c r="I14" i="2"/>
  <c r="J14" i="2"/>
  <c r="K14" i="2"/>
  <c r="L14" i="2"/>
  <c r="M14" i="2"/>
  <c r="N14" i="2"/>
  <c r="C15" i="2"/>
  <c r="D15" i="2"/>
  <c r="E15" i="2"/>
  <c r="F15" i="2"/>
  <c r="G15" i="2"/>
  <c r="H15" i="2"/>
  <c r="I15" i="2"/>
  <c r="J15" i="2"/>
  <c r="K15" i="2"/>
  <c r="L15" i="2"/>
  <c r="M15" i="2"/>
  <c r="N15" i="2"/>
  <c r="C16" i="2"/>
  <c r="D16" i="2"/>
  <c r="E16" i="2"/>
  <c r="F16" i="2"/>
  <c r="G16" i="2"/>
  <c r="H16" i="2"/>
  <c r="I16" i="2"/>
  <c r="J16" i="2"/>
  <c r="K16" i="2"/>
  <c r="L16" i="2"/>
  <c r="M16" i="2"/>
  <c r="N16" i="2"/>
  <c r="C17" i="2"/>
  <c r="D17" i="2"/>
  <c r="E17" i="2"/>
  <c r="F17" i="2"/>
  <c r="G17" i="2"/>
  <c r="H17" i="2"/>
  <c r="I17" i="2"/>
  <c r="J17" i="2"/>
  <c r="K17" i="2"/>
  <c r="L17" i="2"/>
  <c r="M17" i="2"/>
  <c r="N17" i="2"/>
  <c r="E18" i="2"/>
  <c r="F18" i="2"/>
  <c r="I18" i="2"/>
  <c r="J18" i="2"/>
  <c r="M18" i="2"/>
  <c r="N18" i="2"/>
  <c r="C19" i="2"/>
  <c r="D19" i="2"/>
  <c r="E19" i="2"/>
  <c r="F19" i="2"/>
  <c r="G19" i="2"/>
  <c r="H19" i="2"/>
  <c r="I19" i="2"/>
  <c r="J19" i="2"/>
  <c r="K19" i="2"/>
  <c r="L19" i="2"/>
  <c r="M19" i="2"/>
  <c r="N19" i="2"/>
  <c r="C20" i="2"/>
  <c r="D20" i="2"/>
  <c r="E20" i="2"/>
  <c r="F20" i="2"/>
  <c r="G20" i="2"/>
  <c r="H20" i="2"/>
  <c r="I20" i="2"/>
  <c r="J20" i="2"/>
  <c r="K20" i="2"/>
  <c r="L20" i="2"/>
  <c r="M20" i="2"/>
  <c r="N20" i="2"/>
  <c r="C21" i="2"/>
  <c r="D21" i="2"/>
  <c r="E21" i="2"/>
  <c r="F21" i="2"/>
  <c r="G21" i="2"/>
  <c r="H21" i="2"/>
  <c r="I21" i="2"/>
  <c r="J21" i="2"/>
  <c r="K21" i="2"/>
  <c r="L21" i="2"/>
  <c r="M21" i="2"/>
  <c r="N21" i="2"/>
  <c r="C24" i="2"/>
  <c r="D24" i="2"/>
  <c r="E24" i="2"/>
  <c r="F24" i="2"/>
  <c r="G24" i="2"/>
  <c r="H24" i="2"/>
  <c r="I24" i="2"/>
  <c r="J24" i="2"/>
  <c r="K24" i="2"/>
  <c r="L24" i="2"/>
  <c r="M24" i="2"/>
  <c r="N24" i="2"/>
  <c r="C22" i="2"/>
  <c r="D22" i="2"/>
  <c r="E22" i="2"/>
  <c r="F22" i="2"/>
  <c r="G22" i="2"/>
  <c r="H22" i="2"/>
  <c r="I22" i="2"/>
  <c r="J22" i="2"/>
  <c r="K22" i="2"/>
  <c r="L22" i="2"/>
  <c r="M22" i="2"/>
  <c r="N22" i="2"/>
  <c r="C23" i="2"/>
  <c r="D23" i="2"/>
  <c r="E23" i="2"/>
  <c r="F23" i="2"/>
  <c r="G23" i="2"/>
  <c r="H23" i="2"/>
  <c r="I23" i="2"/>
  <c r="J23" i="2"/>
  <c r="K23" i="2"/>
  <c r="L23" i="2"/>
  <c r="M23" i="2"/>
  <c r="N23" i="2"/>
  <c r="C25" i="2"/>
  <c r="D25" i="2"/>
  <c r="E25" i="2"/>
  <c r="F25" i="2"/>
  <c r="G25" i="2"/>
  <c r="H25" i="2"/>
  <c r="I25" i="2"/>
  <c r="J25" i="2"/>
  <c r="K25" i="2"/>
  <c r="L25" i="2"/>
  <c r="M25" i="2"/>
  <c r="N25" i="2"/>
  <c r="C26" i="2"/>
  <c r="D26" i="2"/>
  <c r="E26" i="2"/>
  <c r="F26" i="2"/>
  <c r="G26" i="2"/>
  <c r="H26" i="2"/>
  <c r="I26" i="2"/>
  <c r="J26" i="2"/>
  <c r="K26" i="2"/>
  <c r="L26" i="2"/>
  <c r="M26" i="2"/>
  <c r="N26" i="2"/>
  <c r="C27" i="2"/>
  <c r="D27" i="2"/>
  <c r="E27" i="2"/>
  <c r="F27" i="2"/>
  <c r="G27" i="2"/>
  <c r="H27" i="2"/>
  <c r="I27" i="2"/>
  <c r="J27" i="2"/>
  <c r="K27" i="2"/>
  <c r="L27" i="2"/>
  <c r="M27" i="2"/>
  <c r="N27" i="2"/>
  <c r="C28" i="2"/>
  <c r="D28" i="2"/>
  <c r="E28" i="2"/>
  <c r="F28" i="2"/>
  <c r="G28" i="2"/>
  <c r="H28" i="2"/>
  <c r="I28" i="2"/>
  <c r="J28" i="2"/>
  <c r="K28" i="2"/>
  <c r="L28" i="2"/>
  <c r="M28" i="2"/>
  <c r="N28" i="2"/>
  <c r="C29" i="2"/>
  <c r="D29" i="2"/>
  <c r="E29" i="2"/>
  <c r="F29" i="2"/>
  <c r="G29" i="2"/>
  <c r="H29" i="2"/>
  <c r="I29" i="2"/>
  <c r="J29" i="2"/>
  <c r="K29" i="2"/>
  <c r="L29" i="2"/>
  <c r="M29" i="2"/>
  <c r="N29" i="2"/>
  <c r="C30" i="2"/>
  <c r="D30" i="2"/>
  <c r="E30" i="2"/>
  <c r="F30" i="2"/>
  <c r="G30" i="2"/>
  <c r="H30" i="2"/>
  <c r="I30" i="2"/>
  <c r="J30" i="2"/>
  <c r="K30" i="2"/>
  <c r="L30" i="2"/>
  <c r="M30" i="2"/>
  <c r="N30" i="2"/>
  <c r="C31" i="2"/>
  <c r="D31" i="2"/>
  <c r="E31" i="2"/>
  <c r="F31" i="2"/>
  <c r="G31" i="2"/>
  <c r="H31" i="2"/>
  <c r="I31" i="2"/>
  <c r="J31" i="2"/>
  <c r="K31" i="2"/>
  <c r="L31" i="2"/>
  <c r="M31" i="2"/>
  <c r="N31" i="2"/>
  <c r="C32" i="2"/>
  <c r="D32" i="2"/>
  <c r="E32" i="2"/>
  <c r="F32" i="2"/>
  <c r="G32" i="2"/>
  <c r="H32" i="2"/>
  <c r="I32" i="2"/>
  <c r="J32" i="2"/>
  <c r="K32" i="2"/>
  <c r="L32" i="2"/>
  <c r="M32" i="2"/>
  <c r="N32" i="2"/>
  <c r="C33" i="2"/>
  <c r="D33" i="2"/>
  <c r="E33" i="2"/>
  <c r="F33" i="2"/>
  <c r="G33" i="2"/>
  <c r="H33" i="2"/>
  <c r="I33" i="2"/>
  <c r="J33" i="2"/>
  <c r="K33" i="2"/>
  <c r="L33" i="2"/>
  <c r="M33" i="2"/>
  <c r="N33" i="2"/>
  <c r="C34" i="2"/>
  <c r="D34" i="2"/>
  <c r="E34" i="2"/>
  <c r="F34" i="2"/>
  <c r="G34" i="2"/>
  <c r="H34" i="2"/>
  <c r="I34" i="2"/>
  <c r="J34" i="2"/>
  <c r="K34" i="2"/>
  <c r="L34" i="2"/>
  <c r="M34" i="2"/>
  <c r="N34" i="2"/>
  <c r="C35" i="2"/>
  <c r="D35" i="2"/>
  <c r="E35" i="2"/>
  <c r="F35" i="2"/>
  <c r="G35" i="2"/>
  <c r="H35" i="2"/>
  <c r="I35" i="2"/>
  <c r="J35" i="2"/>
  <c r="K35" i="2"/>
  <c r="L35" i="2"/>
  <c r="M35" i="2"/>
  <c r="N35" i="2"/>
  <c r="C36" i="2"/>
  <c r="D36" i="2"/>
  <c r="E36" i="2"/>
  <c r="F36" i="2"/>
  <c r="G36" i="2"/>
  <c r="H36" i="2"/>
  <c r="I36" i="2"/>
  <c r="J36" i="2"/>
  <c r="K36" i="2"/>
  <c r="L36" i="2"/>
  <c r="M36" i="2"/>
  <c r="N36" i="2"/>
  <c r="C37" i="2"/>
  <c r="D37" i="2"/>
  <c r="E37" i="2"/>
  <c r="F37" i="2"/>
  <c r="G37" i="2"/>
  <c r="H37" i="2"/>
  <c r="I37" i="2"/>
  <c r="J37" i="2"/>
  <c r="K37" i="2"/>
  <c r="L37" i="2"/>
  <c r="M37" i="2"/>
  <c r="N37" i="2"/>
  <c r="C38" i="2"/>
  <c r="D38" i="2"/>
  <c r="E38" i="2"/>
  <c r="F38" i="2"/>
  <c r="G38" i="2"/>
  <c r="H38" i="2"/>
  <c r="I38" i="2"/>
  <c r="J38" i="2"/>
  <c r="K38" i="2"/>
  <c r="L38" i="2"/>
  <c r="M38" i="2"/>
  <c r="N38" i="2"/>
  <c r="C39" i="2"/>
  <c r="D39" i="2"/>
  <c r="E39" i="2"/>
  <c r="F39" i="2"/>
  <c r="G39" i="2"/>
  <c r="H39" i="2"/>
  <c r="I39" i="2"/>
  <c r="J39" i="2"/>
  <c r="K39" i="2"/>
  <c r="L39" i="2"/>
  <c r="M39" i="2"/>
  <c r="N39" i="2"/>
  <c r="C40" i="2"/>
  <c r="D40" i="2"/>
  <c r="E40" i="2"/>
  <c r="F40" i="2"/>
  <c r="G40" i="2"/>
  <c r="H40" i="2"/>
  <c r="I40" i="2"/>
  <c r="J40" i="2"/>
  <c r="K40" i="2"/>
  <c r="L40" i="2"/>
  <c r="M40" i="2"/>
  <c r="N40" i="2"/>
  <c r="C41" i="2"/>
  <c r="D41" i="2"/>
  <c r="E41" i="2"/>
  <c r="F41" i="2"/>
  <c r="G41" i="2"/>
  <c r="H41" i="2"/>
  <c r="I41" i="2"/>
  <c r="J41" i="2"/>
  <c r="K41" i="2"/>
  <c r="L41" i="2"/>
  <c r="M41" i="2"/>
  <c r="N41" i="2"/>
  <c r="C42" i="2"/>
  <c r="D42" i="2"/>
  <c r="E42" i="2"/>
  <c r="F42" i="2"/>
  <c r="G42" i="2"/>
  <c r="H42" i="2"/>
  <c r="I42" i="2"/>
  <c r="J42" i="2"/>
  <c r="K42" i="2"/>
  <c r="L42" i="2"/>
  <c r="M42" i="2"/>
  <c r="N42" i="2"/>
  <c r="C43" i="2"/>
  <c r="D43" i="2"/>
  <c r="E43" i="2"/>
  <c r="F43" i="2"/>
  <c r="G43" i="2"/>
  <c r="H43" i="2"/>
  <c r="I43" i="2"/>
  <c r="J43" i="2"/>
  <c r="K43" i="2"/>
  <c r="L43" i="2"/>
  <c r="M43" i="2"/>
  <c r="N43" i="2"/>
  <c r="C44" i="2"/>
  <c r="D44" i="2"/>
  <c r="E44" i="2"/>
  <c r="F44" i="2"/>
  <c r="G44" i="2"/>
  <c r="H44" i="2"/>
  <c r="I44" i="2"/>
  <c r="J44" i="2"/>
  <c r="K44" i="2"/>
  <c r="L44" i="2"/>
  <c r="M44" i="2"/>
  <c r="N44" i="2"/>
  <c r="C45" i="2"/>
  <c r="D45" i="2"/>
  <c r="E45" i="2"/>
  <c r="F45" i="2"/>
  <c r="G45" i="2"/>
  <c r="H45" i="2"/>
  <c r="I45" i="2"/>
  <c r="J45" i="2"/>
  <c r="K45" i="2"/>
  <c r="L45" i="2"/>
  <c r="M45" i="2"/>
  <c r="N45" i="2"/>
  <c r="C46" i="2"/>
  <c r="D46" i="2"/>
  <c r="E46" i="2"/>
  <c r="F46" i="2"/>
  <c r="G46" i="2"/>
  <c r="H46" i="2"/>
  <c r="I46" i="2"/>
  <c r="J46" i="2"/>
  <c r="K46" i="2"/>
  <c r="L46" i="2"/>
  <c r="M46" i="2"/>
  <c r="N46" i="2"/>
  <c r="C47" i="2"/>
  <c r="D47" i="2"/>
  <c r="E47" i="2"/>
  <c r="F47" i="2"/>
  <c r="G47" i="2"/>
  <c r="H47" i="2"/>
  <c r="I47" i="2"/>
  <c r="J47" i="2"/>
  <c r="K47" i="2"/>
  <c r="L47" i="2"/>
  <c r="M47" i="2"/>
  <c r="N47" i="2"/>
  <c r="C48" i="2"/>
  <c r="D48" i="2"/>
  <c r="E48" i="2"/>
  <c r="F48" i="2"/>
  <c r="G48" i="2"/>
  <c r="H48" i="2"/>
  <c r="I48" i="2"/>
  <c r="J48" i="2"/>
  <c r="K48" i="2"/>
  <c r="L48" i="2"/>
  <c r="M48" i="2"/>
  <c r="N48" i="2"/>
  <c r="C49" i="2"/>
  <c r="D49" i="2"/>
  <c r="E49" i="2"/>
  <c r="F49" i="2"/>
  <c r="G49" i="2"/>
  <c r="H49" i="2"/>
  <c r="I49" i="2"/>
  <c r="J49" i="2"/>
  <c r="K49" i="2"/>
  <c r="L49" i="2"/>
  <c r="M49" i="2"/>
  <c r="N49" i="2"/>
  <c r="C50" i="2"/>
  <c r="D50" i="2"/>
  <c r="E50" i="2"/>
  <c r="F50" i="2"/>
  <c r="G50" i="2"/>
  <c r="H50" i="2"/>
  <c r="I50" i="2"/>
  <c r="J50" i="2"/>
  <c r="K50" i="2"/>
  <c r="L50" i="2"/>
  <c r="M50" i="2"/>
  <c r="N50" i="2"/>
  <c r="C51" i="2"/>
  <c r="D51" i="2"/>
  <c r="E51" i="2"/>
  <c r="F51" i="2"/>
  <c r="G51" i="2"/>
  <c r="H51" i="2"/>
  <c r="I51" i="2"/>
  <c r="J51" i="2"/>
  <c r="K51" i="2"/>
  <c r="L51" i="2"/>
  <c r="M51" i="2"/>
  <c r="N51" i="2"/>
  <c r="C52" i="2"/>
  <c r="D52" i="2"/>
  <c r="E52" i="2"/>
  <c r="F52" i="2"/>
  <c r="G52" i="2"/>
  <c r="H52" i="2"/>
  <c r="I52" i="2"/>
  <c r="J52" i="2"/>
  <c r="K52" i="2"/>
  <c r="L52" i="2"/>
  <c r="M52" i="2"/>
  <c r="N52" i="2"/>
  <c r="C53" i="2"/>
  <c r="D53" i="2"/>
  <c r="E53" i="2"/>
  <c r="F53" i="2"/>
  <c r="G53" i="2"/>
  <c r="H53" i="2"/>
  <c r="I53" i="2"/>
  <c r="J53" i="2"/>
  <c r="K53" i="2"/>
  <c r="L53" i="2"/>
  <c r="M53" i="2"/>
  <c r="N53" i="2"/>
  <c r="C54" i="2"/>
  <c r="D54" i="2"/>
  <c r="E54" i="2"/>
  <c r="F54" i="2"/>
  <c r="G54" i="2"/>
  <c r="H54" i="2"/>
  <c r="I54" i="2"/>
  <c r="J54" i="2"/>
  <c r="K54" i="2"/>
  <c r="L54" i="2"/>
  <c r="M54" i="2"/>
  <c r="N54" i="2"/>
  <c r="C55" i="2"/>
  <c r="D55" i="2"/>
  <c r="E55" i="2"/>
  <c r="F55" i="2"/>
  <c r="G55" i="2"/>
  <c r="H55" i="2"/>
  <c r="I55" i="2"/>
  <c r="J55" i="2"/>
  <c r="K55" i="2"/>
  <c r="L55" i="2"/>
  <c r="M55" i="2"/>
  <c r="N55" i="2"/>
  <c r="C56" i="2"/>
  <c r="D56" i="2"/>
  <c r="E56" i="2"/>
  <c r="F56" i="2"/>
  <c r="G56" i="2"/>
  <c r="H56" i="2"/>
  <c r="I56" i="2"/>
  <c r="J56" i="2"/>
  <c r="K56" i="2"/>
  <c r="L56" i="2"/>
  <c r="M56" i="2"/>
  <c r="N56" i="2"/>
  <c r="C57" i="2"/>
  <c r="D57" i="2"/>
  <c r="E57" i="2"/>
  <c r="F57" i="2"/>
  <c r="G57" i="2"/>
  <c r="H57" i="2"/>
  <c r="I57" i="2"/>
  <c r="J57" i="2"/>
  <c r="K57" i="2"/>
  <c r="L57" i="2"/>
  <c r="M57" i="2"/>
  <c r="N57" i="2"/>
  <c r="C58" i="2"/>
  <c r="D58" i="2"/>
  <c r="E58" i="2"/>
  <c r="F58" i="2"/>
  <c r="G58" i="2"/>
  <c r="H58" i="2"/>
  <c r="I58" i="2"/>
  <c r="J58" i="2"/>
  <c r="K58" i="2"/>
  <c r="L58" i="2"/>
  <c r="M58" i="2"/>
  <c r="N58" i="2"/>
  <c r="C59" i="2"/>
  <c r="D59" i="2"/>
  <c r="E59" i="2"/>
  <c r="F59" i="2"/>
  <c r="G59" i="2"/>
  <c r="H59" i="2"/>
  <c r="I59" i="2"/>
  <c r="J59" i="2"/>
  <c r="K59" i="2"/>
  <c r="L59" i="2"/>
  <c r="M59" i="2"/>
  <c r="N59" i="2"/>
  <c r="C88" i="2"/>
  <c r="D88" i="2"/>
  <c r="E88" i="2"/>
  <c r="F88" i="2"/>
  <c r="G88" i="2"/>
  <c r="H88" i="2"/>
  <c r="I88" i="2"/>
  <c r="J88" i="2"/>
  <c r="K88" i="2"/>
  <c r="L88" i="2"/>
  <c r="M88" i="2"/>
  <c r="N88" i="2"/>
  <c r="C89" i="2"/>
  <c r="D89" i="2"/>
  <c r="E89" i="2"/>
  <c r="F89" i="2"/>
  <c r="G89" i="2"/>
  <c r="H89" i="2"/>
  <c r="I89" i="2"/>
  <c r="J89" i="2"/>
  <c r="K89" i="2"/>
  <c r="L89" i="2"/>
  <c r="M89" i="2"/>
  <c r="N89" i="2"/>
  <c r="C60" i="2"/>
  <c r="D60" i="2"/>
  <c r="E60" i="2"/>
  <c r="F60" i="2"/>
  <c r="G60" i="2"/>
  <c r="H60" i="2"/>
  <c r="I60" i="2"/>
  <c r="J60" i="2"/>
  <c r="K60" i="2"/>
  <c r="L60" i="2"/>
  <c r="M60" i="2"/>
  <c r="N60" i="2"/>
  <c r="C61" i="2"/>
  <c r="D61" i="2"/>
  <c r="E61" i="2"/>
  <c r="F61" i="2"/>
  <c r="G61" i="2"/>
  <c r="H61" i="2"/>
  <c r="I61" i="2"/>
  <c r="J61" i="2"/>
  <c r="K61" i="2"/>
  <c r="L61" i="2"/>
  <c r="M61" i="2"/>
  <c r="N61" i="2"/>
  <c r="C62" i="2"/>
  <c r="D62" i="2"/>
  <c r="E62" i="2"/>
  <c r="F62" i="2"/>
  <c r="G62" i="2"/>
  <c r="H62" i="2"/>
  <c r="I62" i="2"/>
  <c r="J62" i="2"/>
  <c r="K62" i="2"/>
  <c r="L62" i="2"/>
  <c r="M62" i="2"/>
  <c r="N62" i="2"/>
  <c r="C63" i="2"/>
  <c r="D63" i="2"/>
  <c r="E63" i="2"/>
  <c r="F63" i="2"/>
  <c r="G63" i="2"/>
  <c r="H63" i="2"/>
  <c r="I63" i="2"/>
  <c r="J63" i="2"/>
  <c r="K63" i="2"/>
  <c r="L63" i="2"/>
  <c r="M63" i="2"/>
  <c r="N63" i="2"/>
  <c r="C64" i="2"/>
  <c r="D64" i="2"/>
  <c r="E64" i="2"/>
  <c r="F64" i="2"/>
  <c r="G64" i="2"/>
  <c r="H64" i="2"/>
  <c r="I64" i="2"/>
  <c r="J64" i="2"/>
  <c r="K64" i="2"/>
  <c r="L64" i="2"/>
  <c r="M64" i="2"/>
  <c r="N64" i="2"/>
  <c r="C65" i="2"/>
  <c r="D65" i="2"/>
  <c r="E65" i="2"/>
  <c r="F65" i="2"/>
  <c r="G65" i="2"/>
  <c r="H65" i="2"/>
  <c r="I65" i="2"/>
  <c r="J65" i="2"/>
  <c r="K65" i="2"/>
  <c r="L65" i="2"/>
  <c r="M65" i="2"/>
  <c r="N65" i="2"/>
  <c r="C66" i="2"/>
  <c r="D66" i="2"/>
  <c r="E66" i="2"/>
  <c r="F66" i="2"/>
  <c r="G66" i="2"/>
  <c r="H66" i="2"/>
  <c r="I66" i="2"/>
  <c r="J66" i="2"/>
  <c r="K66" i="2"/>
  <c r="L66" i="2"/>
  <c r="M66" i="2"/>
  <c r="N66" i="2"/>
  <c r="C67" i="2"/>
  <c r="D67" i="2"/>
  <c r="E67" i="2"/>
  <c r="F67" i="2"/>
  <c r="G67" i="2"/>
  <c r="H67" i="2"/>
  <c r="I67" i="2"/>
  <c r="J67" i="2"/>
  <c r="K67" i="2"/>
  <c r="L67" i="2"/>
  <c r="M67" i="2"/>
  <c r="N67" i="2"/>
  <c r="C68" i="2"/>
  <c r="D68" i="2"/>
  <c r="E68" i="2"/>
  <c r="F68" i="2"/>
  <c r="G68" i="2"/>
  <c r="H68" i="2"/>
  <c r="I68" i="2"/>
  <c r="J68" i="2"/>
  <c r="K68" i="2"/>
  <c r="L68" i="2"/>
  <c r="M68" i="2"/>
  <c r="N68" i="2"/>
  <c r="C69" i="2"/>
  <c r="D69" i="2"/>
  <c r="E69" i="2"/>
  <c r="F69" i="2"/>
  <c r="G69" i="2"/>
  <c r="H69" i="2"/>
  <c r="I69" i="2"/>
  <c r="J69" i="2"/>
  <c r="K69" i="2"/>
  <c r="L69" i="2"/>
  <c r="M69" i="2"/>
  <c r="N69" i="2"/>
  <c r="C70" i="2"/>
  <c r="D70" i="2"/>
  <c r="E70" i="2"/>
  <c r="F70" i="2"/>
  <c r="G70" i="2"/>
  <c r="H70" i="2"/>
  <c r="I70" i="2"/>
  <c r="J70" i="2"/>
  <c r="K70" i="2"/>
  <c r="L70" i="2"/>
  <c r="M70" i="2"/>
  <c r="N70" i="2"/>
  <c r="C71" i="2"/>
  <c r="D71" i="2"/>
  <c r="E71" i="2"/>
  <c r="F71" i="2"/>
  <c r="G71" i="2"/>
  <c r="H71" i="2"/>
  <c r="I71" i="2"/>
  <c r="J71" i="2"/>
  <c r="K71" i="2"/>
  <c r="L71" i="2"/>
  <c r="M71" i="2"/>
  <c r="N71" i="2"/>
  <c r="C72" i="2"/>
  <c r="D72" i="2"/>
  <c r="E72" i="2"/>
  <c r="F72" i="2"/>
  <c r="G72" i="2"/>
  <c r="H72" i="2"/>
  <c r="I72" i="2"/>
  <c r="J72" i="2"/>
  <c r="K72" i="2"/>
  <c r="L72" i="2"/>
  <c r="M72" i="2"/>
  <c r="N72" i="2"/>
  <c r="C73" i="2"/>
  <c r="D73" i="2"/>
  <c r="E73" i="2"/>
  <c r="F73" i="2"/>
  <c r="G73" i="2"/>
  <c r="H73" i="2"/>
  <c r="I73" i="2"/>
  <c r="J73" i="2"/>
  <c r="K73" i="2"/>
  <c r="L73" i="2"/>
  <c r="M73" i="2"/>
  <c r="N73" i="2"/>
  <c r="C74" i="2"/>
  <c r="D74" i="2"/>
  <c r="E74" i="2"/>
  <c r="F74" i="2"/>
  <c r="G74" i="2"/>
  <c r="H74" i="2"/>
  <c r="I74" i="2"/>
  <c r="J74" i="2"/>
  <c r="K74" i="2"/>
  <c r="L74" i="2"/>
  <c r="M74" i="2"/>
  <c r="N74" i="2"/>
  <c r="C80" i="2"/>
  <c r="D80" i="2"/>
  <c r="E80" i="2"/>
  <c r="F80" i="2"/>
  <c r="G80" i="2"/>
  <c r="H80" i="2"/>
  <c r="I80" i="2"/>
  <c r="J80" i="2"/>
  <c r="K80" i="2"/>
  <c r="L80" i="2"/>
  <c r="M80" i="2"/>
  <c r="N80" i="2"/>
  <c r="C81" i="2"/>
  <c r="D81" i="2"/>
  <c r="E81" i="2"/>
  <c r="F81" i="2"/>
  <c r="G81" i="2"/>
  <c r="H81" i="2"/>
  <c r="I81" i="2"/>
  <c r="J81" i="2"/>
  <c r="K81" i="2"/>
  <c r="L81" i="2"/>
  <c r="M81" i="2"/>
  <c r="N81" i="2"/>
  <c r="C82" i="2"/>
  <c r="D82" i="2"/>
  <c r="E82" i="2"/>
  <c r="F82" i="2"/>
  <c r="G82" i="2"/>
  <c r="H82" i="2"/>
  <c r="I82" i="2"/>
  <c r="J82" i="2"/>
  <c r="K82" i="2"/>
  <c r="L82" i="2"/>
  <c r="M82" i="2"/>
  <c r="N82" i="2"/>
  <c r="C83" i="2"/>
  <c r="D83" i="2"/>
  <c r="E83" i="2"/>
  <c r="F83" i="2"/>
  <c r="G83" i="2"/>
  <c r="H83" i="2"/>
  <c r="I83" i="2"/>
  <c r="J83" i="2"/>
  <c r="K83" i="2"/>
  <c r="L83" i="2"/>
  <c r="M83" i="2"/>
  <c r="N83" i="2"/>
  <c r="C84" i="2"/>
  <c r="D84" i="2"/>
  <c r="E84" i="2"/>
  <c r="F84" i="2"/>
  <c r="G84" i="2"/>
  <c r="H84" i="2"/>
  <c r="I84" i="2"/>
  <c r="J84" i="2"/>
  <c r="K84" i="2"/>
  <c r="L84" i="2"/>
  <c r="M84" i="2"/>
  <c r="N84" i="2"/>
  <c r="C85" i="2"/>
  <c r="D85" i="2"/>
  <c r="E85" i="2"/>
  <c r="F85" i="2"/>
  <c r="G85" i="2"/>
  <c r="H85" i="2"/>
  <c r="I85" i="2"/>
  <c r="J85" i="2"/>
  <c r="K85" i="2"/>
  <c r="L85" i="2"/>
  <c r="M85" i="2"/>
  <c r="N85" i="2"/>
  <c r="C86" i="2"/>
  <c r="D86" i="2"/>
  <c r="E86" i="2"/>
  <c r="F86" i="2"/>
  <c r="G86" i="2"/>
  <c r="H86" i="2"/>
  <c r="I86" i="2"/>
  <c r="J86" i="2"/>
  <c r="K86" i="2"/>
  <c r="L86" i="2"/>
  <c r="M86" i="2"/>
  <c r="N86" i="2"/>
  <c r="C87" i="2"/>
  <c r="D87" i="2"/>
  <c r="E87" i="2"/>
  <c r="F87" i="2"/>
  <c r="G87" i="2"/>
  <c r="H87" i="2"/>
  <c r="I87" i="2"/>
  <c r="J87" i="2"/>
  <c r="K87" i="2"/>
  <c r="L87" i="2"/>
  <c r="M87" i="2"/>
  <c r="N87" i="2"/>
  <c r="K92" i="2"/>
  <c r="L92" i="2"/>
  <c r="M92" i="2"/>
  <c r="N92" i="2"/>
  <c r="D92" i="2"/>
  <c r="E92" i="2"/>
  <c r="F92" i="2"/>
  <c r="G92" i="2"/>
  <c r="H92" i="2"/>
  <c r="I92" i="2"/>
  <c r="J92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<sst xmlns="http://schemas.openxmlformats.org/spreadsheetml/2006/main" count="5531" uniqueCount="704">
  <si>
    <t>Statistic</t>
  </si>
  <si>
    <t>N</t>
  </si>
  <si>
    <t>Mean</t>
  </si>
  <si>
    <t>St. Dev.</t>
  </si>
  <si>
    <t>Min</t>
  </si>
  <si>
    <t>Max</t>
  </si>
  <si>
    <t>----------------------------</t>
  </si>
  <si>
    <t>------</t>
  </si>
  <si>
    <t>--------------</t>
  </si>
  <si>
    <t>---------------</t>
  </si>
  <si>
    <t>num_sale</t>
  </si>
  <si>
    <t>Covid</t>
  </si>
  <si>
    <t>Covid2</t>
  </si>
  <si>
    <t>BathsFull</t>
  </si>
  <si>
    <t>BathsHalf</t>
  </si>
  <si>
    <t>BedsTotal</t>
  </si>
  <si>
    <t>DOM</t>
  </si>
  <si>
    <t>SQFTGarageCarport</t>
  </si>
  <si>
    <t>SqftTotal</t>
  </si>
  <si>
    <t>real.list.price</t>
  </si>
  <si>
    <t>real.close.price</t>
  </si>
  <si>
    <t>Basement</t>
  </si>
  <si>
    <t>Split</t>
  </si>
  <si>
    <t>PUD</t>
  </si>
  <si>
    <t>LowRise</t>
  </si>
  <si>
    <t>HighRise</t>
  </si>
  <si>
    <t>Townhouse</t>
  </si>
  <si>
    <t>Condotel</t>
  </si>
  <si>
    <t>SingleFam</t>
  </si>
  <si>
    <t>Duplex</t>
  </si>
  <si>
    <t>MultiDwell</t>
  </si>
  <si>
    <t>WalkUP</t>
  </si>
  <si>
    <t>pool</t>
  </si>
  <si>
    <t>Age</t>
  </si>
  <si>
    <t>Age2</t>
  </si>
  <si>
    <t>Age.r</t>
  </si>
  <si>
    <t>Cases</t>
  </si>
  <si>
    <t>par_area</t>
  </si>
  <si>
    <t>Beach</t>
  </si>
  <si>
    <t>park</t>
  </si>
  <si>
    <t>hospital</t>
  </si>
  <si>
    <t>airport</t>
  </si>
  <si>
    <t>per_white</t>
  </si>
  <si>
    <t>per_black</t>
  </si>
  <si>
    <t>per_asian</t>
  </si>
  <si>
    <t>per_hawaian</t>
  </si>
  <si>
    <t>per_occupied</t>
  </si>
  <si>
    <t>per_vacant</t>
  </si>
  <si>
    <t>per_owner</t>
  </si>
  <si>
    <t>per_renter</t>
  </si>
  <si>
    <t>HOA</t>
  </si>
  <si>
    <t>Elevator</t>
  </si>
  <si>
    <t>remod</t>
  </si>
  <si>
    <t>lat</t>
  </si>
  <si>
    <t>lon</t>
  </si>
  <si>
    <t>PropertyTypeCondo/Townhouse</t>
  </si>
  <si>
    <t>PropertyTypeCondo_Townhouse</t>
  </si>
  <si>
    <t>PropertyTypeSingle Family</t>
  </si>
  <si>
    <t>StoriesOne</t>
  </si>
  <si>
    <t>StoriesTwo</t>
  </si>
  <si>
    <t>StoriesMulti</t>
  </si>
  <si>
    <t>year</t>
  </si>
  <si>
    <t>LUCResidential</t>
  </si>
  <si>
    <t>LUCAgriculture</t>
  </si>
  <si>
    <t>LUCApartment-HD</t>
  </si>
  <si>
    <t>LUCApartment-LD</t>
  </si>
  <si>
    <t>LUCApartment-MD</t>
  </si>
  <si>
    <t>LUCBusiness</t>
  </si>
  <si>
    <t>LUCOther</t>
  </si>
  <si>
    <t>LUCResort</t>
  </si>
  <si>
    <t>condAverage</t>
  </si>
  <si>
    <t>condExcellent</t>
  </si>
  <si>
    <t>condAbove Average</t>
  </si>
  <si>
    <t>condFair</t>
  </si>
  <si>
    <t>parking0</t>
  </si>
  <si>
    <t>parking1</t>
  </si>
  <si>
    <t>parking2</t>
  </si>
  <si>
    <t>parking3</t>
  </si>
  <si>
    <t>parking4</t>
  </si>
  <si>
    <t>fld_zoneAE</t>
  </si>
  <si>
    <t>fld_zoneA</t>
  </si>
  <si>
    <t>fld_zoneAH</t>
  </si>
  <si>
    <t>fld_zoneAO</t>
  </si>
  <si>
    <t>fld_zoneD</t>
  </si>
  <si>
    <t>fld_zoneVE</t>
  </si>
  <si>
    <t>fld_zoneX</t>
  </si>
  <si>
    <t>Number of times sold</t>
  </si>
  <si>
    <t>Variable</t>
  </si>
  <si>
    <t>Description</t>
  </si>
  <si>
    <t>Std. Dev.</t>
  </si>
  <si>
    <t>Min.</t>
  </si>
  <si>
    <t>Max.</t>
  </si>
  <si>
    <t>Full Sample</t>
  </si>
  <si>
    <t>Post Covid (March, 2020 and after)</t>
  </si>
  <si>
    <t>Pre Covid (upto March, 2022)</t>
  </si>
  <si>
    <t>=1 for sales during or after 3/2020</t>
  </si>
  <si>
    <t>=1 for sales during or after 3/2020 but before 1/2023</t>
  </si>
  <si>
    <t>Number of Full Bathrooms</t>
  </si>
  <si>
    <t>Number of Half Bathrooms</t>
  </si>
  <si>
    <t>Total Number of Bedrooms</t>
  </si>
  <si>
    <t>Days on the Market</t>
  </si>
  <si>
    <t>Squarefootage of Garage or Carport</t>
  </si>
  <si>
    <t>Total Squarefootage</t>
  </si>
  <si>
    <t>Real List Price</t>
  </si>
  <si>
    <t>Real Closing Price</t>
  </si>
  <si>
    <t>=1 if Basement Exists</t>
  </si>
  <si>
    <t>=1 for Splitlevel Home</t>
  </si>
  <si>
    <t>=1 for PUD type Home</t>
  </si>
  <si>
    <t>=1 for unit in Low Rise building</t>
  </si>
  <si>
    <t>=1 for unit in High Rise Building</t>
  </si>
  <si>
    <t>=1 for Townhouse Home</t>
  </si>
  <si>
    <t>=1 for classification as Condo-Hotel</t>
  </si>
  <si>
    <t>=1 for Classification as Single Family Unit</t>
  </si>
  <si>
    <t>=1 for Classification as a Duplex</t>
  </si>
  <si>
    <t>=1 for Classification as a Multi-Dwelling Unit</t>
  </si>
  <si>
    <t>=1 for Classification as a Walk up Unit</t>
  </si>
  <si>
    <t>=1 if Pool is included</t>
  </si>
  <si>
    <t>Age of the home</t>
  </si>
  <si>
    <t>Age of the home - squared</t>
  </si>
  <si>
    <t>Age of most recent remodel</t>
  </si>
  <si>
    <t>Number of Covid Cases when Home Sold</t>
  </si>
  <si>
    <t>Census Tract Percentage of Whites</t>
  </si>
  <si>
    <t>Census Tract Percentage of Blacks</t>
  </si>
  <si>
    <t>Census Tract Percentage of Asian</t>
  </si>
  <si>
    <t>Census Tract Percentage of Hawaian</t>
  </si>
  <si>
    <t>Census Tract Propertytypecondocentage of Townhouse</t>
  </si>
  <si>
    <t>Census Tract Percentage of Housing Units Occupied</t>
  </si>
  <si>
    <t>Census Tract Percentage of Housing Units Vacant</t>
  </si>
  <si>
    <t>Census Tract Percentage of Housing Units Owner Occupied</t>
  </si>
  <si>
    <t>Census Tract Percentage of Housing Units Renter Occupied</t>
  </si>
  <si>
    <t>=1 if HOA fees are listed</t>
  </si>
  <si>
    <t>Number of Elevators in Building</t>
  </si>
  <si>
    <t>=1 if Remodeled</t>
  </si>
  <si>
    <t>=1 if Property Type Listed as Condo/Townhouse</t>
  </si>
  <si>
    <t>=1 if Property Type listed as Single Family</t>
  </si>
  <si>
    <t>=1 if One Story Unit</t>
  </si>
  <si>
    <t>=1 if Two Story Unit</t>
  </si>
  <si>
    <t>Squarefootage of the Parcel (m2)</t>
  </si>
  <si>
    <t>=1 if LUC is Residential</t>
  </si>
  <si>
    <t>=1 if LUC is Apartment-HD</t>
  </si>
  <si>
    <t>=1 if LUC is Apartment-LD</t>
  </si>
  <si>
    <t>=1 if LUC is Apartment-MD</t>
  </si>
  <si>
    <t>=1 if LUC is Business</t>
  </si>
  <si>
    <t>=1 if LUC is Other</t>
  </si>
  <si>
    <t>=1 if LUC is Resort</t>
  </si>
  <si>
    <t>=1 if LUC is Agriculture</t>
  </si>
  <si>
    <t>=1 if Building Condition is Average</t>
  </si>
  <si>
    <t>=1 if Building Condition is Excellent</t>
  </si>
  <si>
    <t>=1 if Building Condition is Above Average</t>
  </si>
  <si>
    <t>=1 if Building Condition is Fair</t>
  </si>
  <si>
    <t>=1 if there are zero parking spaces</t>
  </si>
  <si>
    <t>=1 if there is one parking space</t>
  </si>
  <si>
    <t>=1 if there are two parking spaces</t>
  </si>
  <si>
    <t>=1 if there are three parking spaces</t>
  </si>
  <si>
    <t>=1 if there are four parking spaces</t>
  </si>
  <si>
    <t>=1 if located in flood zone AE</t>
  </si>
  <si>
    <t>=1 if located in flood zone A</t>
  </si>
  <si>
    <t>=1 if located in flood zone AH</t>
  </si>
  <si>
    <t>=1 if located in flood zone AO</t>
  </si>
  <si>
    <t>=1 if located in flood zone D</t>
  </si>
  <si>
    <t>=1 if located in flood zone VE</t>
  </si>
  <si>
    <t>=1 if located in flood zone X</t>
  </si>
  <si>
    <t>------------</t>
  </si>
  <si>
    <t>livSQFT</t>
  </si>
  <si>
    <t>beach</t>
  </si>
  <si>
    <t>Parking0</t>
  </si>
  <si>
    <t>Parking1</t>
  </si>
  <si>
    <t>Parking2</t>
  </si>
  <si>
    <t>Parking3</t>
  </si>
  <si>
    <t>Parking4</t>
  </si>
  <si>
    <t>Parking5 or More</t>
  </si>
  <si>
    <t>-----</t>
  </si>
  <si>
    <t>=1 if more than Two Stories</t>
  </si>
  <si>
    <t>elem_sch</t>
  </si>
  <si>
    <t>mid_sch</t>
  </si>
  <si>
    <t>high_sch</t>
  </si>
  <si>
    <t>=1 if there are five or more parking spaces</t>
  </si>
  <si>
    <t>Distance to closest park (km)</t>
  </si>
  <si>
    <t>Distance to closest hospital (km)</t>
  </si>
  <si>
    <t>Distance to closest airport (km)</t>
  </si>
  <si>
    <t>Distance to assigned Elementary School (km)</t>
  </si>
  <si>
    <t>Distance to assigned Middle School (km)</t>
  </si>
  <si>
    <t>Distance to assigned High School (km)</t>
  </si>
  <si>
    <t>Latitude of Parcel Centroid (per projection)</t>
  </si>
  <si>
    <t>Longitude of Parcel Centroid (per projection)</t>
  </si>
  <si>
    <t>Shortest, straight line distance to Ocean (km)</t>
  </si>
  <si>
    <t>n</t>
  </si>
  <si>
    <t>Observations</t>
  </si>
  <si>
    <t>Table One</t>
  </si>
  <si>
    <t>Summary Statistics for Full and Restricted Samples for entire sample period and pre- and post-Covid Subsamples</t>
  </si>
  <si>
    <t>diff.price</t>
  </si>
  <si>
    <t>Difference betweeen real list and real close price</t>
  </si>
  <si>
    <t>==========================</t>
  </si>
  <si>
    <t>==============================</t>
  </si>
  <si>
    <t>------------------------------</t>
  </si>
  <si>
    <t>--------------------------</t>
  </si>
  <si>
    <t>0.095***</t>
  </si>
  <si>
    <t>factor(year)2017</t>
  </si>
  <si>
    <t>0.055***</t>
  </si>
  <si>
    <t>0.025***</t>
  </si>
  <si>
    <t>factor(year)2018</t>
  </si>
  <si>
    <t>0.044***</t>
  </si>
  <si>
    <t>0.026***</t>
  </si>
  <si>
    <t>0.037***</t>
  </si>
  <si>
    <t>factor(year)2019</t>
  </si>
  <si>
    <t>0.016***</t>
  </si>
  <si>
    <t>factor(year)2020</t>
  </si>
  <si>
    <t>factor(year)2021</t>
  </si>
  <si>
    <t>0.061***</t>
  </si>
  <si>
    <t>factor(year)2022</t>
  </si>
  <si>
    <t>0.101***</t>
  </si>
  <si>
    <t>0.107***</t>
  </si>
  <si>
    <t>0.117***</t>
  </si>
  <si>
    <t>factor(year)2023</t>
  </si>
  <si>
    <t>0.078***</t>
  </si>
  <si>
    <t>0.086***</t>
  </si>
  <si>
    <t>0.031***</t>
  </si>
  <si>
    <t>0.093***</t>
  </si>
  <si>
    <t>0.058***</t>
  </si>
  <si>
    <t>0.049***</t>
  </si>
  <si>
    <t>0.059***</t>
  </si>
  <si>
    <t>0.069***</t>
  </si>
  <si>
    <t>-0.040***</t>
  </si>
  <si>
    <t>0.0003***</t>
  </si>
  <si>
    <t>0.0002***</t>
  </si>
  <si>
    <t>0.170***</t>
  </si>
  <si>
    <t>-0.056***</t>
  </si>
  <si>
    <t>factor(cond)Excellent</t>
  </si>
  <si>
    <t>0.120***</t>
  </si>
  <si>
    <t>factor(cond)Above Average</t>
  </si>
  <si>
    <t>0.065***</t>
  </si>
  <si>
    <t>0.068***</t>
  </si>
  <si>
    <t>0.052***</t>
  </si>
  <si>
    <t>factor(cond)Fair</t>
  </si>
  <si>
    <t>-0.054***</t>
  </si>
  <si>
    <t>0.020***</t>
  </si>
  <si>
    <t>-0.057***</t>
  </si>
  <si>
    <t>-0.101***</t>
  </si>
  <si>
    <t>-0.059***</t>
  </si>
  <si>
    <t>factor(LUC)Agriculture</t>
  </si>
  <si>
    <t>factor(LUC)Apartment-HD</t>
  </si>
  <si>
    <t>-0.095***</t>
  </si>
  <si>
    <t>factor(LUC)Apartment-LD</t>
  </si>
  <si>
    <t>-0.063***</t>
  </si>
  <si>
    <t>factor(LUC)Apartment-MD</t>
  </si>
  <si>
    <t>factor(LUC)Business</t>
  </si>
  <si>
    <t>-0.046***</t>
  </si>
  <si>
    <t>factor(LUC)Other</t>
  </si>
  <si>
    <t>0.056***</t>
  </si>
  <si>
    <t>factor(LUC)Resort</t>
  </si>
  <si>
    <t>0.350***</t>
  </si>
  <si>
    <t>0.0001***</t>
  </si>
  <si>
    <t>0.017***</t>
  </si>
  <si>
    <t>0.013***</t>
  </si>
  <si>
    <t>-0.010***</t>
  </si>
  <si>
    <t>-0.007***</t>
  </si>
  <si>
    <t>-0.026***</t>
  </si>
  <si>
    <t>-0.009***</t>
  </si>
  <si>
    <t>-0.006***</t>
  </si>
  <si>
    <t>-0.001***</t>
  </si>
  <si>
    <t>0.027***</t>
  </si>
  <si>
    <t>0.021***</t>
  </si>
  <si>
    <t>0.00001***</t>
  </si>
  <si>
    <t>0.00000***</t>
  </si>
  <si>
    <t>Constant</t>
  </si>
  <si>
    <t>R2</t>
  </si>
  <si>
    <t>Adjusted R2</t>
  </si>
  <si>
    <t>Residual Std. Error</t>
  </si>
  <si>
    <t>F Statistic</t>
  </si>
  <si>
    <t>Note:</t>
  </si>
  <si>
    <t>*p&lt;0.1; **p&lt;0.05; ***p&lt;0.01</t>
  </si>
  <si>
    <t>(1)</t>
  </si>
  <si>
    <t>(2)</t>
  </si>
  <si>
    <t>(3)</t>
  </si>
  <si>
    <t>(4)</t>
  </si>
  <si>
    <t>(5)</t>
  </si>
  <si>
    <t>Table Two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</si>
  <si>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</si>
  <si>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Adjusted R</t>
    </r>
    <r>
      <rPr>
        <vertAlign val="superscript"/>
        <sz val="11"/>
        <color theme="1"/>
        <rFont val="Calibri"/>
        <family val="2"/>
        <scheme val="minor"/>
      </rPr>
      <t>2</t>
    </r>
  </si>
  <si>
    <t>(Intercept)</t>
  </si>
  <si>
    <t>term</t>
  </si>
  <si>
    <t>estimate.x</t>
  </si>
  <si>
    <t>std.error.x</t>
  </si>
  <si>
    <t>statistic.x</t>
  </si>
  <si>
    <t>p.value.x</t>
  </si>
  <si>
    <t>estimate.y</t>
  </si>
  <si>
    <t>std.error.y</t>
  </si>
  <si>
    <t>statistic.y</t>
  </si>
  <si>
    <t>p.value.y</t>
  </si>
  <si>
    <t>estimate.x.x</t>
  </si>
  <si>
    <t>std.error.x.x</t>
  </si>
  <si>
    <t>statistic.x.x</t>
  </si>
  <si>
    <t>p.value.x.x</t>
  </si>
  <si>
    <t>estimate.y.y</t>
  </si>
  <si>
    <t>std.error.y.y</t>
  </si>
  <si>
    <t>statistic.y.y</t>
  </si>
  <si>
    <t>p.value.y.y</t>
  </si>
  <si>
    <t>estimate.x.x.x</t>
  </si>
  <si>
    <t>std.error.x.x.x</t>
  </si>
  <si>
    <t>statistic.x.x.x</t>
  </si>
  <si>
    <t>p.value.x.x.x</t>
  </si>
  <si>
    <t>estimate.y.y.y</t>
  </si>
  <si>
    <t>std.error.y.y.y</t>
  </si>
  <si>
    <t>statistic.y.y.y</t>
  </si>
  <si>
    <t>p.value.y.y.y</t>
  </si>
  <si>
    <t>(6)</t>
  </si>
  <si>
    <t>Restricted Sample (First Sale)</t>
  </si>
  <si>
    <t>Restricted Sample (Last Sale)</t>
  </si>
  <si>
    <t>956,534.00</t>
  </si>
  <si>
    <t>===========================</t>
  </si>
  <si>
    <t>Depend</t>
  </si>
  <si>
    <t>ent variable:</t>
  </si>
  <si>
    <t>---------------------------</t>
  </si>
  <si>
    <t>0.064***</t>
  </si>
  <si>
    <t>0.001***</t>
  </si>
  <si>
    <t>(7)</t>
  </si>
  <si>
    <t>No</t>
  </si>
  <si>
    <t>Yes</t>
  </si>
  <si>
    <t>Table Three</t>
  </si>
  <si>
    <t>Table Four</t>
  </si>
  <si>
    <t>Year of Home Sale</t>
  </si>
  <si>
    <t>-</t>
  </si>
  <si>
    <t>Real List Price (100K)</t>
  </si>
  <si>
    <t>Real Closing Price (100K)</t>
  </si>
  <si>
    <t>Total Squarefootage (1K)</t>
  </si>
  <si>
    <t>Pre-Covid</t>
  </si>
  <si>
    <t>Post-Covid</t>
  </si>
  <si>
    <t>Townhouse Subsample</t>
  </si>
  <si>
    <t>Single Family Subsample</t>
  </si>
  <si>
    <t>Townhouse Sub Sample</t>
  </si>
  <si>
    <t>Single Family Sub Sample</t>
  </si>
  <si>
    <t>Summary Statistics for Full Sample and Townhouse and Single Family Subsamples for  pre- and post-Covid Subsamples</t>
  </si>
  <si>
    <t>Summary Statistics for Full Sample and Townhouse and Single Family Subsamples for entire sample period</t>
  </si>
  <si>
    <t>0.072***</t>
  </si>
  <si>
    <t>0.038*</t>
  </si>
  <si>
    <t>0.021**</t>
  </si>
  <si>
    <t>0.080***</t>
  </si>
  <si>
    <t>0.038***</t>
  </si>
  <si>
    <t>0.046***</t>
  </si>
  <si>
    <t>0.043***</t>
  </si>
  <si>
    <t>0.051***</t>
  </si>
  <si>
    <t>0.032***</t>
  </si>
  <si>
    <t>0.110***</t>
  </si>
  <si>
    <t>0.126***</t>
  </si>
  <si>
    <t>0.122***</t>
  </si>
  <si>
    <t>0.132***</t>
  </si>
  <si>
    <t>0.447***</t>
  </si>
  <si>
    <t>0.125***</t>
  </si>
  <si>
    <t>0.057***</t>
  </si>
  <si>
    <t>0.029***</t>
  </si>
  <si>
    <t>0.090***</t>
  </si>
  <si>
    <t>0.063***</t>
  </si>
  <si>
    <t>-0.079***</t>
  </si>
  <si>
    <t>-0.052***</t>
  </si>
  <si>
    <t>-0.037***</t>
  </si>
  <si>
    <t>0.151***</t>
  </si>
  <si>
    <t>-0.029***</t>
  </si>
  <si>
    <t>-0.078***</t>
  </si>
  <si>
    <t>0.134***</t>
  </si>
  <si>
    <t>0.010***</t>
  </si>
  <si>
    <t>-0.005***</t>
  </si>
  <si>
    <t>0.018***</t>
  </si>
  <si>
    <t>0.014***</t>
  </si>
  <si>
    <t>0.008***</t>
  </si>
  <si>
    <t>Year Fixed Effects</t>
  </si>
  <si>
    <t>Lat/Long Variables</t>
  </si>
  <si>
    <t>Total Beds</t>
  </si>
  <si>
    <t>Full Baths</t>
  </si>
  <si>
    <t>Half Baths</t>
  </si>
  <si>
    <t>2 Stories</t>
  </si>
  <si>
    <t>Multi-Story</t>
  </si>
  <si>
    <t>Total Square Footage</t>
  </si>
  <si>
    <t>Excellent Cond.</t>
  </si>
  <si>
    <t>Above Average Cond.</t>
  </si>
  <si>
    <t>Fair Cond.</t>
  </si>
  <si>
    <t>Split Level</t>
  </si>
  <si>
    <t>Low-Rise</t>
  </si>
  <si>
    <t>High-Rise</t>
  </si>
  <si>
    <t>Condo-Hotel</t>
  </si>
  <si>
    <t>Walk-Up</t>
  </si>
  <si>
    <t>Agriculture LUC</t>
  </si>
  <si>
    <t>High Denseity Apt. LUC</t>
  </si>
  <si>
    <t>Medium Density Apt. LUC</t>
  </si>
  <si>
    <t>Low Density Apt. LUC</t>
  </si>
  <si>
    <t>Business LUC</t>
  </si>
  <si>
    <t>Other LUC</t>
  </si>
  <si>
    <t>Resort LUC</t>
  </si>
  <si>
    <t>One Parking Spot</t>
  </si>
  <si>
    <t>Two Parking Spots</t>
  </si>
  <si>
    <t>Three Parking Spots</t>
  </si>
  <si>
    <t>Four Parking Spots</t>
  </si>
  <si>
    <t>5 or more Parking Spots</t>
  </si>
  <si>
    <t>HOA Fees</t>
  </si>
  <si>
    <t>Remodeled</t>
  </si>
  <si>
    <t>Number of Elevators</t>
  </si>
  <si>
    <t>Dist. To Beach (KM)</t>
  </si>
  <si>
    <t>Dist. To Park (KM)</t>
  </si>
  <si>
    <t>Dist. To Hospital (KM)</t>
  </si>
  <si>
    <t>Dist. To Airport (KM)</t>
  </si>
  <si>
    <t>Dist. To Elementry Sch. (KM)</t>
  </si>
  <si>
    <t>Dist. To Middle Sch. (KM)</t>
  </si>
  <si>
    <t>Dist. To High Sch. (KM)</t>
  </si>
  <si>
    <t>Percentage Black</t>
  </si>
  <si>
    <t>Percentage Asian</t>
  </si>
  <si>
    <t>Percentage Hawaiian</t>
  </si>
  <si>
    <t>Percent Owner Occupied</t>
  </si>
  <si>
    <t>Percent Occupied</t>
  </si>
  <si>
    <t>Varaible</t>
  </si>
  <si>
    <t>Linear OLS Estimates of natural log of sale price for full sample</t>
  </si>
  <si>
    <t>-----------------------</t>
  </si>
  <si>
    <t>0.040***</t>
  </si>
  <si>
    <t>0.054***</t>
  </si>
  <si>
    <t>0.094***</t>
  </si>
  <si>
    <t>0.137***</t>
  </si>
  <si>
    <t>0.135***</t>
  </si>
  <si>
    <t>-0.014***</t>
  </si>
  <si>
    <t>-0.099***</t>
  </si>
  <si>
    <t>-0.097***</t>
  </si>
  <si>
    <t>-0.030***</t>
  </si>
  <si>
    <t>-0.049***</t>
  </si>
  <si>
    <t>0.154***</t>
  </si>
  <si>
    <t>0.162***</t>
  </si>
  <si>
    <t>-0.027**</t>
  </si>
  <si>
    <t>-0.029*</t>
  </si>
  <si>
    <t>-0.070***</t>
  </si>
  <si>
    <t>-0.098***</t>
  </si>
  <si>
    <t>-0.045***</t>
  </si>
  <si>
    <t>0.013**</t>
  </si>
  <si>
    <t>0.199***</t>
  </si>
  <si>
    <t>-0.038***</t>
  </si>
  <si>
    <t>-0.074***</t>
  </si>
  <si>
    <t>0.583***</t>
  </si>
  <si>
    <t>0.599***</t>
  </si>
  <si>
    <t>0.589***</t>
  </si>
  <si>
    <t>0.570***</t>
  </si>
  <si>
    <t>0.019***</t>
  </si>
  <si>
    <t>0.258***</t>
  </si>
  <si>
    <t>=======================</t>
  </si>
  <si>
    <t>Single Family</t>
  </si>
  <si>
    <t>======================</t>
  </si>
  <si>
    <t>ln.r.close</t>
  </si>
  <si>
    <t>----------------------</t>
  </si>
  <si>
    <t>0.039***</t>
  </si>
  <si>
    <t>0.066***</t>
  </si>
  <si>
    <t>0.027**</t>
  </si>
  <si>
    <t>0.130***</t>
  </si>
  <si>
    <t>0.180**</t>
  </si>
  <si>
    <t>0.057*</t>
  </si>
  <si>
    <t>-0.035***</t>
  </si>
  <si>
    <t>0.050***</t>
  </si>
  <si>
    <t>0.060***</t>
  </si>
  <si>
    <t>0.084***</t>
  </si>
  <si>
    <t>0.023***</t>
  </si>
  <si>
    <t>-0.036***</t>
  </si>
  <si>
    <t>-0.031***</t>
  </si>
  <si>
    <t>-0.032***</t>
  </si>
  <si>
    <t>-0.008**</t>
  </si>
  <si>
    <t>-0.024***</t>
  </si>
  <si>
    <t>-0.020***</t>
  </si>
  <si>
    <t>-0.023***</t>
  </si>
  <si>
    <t>0.221***</t>
  </si>
  <si>
    <t>-0.096***</t>
  </si>
  <si>
    <t>-0.110***</t>
  </si>
  <si>
    <t>-0.020**</t>
  </si>
  <si>
    <t>-0.016**</t>
  </si>
  <si>
    <t>-0.034***</t>
  </si>
  <si>
    <t>0.102***</t>
  </si>
  <si>
    <t>0.030***</t>
  </si>
  <si>
    <t>0.136***</t>
  </si>
  <si>
    <t>0.500***</t>
  </si>
  <si>
    <t>0.219***</t>
  </si>
  <si>
    <t>-0.003***</t>
  </si>
  <si>
    <t>-0.002***</t>
  </si>
  <si>
    <t>0.033***</t>
  </si>
  <si>
    <t>Linear OLS Estimates with Robust Standard Errors</t>
  </si>
  <si>
    <t>Full</t>
  </si>
  <si>
    <t>Recent Sale</t>
  </si>
  <si>
    <t>First Sale</t>
  </si>
  <si>
    <t>Townhouse/Condo Units</t>
  </si>
  <si>
    <t>============================</t>
  </si>
  <si>
    <t>Depende</t>
  </si>
  <si>
    <t>nt variable:</t>
  </si>
  <si>
    <t>ln.</t>
  </si>
  <si>
    <t>r.close</t>
  </si>
  <si>
    <t>0.158***</t>
  </si>
  <si>
    <t>0.045***</t>
  </si>
  <si>
    <t>0.036***</t>
  </si>
  <si>
    <t>0.002***</t>
  </si>
  <si>
    <t>0.087***</t>
  </si>
  <si>
    <t>0.022***</t>
  </si>
  <si>
    <t>0.028***</t>
  </si>
  <si>
    <t>0.024***</t>
  </si>
  <si>
    <t>0.116***</t>
  </si>
  <si>
    <t>0.085***</t>
  </si>
  <si>
    <t>0.015***</t>
  </si>
  <si>
    <t>0.012**</t>
  </si>
  <si>
    <t>0.106***</t>
  </si>
  <si>
    <t>0.129***</t>
  </si>
  <si>
    <t>0.138***</t>
  </si>
  <si>
    <t>0.173***</t>
  </si>
  <si>
    <t>0.099***</t>
  </si>
  <si>
    <t>0.139***</t>
  </si>
  <si>
    <t>-0.071***</t>
  </si>
  <si>
    <t>0.074***</t>
  </si>
  <si>
    <t>-0.047***</t>
  </si>
  <si>
    <t>-0.042***</t>
  </si>
  <si>
    <t>-0.051***</t>
  </si>
  <si>
    <t>-0.076***</t>
  </si>
  <si>
    <t>0.004***</t>
  </si>
  <si>
    <t>0.005***</t>
  </si>
  <si>
    <t>-0.033***</t>
  </si>
  <si>
    <t>-0.061***</t>
  </si>
  <si>
    <t>0.156***</t>
  </si>
  <si>
    <t>0.115***</t>
  </si>
  <si>
    <t>0.076***</t>
  </si>
  <si>
    <t>-0.065***</t>
  </si>
  <si>
    <t>-0.069***</t>
  </si>
  <si>
    <t>0.017**</t>
  </si>
  <si>
    <t>-0.073***</t>
  </si>
  <si>
    <t>-0.041***</t>
  </si>
  <si>
    <t>0.327**</t>
  </si>
  <si>
    <t>0.241*</t>
  </si>
  <si>
    <t>0.081***</t>
  </si>
  <si>
    <t>0.050**</t>
  </si>
  <si>
    <t>0.118***</t>
  </si>
  <si>
    <t>0.109***</t>
  </si>
  <si>
    <t>0.148***</t>
  </si>
  <si>
    <t>0.155***</t>
  </si>
  <si>
    <t>0.150***</t>
  </si>
  <si>
    <t>-0.019***</t>
  </si>
  <si>
    <t>-0.082***</t>
  </si>
  <si>
    <t>0.001**</t>
  </si>
  <si>
    <t>-0.008***</t>
  </si>
  <si>
    <t>0.00002***</t>
  </si>
  <si>
    <t>12.871***</t>
  </si>
  <si>
    <t>AIC</t>
  </si>
  <si>
    <t>LogLike</t>
  </si>
  <si>
    <t>Single Family Unit</t>
  </si>
  <si>
    <t>ln</t>
  </si>
  <si>
    <t>.r.close</t>
  </si>
  <si>
    <t>0.021*</t>
  </si>
  <si>
    <t>0.019*</t>
  </si>
  <si>
    <t>0.020**</t>
  </si>
  <si>
    <t>0.041***</t>
  </si>
  <si>
    <t>0.128***</t>
  </si>
  <si>
    <t>0.123***</t>
  </si>
  <si>
    <t>0.096***</t>
  </si>
  <si>
    <t>0.035***</t>
  </si>
  <si>
    <t>0.091***</t>
  </si>
  <si>
    <t>0.047***</t>
  </si>
  <si>
    <t>-0.182***</t>
  </si>
  <si>
    <t>-0.106***</t>
  </si>
  <si>
    <t>-0.093***</t>
  </si>
  <si>
    <t>-0.087***</t>
  </si>
  <si>
    <t>-0.055***</t>
  </si>
  <si>
    <t>-0.016***</t>
  </si>
  <si>
    <t>0.196***</t>
  </si>
  <si>
    <t>0.146***</t>
  </si>
  <si>
    <t>-0.053***</t>
  </si>
  <si>
    <t>0.119***</t>
  </si>
  <si>
    <t>-0.058***</t>
  </si>
  <si>
    <t>-0.036**</t>
  </si>
  <si>
    <t>-0.102***</t>
  </si>
  <si>
    <t>-0.044***</t>
  </si>
  <si>
    <t>-0.012*</t>
  </si>
  <si>
    <t>-0.121***</t>
  </si>
  <si>
    <t>0.028**</t>
  </si>
  <si>
    <t>0.178***</t>
  </si>
  <si>
    <t>0.208***</t>
  </si>
  <si>
    <t>0.193***</t>
  </si>
  <si>
    <t>-0.034**</t>
  </si>
  <si>
    <t>-0.062***</t>
  </si>
  <si>
    <t>-0.067***</t>
  </si>
  <si>
    <t>-0.094***</t>
  </si>
  <si>
    <t>0.637***</t>
  </si>
  <si>
    <t>0.560***</t>
  </si>
  <si>
    <t>0.269***</t>
  </si>
  <si>
    <t>0.354***</t>
  </si>
  <si>
    <t>0.407***</t>
  </si>
  <si>
    <t>0.596***</t>
  </si>
  <si>
    <t>0.573***</t>
  </si>
  <si>
    <t>0.622***</t>
  </si>
  <si>
    <t>0.625***</t>
  </si>
  <si>
    <t>0.638***</t>
  </si>
  <si>
    <t>0.522***</t>
  </si>
  <si>
    <t>0.520***</t>
  </si>
  <si>
    <t>0.582***</t>
  </si>
  <si>
    <t>-0.0001***</t>
  </si>
  <si>
    <t>0.005**</t>
  </si>
  <si>
    <t>0.012***</t>
  </si>
  <si>
    <t>-0.064***</t>
  </si>
  <si>
    <t>-0.420***</t>
  </si>
  <si>
    <t>-0.144***</t>
  </si>
  <si>
    <t>-0.358***</t>
  </si>
  <si>
    <t>0.275***</t>
  </si>
  <si>
    <t>-0.668***</t>
  </si>
  <si>
    <t>13.516***</t>
  </si>
  <si>
    <t>13.414***</t>
  </si>
  <si>
    <t>12.963***</t>
  </si>
  <si>
    <t>12.420***</t>
  </si>
  <si>
    <t>-7.155***</t>
  </si>
  <si>
    <t>-5.948***</t>
  </si>
  <si>
    <t>0.580 (df = 50354)</t>
  </si>
  <si>
    <t>0.577 (df = 50346)</t>
  </si>
  <si>
    <t>0.350 (df = 50334)</t>
  </si>
  <si>
    <t>0.307 (df = 50310)</t>
  </si>
  <si>
    <t>0.267 (df = 50301)</t>
  </si>
  <si>
    <t>0.251 (df = 50296)</t>
  </si>
  <si>
    <t>221.498*** (df = 1; 50354)</t>
  </si>
  <si>
    <t>100.707*** (df = 9; 50346)</t>
  </si>
  <si>
    <t>4,209.904*** (df = 21; 50334)</t>
  </si>
  <si>
    <t>2,903.342*** (df = 45; 50310)</t>
  </si>
  <si>
    <t>3,509.575*** (df = 54; 50301)</t>
  </si>
  <si>
    <t>3,733.004*** (df = 59; 50296)</t>
  </si>
  <si>
    <t>======================================</t>
  </si>
  <si>
    <t>Dependent variable:</t>
  </si>
  <si>
    <t>--------------------------------------</t>
  </si>
  <si>
    <t>0.053***</t>
  </si>
  <si>
    <t>0.062***</t>
  </si>
  <si>
    <t>0.067***</t>
  </si>
  <si>
    <t>0.036**</t>
  </si>
  <si>
    <t>0.018*</t>
  </si>
  <si>
    <t>0.112***</t>
  </si>
  <si>
    <t>0.088***</t>
  </si>
  <si>
    <t>0.131***</t>
  </si>
  <si>
    <t>0.104***</t>
  </si>
  <si>
    <t>0.083***</t>
  </si>
  <si>
    <t>-0.021***</t>
  </si>
  <si>
    <t>0.238***</t>
  </si>
  <si>
    <t>0.241***</t>
  </si>
  <si>
    <t>0.098***</t>
  </si>
  <si>
    <t>0.073***</t>
  </si>
  <si>
    <t>-0.021**</t>
  </si>
  <si>
    <t>0.039*</t>
  </si>
  <si>
    <t>-0.140**</t>
  </si>
  <si>
    <t>-0.117**</t>
  </si>
  <si>
    <t>0.236***</t>
  </si>
  <si>
    <t>0.590***</t>
  </si>
  <si>
    <t>0.259***</t>
  </si>
  <si>
    <t>0.225***</t>
  </si>
  <si>
    <t>0.273***</t>
  </si>
  <si>
    <t>0.277***</t>
  </si>
  <si>
    <t>0.319***</t>
  </si>
  <si>
    <t>0.247***</t>
  </si>
  <si>
    <t>0.315***</t>
  </si>
  <si>
    <t>0.378***</t>
  </si>
  <si>
    <t>0.176***</t>
  </si>
  <si>
    <t>0.281***</t>
  </si>
  <si>
    <t>-0.166***</t>
  </si>
  <si>
    <t>0.011***</t>
  </si>
  <si>
    <t>0.006***</t>
  </si>
  <si>
    <t>-0.027***</t>
  </si>
  <si>
    <t>-0.002**</t>
  </si>
  <si>
    <t>-0.359***</t>
  </si>
  <si>
    <t>-0.167***</t>
  </si>
  <si>
    <t>0.271***</t>
  </si>
  <si>
    <t>-0.548***</t>
  </si>
  <si>
    <t>13.238***</t>
  </si>
  <si>
    <t>13.140***</t>
  </si>
  <si>
    <t>12.729***</t>
  </si>
  <si>
    <t>12.323***</t>
  </si>
  <si>
    <t>2.269*</t>
  </si>
  <si>
    <t>0.498 (df = 27392)</t>
  </si>
  <si>
    <t>0.495 (df = 27384)</t>
  </si>
  <si>
    <t>0.297 (df = 2737</t>
  </si>
  <si>
    <t>2)            0.263 (df = 27349)</t>
  </si>
  <si>
    <t>0.230 (df = 27340)</t>
  </si>
  <si>
    <t>0.217 (df = 27335)</t>
  </si>
  <si>
    <t>4.822** (df = 1; 27392)</t>
  </si>
  <si>
    <t>39.566*** (df = 9; 27384)</t>
  </si>
  <si>
    <t>2,376.136*** (df = 21</t>
  </si>
  <si>
    <t>; 27372) 1,612.308*** (df = 44; 27349)</t>
  </si>
  <si>
    <t>1,901.502*** (df = 53; 27340)</t>
  </si>
  <si>
    <t>2,028.969*** (df = 58; 27335)</t>
  </si>
  <si>
    <t>0.048**</t>
  </si>
  <si>
    <t>0.243***</t>
  </si>
  <si>
    <t>0.153***</t>
  </si>
  <si>
    <t>0.089***</t>
  </si>
  <si>
    <t>0.077***</t>
  </si>
  <si>
    <t>0.029**</t>
  </si>
  <si>
    <t>0.349**</t>
  </si>
  <si>
    <t>0.510***</t>
  </si>
  <si>
    <t>0.362***</t>
  </si>
  <si>
    <t>0.041*</t>
  </si>
  <si>
    <t>0.141***</t>
  </si>
  <si>
    <t>-0.249***</t>
  </si>
  <si>
    <t>-0.622***</t>
  </si>
  <si>
    <t>-0.746***</t>
  </si>
  <si>
    <t>13.846***</t>
  </si>
  <si>
    <t>13.679***</t>
  </si>
  <si>
    <t>13.084***</t>
  </si>
  <si>
    <t>-9.258***</t>
  </si>
  <si>
    <t>0.443 (df = 22960)</t>
  </si>
  <si>
    <t>0.429 (df = 22952)</t>
  </si>
  <si>
    <t>0.278 (df = 22940)</t>
  </si>
  <si>
    <t>0.275 (df = 22921)</t>
  </si>
  <si>
    <t>0.218 (df = 22912)</t>
  </si>
  <si>
    <t>0.204 (df = 22907)</t>
  </si>
  <si>
    <t>713.153*** (df = 1; 22960)</t>
  </si>
  <si>
    <t>254.632*** (df = 9; 22952)</t>
  </si>
  <si>
    <t>1,776.141*** (df = 21; 22940)</t>
  </si>
  <si>
    <t>964.442*** (df = 40; 22921)</t>
  </si>
  <si>
    <t>1,533.046*** (df = 49; 22912)</t>
  </si>
  <si>
    <t>1,643.434*** (df = 54; 22907)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</si>
</sst>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50">
    <xf numFmtId="0" fontId="0" fillId="0" borderId="0" xfId="0"/>
    <xf numFmtId="3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/>
    <xf numFmtId="0" fontId="5" fillId="0" borderId="1" xfId="0" applyFont="1" applyBorder="1"/>
    <xf numFmtId="0" fontId="5" fillId="0" borderId="1" xfId="0" quotePrefix="1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11" fontId="0" fillId="0" borderId="2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43" fontId="0" fillId="0" borderId="0" xfId="1" applyFont="1"/>
    <xf numFmtId="3" fontId="0" fillId="0" borderId="0" xfId="0" applyNumberFormat="1" applyAlignment="1">
      <alignment horizontal="center"/>
    </xf>
    <xf numFmtId="3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7" fillId="0" borderId="1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8" Type="http://schemas.openxmlformats.org/officeDocument/2006/relationships/worksheet" Target="worksheets/sheet8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F78BD-2186-436E-AEB3-368A6ACCD17F}">
  <sheetPr codeName="Sheet1"/>
  <dimension ref="A1:X88"/>
  <sheetViews>
    <sheetView workbookViewId="0">
      <selection activeCell="G6" sqref="G6:L6"/>
    </sheetView>
  </sheetViews>
  <sheetFormatPr defaultRowHeight="15" x14ac:dyDescent="0.25"/>
  <cols>
    <col min="1" max="1" width="30.7109375" bestFit="1" customWidth="1"/>
    <col min="2" max="2" width="6.5703125" bestFit="1" customWidth="1"/>
    <col min="3" max="5" width="11.7109375" bestFit="1" customWidth="1"/>
    <col min="6" max="6" width="12.7109375" bestFit="1" customWidth="1"/>
    <col min="7" max="7" width="30.7109375" bestFit="1" customWidth="1"/>
    <col min="8" max="8" width="6.5703125" bestFit="1" customWidth="1"/>
    <col min="9" max="11" width="11.7109375" bestFit="1" customWidth="1"/>
    <col min="12" max="12" width="12.710937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  <c r="S1" t="s">
        <v>0</v>
      </c>
    </row>
    <row r="2" spans="1:24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  <c r="S2" t="s">
        <v>6</v>
      </c>
    </row>
    <row r="3" spans="1:24" x14ac:dyDescent="0.25">
      <c r="A3" t="s">
        <v>10</v>
      </c>
      <c r="B3" s="1">
        <v>50356</v>
      </c>
      <c r="C3">
        <v>1.3180000000000001</v>
      </c>
      <c r="D3">
        <v>0.54900000000000004</v>
      </c>
      <c r="E3">
        <v>1</v>
      </c>
      <c r="F3">
        <v>5</v>
      </c>
      <c r="G3" t="s">
        <v>10</v>
      </c>
      <c r="H3" s="1">
        <v>29028</v>
      </c>
      <c r="I3">
        <v>1.3149999999999999</v>
      </c>
      <c r="J3">
        <v>0.54800000000000004</v>
      </c>
      <c r="K3">
        <v>1</v>
      </c>
      <c r="L3">
        <v>5</v>
      </c>
      <c r="M3" t="s">
        <v>10</v>
      </c>
      <c r="N3" s="1">
        <v>21328</v>
      </c>
      <c r="O3">
        <v>1.3220000000000001</v>
      </c>
      <c r="P3">
        <v>0.55000000000000004</v>
      </c>
      <c r="Q3">
        <v>1</v>
      </c>
      <c r="R3">
        <v>5</v>
      </c>
      <c r="S3" t="s">
        <v>10</v>
      </c>
      <c r="T3" s="1"/>
    </row>
    <row r="4" spans="1:24" x14ac:dyDescent="0.25">
      <c r="A4" t="s">
        <v>11</v>
      </c>
      <c r="B4" s="1">
        <v>50356</v>
      </c>
      <c r="C4">
        <v>0.42399999999999999</v>
      </c>
      <c r="D4">
        <v>0.49399999999999999</v>
      </c>
      <c r="E4">
        <v>0</v>
      </c>
      <c r="F4">
        <v>1</v>
      </c>
      <c r="G4" t="s">
        <v>11</v>
      </c>
      <c r="H4" s="1">
        <v>29028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21328</v>
      </c>
      <c r="O4">
        <v>1</v>
      </c>
      <c r="P4">
        <v>0</v>
      </c>
      <c r="Q4">
        <v>1</v>
      </c>
      <c r="R4">
        <v>1</v>
      </c>
      <c r="S4" t="s">
        <v>11</v>
      </c>
      <c r="T4" s="1"/>
    </row>
    <row r="5" spans="1:24" x14ac:dyDescent="0.25">
      <c r="A5" t="s">
        <v>12</v>
      </c>
      <c r="B5" s="1">
        <v>50356</v>
      </c>
      <c r="C5">
        <v>0.375</v>
      </c>
      <c r="D5">
        <v>0.48399999999999999</v>
      </c>
      <c r="E5">
        <v>0</v>
      </c>
      <c r="F5">
        <v>1</v>
      </c>
      <c r="G5" t="s">
        <v>12</v>
      </c>
      <c r="H5" s="1">
        <v>29028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21328</v>
      </c>
      <c r="O5">
        <v>0.88400000000000001</v>
      </c>
      <c r="P5">
        <v>0.32</v>
      </c>
      <c r="Q5">
        <v>0</v>
      </c>
      <c r="R5">
        <v>1</v>
      </c>
      <c r="S5" t="s">
        <v>12</v>
      </c>
      <c r="T5" s="1"/>
    </row>
    <row r="6" spans="1:24" x14ac:dyDescent="0.25">
      <c r="A6" t="s">
        <v>36</v>
      </c>
      <c r="B6" s="1">
        <v>21328</v>
      </c>
      <c r="C6">
        <v>301.74599999999998</v>
      </c>
      <c r="D6">
        <v>558.98599999999999</v>
      </c>
      <c r="E6">
        <v>0</v>
      </c>
      <c r="F6" s="1">
        <v>4021</v>
      </c>
      <c r="H6" s="1"/>
      <c r="M6" t="s">
        <v>36</v>
      </c>
      <c r="N6" s="1">
        <v>21328</v>
      </c>
      <c r="O6">
        <v>301.74599999999998</v>
      </c>
      <c r="P6">
        <v>558.98599999999999</v>
      </c>
      <c r="Q6">
        <v>0</v>
      </c>
      <c r="R6" s="1">
        <v>4021</v>
      </c>
      <c r="S6" t="s">
        <v>36</v>
      </c>
      <c r="T6" s="1"/>
      <c r="X6" s="1"/>
    </row>
    <row r="7" spans="1:24" x14ac:dyDescent="0.25">
      <c r="A7" t="s">
        <v>13</v>
      </c>
      <c r="B7" s="1">
        <v>50356</v>
      </c>
      <c r="C7">
        <v>1.9079999999999999</v>
      </c>
      <c r="D7">
        <v>0.89200000000000002</v>
      </c>
      <c r="E7">
        <v>0</v>
      </c>
      <c r="F7">
        <v>17</v>
      </c>
      <c r="G7" t="s">
        <v>13</v>
      </c>
      <c r="H7" s="1">
        <v>29028</v>
      </c>
      <c r="I7">
        <v>1.893</v>
      </c>
      <c r="J7">
        <v>0.86599999999999999</v>
      </c>
      <c r="K7">
        <v>0</v>
      </c>
      <c r="L7">
        <v>17</v>
      </c>
      <c r="M7" t="s">
        <v>13</v>
      </c>
      <c r="N7" s="1">
        <v>21328</v>
      </c>
      <c r="O7">
        <v>1.929</v>
      </c>
      <c r="P7">
        <v>0.92600000000000005</v>
      </c>
      <c r="Q7">
        <v>0</v>
      </c>
      <c r="R7">
        <v>15</v>
      </c>
      <c r="S7" t="s">
        <v>13</v>
      </c>
      <c r="T7" s="1"/>
    </row>
    <row r="8" spans="1:24" x14ac:dyDescent="0.25">
      <c r="A8" t="s">
        <v>14</v>
      </c>
      <c r="B8" s="1">
        <v>50356</v>
      </c>
      <c r="C8">
        <v>0.27600000000000002</v>
      </c>
      <c r="D8">
        <v>0.46800000000000003</v>
      </c>
      <c r="E8">
        <v>0</v>
      </c>
      <c r="F8">
        <v>5</v>
      </c>
      <c r="G8" t="s">
        <v>14</v>
      </c>
      <c r="H8" s="1">
        <v>29028</v>
      </c>
      <c r="I8">
        <v>0.27900000000000003</v>
      </c>
      <c r="J8">
        <v>0.46600000000000003</v>
      </c>
      <c r="K8">
        <v>0</v>
      </c>
      <c r="L8">
        <v>5</v>
      </c>
      <c r="M8" t="s">
        <v>14</v>
      </c>
      <c r="N8" s="1">
        <v>21328</v>
      </c>
      <c r="O8">
        <v>0.27300000000000002</v>
      </c>
      <c r="P8">
        <v>0.47099999999999997</v>
      </c>
      <c r="Q8">
        <v>0</v>
      </c>
      <c r="R8">
        <v>5</v>
      </c>
      <c r="S8" t="s">
        <v>14</v>
      </c>
      <c r="T8" s="1"/>
    </row>
    <row r="9" spans="1:24" x14ac:dyDescent="0.25">
      <c r="A9" t="s">
        <v>15</v>
      </c>
      <c r="B9" s="1">
        <v>50356</v>
      </c>
      <c r="C9">
        <v>2.7189999999999999</v>
      </c>
      <c r="D9">
        <v>1.458</v>
      </c>
      <c r="E9">
        <v>0</v>
      </c>
      <c r="F9" s="1">
        <v>25</v>
      </c>
      <c r="G9" t="s">
        <v>15</v>
      </c>
      <c r="H9" s="1">
        <v>29028</v>
      </c>
      <c r="I9">
        <v>2.7029999999999998</v>
      </c>
      <c r="J9">
        <v>1.419</v>
      </c>
      <c r="K9">
        <v>0</v>
      </c>
      <c r="L9">
        <v>18</v>
      </c>
      <c r="M9" t="s">
        <v>15</v>
      </c>
      <c r="N9" s="1">
        <v>21328</v>
      </c>
      <c r="O9">
        <v>2.74</v>
      </c>
      <c r="P9">
        <v>1.5089999999999999</v>
      </c>
      <c r="Q9">
        <v>0</v>
      </c>
      <c r="R9" s="1">
        <v>25</v>
      </c>
      <c r="S9" t="s">
        <v>15</v>
      </c>
      <c r="T9" s="1"/>
    </row>
    <row r="10" spans="1:24" x14ac:dyDescent="0.25">
      <c r="A10" t="s">
        <v>16</v>
      </c>
      <c r="B10" s="1">
        <v>50356</v>
      </c>
      <c r="C10">
        <v>44.360999999999997</v>
      </c>
      <c r="D10">
        <v>58.826000000000001</v>
      </c>
      <c r="E10">
        <v>0</v>
      </c>
      <c r="F10" s="1">
        <v>1402</v>
      </c>
      <c r="G10" t="s">
        <v>16</v>
      </c>
      <c r="H10" s="1">
        <v>29028</v>
      </c>
      <c r="I10">
        <v>51.113</v>
      </c>
      <c r="J10">
        <v>59.034999999999997</v>
      </c>
      <c r="K10">
        <v>0</v>
      </c>
      <c r="L10" s="1">
        <v>1402</v>
      </c>
      <c r="M10" t="s">
        <v>16</v>
      </c>
      <c r="N10" s="1">
        <v>21328</v>
      </c>
      <c r="O10">
        <v>35.171999999999997</v>
      </c>
      <c r="P10">
        <v>57.276000000000003</v>
      </c>
      <c r="Q10">
        <v>0</v>
      </c>
      <c r="R10" s="1">
        <v>946</v>
      </c>
      <c r="S10" t="s">
        <v>16</v>
      </c>
      <c r="T10" s="1"/>
    </row>
    <row r="11" spans="1:24" x14ac:dyDescent="0.25">
      <c r="A11" t="s">
        <v>163</v>
      </c>
      <c r="B11" s="1">
        <v>50356</v>
      </c>
      <c r="C11" s="2">
        <v>1330.5840000000001</v>
      </c>
      <c r="D11">
        <v>831.46199999999999</v>
      </c>
      <c r="E11">
        <v>120</v>
      </c>
      <c r="F11" s="1">
        <v>17408</v>
      </c>
      <c r="G11" t="s">
        <v>163</v>
      </c>
      <c r="H11" s="1">
        <v>29028</v>
      </c>
      <c r="I11" s="2">
        <v>1319.2339999999999</v>
      </c>
      <c r="J11">
        <v>805.04100000000005</v>
      </c>
      <c r="K11">
        <v>160</v>
      </c>
      <c r="L11" s="1">
        <v>17408</v>
      </c>
      <c r="M11" t="s">
        <v>163</v>
      </c>
      <c r="N11" s="1">
        <v>21328</v>
      </c>
      <c r="O11" s="2">
        <v>1346.0319999999999</v>
      </c>
      <c r="P11" s="2">
        <v>865.90800000000002</v>
      </c>
      <c r="Q11">
        <v>120</v>
      </c>
      <c r="R11" s="1">
        <v>16703</v>
      </c>
      <c r="S11" t="s">
        <v>163</v>
      </c>
      <c r="T11" s="1"/>
      <c r="X11" s="1"/>
    </row>
    <row r="12" spans="1:24" x14ac:dyDescent="0.25">
      <c r="A12" t="s">
        <v>17</v>
      </c>
      <c r="B12" s="1">
        <v>50356</v>
      </c>
      <c r="C12" s="2">
        <v>164.86199999999999</v>
      </c>
      <c r="D12" s="2">
        <v>229.84200000000001</v>
      </c>
      <c r="E12" s="2">
        <v>0</v>
      </c>
      <c r="F12" s="2">
        <v>5000</v>
      </c>
      <c r="G12" t="s">
        <v>17</v>
      </c>
      <c r="H12" s="1">
        <v>29028</v>
      </c>
      <c r="I12" s="2">
        <v>162.64699999999999</v>
      </c>
      <c r="J12">
        <v>229.69300000000001</v>
      </c>
      <c r="K12">
        <v>0</v>
      </c>
      <c r="L12" s="1">
        <v>5000</v>
      </c>
      <c r="M12" t="s">
        <v>17</v>
      </c>
      <c r="N12" s="1">
        <v>21328</v>
      </c>
      <c r="O12" s="2">
        <v>167.875</v>
      </c>
      <c r="P12" s="2">
        <v>230.01599999999999</v>
      </c>
      <c r="Q12" s="2">
        <v>0</v>
      </c>
      <c r="R12" s="2">
        <v>3200</v>
      </c>
      <c r="S12" t="s">
        <v>17</v>
      </c>
      <c r="T12" s="1"/>
      <c r="X12" s="1"/>
    </row>
    <row r="13" spans="1:24" x14ac:dyDescent="0.25">
      <c r="A13" t="s">
        <v>19</v>
      </c>
      <c r="B13" s="1">
        <v>50356</v>
      </c>
      <c r="C13" s="2">
        <v>939461.3</v>
      </c>
      <c r="D13" s="2">
        <v>877392</v>
      </c>
      <c r="E13" s="2">
        <v>85418.51</v>
      </c>
      <c r="F13" s="2">
        <v>28197546</v>
      </c>
      <c r="G13" t="s">
        <v>19</v>
      </c>
      <c r="H13" s="1">
        <v>29028</v>
      </c>
      <c r="I13" s="2">
        <v>905079.7</v>
      </c>
      <c r="J13" s="2">
        <v>841412.6</v>
      </c>
      <c r="K13" s="2">
        <v>99684.44</v>
      </c>
      <c r="L13" s="1">
        <v>28197546</v>
      </c>
      <c r="M13" t="s">
        <v>19</v>
      </c>
      <c r="N13" s="1">
        <v>21328</v>
      </c>
      <c r="O13" s="2">
        <v>986255.6</v>
      </c>
      <c r="P13" s="2">
        <v>922075.5</v>
      </c>
      <c r="Q13" s="2">
        <v>85418.51</v>
      </c>
      <c r="R13" s="2">
        <v>22166108</v>
      </c>
      <c r="S13" t="s">
        <v>19</v>
      </c>
      <c r="T13" s="1"/>
      <c r="U13" s="2"/>
      <c r="V13" s="2"/>
      <c r="W13" s="2"/>
      <c r="X13" s="2"/>
    </row>
    <row r="14" spans="1:24" x14ac:dyDescent="0.25">
      <c r="A14" t="s">
        <v>20</v>
      </c>
      <c r="B14" s="1">
        <v>50356</v>
      </c>
      <c r="C14" s="2">
        <v>928497.8</v>
      </c>
      <c r="D14" s="2">
        <v>827907.2</v>
      </c>
      <c r="E14" s="2">
        <v>85418.51</v>
      </c>
      <c r="F14" s="2">
        <v>28197546</v>
      </c>
      <c r="G14" t="s">
        <v>20</v>
      </c>
      <c r="H14" s="1">
        <v>29028</v>
      </c>
      <c r="I14" s="2">
        <v>887358.6</v>
      </c>
      <c r="J14" s="2">
        <v>790027.4</v>
      </c>
      <c r="K14" s="2">
        <v>118448.6</v>
      </c>
      <c r="L14" s="1">
        <v>28197546</v>
      </c>
      <c r="M14" t="s">
        <v>20</v>
      </c>
      <c r="N14" s="1">
        <v>21328</v>
      </c>
      <c r="O14" s="2">
        <v>984489.4</v>
      </c>
      <c r="P14" s="2">
        <v>873749.4</v>
      </c>
      <c r="Q14" s="2">
        <v>85418.51</v>
      </c>
      <c r="R14" s="2">
        <v>22166108</v>
      </c>
      <c r="S14" t="s">
        <v>20</v>
      </c>
      <c r="T14" s="1"/>
      <c r="U14" s="2"/>
      <c r="V14" s="2"/>
      <c r="W14" s="2"/>
      <c r="X14" s="2"/>
    </row>
    <row r="15" spans="1:24" x14ac:dyDescent="0.25">
      <c r="A15" t="s">
        <v>190</v>
      </c>
      <c r="B15" s="1">
        <v>50356</v>
      </c>
      <c r="C15" s="2">
        <v>8954.7279999999992</v>
      </c>
      <c r="D15" s="2">
        <v>89060.98</v>
      </c>
      <c r="E15" s="2">
        <v>-2010000</v>
      </c>
      <c r="F15" s="2">
        <v>6900000</v>
      </c>
      <c r="G15" t="s">
        <v>190</v>
      </c>
      <c r="H15" s="1">
        <v>29028</v>
      </c>
      <c r="I15" s="2">
        <v>14558.51</v>
      </c>
      <c r="J15" s="2">
        <v>68477.86</v>
      </c>
      <c r="K15" s="2">
        <v>-1850000</v>
      </c>
      <c r="L15" s="1">
        <v>2950000</v>
      </c>
      <c r="M15" t="s">
        <v>190</v>
      </c>
      <c r="N15" s="1">
        <v>21328</v>
      </c>
      <c r="O15" s="2">
        <v>1327.8240000000001</v>
      </c>
      <c r="P15" s="2">
        <v>110655.8</v>
      </c>
      <c r="Q15" s="2">
        <v>-2010000</v>
      </c>
      <c r="R15" s="2">
        <v>6900000</v>
      </c>
      <c r="S15" t="s">
        <v>190</v>
      </c>
      <c r="T15" s="1"/>
      <c r="U15" s="2"/>
      <c r="V15" s="2"/>
      <c r="W15" s="1"/>
      <c r="X15" s="1"/>
    </row>
    <row r="16" spans="1:24" x14ac:dyDescent="0.25">
      <c r="A16" t="s">
        <v>21</v>
      </c>
      <c r="B16" s="1">
        <v>50356</v>
      </c>
      <c r="C16">
        <v>1.2999999999999999E-2</v>
      </c>
      <c r="D16">
        <v>0.112</v>
      </c>
      <c r="E16">
        <v>0</v>
      </c>
      <c r="F16">
        <v>1</v>
      </c>
      <c r="G16" t="s">
        <v>21</v>
      </c>
      <c r="H16" s="1">
        <v>29028</v>
      </c>
      <c r="I16" s="2">
        <v>1.0999999999999999E-2</v>
      </c>
      <c r="J16" s="2">
        <v>0.106</v>
      </c>
      <c r="K16" s="2">
        <v>0</v>
      </c>
      <c r="L16" s="1">
        <v>1</v>
      </c>
      <c r="M16" t="s">
        <v>21</v>
      </c>
      <c r="N16" s="1">
        <v>21328</v>
      </c>
      <c r="O16">
        <v>1.4E-2</v>
      </c>
      <c r="P16">
        <v>0.11899999999999999</v>
      </c>
      <c r="Q16">
        <v>0</v>
      </c>
      <c r="R16">
        <v>1</v>
      </c>
      <c r="S16" t="s">
        <v>21</v>
      </c>
      <c r="T16" s="1"/>
    </row>
    <row r="17" spans="1:24" x14ac:dyDescent="0.25">
      <c r="A17" t="s">
        <v>22</v>
      </c>
      <c r="B17" s="1">
        <v>50356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29028</v>
      </c>
      <c r="I17" s="2">
        <v>3.5999999999999997E-2</v>
      </c>
      <c r="J17" s="2">
        <v>0.187</v>
      </c>
      <c r="K17" s="2">
        <v>0</v>
      </c>
      <c r="L17" s="2">
        <v>1</v>
      </c>
      <c r="M17" t="s">
        <v>22</v>
      </c>
      <c r="N17" s="1">
        <v>21328</v>
      </c>
      <c r="O17">
        <v>3.5999999999999997E-2</v>
      </c>
      <c r="P17">
        <v>0.185</v>
      </c>
      <c r="Q17">
        <v>0</v>
      </c>
      <c r="R17">
        <v>1</v>
      </c>
      <c r="S17" t="s">
        <v>22</v>
      </c>
      <c r="T17" s="1"/>
    </row>
    <row r="18" spans="1:24" x14ac:dyDescent="0.25">
      <c r="A18" t="s">
        <v>23</v>
      </c>
      <c r="B18" s="1">
        <v>50356</v>
      </c>
      <c r="C18">
        <v>7.0000000000000001E-3</v>
      </c>
      <c r="D18">
        <v>8.5999999999999993E-2</v>
      </c>
      <c r="E18">
        <v>0</v>
      </c>
      <c r="F18">
        <v>1</v>
      </c>
      <c r="G18" t="s">
        <v>23</v>
      </c>
      <c r="H18" s="1">
        <v>29028</v>
      </c>
      <c r="I18" s="2">
        <v>8.0000000000000002E-3</v>
      </c>
      <c r="J18" s="2">
        <v>8.7999999999999995E-2</v>
      </c>
      <c r="K18" s="2">
        <v>0</v>
      </c>
      <c r="L18" s="2">
        <v>1</v>
      </c>
      <c r="M18" t="s">
        <v>23</v>
      </c>
      <c r="N18" s="1">
        <v>21328</v>
      </c>
      <c r="O18">
        <v>7.0000000000000001E-3</v>
      </c>
      <c r="P18">
        <v>8.3000000000000004E-2</v>
      </c>
      <c r="Q18">
        <v>0</v>
      </c>
      <c r="R18">
        <v>1</v>
      </c>
      <c r="S18" t="s">
        <v>23</v>
      </c>
      <c r="T18" s="1"/>
    </row>
    <row r="19" spans="1:24" x14ac:dyDescent="0.25">
      <c r="A19" t="s">
        <v>24</v>
      </c>
      <c r="B19" s="1">
        <v>50356</v>
      </c>
      <c r="C19">
        <v>9.1999999999999998E-2</v>
      </c>
      <c r="D19">
        <v>0.28899999999999998</v>
      </c>
      <c r="E19">
        <v>0</v>
      </c>
      <c r="F19">
        <v>1</v>
      </c>
      <c r="G19" t="s">
        <v>24</v>
      </c>
      <c r="H19" s="1">
        <v>29028</v>
      </c>
      <c r="I19">
        <v>9.5000000000000001E-2</v>
      </c>
      <c r="J19">
        <v>0.29299999999999998</v>
      </c>
      <c r="K19">
        <v>0</v>
      </c>
      <c r="L19">
        <v>1</v>
      </c>
      <c r="M19" t="s">
        <v>24</v>
      </c>
      <c r="N19" s="1">
        <v>21328</v>
      </c>
      <c r="O19">
        <v>8.7999999999999995E-2</v>
      </c>
      <c r="P19">
        <v>0.28299999999999997</v>
      </c>
      <c r="Q19">
        <v>0</v>
      </c>
      <c r="R19">
        <v>1</v>
      </c>
      <c r="S19" t="s">
        <v>24</v>
      </c>
      <c r="T19" s="1"/>
    </row>
    <row r="20" spans="1:24" x14ac:dyDescent="0.25">
      <c r="A20" t="s">
        <v>25</v>
      </c>
      <c r="B20" s="1">
        <v>50356</v>
      </c>
      <c r="C20">
        <v>0.28100000000000003</v>
      </c>
      <c r="D20">
        <v>0.45</v>
      </c>
      <c r="E20">
        <v>0</v>
      </c>
      <c r="F20">
        <v>1</v>
      </c>
      <c r="G20" t="s">
        <v>25</v>
      </c>
      <c r="H20" s="1">
        <v>29028</v>
      </c>
      <c r="I20">
        <v>0.27400000000000002</v>
      </c>
      <c r="J20">
        <v>0.44600000000000001</v>
      </c>
      <c r="K20">
        <v>0</v>
      </c>
      <c r="L20">
        <v>1</v>
      </c>
      <c r="M20" t="s">
        <v>25</v>
      </c>
      <c r="N20" s="1">
        <v>21328</v>
      </c>
      <c r="O20">
        <v>0.29099999999999998</v>
      </c>
      <c r="P20">
        <v>0.45400000000000001</v>
      </c>
      <c r="Q20">
        <v>0</v>
      </c>
      <c r="R20">
        <v>1</v>
      </c>
      <c r="S20" t="s">
        <v>25</v>
      </c>
      <c r="T20" s="1"/>
    </row>
    <row r="21" spans="1:24" x14ac:dyDescent="0.25">
      <c r="A21" t="s">
        <v>26</v>
      </c>
      <c r="B21" s="1">
        <v>50356</v>
      </c>
      <c r="C21">
        <v>0.17199999999999999</v>
      </c>
      <c r="D21">
        <v>0.377</v>
      </c>
      <c r="E21">
        <v>0</v>
      </c>
      <c r="F21">
        <v>1</v>
      </c>
      <c r="G21" t="s">
        <v>26</v>
      </c>
      <c r="H21" s="1">
        <v>29028</v>
      </c>
      <c r="I21">
        <v>0.17599999999999999</v>
      </c>
      <c r="J21">
        <v>0.38100000000000001</v>
      </c>
      <c r="K21">
        <v>0</v>
      </c>
      <c r="L21">
        <v>1</v>
      </c>
      <c r="M21" t="s">
        <v>26</v>
      </c>
      <c r="N21" s="1">
        <v>21328</v>
      </c>
      <c r="O21">
        <v>0.16600000000000001</v>
      </c>
      <c r="P21">
        <v>0.372</v>
      </c>
      <c r="Q21">
        <v>0</v>
      </c>
      <c r="R21">
        <v>1</v>
      </c>
      <c r="S21" t="s">
        <v>26</v>
      </c>
      <c r="T21" s="1"/>
    </row>
    <row r="22" spans="1:24" x14ac:dyDescent="0.25">
      <c r="A22" t="s">
        <v>27</v>
      </c>
      <c r="B22" s="1">
        <v>50356</v>
      </c>
      <c r="C22">
        <v>3.5000000000000003E-2</v>
      </c>
      <c r="D22">
        <v>0.184</v>
      </c>
      <c r="E22">
        <v>0</v>
      </c>
      <c r="F22">
        <v>1</v>
      </c>
      <c r="G22" t="s">
        <v>27</v>
      </c>
      <c r="H22" s="1">
        <v>29028</v>
      </c>
      <c r="I22">
        <v>3.5999999999999997E-2</v>
      </c>
      <c r="J22">
        <v>0.186</v>
      </c>
      <c r="K22">
        <v>0</v>
      </c>
      <c r="L22">
        <v>1</v>
      </c>
      <c r="M22" t="s">
        <v>27</v>
      </c>
      <c r="N22" s="1">
        <v>21328</v>
      </c>
      <c r="O22">
        <v>3.4000000000000002E-2</v>
      </c>
      <c r="P22">
        <v>0.18099999999999999</v>
      </c>
      <c r="Q22">
        <v>0</v>
      </c>
      <c r="R22">
        <v>1</v>
      </c>
      <c r="S22" t="s">
        <v>27</v>
      </c>
      <c r="T22" s="1"/>
    </row>
    <row r="23" spans="1:24" x14ac:dyDescent="0.25">
      <c r="A23" t="s">
        <v>28</v>
      </c>
      <c r="B23" s="1">
        <v>50356</v>
      </c>
      <c r="C23">
        <v>0.42099999999999999</v>
      </c>
      <c r="D23">
        <v>0.49399999999999999</v>
      </c>
      <c r="E23">
        <v>0</v>
      </c>
      <c r="F23">
        <v>1</v>
      </c>
      <c r="G23" t="s">
        <v>28</v>
      </c>
      <c r="H23" s="1">
        <v>29028</v>
      </c>
      <c r="I23">
        <v>0.42099999999999999</v>
      </c>
      <c r="J23">
        <v>0.49399999999999999</v>
      </c>
      <c r="K23">
        <v>0</v>
      </c>
      <c r="L23">
        <v>1</v>
      </c>
      <c r="M23" t="s">
        <v>28</v>
      </c>
      <c r="N23" s="1">
        <v>21328</v>
      </c>
      <c r="O23">
        <v>0.42</v>
      </c>
      <c r="P23">
        <v>0.49399999999999999</v>
      </c>
      <c r="Q23">
        <v>0</v>
      </c>
      <c r="R23">
        <v>1</v>
      </c>
      <c r="S23" t="s">
        <v>28</v>
      </c>
      <c r="T23" s="1"/>
    </row>
    <row r="24" spans="1:24" x14ac:dyDescent="0.25">
      <c r="A24" t="s">
        <v>29</v>
      </c>
      <c r="B24" s="1">
        <v>50356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29028</v>
      </c>
      <c r="I24">
        <v>8.9999999999999993E-3</v>
      </c>
      <c r="J24">
        <v>9.5000000000000001E-2</v>
      </c>
      <c r="K24">
        <v>0</v>
      </c>
      <c r="L24">
        <v>1</v>
      </c>
      <c r="M24" t="s">
        <v>29</v>
      </c>
      <c r="N24" s="1">
        <v>21328</v>
      </c>
      <c r="O24">
        <v>8.0000000000000002E-3</v>
      </c>
      <c r="P24">
        <v>8.8999999999999996E-2</v>
      </c>
      <c r="Q24">
        <v>0</v>
      </c>
      <c r="R24">
        <v>1</v>
      </c>
      <c r="S24" t="s">
        <v>29</v>
      </c>
      <c r="T24" s="1"/>
    </row>
    <row r="25" spans="1:24" x14ac:dyDescent="0.25">
      <c r="A25" t="s">
        <v>30</v>
      </c>
      <c r="B25" s="1">
        <v>50356</v>
      </c>
      <c r="C25">
        <v>1.7999999999999999E-2</v>
      </c>
      <c r="D25">
        <v>0.13200000000000001</v>
      </c>
      <c r="E25">
        <v>0</v>
      </c>
      <c r="F25">
        <v>1</v>
      </c>
      <c r="G25" t="s">
        <v>30</v>
      </c>
      <c r="H25" s="1">
        <v>29028</v>
      </c>
      <c r="I25">
        <v>1.4999999999999999E-2</v>
      </c>
      <c r="J25">
        <v>0.123</v>
      </c>
      <c r="K25">
        <v>0</v>
      </c>
      <c r="L25">
        <v>1</v>
      </c>
      <c r="M25" t="s">
        <v>30</v>
      </c>
      <c r="N25" s="1">
        <v>21328</v>
      </c>
      <c r="O25">
        <v>2.1000000000000001E-2</v>
      </c>
      <c r="P25">
        <v>0.14299999999999999</v>
      </c>
      <c r="Q25">
        <v>0</v>
      </c>
      <c r="R25">
        <v>1</v>
      </c>
      <c r="S25" t="s">
        <v>30</v>
      </c>
      <c r="T25" s="1"/>
    </row>
    <row r="26" spans="1:24" x14ac:dyDescent="0.25">
      <c r="A26" t="s">
        <v>31</v>
      </c>
      <c r="B26" s="1">
        <v>50356</v>
      </c>
      <c r="C26">
        <v>4.4999999999999998E-2</v>
      </c>
      <c r="D26">
        <v>0.20699999999999999</v>
      </c>
      <c r="E26">
        <v>0</v>
      </c>
      <c r="F26">
        <v>1</v>
      </c>
      <c r="G26" t="s">
        <v>31</v>
      </c>
      <c r="H26" s="1">
        <v>29028</v>
      </c>
      <c r="I26">
        <v>4.5999999999999999E-2</v>
      </c>
      <c r="J26">
        <v>0.21</v>
      </c>
      <c r="K26">
        <v>0</v>
      </c>
      <c r="L26">
        <v>1</v>
      </c>
      <c r="M26" t="s">
        <v>31</v>
      </c>
      <c r="N26" s="1">
        <v>21328</v>
      </c>
      <c r="O26">
        <v>4.2999999999999997E-2</v>
      </c>
      <c r="P26">
        <v>0.20300000000000001</v>
      </c>
      <c r="Q26">
        <v>0</v>
      </c>
      <c r="R26">
        <v>1</v>
      </c>
      <c r="S26" t="s">
        <v>31</v>
      </c>
      <c r="T26" s="1"/>
    </row>
    <row r="27" spans="1:24" x14ac:dyDescent="0.25">
      <c r="A27" t="s">
        <v>32</v>
      </c>
      <c r="B27" s="1">
        <v>50356</v>
      </c>
      <c r="C27">
        <v>0.45700000000000002</v>
      </c>
      <c r="D27">
        <v>0.498</v>
      </c>
      <c r="E27">
        <v>0</v>
      </c>
      <c r="F27">
        <v>1</v>
      </c>
      <c r="G27" t="s">
        <v>32</v>
      </c>
      <c r="H27" s="1">
        <v>29028</v>
      </c>
      <c r="I27">
        <v>0.45700000000000002</v>
      </c>
      <c r="J27">
        <v>0.498</v>
      </c>
      <c r="K27">
        <v>0</v>
      </c>
      <c r="L27">
        <v>1</v>
      </c>
      <c r="M27" t="s">
        <v>32</v>
      </c>
      <c r="N27" s="1">
        <v>21328</v>
      </c>
      <c r="O27">
        <v>0.45600000000000002</v>
      </c>
      <c r="P27">
        <v>0.498</v>
      </c>
      <c r="Q27">
        <v>0</v>
      </c>
      <c r="R27">
        <v>1</v>
      </c>
      <c r="S27" t="s">
        <v>32</v>
      </c>
      <c r="T27" s="1"/>
    </row>
    <row r="28" spans="1:24" x14ac:dyDescent="0.25">
      <c r="A28" t="s">
        <v>33</v>
      </c>
      <c r="B28" s="1">
        <v>50356</v>
      </c>
      <c r="C28">
        <v>36.901000000000003</v>
      </c>
      <c r="D28">
        <v>19.658000000000001</v>
      </c>
      <c r="E28">
        <v>0</v>
      </c>
      <c r="F28">
        <v>123</v>
      </c>
      <c r="G28" t="s">
        <v>33</v>
      </c>
      <c r="H28" s="1">
        <v>29028</v>
      </c>
      <c r="I28">
        <v>35.243000000000002</v>
      </c>
      <c r="J28">
        <v>19.327000000000002</v>
      </c>
      <c r="K28">
        <v>0</v>
      </c>
      <c r="L28">
        <v>112</v>
      </c>
      <c r="M28" t="s">
        <v>33</v>
      </c>
      <c r="N28" s="1">
        <v>21328</v>
      </c>
      <c r="O28">
        <v>39.156999999999996</v>
      </c>
      <c r="P28">
        <v>19.879000000000001</v>
      </c>
      <c r="Q28">
        <v>0</v>
      </c>
      <c r="R28">
        <v>123</v>
      </c>
      <c r="S28" t="s">
        <v>33</v>
      </c>
      <c r="T28" s="1"/>
    </row>
    <row r="29" spans="1:24" x14ac:dyDescent="0.25">
      <c r="A29" t="s">
        <v>34</v>
      </c>
      <c r="B29" s="1">
        <v>50356</v>
      </c>
      <c r="C29">
        <v>1.748</v>
      </c>
      <c r="D29">
        <v>1.5589999999999999</v>
      </c>
      <c r="E29">
        <v>0</v>
      </c>
      <c r="F29" s="1">
        <v>15.129</v>
      </c>
      <c r="G29" t="s">
        <v>34</v>
      </c>
      <c r="H29" s="1">
        <v>29028</v>
      </c>
      <c r="I29">
        <v>1.6160000000000001</v>
      </c>
      <c r="J29">
        <v>1.4770000000000001</v>
      </c>
      <c r="K29">
        <v>0</v>
      </c>
      <c r="L29">
        <v>12.544</v>
      </c>
      <c r="M29" t="s">
        <v>34</v>
      </c>
      <c r="N29" s="1">
        <v>21328</v>
      </c>
      <c r="O29">
        <v>1.9279999999999999</v>
      </c>
      <c r="P29">
        <v>1.6479999999999999</v>
      </c>
      <c r="Q29">
        <v>0</v>
      </c>
      <c r="R29" s="1">
        <v>15.129</v>
      </c>
      <c r="S29" t="s">
        <v>34</v>
      </c>
      <c r="T29" s="1"/>
    </row>
    <row r="30" spans="1:24" x14ac:dyDescent="0.25">
      <c r="A30" t="s">
        <v>35</v>
      </c>
      <c r="B30" s="1">
        <v>50356</v>
      </c>
      <c r="C30" s="2">
        <v>3.04</v>
      </c>
      <c r="D30" s="2">
        <v>9.1859999999999999</v>
      </c>
      <c r="E30">
        <v>0</v>
      </c>
      <c r="F30" s="2">
        <v>94</v>
      </c>
      <c r="G30" t="s">
        <v>35</v>
      </c>
      <c r="H30" s="1">
        <v>29028</v>
      </c>
      <c r="I30">
        <v>2.82</v>
      </c>
      <c r="J30">
        <v>8.7799999999999994</v>
      </c>
      <c r="K30">
        <v>0</v>
      </c>
      <c r="L30">
        <v>88</v>
      </c>
      <c r="M30" t="s">
        <v>35</v>
      </c>
      <c r="N30" s="1">
        <v>21328</v>
      </c>
      <c r="O30" s="2">
        <v>3.339</v>
      </c>
      <c r="P30" s="2">
        <v>9.7040000000000006</v>
      </c>
      <c r="Q30">
        <v>0</v>
      </c>
      <c r="R30" s="2">
        <v>94</v>
      </c>
      <c r="S30" t="s">
        <v>35</v>
      </c>
      <c r="T30" s="1"/>
    </row>
    <row r="31" spans="1:24" x14ac:dyDescent="0.25">
      <c r="A31" t="s">
        <v>18</v>
      </c>
      <c r="B31" s="1">
        <v>50356</v>
      </c>
      <c r="C31" s="2">
        <v>1473.576</v>
      </c>
      <c r="D31" s="2">
        <v>982.59500000000003</v>
      </c>
      <c r="E31">
        <v>175</v>
      </c>
      <c r="F31" s="2">
        <v>23350</v>
      </c>
      <c r="G31" t="s">
        <v>18</v>
      </c>
      <c r="H31" s="1">
        <v>29028</v>
      </c>
      <c r="I31" s="2">
        <v>1459.578</v>
      </c>
      <c r="J31">
        <v>951.46900000000005</v>
      </c>
      <c r="K31">
        <v>195</v>
      </c>
      <c r="L31" s="1">
        <v>23350</v>
      </c>
      <c r="M31" t="s">
        <v>18</v>
      </c>
      <c r="N31" s="1">
        <v>21328</v>
      </c>
      <c r="O31" s="2">
        <v>1492.627</v>
      </c>
      <c r="P31" s="2">
        <v>1023.154</v>
      </c>
      <c r="Q31">
        <v>175</v>
      </c>
      <c r="R31" s="2">
        <v>18919</v>
      </c>
      <c r="S31" t="s">
        <v>18</v>
      </c>
      <c r="T31" s="1"/>
      <c r="X31" s="1"/>
    </row>
    <row r="32" spans="1:24" x14ac:dyDescent="0.25">
      <c r="A32" t="s">
        <v>37</v>
      </c>
      <c r="B32" s="1">
        <v>50356</v>
      </c>
      <c r="C32">
        <v>3.1379999999999999</v>
      </c>
      <c r="D32">
        <v>5.9850000000000003</v>
      </c>
      <c r="E32">
        <v>1.4E-2</v>
      </c>
      <c r="F32" s="2">
        <v>128.91800000000001</v>
      </c>
      <c r="G32" t="s">
        <v>37</v>
      </c>
      <c r="H32" s="1">
        <v>29028</v>
      </c>
      <c r="I32" s="2">
        <v>3.1349999999999998</v>
      </c>
      <c r="J32">
        <v>5.923</v>
      </c>
      <c r="K32">
        <v>1.4E-2</v>
      </c>
      <c r="L32" s="1">
        <v>128.91800000000001</v>
      </c>
      <c r="M32" t="s">
        <v>37</v>
      </c>
      <c r="N32" s="1">
        <v>21328</v>
      </c>
      <c r="O32">
        <v>3.141</v>
      </c>
      <c r="P32">
        <v>6.0670000000000002</v>
      </c>
      <c r="Q32">
        <v>1.4E-2</v>
      </c>
      <c r="R32" s="2">
        <v>111.96899999999999</v>
      </c>
      <c r="S32" t="s">
        <v>37</v>
      </c>
      <c r="T32" s="1"/>
    </row>
    <row r="33" spans="1:24" x14ac:dyDescent="0.25">
      <c r="A33" t="s">
        <v>164</v>
      </c>
      <c r="B33" s="1">
        <v>50356</v>
      </c>
      <c r="C33" s="2">
        <v>2.101</v>
      </c>
      <c r="D33" s="2">
        <v>2.444</v>
      </c>
      <c r="E33">
        <v>0</v>
      </c>
      <c r="F33" s="2">
        <v>13.552</v>
      </c>
      <c r="G33" t="s">
        <v>164</v>
      </c>
      <c r="H33" s="1">
        <v>29028</v>
      </c>
      <c r="I33" s="2">
        <v>2.1480000000000001</v>
      </c>
      <c r="J33">
        <v>2.4900000000000002</v>
      </c>
      <c r="K33">
        <v>0</v>
      </c>
      <c r="L33" s="1">
        <v>13.552</v>
      </c>
      <c r="M33" t="s">
        <v>164</v>
      </c>
      <c r="N33" s="1">
        <v>21328</v>
      </c>
      <c r="O33" s="2">
        <v>2.0390000000000001</v>
      </c>
      <c r="P33" s="2">
        <v>2.379</v>
      </c>
      <c r="Q33">
        <v>0</v>
      </c>
      <c r="R33" s="2">
        <v>13.477</v>
      </c>
      <c r="S33" t="s">
        <v>164</v>
      </c>
      <c r="T33" s="1"/>
    </row>
    <row r="34" spans="1:24" x14ac:dyDescent="0.25">
      <c r="A34" t="s">
        <v>39</v>
      </c>
      <c r="B34" s="1">
        <v>50356</v>
      </c>
      <c r="C34" s="2">
        <v>0.42699999999999999</v>
      </c>
      <c r="D34" s="2">
        <v>0.313</v>
      </c>
      <c r="E34">
        <v>0</v>
      </c>
      <c r="F34" s="2">
        <v>3.56</v>
      </c>
      <c r="G34" t="s">
        <v>39</v>
      </c>
      <c r="H34" s="1">
        <v>29028</v>
      </c>
      <c r="I34" s="2">
        <v>0.42499999999999999</v>
      </c>
      <c r="J34">
        <v>0.309</v>
      </c>
      <c r="K34">
        <v>0</v>
      </c>
      <c r="L34" s="1">
        <v>3.302</v>
      </c>
      <c r="M34" t="s">
        <v>39</v>
      </c>
      <c r="N34" s="1">
        <v>21328</v>
      </c>
      <c r="O34" s="2">
        <v>0.42899999999999999</v>
      </c>
      <c r="P34" s="2">
        <v>0.317</v>
      </c>
      <c r="Q34">
        <v>0</v>
      </c>
      <c r="R34" s="2">
        <v>3.56</v>
      </c>
      <c r="S34" t="s">
        <v>39</v>
      </c>
      <c r="T34" s="1"/>
    </row>
    <row r="35" spans="1:24" x14ac:dyDescent="0.25">
      <c r="A35" t="s">
        <v>40</v>
      </c>
      <c r="B35" s="1">
        <v>50356</v>
      </c>
      <c r="C35">
        <v>4.1449999999999996</v>
      </c>
      <c r="D35">
        <v>3.97</v>
      </c>
      <c r="E35">
        <v>0.01</v>
      </c>
      <c r="F35">
        <v>20.997</v>
      </c>
      <c r="G35" t="s">
        <v>40</v>
      </c>
      <c r="H35" s="1">
        <v>29028</v>
      </c>
      <c r="I35" s="2">
        <v>4.117</v>
      </c>
      <c r="J35" s="2">
        <v>3.9020000000000001</v>
      </c>
      <c r="K35">
        <v>0.01</v>
      </c>
      <c r="L35" s="2">
        <v>20.997</v>
      </c>
      <c r="M35" t="s">
        <v>40</v>
      </c>
      <c r="N35" s="1">
        <v>21328</v>
      </c>
      <c r="O35">
        <v>4.1829999999999998</v>
      </c>
      <c r="P35">
        <v>4.0609999999999999</v>
      </c>
      <c r="Q35">
        <v>0.01</v>
      </c>
      <c r="R35">
        <v>20.927</v>
      </c>
      <c r="S35" t="s">
        <v>40</v>
      </c>
      <c r="T35" s="1"/>
    </row>
    <row r="36" spans="1:24" x14ac:dyDescent="0.25">
      <c r="A36" t="s">
        <v>41</v>
      </c>
      <c r="B36" s="1">
        <v>50356</v>
      </c>
      <c r="C36">
        <v>9.1</v>
      </c>
      <c r="D36">
        <v>5.601</v>
      </c>
      <c r="E36">
        <v>0.32300000000000001</v>
      </c>
      <c r="F36">
        <v>30.986000000000001</v>
      </c>
      <c r="G36" t="s">
        <v>41</v>
      </c>
      <c r="H36" s="1">
        <v>29028</v>
      </c>
      <c r="I36" s="2">
        <v>9.0990000000000002</v>
      </c>
      <c r="J36" s="2">
        <v>5.6</v>
      </c>
      <c r="K36">
        <v>0.32300000000000001</v>
      </c>
      <c r="L36" s="2">
        <v>30.003</v>
      </c>
      <c r="M36" t="s">
        <v>41</v>
      </c>
      <c r="N36" s="1">
        <v>21328</v>
      </c>
      <c r="O36">
        <v>9.1020000000000003</v>
      </c>
      <c r="P36">
        <v>5.6020000000000003</v>
      </c>
      <c r="Q36">
        <v>0.99299999999999999</v>
      </c>
      <c r="R36">
        <v>30.986000000000001</v>
      </c>
      <c r="S36" t="s">
        <v>41</v>
      </c>
      <c r="T36" s="1"/>
    </row>
    <row r="37" spans="1:24" x14ac:dyDescent="0.25">
      <c r="A37" t="s">
        <v>173</v>
      </c>
      <c r="B37" s="1">
        <v>50356</v>
      </c>
      <c r="C37">
        <v>1.169</v>
      </c>
      <c r="D37">
        <v>4.5220000000000002</v>
      </c>
      <c r="E37">
        <v>1.6E-2</v>
      </c>
      <c r="F37">
        <v>196.49</v>
      </c>
      <c r="G37" t="s">
        <v>173</v>
      </c>
      <c r="H37" s="1">
        <v>29028</v>
      </c>
      <c r="I37">
        <v>1.177</v>
      </c>
      <c r="J37">
        <v>4.6669999999999998</v>
      </c>
      <c r="K37">
        <v>2.5999999999999999E-2</v>
      </c>
      <c r="L37" s="2">
        <v>196.49</v>
      </c>
      <c r="M37" t="s">
        <v>173</v>
      </c>
      <c r="N37" s="1">
        <v>21328</v>
      </c>
      <c r="O37">
        <v>1.157</v>
      </c>
      <c r="P37">
        <v>4.3170000000000002</v>
      </c>
      <c r="Q37">
        <v>1.6E-2</v>
      </c>
      <c r="R37">
        <v>196.49</v>
      </c>
      <c r="S37" t="s">
        <v>173</v>
      </c>
      <c r="T37" s="1"/>
    </row>
    <row r="38" spans="1:24" x14ac:dyDescent="0.25">
      <c r="A38" t="s">
        <v>174</v>
      </c>
      <c r="B38" s="1">
        <v>50356</v>
      </c>
      <c r="C38">
        <v>2.2040000000000002</v>
      </c>
      <c r="D38">
        <v>1.5960000000000001</v>
      </c>
      <c r="E38">
        <v>3.6999999999999998E-2</v>
      </c>
      <c r="F38">
        <v>17.684000000000001</v>
      </c>
      <c r="G38" t="s">
        <v>174</v>
      </c>
      <c r="H38" s="1">
        <v>29028</v>
      </c>
      <c r="I38" s="2">
        <v>2.1960000000000002</v>
      </c>
      <c r="J38" s="2">
        <v>1.5880000000000001</v>
      </c>
      <c r="K38">
        <v>4.2999999999999997E-2</v>
      </c>
      <c r="L38" s="2">
        <v>17.684000000000001</v>
      </c>
      <c r="M38" t="s">
        <v>174</v>
      </c>
      <c r="N38" s="1">
        <v>21328</v>
      </c>
      <c r="O38">
        <v>2.2149999999999999</v>
      </c>
      <c r="P38">
        <v>1.607</v>
      </c>
      <c r="Q38">
        <v>3.6999999999999998E-2</v>
      </c>
      <c r="R38">
        <v>17.655000000000001</v>
      </c>
      <c r="S38" t="s">
        <v>174</v>
      </c>
      <c r="T38" s="1"/>
    </row>
    <row r="39" spans="1:24" x14ac:dyDescent="0.25">
      <c r="A39" t="s">
        <v>175</v>
      </c>
      <c r="B39" s="1">
        <v>50356</v>
      </c>
      <c r="C39">
        <v>2.181</v>
      </c>
      <c r="D39">
        <v>1.516</v>
      </c>
      <c r="E39">
        <v>3.4000000000000002E-2</v>
      </c>
      <c r="F39">
        <v>17.684000000000001</v>
      </c>
      <c r="G39" t="s">
        <v>175</v>
      </c>
      <c r="H39" s="1">
        <v>29028</v>
      </c>
      <c r="I39" s="2">
        <v>2.1800000000000002</v>
      </c>
      <c r="J39" s="2">
        <v>1.5</v>
      </c>
      <c r="K39">
        <v>3.4000000000000002E-2</v>
      </c>
      <c r="L39" s="2">
        <v>17.684000000000001</v>
      </c>
      <c r="M39" t="s">
        <v>175</v>
      </c>
      <c r="N39" s="1">
        <v>21328</v>
      </c>
      <c r="O39">
        <v>2.181</v>
      </c>
      <c r="P39">
        <v>1.538</v>
      </c>
      <c r="Q39">
        <v>3.4000000000000002E-2</v>
      </c>
      <c r="R39">
        <v>17.655000000000001</v>
      </c>
      <c r="S39" t="s">
        <v>175</v>
      </c>
      <c r="T39" s="1"/>
    </row>
    <row r="40" spans="1:24" x14ac:dyDescent="0.25">
      <c r="A40" t="s">
        <v>42</v>
      </c>
      <c r="B40" s="1">
        <v>50356</v>
      </c>
      <c r="C40">
        <v>0.25</v>
      </c>
      <c r="D40">
        <v>0.16900000000000001</v>
      </c>
      <c r="E40">
        <v>0</v>
      </c>
      <c r="F40">
        <v>1</v>
      </c>
      <c r="G40" t="s">
        <v>42</v>
      </c>
      <c r="H40" s="1">
        <v>29028</v>
      </c>
      <c r="I40">
        <v>0.255</v>
      </c>
      <c r="J40">
        <v>0.16600000000000001</v>
      </c>
      <c r="K40">
        <v>0</v>
      </c>
      <c r="L40">
        <v>1</v>
      </c>
      <c r="M40" t="s">
        <v>42</v>
      </c>
      <c r="N40" s="1">
        <v>21328</v>
      </c>
      <c r="O40">
        <v>0.24399999999999999</v>
      </c>
      <c r="P40">
        <v>0.17299999999999999</v>
      </c>
      <c r="Q40">
        <v>0</v>
      </c>
      <c r="R40">
        <v>0.91800000000000004</v>
      </c>
      <c r="S40" t="s">
        <v>42</v>
      </c>
      <c r="T40" s="1"/>
    </row>
    <row r="41" spans="1:24" x14ac:dyDescent="0.25">
      <c r="A41" t="s">
        <v>43</v>
      </c>
      <c r="B41" s="1">
        <v>50356</v>
      </c>
      <c r="C41">
        <v>2.1999999999999999E-2</v>
      </c>
      <c r="D41">
        <v>3.5000000000000003E-2</v>
      </c>
      <c r="E41">
        <v>0</v>
      </c>
      <c r="F41">
        <v>0.77600000000000002</v>
      </c>
      <c r="G41" t="s">
        <v>43</v>
      </c>
      <c r="H41" s="1">
        <v>29028</v>
      </c>
      <c r="I41">
        <v>2.1999999999999999E-2</v>
      </c>
      <c r="J41">
        <v>3.2000000000000001E-2</v>
      </c>
      <c r="K41">
        <v>0</v>
      </c>
      <c r="L41">
        <v>0.77600000000000002</v>
      </c>
      <c r="M41" t="s">
        <v>43</v>
      </c>
      <c r="N41" s="1">
        <v>21328</v>
      </c>
      <c r="O41">
        <v>2.1000000000000001E-2</v>
      </c>
      <c r="P41">
        <v>3.7999999999999999E-2</v>
      </c>
      <c r="Q41">
        <v>0</v>
      </c>
      <c r="R41">
        <v>0.77600000000000002</v>
      </c>
      <c r="S41" t="s">
        <v>43</v>
      </c>
      <c r="T41" s="1"/>
    </row>
    <row r="42" spans="1:24" x14ac:dyDescent="0.25">
      <c r="A42" t="s">
        <v>44</v>
      </c>
      <c r="B42" s="1">
        <v>50356</v>
      </c>
      <c r="C42">
        <v>0.42499999999999999</v>
      </c>
      <c r="D42">
        <v>0.188</v>
      </c>
      <c r="E42">
        <v>0</v>
      </c>
      <c r="F42">
        <v>1</v>
      </c>
      <c r="G42" t="s">
        <v>44</v>
      </c>
      <c r="H42" s="1">
        <v>29028</v>
      </c>
      <c r="I42">
        <v>0.42099999999999999</v>
      </c>
      <c r="J42">
        <v>0.182</v>
      </c>
      <c r="K42">
        <v>0</v>
      </c>
      <c r="L42">
        <v>1</v>
      </c>
      <c r="M42" t="s">
        <v>44</v>
      </c>
      <c r="N42" s="1">
        <v>21328</v>
      </c>
      <c r="O42">
        <v>0.42899999999999999</v>
      </c>
      <c r="P42">
        <v>0.19600000000000001</v>
      </c>
      <c r="Q42">
        <v>0</v>
      </c>
      <c r="R42">
        <v>1</v>
      </c>
      <c r="S42" t="s">
        <v>44</v>
      </c>
      <c r="T42" s="1"/>
    </row>
    <row r="43" spans="1:24" x14ac:dyDescent="0.25">
      <c r="A43" t="s">
        <v>45</v>
      </c>
      <c r="B43" s="1">
        <v>50356</v>
      </c>
      <c r="C43">
        <v>7.0000000000000007E-2</v>
      </c>
      <c r="D43">
        <v>9.1999999999999998E-2</v>
      </c>
      <c r="E43">
        <v>0</v>
      </c>
      <c r="F43" s="1">
        <v>0.71</v>
      </c>
      <c r="G43" t="s">
        <v>45</v>
      </c>
      <c r="H43" s="1">
        <v>29028</v>
      </c>
      <c r="I43">
        <v>7.0000000000000007E-2</v>
      </c>
      <c r="J43">
        <v>8.4000000000000005E-2</v>
      </c>
      <c r="K43">
        <v>0</v>
      </c>
      <c r="L43">
        <v>0.60799999999999998</v>
      </c>
      <c r="M43" t="s">
        <v>45</v>
      </c>
      <c r="N43" s="1">
        <v>21328</v>
      </c>
      <c r="O43">
        <v>7.0000000000000007E-2</v>
      </c>
      <c r="P43">
        <v>0.10100000000000001</v>
      </c>
      <c r="Q43">
        <v>0</v>
      </c>
      <c r="R43" s="1">
        <v>0.71</v>
      </c>
      <c r="S43" t="s">
        <v>45</v>
      </c>
      <c r="T43" s="1"/>
    </row>
    <row r="44" spans="1:24" x14ac:dyDescent="0.25">
      <c r="A44" t="s">
        <v>46</v>
      </c>
      <c r="B44" s="1">
        <v>50356</v>
      </c>
      <c r="C44">
        <v>0.874</v>
      </c>
      <c r="D44">
        <v>0.16700000000000001</v>
      </c>
      <c r="E44">
        <v>1.2E-2</v>
      </c>
      <c r="F44">
        <v>1</v>
      </c>
      <c r="G44" t="s">
        <v>46</v>
      </c>
      <c r="H44" s="1">
        <v>29028</v>
      </c>
      <c r="I44">
        <v>0.871</v>
      </c>
      <c r="J44">
        <v>0.17100000000000001</v>
      </c>
      <c r="K44">
        <v>1.2E-2</v>
      </c>
      <c r="L44">
        <v>1</v>
      </c>
      <c r="M44" t="s">
        <v>46</v>
      </c>
      <c r="N44" s="1">
        <v>21328</v>
      </c>
      <c r="O44">
        <v>0.878</v>
      </c>
      <c r="P44">
        <v>0.16200000000000001</v>
      </c>
      <c r="Q44">
        <v>7.3999999999999996E-2</v>
      </c>
      <c r="R44">
        <v>1</v>
      </c>
      <c r="S44" t="s">
        <v>46</v>
      </c>
      <c r="T44" s="1"/>
    </row>
    <row r="45" spans="1:24" x14ac:dyDescent="0.25">
      <c r="A45" t="s">
        <v>47</v>
      </c>
      <c r="B45" s="1">
        <v>50356</v>
      </c>
      <c r="C45">
        <v>0.125</v>
      </c>
      <c r="D45">
        <v>0.16600000000000001</v>
      </c>
      <c r="E45">
        <v>0</v>
      </c>
      <c r="F45">
        <v>0.93</v>
      </c>
      <c r="G45" t="s">
        <v>47</v>
      </c>
      <c r="H45" s="1">
        <v>29028</v>
      </c>
      <c r="I45">
        <v>0.128</v>
      </c>
      <c r="J45">
        <v>0.17</v>
      </c>
      <c r="K45">
        <v>0</v>
      </c>
      <c r="L45">
        <v>0.93</v>
      </c>
      <c r="M45" t="s">
        <v>47</v>
      </c>
      <c r="N45" s="1">
        <v>21328</v>
      </c>
      <c r="O45">
        <v>0.121</v>
      </c>
      <c r="P45">
        <v>0.16</v>
      </c>
      <c r="Q45">
        <v>0</v>
      </c>
      <c r="R45">
        <v>0.92600000000000005</v>
      </c>
      <c r="S45" t="s">
        <v>47</v>
      </c>
      <c r="T45" s="1"/>
    </row>
    <row r="46" spans="1:24" x14ac:dyDescent="0.25">
      <c r="A46" t="s">
        <v>48</v>
      </c>
      <c r="B46" s="1">
        <v>50356</v>
      </c>
      <c r="C46" s="2">
        <v>0.63900000000000001</v>
      </c>
      <c r="D46" s="2">
        <v>0.20699999999999999</v>
      </c>
      <c r="E46" s="2">
        <v>0</v>
      </c>
      <c r="F46" s="2">
        <v>1</v>
      </c>
      <c r="G46" t="s">
        <v>48</v>
      </c>
      <c r="H46" s="1">
        <v>29028</v>
      </c>
      <c r="I46">
        <v>0.625</v>
      </c>
      <c r="J46">
        <v>0.20499999999999999</v>
      </c>
      <c r="K46">
        <v>0</v>
      </c>
      <c r="L46">
        <v>1</v>
      </c>
      <c r="M46" t="s">
        <v>48</v>
      </c>
      <c r="N46" s="1">
        <v>21328</v>
      </c>
      <c r="O46" s="2">
        <v>0.65800000000000003</v>
      </c>
      <c r="P46" s="2">
        <v>0.20799999999999999</v>
      </c>
      <c r="Q46" s="2">
        <v>0</v>
      </c>
      <c r="R46" s="2">
        <v>1</v>
      </c>
      <c r="S46" t="s">
        <v>48</v>
      </c>
      <c r="T46" s="1"/>
    </row>
    <row r="47" spans="1:24" x14ac:dyDescent="0.25">
      <c r="A47" t="s">
        <v>49</v>
      </c>
      <c r="B47" s="1">
        <v>50356</v>
      </c>
      <c r="C47" s="2">
        <v>0.36</v>
      </c>
      <c r="D47" s="2">
        <v>0.20699999999999999</v>
      </c>
      <c r="E47" s="2">
        <v>0</v>
      </c>
      <c r="F47" s="2">
        <v>1</v>
      </c>
      <c r="G47" t="s">
        <v>49</v>
      </c>
      <c r="H47" s="1">
        <v>29028</v>
      </c>
      <c r="I47">
        <v>0.374</v>
      </c>
      <c r="J47">
        <v>0.20499999999999999</v>
      </c>
      <c r="K47">
        <v>0</v>
      </c>
      <c r="L47">
        <v>1</v>
      </c>
      <c r="M47" t="s">
        <v>49</v>
      </c>
      <c r="N47" s="1">
        <v>21328</v>
      </c>
      <c r="O47" s="2">
        <v>0.34100000000000003</v>
      </c>
      <c r="P47" s="2">
        <v>0.20699999999999999</v>
      </c>
      <c r="Q47" s="2">
        <v>0</v>
      </c>
      <c r="R47" s="2">
        <v>1</v>
      </c>
      <c r="S47" t="s">
        <v>49</v>
      </c>
      <c r="T47" s="1"/>
    </row>
    <row r="48" spans="1:24" x14ac:dyDescent="0.25">
      <c r="A48" t="s">
        <v>50</v>
      </c>
      <c r="B48" s="1">
        <v>50356</v>
      </c>
      <c r="C48">
        <v>18.106000000000002</v>
      </c>
      <c r="D48">
        <v>47.442</v>
      </c>
      <c r="E48">
        <v>0</v>
      </c>
      <c r="F48" s="1">
        <v>1000</v>
      </c>
      <c r="G48" t="s">
        <v>50</v>
      </c>
      <c r="H48" s="1">
        <v>29028</v>
      </c>
      <c r="I48">
        <v>17.917999999999999</v>
      </c>
      <c r="J48">
        <v>45.743000000000002</v>
      </c>
      <c r="K48">
        <v>0</v>
      </c>
      <c r="L48">
        <v>667</v>
      </c>
      <c r="M48" t="s">
        <v>50</v>
      </c>
      <c r="N48" s="1">
        <v>21328</v>
      </c>
      <c r="O48">
        <v>18.361000000000001</v>
      </c>
      <c r="P48">
        <v>49.661000000000001</v>
      </c>
      <c r="Q48">
        <v>0</v>
      </c>
      <c r="R48" s="1">
        <v>1000</v>
      </c>
      <c r="S48" t="s">
        <v>50</v>
      </c>
      <c r="T48" s="1"/>
      <c r="X48" s="1"/>
    </row>
    <row r="49" spans="1:24" x14ac:dyDescent="0.25">
      <c r="A49" t="s">
        <v>51</v>
      </c>
      <c r="B49" s="1">
        <v>50356</v>
      </c>
      <c r="C49" s="2">
        <v>0.67300000000000004</v>
      </c>
      <c r="D49" s="2">
        <v>1.4750000000000001</v>
      </c>
      <c r="E49" s="2">
        <v>0</v>
      </c>
      <c r="F49" s="2">
        <v>36</v>
      </c>
      <c r="G49" t="s">
        <v>51</v>
      </c>
      <c r="H49" s="1">
        <v>29028</v>
      </c>
      <c r="I49">
        <v>0.65400000000000003</v>
      </c>
      <c r="J49">
        <v>1.466</v>
      </c>
      <c r="K49">
        <v>0</v>
      </c>
      <c r="L49">
        <v>36</v>
      </c>
      <c r="M49" t="s">
        <v>51</v>
      </c>
      <c r="N49" s="1">
        <v>21328</v>
      </c>
      <c r="O49" s="2">
        <v>0.69899999999999995</v>
      </c>
      <c r="P49" s="2">
        <v>1.486</v>
      </c>
      <c r="Q49" s="2">
        <v>0</v>
      </c>
      <c r="R49" s="2">
        <v>23</v>
      </c>
      <c r="S49" t="s">
        <v>51</v>
      </c>
      <c r="T49" s="1"/>
    </row>
    <row r="50" spans="1:24" x14ac:dyDescent="0.25">
      <c r="A50" t="s">
        <v>52</v>
      </c>
      <c r="B50" s="1">
        <v>50356</v>
      </c>
      <c r="C50" s="2">
        <v>0.40400000000000003</v>
      </c>
      <c r="D50" s="2">
        <v>0.49099999999999999</v>
      </c>
      <c r="E50" s="2">
        <v>0</v>
      </c>
      <c r="F50" s="2">
        <v>1</v>
      </c>
      <c r="G50" t="s">
        <v>52</v>
      </c>
      <c r="H50" s="1">
        <v>29028</v>
      </c>
      <c r="I50" s="2">
        <v>0.38200000000000001</v>
      </c>
      <c r="J50" s="2">
        <v>0.48599999999999999</v>
      </c>
      <c r="K50" s="2">
        <v>0</v>
      </c>
      <c r="L50" s="2">
        <v>1</v>
      </c>
      <c r="M50" t="s">
        <v>52</v>
      </c>
      <c r="N50" s="1">
        <v>21328</v>
      </c>
      <c r="O50" s="2">
        <v>0.433</v>
      </c>
      <c r="P50" s="2">
        <v>0.496</v>
      </c>
      <c r="Q50" s="2">
        <v>0</v>
      </c>
      <c r="R50" s="2">
        <v>1</v>
      </c>
      <c r="S50" t="s">
        <v>52</v>
      </c>
      <c r="T50" s="1"/>
    </row>
    <row r="51" spans="1:24" x14ac:dyDescent="0.25">
      <c r="A51" t="s">
        <v>53</v>
      </c>
      <c r="B51" s="1">
        <v>50356</v>
      </c>
      <c r="C51" s="2">
        <v>2361461</v>
      </c>
      <c r="D51" s="2">
        <v>7599.491</v>
      </c>
      <c r="E51" s="2">
        <v>2350907</v>
      </c>
      <c r="F51" s="2">
        <v>2400056</v>
      </c>
      <c r="G51" t="s">
        <v>53</v>
      </c>
      <c r="H51" s="1">
        <v>29028</v>
      </c>
      <c r="I51" s="2">
        <v>2361502</v>
      </c>
      <c r="J51" s="2">
        <v>7544.91</v>
      </c>
      <c r="K51" s="2">
        <v>2350907</v>
      </c>
      <c r="L51" s="2">
        <v>2400056</v>
      </c>
      <c r="M51" t="s">
        <v>53</v>
      </c>
      <c r="N51" s="1">
        <v>21328</v>
      </c>
      <c r="O51" s="2">
        <v>2361405</v>
      </c>
      <c r="P51" s="2">
        <v>7672.973</v>
      </c>
      <c r="Q51" s="2">
        <v>2350907</v>
      </c>
      <c r="R51" s="2">
        <v>2400056</v>
      </c>
      <c r="S51" t="s">
        <v>53</v>
      </c>
      <c r="T51" s="1"/>
      <c r="U51" s="2"/>
      <c r="V51" s="2"/>
      <c r="W51" s="2"/>
      <c r="X51" s="2"/>
    </row>
    <row r="52" spans="1:24" x14ac:dyDescent="0.25">
      <c r="A52" t="s">
        <v>54</v>
      </c>
      <c r="B52" s="1">
        <v>50356</v>
      </c>
      <c r="C52" s="2">
        <v>612697.30000000005</v>
      </c>
      <c r="D52" s="2">
        <v>13315.95</v>
      </c>
      <c r="E52" s="2">
        <v>579824.19999999995</v>
      </c>
      <c r="F52" s="2">
        <v>638667.69999999995</v>
      </c>
      <c r="G52" t="s">
        <v>54</v>
      </c>
      <c r="H52" s="1">
        <v>29028</v>
      </c>
      <c r="I52" s="2">
        <v>612481.19999999995</v>
      </c>
      <c r="J52" s="2">
        <v>13221.91</v>
      </c>
      <c r="K52" s="2">
        <v>579824.19999999995</v>
      </c>
      <c r="L52" s="2">
        <v>638667.69999999995</v>
      </c>
      <c r="M52" t="s">
        <v>54</v>
      </c>
      <c r="N52" s="1">
        <v>21328</v>
      </c>
      <c r="O52" s="2">
        <v>612991.5</v>
      </c>
      <c r="P52" s="2">
        <v>13437.62</v>
      </c>
      <c r="Q52" s="2">
        <v>579905.6</v>
      </c>
      <c r="R52" s="2">
        <v>638597.19999999995</v>
      </c>
      <c r="S52" t="s">
        <v>54</v>
      </c>
      <c r="T52" s="1"/>
      <c r="U52" s="2"/>
      <c r="V52" s="2"/>
      <c r="W52" s="2"/>
      <c r="X52" s="2"/>
    </row>
    <row r="53" spans="1:24" x14ac:dyDescent="0.25">
      <c r="A53" t="s">
        <v>56</v>
      </c>
      <c r="B53" s="1">
        <v>50356</v>
      </c>
      <c r="C53">
        <v>0.54400000000000004</v>
      </c>
      <c r="D53">
        <v>0.498</v>
      </c>
      <c r="E53">
        <v>0</v>
      </c>
      <c r="F53">
        <v>1</v>
      </c>
      <c r="G53" t="s">
        <v>56</v>
      </c>
      <c r="H53" s="1">
        <v>29028</v>
      </c>
      <c r="I53" s="2">
        <v>0.54300000000000004</v>
      </c>
      <c r="J53" s="2">
        <v>0.498</v>
      </c>
      <c r="K53" s="2">
        <v>0</v>
      </c>
      <c r="L53" s="2">
        <v>1</v>
      </c>
      <c r="M53" t="s">
        <v>56</v>
      </c>
      <c r="N53" s="1">
        <v>21328</v>
      </c>
      <c r="O53">
        <v>0.54500000000000004</v>
      </c>
      <c r="P53">
        <v>0.498</v>
      </c>
      <c r="Q53">
        <v>0</v>
      </c>
      <c r="R53">
        <v>1</v>
      </c>
      <c r="S53" t="s">
        <v>56</v>
      </c>
      <c r="T53" s="1"/>
    </row>
    <row r="54" spans="1:24" x14ac:dyDescent="0.25">
      <c r="A54" t="s">
        <v>57</v>
      </c>
      <c r="B54" s="1">
        <v>50356</v>
      </c>
      <c r="C54" s="2">
        <v>0.45600000000000002</v>
      </c>
      <c r="D54">
        <v>0.498</v>
      </c>
      <c r="E54" s="1">
        <v>0</v>
      </c>
      <c r="F54" s="1">
        <v>1</v>
      </c>
      <c r="G54" t="s">
        <v>57</v>
      </c>
      <c r="H54" s="1">
        <v>29028</v>
      </c>
      <c r="I54" s="2">
        <v>0.45700000000000002</v>
      </c>
      <c r="J54" s="2">
        <v>0.498</v>
      </c>
      <c r="K54" s="2">
        <v>0</v>
      </c>
      <c r="L54" s="2">
        <v>1</v>
      </c>
      <c r="M54" t="s">
        <v>57</v>
      </c>
      <c r="N54" s="1">
        <v>21328</v>
      </c>
      <c r="O54" s="2">
        <v>0.45500000000000002</v>
      </c>
      <c r="P54">
        <v>0.498</v>
      </c>
      <c r="Q54" s="1">
        <v>0</v>
      </c>
      <c r="R54" s="1">
        <v>1</v>
      </c>
      <c r="S54" t="s">
        <v>57</v>
      </c>
      <c r="T54" s="1"/>
    </row>
    <row r="55" spans="1:24" x14ac:dyDescent="0.25">
      <c r="A55" t="s">
        <v>58</v>
      </c>
      <c r="B55" s="1">
        <v>50356</v>
      </c>
      <c r="C55">
        <v>0.34200000000000003</v>
      </c>
      <c r="D55">
        <v>0.47399999999999998</v>
      </c>
      <c r="E55">
        <v>0</v>
      </c>
      <c r="F55">
        <v>1</v>
      </c>
      <c r="G55" t="s">
        <v>58</v>
      </c>
      <c r="H55" s="1">
        <v>29028</v>
      </c>
      <c r="I55" s="2">
        <v>0.34799999999999998</v>
      </c>
      <c r="J55" s="2">
        <v>0.47599999999999998</v>
      </c>
      <c r="K55" s="2">
        <v>0</v>
      </c>
      <c r="L55" s="2">
        <v>1</v>
      </c>
      <c r="M55" t="s">
        <v>58</v>
      </c>
      <c r="N55" s="1">
        <v>21328</v>
      </c>
      <c r="O55">
        <v>0.33300000000000002</v>
      </c>
      <c r="P55">
        <v>0.47099999999999997</v>
      </c>
      <c r="Q55">
        <v>0</v>
      </c>
      <c r="R55">
        <v>1</v>
      </c>
      <c r="S55" t="s">
        <v>58</v>
      </c>
      <c r="T55" s="1"/>
    </row>
    <row r="56" spans="1:24" x14ac:dyDescent="0.25">
      <c r="A56" t="s">
        <v>59</v>
      </c>
      <c r="B56" s="1">
        <v>50356</v>
      </c>
      <c r="C56">
        <v>0.35</v>
      </c>
      <c r="D56">
        <v>0.47699999999999998</v>
      </c>
      <c r="E56">
        <v>0</v>
      </c>
      <c r="F56">
        <v>1</v>
      </c>
      <c r="G56" t="s">
        <v>59</v>
      </c>
      <c r="H56" s="1">
        <v>29028</v>
      </c>
      <c r="I56">
        <v>0.35399999999999998</v>
      </c>
      <c r="J56">
        <v>0.47799999999999998</v>
      </c>
      <c r="K56">
        <v>0</v>
      </c>
      <c r="L56">
        <v>1</v>
      </c>
      <c r="M56" t="s">
        <v>59</v>
      </c>
      <c r="N56" s="1">
        <v>21328</v>
      </c>
      <c r="O56">
        <v>0.34399999999999997</v>
      </c>
      <c r="P56">
        <v>0.47499999999999998</v>
      </c>
      <c r="Q56">
        <v>0</v>
      </c>
      <c r="R56">
        <v>1</v>
      </c>
      <c r="S56" t="s">
        <v>59</v>
      </c>
      <c r="T56" s="1"/>
    </row>
    <row r="57" spans="1:24" x14ac:dyDescent="0.25">
      <c r="A57" t="s">
        <v>60</v>
      </c>
      <c r="B57" s="1">
        <v>50356</v>
      </c>
      <c r="C57" s="2">
        <v>0.308</v>
      </c>
      <c r="D57">
        <v>0.46200000000000002</v>
      </c>
      <c r="E57" s="1">
        <v>0</v>
      </c>
      <c r="F57" s="1">
        <v>1</v>
      </c>
      <c r="G57" t="s">
        <v>60</v>
      </c>
      <c r="H57" s="1">
        <v>29028</v>
      </c>
      <c r="I57">
        <v>0.29699999999999999</v>
      </c>
      <c r="J57">
        <v>0.45700000000000002</v>
      </c>
      <c r="K57">
        <v>0</v>
      </c>
      <c r="L57">
        <v>1</v>
      </c>
      <c r="M57" t="s">
        <v>60</v>
      </c>
      <c r="N57" s="1">
        <v>21328</v>
      </c>
      <c r="O57" s="2">
        <v>0.32300000000000001</v>
      </c>
      <c r="P57">
        <v>0.46700000000000003</v>
      </c>
      <c r="Q57" s="1">
        <v>0</v>
      </c>
      <c r="R57" s="1">
        <v>1</v>
      </c>
      <c r="S57" t="s">
        <v>60</v>
      </c>
      <c r="T57" s="1"/>
    </row>
    <row r="58" spans="1:24" x14ac:dyDescent="0.25">
      <c r="A58" t="s">
        <v>61</v>
      </c>
      <c r="B58" s="1">
        <v>50356</v>
      </c>
      <c r="C58" s="2">
        <v>2019.048</v>
      </c>
      <c r="D58">
        <v>2.0089999999999999</v>
      </c>
      <c r="E58" s="1">
        <v>2016</v>
      </c>
      <c r="F58" s="1">
        <v>2023</v>
      </c>
      <c r="G58" t="s">
        <v>61</v>
      </c>
      <c r="H58" s="1">
        <v>29028</v>
      </c>
      <c r="I58" s="2">
        <v>2017.568</v>
      </c>
      <c r="J58">
        <v>1.173</v>
      </c>
      <c r="K58" s="1">
        <v>2016</v>
      </c>
      <c r="L58" s="1">
        <v>2020</v>
      </c>
      <c r="M58" t="s">
        <v>61</v>
      </c>
      <c r="N58" s="1">
        <v>21328</v>
      </c>
      <c r="O58" s="2">
        <v>2021.0619999999999</v>
      </c>
      <c r="P58">
        <v>0.78900000000000003</v>
      </c>
      <c r="Q58" s="1">
        <v>2020</v>
      </c>
      <c r="R58" s="1">
        <v>2023</v>
      </c>
      <c r="S58" t="s">
        <v>61</v>
      </c>
      <c r="T58" s="1"/>
      <c r="U58" s="2"/>
      <c r="W58" s="1"/>
      <c r="X58" s="1"/>
    </row>
    <row r="59" spans="1:24" x14ac:dyDescent="0.25">
      <c r="A59" t="s">
        <v>62</v>
      </c>
      <c r="B59" s="1">
        <v>50356</v>
      </c>
      <c r="C59" s="2">
        <v>0.45800000000000002</v>
      </c>
      <c r="D59">
        <v>0.498</v>
      </c>
      <c r="E59" s="1">
        <v>0</v>
      </c>
      <c r="F59" s="1">
        <v>1</v>
      </c>
      <c r="G59" t="s">
        <v>62</v>
      </c>
      <c r="H59" s="1">
        <v>29028</v>
      </c>
      <c r="I59" s="2">
        <v>0.45900000000000002</v>
      </c>
      <c r="J59">
        <v>0.498</v>
      </c>
      <c r="K59" s="1">
        <v>0</v>
      </c>
      <c r="L59" s="1">
        <v>1</v>
      </c>
      <c r="M59" t="s">
        <v>62</v>
      </c>
      <c r="N59" s="1">
        <v>21328</v>
      </c>
      <c r="O59" s="2">
        <v>0.45700000000000002</v>
      </c>
      <c r="P59">
        <v>0.498</v>
      </c>
      <c r="Q59" s="1">
        <v>0</v>
      </c>
      <c r="R59" s="1">
        <v>1</v>
      </c>
      <c r="S59" t="s">
        <v>62</v>
      </c>
      <c r="T59" s="1"/>
    </row>
    <row r="60" spans="1:24" x14ac:dyDescent="0.25">
      <c r="A60" t="s">
        <v>63</v>
      </c>
      <c r="B60" s="1">
        <v>50356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29028</v>
      </c>
      <c r="I60" s="2">
        <v>8.0000000000000002E-3</v>
      </c>
      <c r="J60">
        <v>0.09</v>
      </c>
      <c r="K60" s="1">
        <v>0</v>
      </c>
      <c r="L60" s="1">
        <v>1</v>
      </c>
      <c r="M60" t="s">
        <v>63</v>
      </c>
      <c r="N60" s="1">
        <v>21328</v>
      </c>
      <c r="O60">
        <v>8.0000000000000002E-3</v>
      </c>
      <c r="P60">
        <v>8.8999999999999996E-2</v>
      </c>
      <c r="Q60">
        <v>0</v>
      </c>
      <c r="R60">
        <v>1</v>
      </c>
      <c r="S60" t="s">
        <v>63</v>
      </c>
      <c r="T60" s="1"/>
    </row>
    <row r="61" spans="1:24" x14ac:dyDescent="0.25">
      <c r="A61" t="s">
        <v>64</v>
      </c>
      <c r="B61" s="1">
        <v>50356</v>
      </c>
      <c r="C61">
        <v>2.9000000000000001E-2</v>
      </c>
      <c r="D61">
        <v>0.16800000000000001</v>
      </c>
      <c r="E61">
        <v>0</v>
      </c>
      <c r="F61">
        <v>1</v>
      </c>
      <c r="G61" t="s">
        <v>64</v>
      </c>
      <c r="H61" s="1">
        <v>29028</v>
      </c>
      <c r="I61" s="2">
        <v>2.8000000000000001E-2</v>
      </c>
      <c r="J61">
        <v>0.16400000000000001</v>
      </c>
      <c r="K61" s="1">
        <v>0</v>
      </c>
      <c r="L61" s="1">
        <v>1</v>
      </c>
      <c r="M61" t="s">
        <v>64</v>
      </c>
      <c r="N61" s="1">
        <v>21328</v>
      </c>
      <c r="O61">
        <v>3.1E-2</v>
      </c>
      <c r="P61">
        <v>0.17399999999999999</v>
      </c>
      <c r="Q61">
        <v>0</v>
      </c>
      <c r="R61">
        <v>1</v>
      </c>
      <c r="S61" t="s">
        <v>64</v>
      </c>
      <c r="T61" s="1"/>
    </row>
    <row r="62" spans="1:24" x14ac:dyDescent="0.25">
      <c r="A62" t="s">
        <v>65</v>
      </c>
      <c r="B62" s="1">
        <v>50356</v>
      </c>
      <c r="C62">
        <v>0.161</v>
      </c>
      <c r="D62">
        <v>0.36699999999999999</v>
      </c>
      <c r="E62">
        <v>0</v>
      </c>
      <c r="F62">
        <v>1</v>
      </c>
      <c r="G62" t="s">
        <v>65</v>
      </c>
      <c r="H62" s="1">
        <v>29028</v>
      </c>
      <c r="I62" s="2">
        <v>0.16700000000000001</v>
      </c>
      <c r="J62">
        <v>0.373</v>
      </c>
      <c r="K62" s="1">
        <v>0</v>
      </c>
      <c r="L62" s="1">
        <v>1</v>
      </c>
      <c r="M62" t="s">
        <v>65</v>
      </c>
      <c r="N62" s="1">
        <v>21328</v>
      </c>
      <c r="O62">
        <v>0.153</v>
      </c>
      <c r="P62">
        <v>0.36</v>
      </c>
      <c r="Q62">
        <v>0</v>
      </c>
      <c r="R62">
        <v>1</v>
      </c>
      <c r="S62" t="s">
        <v>65</v>
      </c>
      <c r="T62" s="1"/>
    </row>
    <row r="63" spans="1:24" x14ac:dyDescent="0.25">
      <c r="A63" t="s">
        <v>66</v>
      </c>
      <c r="B63" s="1">
        <v>50356</v>
      </c>
      <c r="C63">
        <v>0.16400000000000001</v>
      </c>
      <c r="D63">
        <v>0.37</v>
      </c>
      <c r="E63">
        <v>0</v>
      </c>
      <c r="F63">
        <v>1</v>
      </c>
      <c r="G63" t="s">
        <v>66</v>
      </c>
      <c r="H63" s="1">
        <v>29028</v>
      </c>
      <c r="I63">
        <v>0.159</v>
      </c>
      <c r="J63">
        <v>0.36499999999999999</v>
      </c>
      <c r="K63">
        <v>0</v>
      </c>
      <c r="L63">
        <v>1</v>
      </c>
      <c r="M63" t="s">
        <v>66</v>
      </c>
      <c r="N63" s="1">
        <v>21328</v>
      </c>
      <c r="O63">
        <v>0.17</v>
      </c>
      <c r="P63">
        <v>0.376</v>
      </c>
      <c r="Q63">
        <v>0</v>
      </c>
      <c r="R63">
        <v>1</v>
      </c>
      <c r="S63" t="s">
        <v>66</v>
      </c>
      <c r="T63" s="1"/>
    </row>
    <row r="64" spans="1:24" x14ac:dyDescent="0.25">
      <c r="A64" t="s">
        <v>67</v>
      </c>
      <c r="B64" s="1">
        <v>50356</v>
      </c>
      <c r="C64">
        <v>3.5999999999999997E-2</v>
      </c>
      <c r="D64">
        <v>0.187</v>
      </c>
      <c r="E64">
        <v>0</v>
      </c>
      <c r="F64">
        <v>1</v>
      </c>
      <c r="G64" t="s">
        <v>67</v>
      </c>
      <c r="H64" s="1">
        <v>29028</v>
      </c>
      <c r="I64">
        <v>3.6999999999999998E-2</v>
      </c>
      <c r="J64">
        <v>0.189</v>
      </c>
      <c r="K64">
        <v>0</v>
      </c>
      <c r="L64">
        <v>1</v>
      </c>
      <c r="M64" t="s">
        <v>67</v>
      </c>
      <c r="N64" s="1">
        <v>21328</v>
      </c>
      <c r="O64">
        <v>3.5000000000000003E-2</v>
      </c>
      <c r="P64">
        <v>0.185</v>
      </c>
      <c r="Q64">
        <v>0</v>
      </c>
      <c r="R64">
        <v>1</v>
      </c>
      <c r="S64" t="s">
        <v>67</v>
      </c>
      <c r="T64" s="1"/>
    </row>
    <row r="65" spans="1:20" x14ac:dyDescent="0.25">
      <c r="A65" t="s">
        <v>68</v>
      </c>
      <c r="B65" s="1">
        <v>50356</v>
      </c>
      <c r="C65">
        <v>0.113</v>
      </c>
      <c r="D65">
        <v>0.317</v>
      </c>
      <c r="E65">
        <v>0</v>
      </c>
      <c r="F65">
        <v>1</v>
      </c>
      <c r="G65" t="s">
        <v>68</v>
      </c>
      <c r="H65" s="1">
        <v>29028</v>
      </c>
      <c r="I65">
        <v>0.11</v>
      </c>
      <c r="J65">
        <v>0.313</v>
      </c>
      <c r="K65">
        <v>0</v>
      </c>
      <c r="L65">
        <v>1</v>
      </c>
      <c r="M65" t="s">
        <v>68</v>
      </c>
      <c r="N65" s="1">
        <v>21328</v>
      </c>
      <c r="O65">
        <v>0.11799999999999999</v>
      </c>
      <c r="P65">
        <v>0.32200000000000001</v>
      </c>
      <c r="Q65">
        <v>0</v>
      </c>
      <c r="R65">
        <v>1</v>
      </c>
      <c r="S65" t="s">
        <v>68</v>
      </c>
      <c r="T65" s="1"/>
    </row>
    <row r="66" spans="1:20" x14ac:dyDescent="0.25">
      <c r="A66" t="s">
        <v>69</v>
      </c>
      <c r="B66" s="1">
        <v>50356</v>
      </c>
      <c r="C66">
        <v>3.1E-2</v>
      </c>
      <c r="D66">
        <v>0.17199999999999999</v>
      </c>
      <c r="E66">
        <v>0</v>
      </c>
      <c r="F66">
        <v>1</v>
      </c>
      <c r="G66" t="s">
        <v>69</v>
      </c>
      <c r="H66" s="1">
        <v>29028</v>
      </c>
      <c r="I66">
        <v>3.3000000000000002E-2</v>
      </c>
      <c r="J66">
        <v>0.17899999999999999</v>
      </c>
      <c r="K66">
        <v>0</v>
      </c>
      <c r="L66">
        <v>1</v>
      </c>
      <c r="M66" t="s">
        <v>69</v>
      </c>
      <c r="N66" s="1">
        <v>21328</v>
      </c>
      <c r="O66">
        <v>2.7E-2</v>
      </c>
      <c r="P66">
        <v>0.16200000000000001</v>
      </c>
      <c r="Q66">
        <v>0</v>
      </c>
      <c r="R66">
        <v>1</v>
      </c>
      <c r="S66" t="s">
        <v>69</v>
      </c>
      <c r="T66" s="1"/>
    </row>
    <row r="67" spans="1:20" x14ac:dyDescent="0.25">
      <c r="A67" t="s">
        <v>70</v>
      </c>
      <c r="B67" s="1">
        <v>50356</v>
      </c>
      <c r="C67">
        <v>0.193</v>
      </c>
      <c r="D67">
        <v>0.39500000000000002</v>
      </c>
      <c r="E67">
        <v>0</v>
      </c>
      <c r="F67">
        <v>1</v>
      </c>
      <c r="G67" t="s">
        <v>70</v>
      </c>
      <c r="H67" s="1">
        <v>29028</v>
      </c>
      <c r="I67">
        <v>0.191</v>
      </c>
      <c r="J67">
        <v>0.39300000000000002</v>
      </c>
      <c r="K67">
        <v>0</v>
      </c>
      <c r="L67">
        <v>1</v>
      </c>
      <c r="M67" t="s">
        <v>70</v>
      </c>
      <c r="N67" s="1">
        <v>21328</v>
      </c>
      <c r="O67">
        <v>0.19600000000000001</v>
      </c>
      <c r="P67">
        <v>0.39700000000000002</v>
      </c>
      <c r="Q67">
        <v>0</v>
      </c>
      <c r="R67">
        <v>1</v>
      </c>
      <c r="S67" t="s">
        <v>70</v>
      </c>
      <c r="T67" s="1"/>
    </row>
    <row r="68" spans="1:20" x14ac:dyDescent="0.25">
      <c r="A68" t="s">
        <v>71</v>
      </c>
      <c r="B68" s="1">
        <v>50356</v>
      </c>
      <c r="C68">
        <v>0.33400000000000002</v>
      </c>
      <c r="D68">
        <v>0.47199999999999998</v>
      </c>
      <c r="E68">
        <v>0</v>
      </c>
      <c r="F68">
        <v>1</v>
      </c>
      <c r="G68" t="s">
        <v>71</v>
      </c>
      <c r="H68" s="1">
        <v>29028</v>
      </c>
      <c r="I68">
        <v>0.34899999999999998</v>
      </c>
      <c r="J68">
        <v>0.47699999999999998</v>
      </c>
      <c r="K68">
        <v>0</v>
      </c>
      <c r="L68">
        <v>1</v>
      </c>
      <c r="M68" t="s">
        <v>71</v>
      </c>
      <c r="N68" s="1">
        <v>21328</v>
      </c>
      <c r="O68">
        <v>0.312</v>
      </c>
      <c r="P68">
        <v>0.46300000000000002</v>
      </c>
      <c r="Q68">
        <v>0</v>
      </c>
      <c r="R68">
        <v>1</v>
      </c>
      <c r="S68" t="s">
        <v>71</v>
      </c>
      <c r="T68" s="1"/>
    </row>
    <row r="69" spans="1:20" x14ac:dyDescent="0.25">
      <c r="A69" t="s">
        <v>72</v>
      </c>
      <c r="B69" s="1">
        <v>50356</v>
      </c>
      <c r="C69">
        <v>0.42599999999999999</v>
      </c>
      <c r="D69">
        <v>0.495</v>
      </c>
      <c r="E69">
        <v>0</v>
      </c>
      <c r="F69">
        <v>1</v>
      </c>
      <c r="G69" t="s">
        <v>72</v>
      </c>
      <c r="H69" s="1">
        <v>29028</v>
      </c>
      <c r="I69">
        <v>0.41099999999999998</v>
      </c>
      <c r="J69">
        <v>0.49199999999999999</v>
      </c>
      <c r="K69">
        <v>0</v>
      </c>
      <c r="L69">
        <v>1</v>
      </c>
      <c r="M69" t="s">
        <v>72</v>
      </c>
      <c r="N69" s="1">
        <v>21328</v>
      </c>
      <c r="O69">
        <v>0.44600000000000001</v>
      </c>
      <c r="P69">
        <v>0.497</v>
      </c>
      <c r="Q69">
        <v>0</v>
      </c>
      <c r="R69">
        <v>1</v>
      </c>
      <c r="S69" t="s">
        <v>72</v>
      </c>
      <c r="T69" s="1"/>
    </row>
    <row r="70" spans="1:20" x14ac:dyDescent="0.25">
      <c r="A70" t="s">
        <v>73</v>
      </c>
      <c r="B70" s="1">
        <v>50356</v>
      </c>
      <c r="C70">
        <v>4.7E-2</v>
      </c>
      <c r="D70">
        <v>0.21199999999999999</v>
      </c>
      <c r="E70">
        <v>0</v>
      </c>
      <c r="F70">
        <v>1</v>
      </c>
      <c r="G70" t="s">
        <v>73</v>
      </c>
      <c r="H70" s="1">
        <v>29028</v>
      </c>
      <c r="I70">
        <v>4.9000000000000002E-2</v>
      </c>
      <c r="J70">
        <v>0.215</v>
      </c>
      <c r="K70">
        <v>0</v>
      </c>
      <c r="L70">
        <v>1</v>
      </c>
      <c r="M70" t="s">
        <v>73</v>
      </c>
      <c r="N70" s="1">
        <v>21328</v>
      </c>
      <c r="O70">
        <v>4.4999999999999998E-2</v>
      </c>
      <c r="P70">
        <v>0.20799999999999999</v>
      </c>
      <c r="Q70">
        <v>0</v>
      </c>
      <c r="R70">
        <v>1</v>
      </c>
      <c r="S70" t="s">
        <v>73</v>
      </c>
      <c r="T70" s="1"/>
    </row>
    <row r="71" spans="1:20" x14ac:dyDescent="0.25">
      <c r="A71" t="s">
        <v>165</v>
      </c>
      <c r="B71" s="1">
        <v>50356</v>
      </c>
      <c r="C71">
        <v>5.7000000000000002E-2</v>
      </c>
      <c r="D71">
        <v>0.23100000000000001</v>
      </c>
      <c r="E71">
        <v>0</v>
      </c>
      <c r="F71">
        <v>1</v>
      </c>
      <c r="G71" t="s">
        <v>165</v>
      </c>
      <c r="H71" s="1">
        <v>29028</v>
      </c>
      <c r="I71">
        <v>5.8000000000000003E-2</v>
      </c>
      <c r="J71">
        <v>0.23400000000000001</v>
      </c>
      <c r="K71">
        <v>0</v>
      </c>
      <c r="L71">
        <v>1</v>
      </c>
      <c r="M71" t="s">
        <v>165</v>
      </c>
      <c r="N71" s="1">
        <v>21328</v>
      </c>
      <c r="O71">
        <v>5.3999999999999999E-2</v>
      </c>
      <c r="P71">
        <v>0.22700000000000001</v>
      </c>
      <c r="Q71">
        <v>0</v>
      </c>
      <c r="R71">
        <v>1</v>
      </c>
      <c r="S71" t="s">
        <v>165</v>
      </c>
      <c r="T71" s="1"/>
    </row>
    <row r="72" spans="1:20" x14ac:dyDescent="0.25">
      <c r="A72" t="s">
        <v>166</v>
      </c>
      <c r="B72" s="1">
        <v>50356</v>
      </c>
      <c r="C72">
        <v>0.254</v>
      </c>
      <c r="D72">
        <v>0.435</v>
      </c>
      <c r="E72">
        <v>0</v>
      </c>
      <c r="F72">
        <v>1</v>
      </c>
      <c r="G72" t="s">
        <v>166</v>
      </c>
      <c r="H72" s="1">
        <v>29028</v>
      </c>
      <c r="I72">
        <v>0.251</v>
      </c>
      <c r="J72">
        <v>0.434</v>
      </c>
      <c r="K72">
        <v>0</v>
      </c>
      <c r="L72">
        <v>1</v>
      </c>
      <c r="M72" t="s">
        <v>166</v>
      </c>
      <c r="N72" s="1">
        <v>21328</v>
      </c>
      <c r="O72">
        <v>0.25800000000000001</v>
      </c>
      <c r="P72">
        <v>0.437</v>
      </c>
      <c r="Q72">
        <v>0</v>
      </c>
      <c r="R72">
        <v>1</v>
      </c>
      <c r="S72" t="s">
        <v>166</v>
      </c>
      <c r="T72" s="1"/>
    </row>
    <row r="73" spans="1:20" x14ac:dyDescent="0.25">
      <c r="A73" t="s">
        <v>167</v>
      </c>
      <c r="B73" s="1">
        <v>50356</v>
      </c>
      <c r="C73">
        <v>0.47199999999999998</v>
      </c>
      <c r="D73">
        <v>0.499</v>
      </c>
      <c r="E73">
        <v>0</v>
      </c>
      <c r="F73">
        <v>1</v>
      </c>
      <c r="G73" t="s">
        <v>167</v>
      </c>
      <c r="H73" s="1">
        <v>29028</v>
      </c>
      <c r="I73">
        <v>0.48899999999999999</v>
      </c>
      <c r="J73">
        <v>0.5</v>
      </c>
      <c r="K73">
        <v>0</v>
      </c>
      <c r="L73">
        <v>1</v>
      </c>
      <c r="M73" t="s">
        <v>167</v>
      </c>
      <c r="N73" s="1">
        <v>21328</v>
      </c>
      <c r="O73">
        <v>0.44900000000000001</v>
      </c>
      <c r="P73">
        <v>0.497</v>
      </c>
      <c r="Q73">
        <v>0</v>
      </c>
      <c r="R73">
        <v>1</v>
      </c>
      <c r="S73" t="s">
        <v>167</v>
      </c>
      <c r="T73" s="1"/>
    </row>
    <row r="74" spans="1:20" x14ac:dyDescent="0.25">
      <c r="A74" t="s">
        <v>168</v>
      </c>
      <c r="B74" s="1">
        <v>50356</v>
      </c>
      <c r="C74">
        <v>6.0999999999999999E-2</v>
      </c>
      <c r="D74">
        <v>0.23899999999999999</v>
      </c>
      <c r="E74">
        <v>0</v>
      </c>
      <c r="F74">
        <v>1</v>
      </c>
      <c r="G74" t="s">
        <v>168</v>
      </c>
      <c r="H74" s="1">
        <v>29028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21328</v>
      </c>
      <c r="O74">
        <v>6.4000000000000001E-2</v>
      </c>
      <c r="P74">
        <v>0.245</v>
      </c>
      <c r="Q74">
        <v>0</v>
      </c>
      <c r="R74">
        <v>1</v>
      </c>
      <c r="S74" t="s">
        <v>168</v>
      </c>
      <c r="T74" s="1"/>
    </row>
    <row r="75" spans="1:20" x14ac:dyDescent="0.25">
      <c r="A75" t="s">
        <v>169</v>
      </c>
      <c r="B75" s="1">
        <v>50356</v>
      </c>
      <c r="C75">
        <v>0.12</v>
      </c>
      <c r="D75">
        <v>0.32500000000000001</v>
      </c>
      <c r="E75">
        <v>0</v>
      </c>
      <c r="F75">
        <v>1</v>
      </c>
      <c r="G75" t="s">
        <v>169</v>
      </c>
      <c r="H75" s="1">
        <v>29028</v>
      </c>
      <c r="I75">
        <v>0.112</v>
      </c>
      <c r="J75">
        <v>0.315</v>
      </c>
      <c r="K75">
        <v>0</v>
      </c>
      <c r="L75">
        <v>1</v>
      </c>
      <c r="M75" t="s">
        <v>169</v>
      </c>
      <c r="N75" s="1">
        <v>21328</v>
      </c>
      <c r="O75">
        <v>0.13100000000000001</v>
      </c>
      <c r="P75">
        <v>0.33800000000000002</v>
      </c>
      <c r="Q75">
        <v>0</v>
      </c>
      <c r="R75">
        <v>1</v>
      </c>
      <c r="S75" t="s">
        <v>169</v>
      </c>
      <c r="T75" s="1"/>
    </row>
    <row r="76" spans="1:20" x14ac:dyDescent="0.25">
      <c r="A76" t="s">
        <v>170</v>
      </c>
      <c r="B76" s="1">
        <v>50356</v>
      </c>
      <c r="C76">
        <v>3.6999999999999998E-2</v>
      </c>
      <c r="D76">
        <v>0.188</v>
      </c>
      <c r="E76">
        <v>0</v>
      </c>
      <c r="F76">
        <v>1</v>
      </c>
      <c r="G76" t="s">
        <v>170</v>
      </c>
      <c r="H76" s="1">
        <v>29028</v>
      </c>
      <c r="I76">
        <v>3.2000000000000001E-2</v>
      </c>
      <c r="J76">
        <v>0.17499999999999999</v>
      </c>
      <c r="K76">
        <v>0</v>
      </c>
      <c r="L76">
        <v>1</v>
      </c>
      <c r="M76" t="s">
        <v>170</v>
      </c>
      <c r="N76" s="1">
        <v>21328</v>
      </c>
      <c r="O76">
        <v>4.3999999999999997E-2</v>
      </c>
      <c r="P76">
        <v>0.20499999999999999</v>
      </c>
      <c r="Q76">
        <v>0</v>
      </c>
      <c r="R76">
        <v>1</v>
      </c>
      <c r="S76" t="s">
        <v>170</v>
      </c>
      <c r="T76" s="1"/>
    </row>
    <row r="77" spans="1:20" x14ac:dyDescent="0.25">
      <c r="A77" t="s">
        <v>79</v>
      </c>
      <c r="B77" s="1">
        <v>50356</v>
      </c>
      <c r="C77">
        <v>0.123</v>
      </c>
      <c r="D77">
        <v>0.32900000000000001</v>
      </c>
      <c r="E77">
        <v>0</v>
      </c>
      <c r="F77">
        <v>1</v>
      </c>
      <c r="G77" t="s">
        <v>79</v>
      </c>
      <c r="H77" s="1">
        <v>29028</v>
      </c>
      <c r="I77">
        <v>0.123</v>
      </c>
      <c r="J77">
        <v>0.32900000000000001</v>
      </c>
      <c r="K77">
        <v>0</v>
      </c>
      <c r="L77">
        <v>1</v>
      </c>
      <c r="M77" t="s">
        <v>79</v>
      </c>
      <c r="N77" s="1">
        <v>21328</v>
      </c>
      <c r="O77">
        <v>0.123</v>
      </c>
      <c r="P77">
        <v>0.32800000000000001</v>
      </c>
      <c r="Q77">
        <v>0</v>
      </c>
      <c r="R77">
        <v>1</v>
      </c>
      <c r="S77" t="s">
        <v>79</v>
      </c>
      <c r="T77" s="1"/>
    </row>
    <row r="78" spans="1:20" x14ac:dyDescent="0.25">
      <c r="A78" t="s">
        <v>80</v>
      </c>
      <c r="B78" s="1">
        <v>50356</v>
      </c>
      <c r="C78">
        <v>6.0000000000000001E-3</v>
      </c>
      <c r="D78">
        <v>7.5999999999999998E-2</v>
      </c>
      <c r="E78">
        <v>0</v>
      </c>
      <c r="F78">
        <v>1</v>
      </c>
      <c r="G78" t="s">
        <v>80</v>
      </c>
      <c r="H78" s="1">
        <v>29028</v>
      </c>
      <c r="I78">
        <v>5.0000000000000001E-3</v>
      </c>
      <c r="J78">
        <v>7.1999999999999995E-2</v>
      </c>
      <c r="K78">
        <v>0</v>
      </c>
      <c r="L78">
        <v>1</v>
      </c>
      <c r="M78" t="s">
        <v>80</v>
      </c>
      <c r="N78" s="1">
        <v>21328</v>
      </c>
      <c r="O78">
        <v>7.0000000000000001E-3</v>
      </c>
      <c r="P78">
        <v>8.1000000000000003E-2</v>
      </c>
      <c r="Q78">
        <v>0</v>
      </c>
      <c r="R78">
        <v>1</v>
      </c>
      <c r="S78" t="s">
        <v>80</v>
      </c>
      <c r="T78" s="1"/>
    </row>
    <row r="79" spans="1:20" x14ac:dyDescent="0.25">
      <c r="A79" t="s">
        <v>81</v>
      </c>
      <c r="B79" s="1">
        <v>50356</v>
      </c>
      <c r="C79">
        <v>2E-3</v>
      </c>
      <c r="D79">
        <v>4.2999999999999997E-2</v>
      </c>
      <c r="E79">
        <v>0</v>
      </c>
      <c r="F79">
        <v>1</v>
      </c>
      <c r="G79" t="s">
        <v>81</v>
      </c>
      <c r="H79" s="1">
        <v>29028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21328</v>
      </c>
      <c r="O79">
        <v>2E-3</v>
      </c>
      <c r="P79">
        <v>4.2999999999999997E-2</v>
      </c>
      <c r="Q79">
        <v>0</v>
      </c>
      <c r="R79">
        <v>1</v>
      </c>
      <c r="S79" t="s">
        <v>81</v>
      </c>
      <c r="T79" s="1"/>
    </row>
    <row r="80" spans="1:20" x14ac:dyDescent="0.25">
      <c r="A80" t="s">
        <v>82</v>
      </c>
      <c r="B80" s="1">
        <v>50356</v>
      </c>
      <c r="C80">
        <v>4.2000000000000003E-2</v>
      </c>
      <c r="D80">
        <v>0.20100000000000001</v>
      </c>
      <c r="E80">
        <v>0</v>
      </c>
      <c r="F80">
        <v>1</v>
      </c>
      <c r="G80" t="s">
        <v>82</v>
      </c>
      <c r="H80" s="1">
        <v>29028</v>
      </c>
      <c r="I80">
        <v>4.2000000000000003E-2</v>
      </c>
      <c r="J80">
        <v>0.20100000000000001</v>
      </c>
      <c r="K80">
        <v>0</v>
      </c>
      <c r="L80">
        <v>1</v>
      </c>
      <c r="M80" t="s">
        <v>82</v>
      </c>
      <c r="N80" s="1">
        <v>21328</v>
      </c>
      <c r="O80">
        <v>4.2000000000000003E-2</v>
      </c>
      <c r="P80">
        <v>0.20200000000000001</v>
      </c>
      <c r="Q80">
        <v>0</v>
      </c>
      <c r="R80">
        <v>1</v>
      </c>
      <c r="S80" t="s">
        <v>82</v>
      </c>
      <c r="T80" s="1"/>
    </row>
    <row r="81" spans="1:20" x14ac:dyDescent="0.25">
      <c r="A81" t="s">
        <v>83</v>
      </c>
      <c r="B81" s="1">
        <v>50356</v>
      </c>
      <c r="C81">
        <v>0.41899999999999998</v>
      </c>
      <c r="D81">
        <v>0.49299999999999999</v>
      </c>
      <c r="E81">
        <v>0</v>
      </c>
      <c r="F81">
        <v>1</v>
      </c>
      <c r="G81" t="s">
        <v>83</v>
      </c>
      <c r="H81" s="1">
        <v>29028</v>
      </c>
      <c r="I81">
        <v>0.42799999999999999</v>
      </c>
      <c r="J81">
        <v>0.495</v>
      </c>
      <c r="K81">
        <v>0</v>
      </c>
      <c r="L81">
        <v>1</v>
      </c>
      <c r="M81" t="s">
        <v>83</v>
      </c>
      <c r="N81" s="1">
        <v>21328</v>
      </c>
      <c r="O81">
        <v>0.40699999999999997</v>
      </c>
      <c r="P81">
        <v>0.49099999999999999</v>
      </c>
      <c r="Q81">
        <v>0</v>
      </c>
      <c r="R81">
        <v>1</v>
      </c>
      <c r="S81" t="s">
        <v>83</v>
      </c>
      <c r="T81" s="1"/>
    </row>
    <row r="82" spans="1:20" x14ac:dyDescent="0.25">
      <c r="A82" t="s">
        <v>84</v>
      </c>
      <c r="B82" s="1">
        <v>50356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29028</v>
      </c>
      <c r="I82">
        <v>7.0000000000000001E-3</v>
      </c>
      <c r="J82">
        <v>8.1000000000000003E-2</v>
      </c>
      <c r="K82">
        <v>0</v>
      </c>
      <c r="L82">
        <v>1</v>
      </c>
      <c r="M82" t="s">
        <v>84</v>
      </c>
      <c r="N82" s="1">
        <v>21328</v>
      </c>
      <c r="O82">
        <v>8.9999999999999993E-3</v>
      </c>
      <c r="P82">
        <v>9.4E-2</v>
      </c>
      <c r="Q82">
        <v>0</v>
      </c>
      <c r="R82">
        <v>1</v>
      </c>
      <c r="S82" t="s">
        <v>84</v>
      </c>
      <c r="T82" s="1"/>
    </row>
    <row r="83" spans="1:20" x14ac:dyDescent="0.25">
      <c r="A83" t="s">
        <v>85</v>
      </c>
      <c r="B83" s="1">
        <v>50356</v>
      </c>
      <c r="C83">
        <v>0.4</v>
      </c>
      <c r="D83">
        <v>0.49</v>
      </c>
      <c r="E83">
        <v>0</v>
      </c>
      <c r="F83">
        <v>1</v>
      </c>
      <c r="G83" t="s">
        <v>85</v>
      </c>
      <c r="H83" s="1">
        <v>29028</v>
      </c>
      <c r="I83">
        <v>0.39300000000000002</v>
      </c>
      <c r="J83">
        <v>0.48799999999999999</v>
      </c>
      <c r="K83">
        <v>0</v>
      </c>
      <c r="L83">
        <v>1</v>
      </c>
      <c r="M83" t="s">
        <v>85</v>
      </c>
      <c r="N83" s="1">
        <v>21328</v>
      </c>
      <c r="O83">
        <v>0.41</v>
      </c>
      <c r="P83">
        <v>0.49199999999999999</v>
      </c>
      <c r="Q83">
        <v>0</v>
      </c>
      <c r="R83">
        <v>1</v>
      </c>
      <c r="S83" t="s">
        <v>85</v>
      </c>
      <c r="T83" s="1"/>
    </row>
    <row r="84" spans="1:20" x14ac:dyDescent="0.25">
      <c r="A84" t="s">
        <v>6</v>
      </c>
      <c r="B84" s="1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9</v>
      </c>
      <c r="R84" t="s">
        <v>9</v>
      </c>
      <c r="S84" t="s">
        <v>6</v>
      </c>
    </row>
    <row r="85" spans="1:20" x14ac:dyDescent="0.25">
      <c r="A85" t="s">
        <v>6</v>
      </c>
      <c r="B85" t="s">
        <v>7</v>
      </c>
      <c r="C85" t="s">
        <v>8</v>
      </c>
      <c r="D85" t="s">
        <v>162</v>
      </c>
      <c r="E85" t="s">
        <v>9</v>
      </c>
      <c r="F85" t="s">
        <v>9</v>
      </c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  <c r="M85" t="s">
        <v>6</v>
      </c>
      <c r="N85" t="s">
        <v>7</v>
      </c>
      <c r="O85" t="s">
        <v>8</v>
      </c>
      <c r="P85" t="s">
        <v>162</v>
      </c>
      <c r="Q85" t="s">
        <v>9</v>
      </c>
      <c r="R85" t="s">
        <v>9</v>
      </c>
    </row>
    <row r="86" spans="1:20" x14ac:dyDescent="0.25">
      <c r="G86" t="s">
        <v>6</v>
      </c>
      <c r="H86" s="1" t="s">
        <v>7</v>
      </c>
      <c r="I86" t="s">
        <v>8</v>
      </c>
      <c r="J86" t="s">
        <v>162</v>
      </c>
      <c r="K86" t="s">
        <v>8</v>
      </c>
      <c r="L86" t="s">
        <v>9</v>
      </c>
    </row>
    <row r="87" spans="1:20" x14ac:dyDescent="0.25">
      <c r="G87" t="s">
        <v>85</v>
      </c>
      <c r="H87" s="1">
        <v>29452</v>
      </c>
      <c r="I87">
        <v>0.38700000000000001</v>
      </c>
      <c r="J87">
        <v>0.48699999999999999</v>
      </c>
      <c r="K87">
        <v>0</v>
      </c>
      <c r="L87">
        <v>1</v>
      </c>
    </row>
    <row r="88" spans="1:20" x14ac:dyDescent="0.25">
      <c r="G88" t="s">
        <v>6</v>
      </c>
      <c r="H88" t="s">
        <v>7</v>
      </c>
      <c r="I88" t="s">
        <v>8</v>
      </c>
      <c r="J88" t="s">
        <v>162</v>
      </c>
      <c r="K88" t="s">
        <v>8</v>
      </c>
      <c r="L88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CAFA6-6F06-468D-83F9-43D84046052E}">
  <sheetPr codeName="Sheet2"/>
  <dimension ref="A1:R87"/>
  <sheetViews>
    <sheetView topLeftCell="A2" workbookViewId="0">
      <selection activeCell="C39" sqref="C38:C39"/>
    </sheetView>
  </sheetViews>
  <sheetFormatPr defaultRowHeight="15" x14ac:dyDescent="0.25"/>
  <cols>
    <col min="3" max="3" width="11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27394</v>
      </c>
      <c r="C3">
        <v>1.33</v>
      </c>
      <c r="D3">
        <v>0.56000000000000005</v>
      </c>
      <c r="E3">
        <v>1</v>
      </c>
      <c r="F3">
        <v>5</v>
      </c>
      <c r="G3" t="s">
        <v>10</v>
      </c>
      <c r="H3" s="1">
        <v>15766</v>
      </c>
      <c r="I3">
        <v>1.333</v>
      </c>
      <c r="J3">
        <v>0.56399999999999995</v>
      </c>
      <c r="K3">
        <v>1</v>
      </c>
      <c r="L3">
        <v>5</v>
      </c>
      <c r="M3" t="s">
        <v>10</v>
      </c>
      <c r="N3" s="1">
        <v>11628</v>
      </c>
      <c r="O3">
        <v>1.3260000000000001</v>
      </c>
      <c r="P3">
        <v>0.55400000000000005</v>
      </c>
      <c r="Q3">
        <v>1</v>
      </c>
      <c r="R3">
        <v>5</v>
      </c>
    </row>
    <row r="4" spans="1:18" x14ac:dyDescent="0.25">
      <c r="A4" t="s">
        <v>11</v>
      </c>
      <c r="B4" s="1">
        <v>27394</v>
      </c>
      <c r="C4">
        <v>0.42399999999999999</v>
      </c>
      <c r="D4">
        <v>0.49399999999999999</v>
      </c>
      <c r="E4">
        <v>0</v>
      </c>
      <c r="F4">
        <v>1</v>
      </c>
      <c r="G4" t="s">
        <v>11</v>
      </c>
      <c r="H4" s="1">
        <v>15766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11628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27394</v>
      </c>
      <c r="C5">
        <v>0.38200000000000001</v>
      </c>
      <c r="D5">
        <v>0.48599999999999999</v>
      </c>
      <c r="E5">
        <v>0</v>
      </c>
      <c r="F5">
        <v>1</v>
      </c>
      <c r="G5" t="s">
        <v>12</v>
      </c>
      <c r="H5" s="1">
        <v>15766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11628</v>
      </c>
      <c r="O5">
        <v>0.89900000000000002</v>
      </c>
      <c r="P5">
        <v>0.30199999999999999</v>
      </c>
      <c r="Q5">
        <v>0</v>
      </c>
      <c r="R5">
        <v>1</v>
      </c>
    </row>
    <row r="6" spans="1:18" x14ac:dyDescent="0.25">
      <c r="A6" t="s">
        <v>36</v>
      </c>
      <c r="B6" s="1">
        <v>11628</v>
      </c>
      <c r="C6">
        <v>311.76900000000001</v>
      </c>
      <c r="D6">
        <v>571.94899999999996</v>
      </c>
      <c r="E6">
        <v>0</v>
      </c>
      <c r="F6" s="1">
        <v>4021</v>
      </c>
      <c r="H6" s="1"/>
      <c r="M6" t="s">
        <v>36</v>
      </c>
      <c r="N6" s="1">
        <v>11628</v>
      </c>
      <c r="O6">
        <v>311.76900000000001</v>
      </c>
      <c r="P6">
        <v>571.94899999999996</v>
      </c>
      <c r="Q6">
        <v>0</v>
      </c>
      <c r="R6" s="1">
        <v>4021</v>
      </c>
    </row>
    <row r="7" spans="1:18" x14ac:dyDescent="0.25">
      <c r="A7" t="s">
        <v>13</v>
      </c>
      <c r="B7" s="1">
        <v>27394</v>
      </c>
      <c r="C7">
        <v>1.5049999999999999</v>
      </c>
      <c r="D7">
        <v>0.55500000000000005</v>
      </c>
      <c r="E7">
        <v>0</v>
      </c>
      <c r="F7">
        <v>6</v>
      </c>
      <c r="G7" t="s">
        <v>13</v>
      </c>
      <c r="H7" s="1">
        <v>15766</v>
      </c>
      <c r="I7">
        <v>1.506</v>
      </c>
      <c r="J7">
        <v>0.55400000000000005</v>
      </c>
      <c r="K7">
        <v>0</v>
      </c>
      <c r="L7">
        <v>5</v>
      </c>
      <c r="M7" t="s">
        <v>13</v>
      </c>
      <c r="N7" s="1">
        <v>11628</v>
      </c>
      <c r="O7">
        <v>1.5029999999999999</v>
      </c>
      <c r="P7">
        <v>0.55600000000000005</v>
      </c>
      <c r="Q7">
        <v>0</v>
      </c>
      <c r="R7">
        <v>6</v>
      </c>
    </row>
    <row r="8" spans="1:18" x14ac:dyDescent="0.25">
      <c r="A8" t="s">
        <v>14</v>
      </c>
      <c r="B8" s="1">
        <v>27394</v>
      </c>
      <c r="C8">
        <v>0.17799999999999999</v>
      </c>
      <c r="D8">
        <v>0.38900000000000001</v>
      </c>
      <c r="E8">
        <v>0</v>
      </c>
      <c r="F8">
        <v>5</v>
      </c>
      <c r="G8" t="s">
        <v>14</v>
      </c>
      <c r="H8" s="1">
        <v>15766</v>
      </c>
      <c r="I8">
        <v>0.18</v>
      </c>
      <c r="J8">
        <v>0.39</v>
      </c>
      <c r="K8">
        <v>0</v>
      </c>
      <c r="L8">
        <v>5</v>
      </c>
      <c r="M8" t="s">
        <v>14</v>
      </c>
      <c r="N8" s="1">
        <v>11628</v>
      </c>
      <c r="O8">
        <v>0.17499999999999999</v>
      </c>
      <c r="P8">
        <v>0.38700000000000001</v>
      </c>
      <c r="Q8">
        <v>0</v>
      </c>
      <c r="R8">
        <v>4</v>
      </c>
    </row>
    <row r="9" spans="1:18" x14ac:dyDescent="0.25">
      <c r="A9" t="s">
        <v>15</v>
      </c>
      <c r="B9" s="1">
        <v>27394</v>
      </c>
      <c r="C9">
        <v>1.8220000000000001</v>
      </c>
      <c r="D9">
        <v>0.92200000000000004</v>
      </c>
      <c r="E9">
        <v>0</v>
      </c>
      <c r="F9">
        <v>8</v>
      </c>
      <c r="G9" t="s">
        <v>15</v>
      </c>
      <c r="H9" s="1">
        <v>15766</v>
      </c>
      <c r="I9">
        <v>1.831</v>
      </c>
      <c r="J9">
        <v>0.92</v>
      </c>
      <c r="K9">
        <v>0</v>
      </c>
      <c r="L9">
        <v>5</v>
      </c>
      <c r="M9" t="s">
        <v>15</v>
      </c>
      <c r="N9" s="1">
        <v>11628</v>
      </c>
      <c r="O9">
        <v>1.81</v>
      </c>
      <c r="P9">
        <v>0.92400000000000004</v>
      </c>
      <c r="Q9">
        <v>0</v>
      </c>
      <c r="R9">
        <v>8</v>
      </c>
    </row>
    <row r="10" spans="1:18" x14ac:dyDescent="0.25">
      <c r="A10" t="s">
        <v>16</v>
      </c>
      <c r="B10" s="1">
        <v>27394</v>
      </c>
      <c r="C10">
        <v>46.081000000000003</v>
      </c>
      <c r="D10">
        <v>60.643000000000001</v>
      </c>
      <c r="E10">
        <v>0</v>
      </c>
      <c r="F10">
        <v>946</v>
      </c>
      <c r="G10" t="s">
        <v>16</v>
      </c>
      <c r="H10" s="1">
        <v>15766</v>
      </c>
      <c r="I10">
        <v>50.720999999999997</v>
      </c>
      <c r="J10">
        <v>58.35</v>
      </c>
      <c r="K10">
        <v>0</v>
      </c>
      <c r="L10">
        <v>785</v>
      </c>
      <c r="M10" t="s">
        <v>16</v>
      </c>
      <c r="N10" s="1">
        <v>11628</v>
      </c>
      <c r="O10">
        <v>39.79</v>
      </c>
      <c r="P10">
        <v>63.08</v>
      </c>
      <c r="Q10">
        <v>0</v>
      </c>
      <c r="R10">
        <v>946</v>
      </c>
    </row>
    <row r="11" spans="1:18" x14ac:dyDescent="0.25">
      <c r="A11" t="s">
        <v>163</v>
      </c>
      <c r="B11" s="1">
        <v>27394</v>
      </c>
      <c r="C11" s="2">
        <v>882.09100000000001</v>
      </c>
      <c r="D11">
        <v>386.89400000000001</v>
      </c>
      <c r="E11">
        <v>120</v>
      </c>
      <c r="F11" s="1">
        <v>10740</v>
      </c>
      <c r="G11" t="s">
        <v>163</v>
      </c>
      <c r="H11" s="1">
        <v>15766</v>
      </c>
      <c r="I11">
        <v>883.93499999999995</v>
      </c>
      <c r="J11">
        <v>382.13400000000001</v>
      </c>
      <c r="K11">
        <v>160</v>
      </c>
      <c r="L11" s="1">
        <v>6273</v>
      </c>
      <c r="M11" t="s">
        <v>163</v>
      </c>
      <c r="N11" s="1">
        <v>11628</v>
      </c>
      <c r="O11" s="2">
        <v>879.59100000000001</v>
      </c>
      <c r="P11">
        <v>393.25900000000001</v>
      </c>
      <c r="Q11">
        <v>120</v>
      </c>
      <c r="R11" s="1">
        <v>10740</v>
      </c>
    </row>
    <row r="12" spans="1:18" x14ac:dyDescent="0.25">
      <c r="A12" t="s">
        <v>17</v>
      </c>
      <c r="B12" s="1">
        <v>27394</v>
      </c>
      <c r="C12">
        <v>26.550999999999998</v>
      </c>
      <c r="D12">
        <v>96.921999999999997</v>
      </c>
      <c r="E12">
        <v>0</v>
      </c>
      <c r="F12" s="1">
        <v>1380</v>
      </c>
      <c r="G12" t="s">
        <v>17</v>
      </c>
      <c r="H12" s="1">
        <v>15766</v>
      </c>
      <c r="I12">
        <v>22.536999999999999</v>
      </c>
      <c r="J12">
        <v>89.25</v>
      </c>
      <c r="K12">
        <v>0</v>
      </c>
      <c r="L12" s="1">
        <v>942</v>
      </c>
      <c r="M12" t="s">
        <v>17</v>
      </c>
      <c r="N12" s="1">
        <v>11628</v>
      </c>
      <c r="O12">
        <v>31.994</v>
      </c>
      <c r="P12">
        <v>106.20699999999999</v>
      </c>
      <c r="Q12">
        <v>0</v>
      </c>
      <c r="R12" s="1">
        <v>1380</v>
      </c>
    </row>
    <row r="13" spans="1:18" x14ac:dyDescent="0.25">
      <c r="A13" t="s">
        <v>19</v>
      </c>
      <c r="B13" s="1">
        <v>27394</v>
      </c>
      <c r="C13" s="2">
        <v>665521</v>
      </c>
      <c r="D13" s="2">
        <v>598934.1</v>
      </c>
      <c r="E13" s="2">
        <v>85418.51</v>
      </c>
      <c r="F13" s="2">
        <v>28197546</v>
      </c>
      <c r="G13" t="s">
        <v>19</v>
      </c>
      <c r="H13" s="1">
        <v>15766</v>
      </c>
      <c r="I13" s="2">
        <v>665932.9</v>
      </c>
      <c r="J13" s="2">
        <v>612313.30000000005</v>
      </c>
      <c r="K13" s="2">
        <v>99684.44</v>
      </c>
      <c r="L13" s="1">
        <v>28197546</v>
      </c>
      <c r="M13" t="s">
        <v>19</v>
      </c>
      <c r="N13" s="1">
        <v>11628</v>
      </c>
      <c r="O13" s="2">
        <v>664962.6</v>
      </c>
      <c r="P13" s="2">
        <v>580327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27394</v>
      </c>
      <c r="C14" s="2">
        <v>656708.1</v>
      </c>
      <c r="D14" s="2">
        <v>572075.5</v>
      </c>
      <c r="E14" s="2">
        <v>85418.51</v>
      </c>
      <c r="F14" s="2">
        <v>28197546</v>
      </c>
      <c r="G14" t="s">
        <v>20</v>
      </c>
      <c r="H14" s="1">
        <v>15766</v>
      </c>
      <c r="I14" s="2">
        <v>654242.69999999995</v>
      </c>
      <c r="J14" s="2">
        <v>590711.30000000005</v>
      </c>
      <c r="K14" s="2">
        <v>118448.6</v>
      </c>
      <c r="L14" s="1">
        <v>28197546</v>
      </c>
      <c r="M14" t="s">
        <v>20</v>
      </c>
      <c r="N14" s="1">
        <v>11628</v>
      </c>
      <c r="O14" s="2">
        <v>660050.9</v>
      </c>
      <c r="P14" s="2">
        <v>545800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27394</v>
      </c>
      <c r="C15" s="2">
        <v>7330.8360000000002</v>
      </c>
      <c r="D15" s="2">
        <v>47483.4</v>
      </c>
      <c r="E15" s="2">
        <v>-300000</v>
      </c>
      <c r="F15" s="2">
        <v>4750000</v>
      </c>
      <c r="G15" t="s">
        <v>190</v>
      </c>
      <c r="H15" s="1">
        <v>15766</v>
      </c>
      <c r="I15" s="2">
        <v>9604.6129999999994</v>
      </c>
      <c r="J15" s="2">
        <v>32040.51</v>
      </c>
      <c r="K15" s="2">
        <v>-152000</v>
      </c>
      <c r="L15" s="1">
        <v>750000</v>
      </c>
      <c r="M15" t="s">
        <v>190</v>
      </c>
      <c r="N15" s="1">
        <v>11628</v>
      </c>
      <c r="O15" s="2">
        <v>4247.9009999999998</v>
      </c>
      <c r="P15" s="2">
        <v>62477.98</v>
      </c>
      <c r="Q15" s="2">
        <v>-300000</v>
      </c>
      <c r="R15" s="2">
        <v>4750000</v>
      </c>
    </row>
    <row r="16" spans="1:18" x14ac:dyDescent="0.25">
      <c r="A16" t="s">
        <v>21</v>
      </c>
      <c r="B16" s="1">
        <v>27394</v>
      </c>
      <c r="C16">
        <v>1E-3</v>
      </c>
      <c r="D16">
        <v>3.6999999999999998E-2</v>
      </c>
      <c r="E16">
        <v>0</v>
      </c>
      <c r="F16">
        <v>1</v>
      </c>
      <c r="G16" t="s">
        <v>21</v>
      </c>
      <c r="H16" s="1">
        <v>15766</v>
      </c>
      <c r="I16" s="2">
        <v>1E-3</v>
      </c>
      <c r="J16" s="2">
        <v>3.4000000000000002E-2</v>
      </c>
      <c r="K16" s="2">
        <v>0</v>
      </c>
      <c r="L16" s="1">
        <v>1</v>
      </c>
      <c r="M16" t="s">
        <v>21</v>
      </c>
      <c r="N16" s="1">
        <v>11628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27394</v>
      </c>
      <c r="C17">
        <v>2.9000000000000001E-2</v>
      </c>
      <c r="D17">
        <v>0.16700000000000001</v>
      </c>
      <c r="E17">
        <v>0</v>
      </c>
      <c r="F17">
        <v>1</v>
      </c>
      <c r="G17" t="s">
        <v>22</v>
      </c>
      <c r="H17" s="1">
        <v>15766</v>
      </c>
      <c r="I17" s="2">
        <v>3.1E-2</v>
      </c>
      <c r="J17" s="2">
        <v>0.17299999999999999</v>
      </c>
      <c r="K17" s="2">
        <v>0</v>
      </c>
      <c r="L17" s="2">
        <v>1</v>
      </c>
      <c r="M17" t="s">
        <v>22</v>
      </c>
      <c r="N17" s="1">
        <v>11628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27394</v>
      </c>
      <c r="C18">
        <v>6.0000000000000001E-3</v>
      </c>
      <c r="D18">
        <v>7.8E-2</v>
      </c>
      <c r="E18">
        <v>0</v>
      </c>
      <c r="F18">
        <v>1</v>
      </c>
      <c r="G18" t="s">
        <v>23</v>
      </c>
      <c r="H18" s="1">
        <v>15766</v>
      </c>
      <c r="I18" s="2">
        <v>7.0000000000000001E-3</v>
      </c>
      <c r="J18" s="2">
        <v>8.5000000000000006E-2</v>
      </c>
      <c r="K18" s="2">
        <v>0</v>
      </c>
      <c r="L18" s="2">
        <v>1</v>
      </c>
      <c r="M18" t="s">
        <v>23</v>
      </c>
      <c r="N18" s="1">
        <v>11628</v>
      </c>
      <c r="O18">
        <v>5.0000000000000001E-3</v>
      </c>
      <c r="P18">
        <v>6.8000000000000005E-2</v>
      </c>
      <c r="Q18">
        <v>0</v>
      </c>
      <c r="R18">
        <v>1</v>
      </c>
    </row>
    <row r="19" spans="1:18" x14ac:dyDescent="0.25">
      <c r="A19" t="s">
        <v>24</v>
      </c>
      <c r="B19" s="1">
        <v>27394</v>
      </c>
      <c r="C19">
        <v>0.16900000000000001</v>
      </c>
      <c r="D19">
        <v>0.375</v>
      </c>
      <c r="E19">
        <v>0</v>
      </c>
      <c r="F19">
        <v>1</v>
      </c>
      <c r="G19" t="s">
        <v>24</v>
      </c>
      <c r="H19" s="1">
        <v>15766</v>
      </c>
      <c r="I19">
        <v>0.17499999999999999</v>
      </c>
      <c r="J19">
        <v>0.38</v>
      </c>
      <c r="K19">
        <v>0</v>
      </c>
      <c r="L19">
        <v>1</v>
      </c>
      <c r="M19" t="s">
        <v>24</v>
      </c>
      <c r="N19" s="1">
        <v>11628</v>
      </c>
      <c r="O19">
        <v>0.16200000000000001</v>
      </c>
      <c r="P19">
        <v>0.36799999999999999</v>
      </c>
      <c r="Q19">
        <v>0</v>
      </c>
      <c r="R19">
        <v>1</v>
      </c>
    </row>
    <row r="20" spans="1:18" x14ac:dyDescent="0.25">
      <c r="A20" t="s">
        <v>25</v>
      </c>
      <c r="B20" s="1">
        <v>27394</v>
      </c>
      <c r="C20">
        <v>0.51700000000000002</v>
      </c>
      <c r="D20">
        <v>0.5</v>
      </c>
      <c r="E20">
        <v>0</v>
      </c>
      <c r="F20">
        <v>1</v>
      </c>
      <c r="G20" t="s">
        <v>25</v>
      </c>
      <c r="H20" s="1">
        <v>15766</v>
      </c>
      <c r="I20">
        <v>0.504</v>
      </c>
      <c r="J20">
        <v>0.5</v>
      </c>
      <c r="K20">
        <v>0</v>
      </c>
      <c r="L20">
        <v>1</v>
      </c>
      <c r="M20" t="s">
        <v>25</v>
      </c>
      <c r="N20" s="1">
        <v>11628</v>
      </c>
      <c r="O20">
        <v>0.53400000000000003</v>
      </c>
      <c r="P20">
        <v>0.499</v>
      </c>
      <c r="Q20">
        <v>0</v>
      </c>
      <c r="R20">
        <v>1</v>
      </c>
    </row>
    <row r="21" spans="1:18" x14ac:dyDescent="0.25">
      <c r="A21" t="s">
        <v>26</v>
      </c>
      <c r="B21" s="1">
        <v>27394</v>
      </c>
      <c r="C21">
        <v>0.316</v>
      </c>
      <c r="D21">
        <v>0.46500000000000002</v>
      </c>
      <c r="E21">
        <v>0</v>
      </c>
      <c r="F21">
        <v>1</v>
      </c>
      <c r="G21" t="s">
        <v>26</v>
      </c>
      <c r="H21" s="1">
        <v>15766</v>
      </c>
      <c r="I21">
        <v>0.32400000000000001</v>
      </c>
      <c r="J21">
        <v>0.46800000000000003</v>
      </c>
      <c r="K21">
        <v>0</v>
      </c>
      <c r="L21">
        <v>1</v>
      </c>
      <c r="M21" t="s">
        <v>26</v>
      </c>
      <c r="N21" s="1">
        <v>11628</v>
      </c>
      <c r="O21">
        <v>0.30499999999999999</v>
      </c>
      <c r="P21">
        <v>0.46</v>
      </c>
      <c r="Q21">
        <v>0</v>
      </c>
      <c r="R21">
        <v>1</v>
      </c>
    </row>
    <row r="22" spans="1:18" x14ac:dyDescent="0.25">
      <c r="A22" t="s">
        <v>27</v>
      </c>
      <c r="B22" s="1">
        <v>27394</v>
      </c>
      <c r="C22">
        <v>6.5000000000000002E-2</v>
      </c>
      <c r="D22">
        <v>0.246</v>
      </c>
      <c r="E22">
        <v>0</v>
      </c>
      <c r="F22">
        <v>1</v>
      </c>
      <c r="G22" t="s">
        <v>27</v>
      </c>
      <c r="H22" s="1">
        <v>15766</v>
      </c>
      <c r="I22">
        <v>6.6000000000000003E-2</v>
      </c>
      <c r="J22">
        <v>0.249</v>
      </c>
      <c r="K22">
        <v>0</v>
      </c>
      <c r="L22">
        <v>1</v>
      </c>
      <c r="M22" t="s">
        <v>27</v>
      </c>
      <c r="N22" s="1">
        <v>11628</v>
      </c>
      <c r="O22">
        <v>6.2E-2</v>
      </c>
      <c r="P22">
        <v>0.24199999999999999</v>
      </c>
      <c r="Q22">
        <v>0</v>
      </c>
      <c r="R22">
        <v>1</v>
      </c>
    </row>
    <row r="23" spans="1:18" x14ac:dyDescent="0.25">
      <c r="A23" t="s">
        <v>28</v>
      </c>
      <c r="B23" s="1">
        <v>27394</v>
      </c>
      <c r="C23">
        <v>3.0000000000000001E-3</v>
      </c>
      <c r="D23">
        <v>5.8000000000000003E-2</v>
      </c>
      <c r="E23">
        <v>0</v>
      </c>
      <c r="F23">
        <v>1</v>
      </c>
      <c r="G23" t="s">
        <v>28</v>
      </c>
      <c r="H23" s="1">
        <v>15766</v>
      </c>
      <c r="I23">
        <v>4.0000000000000001E-3</v>
      </c>
      <c r="J23">
        <v>0.06</v>
      </c>
      <c r="K23">
        <v>0</v>
      </c>
      <c r="L23">
        <v>1</v>
      </c>
      <c r="M23" t="s">
        <v>28</v>
      </c>
      <c r="N23" s="1">
        <v>11628</v>
      </c>
      <c r="O23">
        <v>3.0000000000000001E-3</v>
      </c>
      <c r="P23">
        <v>5.5E-2</v>
      </c>
      <c r="Q23">
        <v>0</v>
      </c>
      <c r="R23">
        <v>1</v>
      </c>
    </row>
    <row r="24" spans="1:18" x14ac:dyDescent="0.25">
      <c r="A24" t="s">
        <v>29</v>
      </c>
      <c r="B24" s="1">
        <v>27394</v>
      </c>
      <c r="C24">
        <v>1E-4</v>
      </c>
      <c r="D24">
        <v>0.01</v>
      </c>
      <c r="E24">
        <v>0</v>
      </c>
      <c r="F24">
        <v>1</v>
      </c>
      <c r="G24" t="s">
        <v>29</v>
      </c>
      <c r="H24" s="1">
        <v>15766</v>
      </c>
      <c r="I24">
        <v>2.0000000000000001E-4</v>
      </c>
      <c r="J24">
        <v>1.4E-2</v>
      </c>
      <c r="K24">
        <v>0</v>
      </c>
      <c r="L24">
        <v>1</v>
      </c>
      <c r="M24" t="s">
        <v>29</v>
      </c>
      <c r="N24" s="1">
        <v>11628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27394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15766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11628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27394</v>
      </c>
      <c r="C26">
        <v>8.2000000000000003E-2</v>
      </c>
      <c r="D26">
        <v>0.27500000000000002</v>
      </c>
      <c r="E26">
        <v>0</v>
      </c>
      <c r="F26">
        <v>1</v>
      </c>
      <c r="G26" t="s">
        <v>31</v>
      </c>
      <c r="H26" s="1">
        <v>15766</v>
      </c>
      <c r="I26">
        <v>8.5000000000000006E-2</v>
      </c>
      <c r="J26">
        <v>0.27900000000000003</v>
      </c>
      <c r="K26">
        <v>0</v>
      </c>
      <c r="L26">
        <v>1</v>
      </c>
      <c r="M26" t="s">
        <v>31</v>
      </c>
      <c r="N26" s="1">
        <v>11628</v>
      </c>
      <c r="O26">
        <v>7.9000000000000001E-2</v>
      </c>
      <c r="P26">
        <v>0.27</v>
      </c>
      <c r="Q26">
        <v>0</v>
      </c>
      <c r="R26">
        <v>1</v>
      </c>
    </row>
    <row r="27" spans="1:18" x14ac:dyDescent="0.25">
      <c r="A27" t="s">
        <v>32</v>
      </c>
      <c r="B27" s="1">
        <v>27394</v>
      </c>
      <c r="C27">
        <v>1E-3</v>
      </c>
      <c r="D27">
        <v>3.7999999999999999E-2</v>
      </c>
      <c r="E27">
        <v>0</v>
      </c>
      <c r="F27">
        <v>1</v>
      </c>
      <c r="G27" t="s">
        <v>32</v>
      </c>
      <c r="H27" s="1">
        <v>15766</v>
      </c>
      <c r="I27">
        <v>1E-3</v>
      </c>
      <c r="J27">
        <v>3.6999999999999998E-2</v>
      </c>
      <c r="K27">
        <v>0</v>
      </c>
      <c r="L27">
        <v>1</v>
      </c>
      <c r="M27" t="s">
        <v>32</v>
      </c>
      <c r="N27" s="1">
        <v>11628</v>
      </c>
      <c r="O27">
        <v>1E-3</v>
      </c>
      <c r="P27">
        <v>3.7999999999999999E-2</v>
      </c>
      <c r="Q27">
        <v>0</v>
      </c>
      <c r="R27">
        <v>1</v>
      </c>
    </row>
    <row r="28" spans="1:18" x14ac:dyDescent="0.25">
      <c r="A28" t="s">
        <v>33</v>
      </c>
      <c r="B28" s="1">
        <v>27394</v>
      </c>
      <c r="C28">
        <v>35.36</v>
      </c>
      <c r="D28">
        <v>15.99</v>
      </c>
      <c r="E28">
        <v>0</v>
      </c>
      <c r="F28">
        <v>90</v>
      </c>
      <c r="G28" t="s">
        <v>33</v>
      </c>
      <c r="H28" s="1">
        <v>15766</v>
      </c>
      <c r="I28">
        <v>34.100999999999999</v>
      </c>
      <c r="J28">
        <v>15.632</v>
      </c>
      <c r="K28">
        <v>0</v>
      </c>
      <c r="L28">
        <v>90</v>
      </c>
      <c r="M28" t="s">
        <v>33</v>
      </c>
      <c r="N28" s="1">
        <v>11628</v>
      </c>
      <c r="O28">
        <v>37.067</v>
      </c>
      <c r="P28">
        <v>16.309999999999999</v>
      </c>
      <c r="Q28">
        <v>0</v>
      </c>
      <c r="R28">
        <v>83</v>
      </c>
    </row>
    <row r="29" spans="1:18" x14ac:dyDescent="0.25">
      <c r="A29" t="s">
        <v>34</v>
      </c>
      <c r="B29" s="1">
        <v>27394</v>
      </c>
      <c r="C29">
        <v>1.506</v>
      </c>
      <c r="D29">
        <v>1.0129999999999999</v>
      </c>
      <c r="E29">
        <v>0</v>
      </c>
      <c r="F29">
        <v>8.1</v>
      </c>
      <c r="G29" t="s">
        <v>34</v>
      </c>
      <c r="H29" s="1">
        <v>15766</v>
      </c>
      <c r="I29">
        <v>1.407</v>
      </c>
      <c r="J29">
        <v>0.96299999999999997</v>
      </c>
      <c r="K29">
        <v>0</v>
      </c>
      <c r="L29">
        <v>8.1</v>
      </c>
      <c r="M29" t="s">
        <v>34</v>
      </c>
      <c r="N29" s="1">
        <v>11628</v>
      </c>
      <c r="O29">
        <v>1.64</v>
      </c>
      <c r="P29">
        <v>1.0640000000000001</v>
      </c>
      <c r="Q29">
        <v>0</v>
      </c>
      <c r="R29">
        <v>6.8890000000000002</v>
      </c>
    </row>
    <row r="30" spans="1:18" x14ac:dyDescent="0.25">
      <c r="A30" t="s">
        <v>35</v>
      </c>
      <c r="B30" s="1">
        <v>27394</v>
      </c>
      <c r="C30" s="2">
        <v>1.444</v>
      </c>
      <c r="D30" s="2">
        <v>4.0389999999999997</v>
      </c>
      <c r="E30">
        <v>0</v>
      </c>
      <c r="F30" s="1">
        <v>57</v>
      </c>
      <c r="G30" t="s">
        <v>35</v>
      </c>
      <c r="H30" s="1">
        <v>15766</v>
      </c>
      <c r="I30">
        <v>1.373</v>
      </c>
      <c r="J30">
        <v>3.8719999999999999</v>
      </c>
      <c r="K30">
        <v>0</v>
      </c>
      <c r="L30">
        <v>57</v>
      </c>
      <c r="M30" t="s">
        <v>35</v>
      </c>
      <c r="N30" s="1">
        <v>11628</v>
      </c>
      <c r="O30" s="2">
        <v>1.5409999999999999</v>
      </c>
      <c r="P30" s="2">
        <v>4.2519999999999998</v>
      </c>
      <c r="Q30">
        <v>0</v>
      </c>
      <c r="R30" s="1">
        <v>45</v>
      </c>
    </row>
    <row r="31" spans="1:18" x14ac:dyDescent="0.25">
      <c r="A31" t="s">
        <v>18</v>
      </c>
      <c r="B31" s="1">
        <v>27394</v>
      </c>
      <c r="C31" s="2">
        <v>963.23500000000001</v>
      </c>
      <c r="D31" s="2">
        <v>437.59100000000001</v>
      </c>
      <c r="E31">
        <v>175</v>
      </c>
      <c r="F31" s="1">
        <v>11155</v>
      </c>
      <c r="G31" t="s">
        <v>18</v>
      </c>
      <c r="H31" s="1">
        <v>15766</v>
      </c>
      <c r="I31">
        <v>965.69799999999998</v>
      </c>
      <c r="J31">
        <v>434.99200000000002</v>
      </c>
      <c r="K31">
        <v>195</v>
      </c>
      <c r="L31" s="1">
        <v>7582</v>
      </c>
      <c r="M31" t="s">
        <v>18</v>
      </c>
      <c r="N31" s="1">
        <v>11628</v>
      </c>
      <c r="O31" s="2">
        <v>959.89599999999996</v>
      </c>
      <c r="P31" s="2">
        <v>441.08699999999999</v>
      </c>
      <c r="Q31">
        <v>175</v>
      </c>
      <c r="R31" s="1">
        <v>11155</v>
      </c>
    </row>
    <row r="32" spans="1:18" x14ac:dyDescent="0.25">
      <c r="A32" t="s">
        <v>37</v>
      </c>
      <c r="B32" s="1">
        <v>27394</v>
      </c>
      <c r="C32">
        <v>4.97</v>
      </c>
      <c r="D32">
        <v>6.9130000000000003</v>
      </c>
      <c r="E32">
        <v>1.4E-2</v>
      </c>
      <c r="F32">
        <v>111.96899999999999</v>
      </c>
      <c r="G32" t="s">
        <v>37</v>
      </c>
      <c r="H32" s="1">
        <v>15766</v>
      </c>
      <c r="I32">
        <v>4.9530000000000003</v>
      </c>
      <c r="J32">
        <v>6.8579999999999997</v>
      </c>
      <c r="K32">
        <v>1.4E-2</v>
      </c>
      <c r="L32" s="1">
        <v>52.774999999999999</v>
      </c>
      <c r="M32" t="s">
        <v>37</v>
      </c>
      <c r="N32" s="1">
        <v>11628</v>
      </c>
      <c r="O32">
        <v>4.9930000000000003</v>
      </c>
      <c r="P32">
        <v>6.9870000000000001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27394</v>
      </c>
      <c r="C33">
        <v>1.77</v>
      </c>
      <c r="D33">
        <v>2.2709999999999999</v>
      </c>
      <c r="E33">
        <v>0</v>
      </c>
      <c r="F33">
        <v>12.788</v>
      </c>
      <c r="G33" t="s">
        <v>164</v>
      </c>
      <c r="H33" s="1">
        <v>15766</v>
      </c>
      <c r="I33">
        <v>1.8049999999999999</v>
      </c>
      <c r="J33">
        <v>2.3210000000000002</v>
      </c>
      <c r="K33">
        <v>0</v>
      </c>
      <c r="L33" s="1">
        <v>12.788</v>
      </c>
      <c r="M33" t="s">
        <v>164</v>
      </c>
      <c r="N33" s="1">
        <v>11628</v>
      </c>
      <c r="O33">
        <v>1.7230000000000001</v>
      </c>
      <c r="P33">
        <v>2.202</v>
      </c>
      <c r="Q33">
        <v>0</v>
      </c>
      <c r="R33">
        <v>12.788</v>
      </c>
    </row>
    <row r="34" spans="1:18" x14ac:dyDescent="0.25">
      <c r="A34" t="s">
        <v>39</v>
      </c>
      <c r="B34" s="1">
        <v>27394</v>
      </c>
      <c r="C34">
        <v>0.34100000000000003</v>
      </c>
      <c r="D34">
        <v>0.27100000000000002</v>
      </c>
      <c r="E34">
        <v>0</v>
      </c>
      <c r="F34">
        <v>2.165</v>
      </c>
      <c r="G34" t="s">
        <v>39</v>
      </c>
      <c r="H34" s="1">
        <v>15766</v>
      </c>
      <c r="I34" s="2">
        <v>0.33600000000000002</v>
      </c>
      <c r="J34" s="2">
        <v>0.26500000000000001</v>
      </c>
      <c r="K34">
        <v>1.2E-2</v>
      </c>
      <c r="L34" s="1">
        <v>1.7529999999999999</v>
      </c>
      <c r="M34" t="s">
        <v>39</v>
      </c>
      <c r="N34" s="1">
        <v>11628</v>
      </c>
      <c r="O34">
        <v>0.34799999999999998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27394</v>
      </c>
      <c r="C35">
        <v>3.2080000000000002</v>
      </c>
      <c r="D35">
        <v>3.4660000000000002</v>
      </c>
      <c r="E35">
        <v>1.4999999999999999E-2</v>
      </c>
      <c r="F35">
        <v>20.402999999999999</v>
      </c>
      <c r="G35" t="s">
        <v>40</v>
      </c>
      <c r="H35" s="1">
        <v>15766</v>
      </c>
      <c r="I35">
        <v>3.1659999999999999</v>
      </c>
      <c r="J35">
        <v>3.3519999999999999</v>
      </c>
      <c r="K35">
        <v>1.4999999999999999E-2</v>
      </c>
      <c r="L35">
        <v>20.402999999999999</v>
      </c>
      <c r="M35" t="s">
        <v>40</v>
      </c>
      <c r="N35" s="1">
        <v>11628</v>
      </c>
      <c r="O35">
        <v>3.2650000000000001</v>
      </c>
      <c r="P35">
        <v>3.6139999999999999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27394</v>
      </c>
      <c r="C36">
        <v>7.6559999999999997</v>
      </c>
      <c r="D36">
        <v>5.18</v>
      </c>
      <c r="E36">
        <v>0.99299999999999999</v>
      </c>
      <c r="F36">
        <v>25.135999999999999</v>
      </c>
      <c r="G36" t="s">
        <v>41</v>
      </c>
      <c r="H36" s="1">
        <v>15766</v>
      </c>
      <c r="I36">
        <v>7.7060000000000004</v>
      </c>
      <c r="J36">
        <v>5.2039999999999997</v>
      </c>
      <c r="K36">
        <v>0.99299999999999999</v>
      </c>
      <c r="L36">
        <v>25.135999999999999</v>
      </c>
      <c r="M36" t="s">
        <v>41</v>
      </c>
      <c r="N36" s="1">
        <v>11628</v>
      </c>
      <c r="O36">
        <v>7.59</v>
      </c>
      <c r="P36">
        <v>5.1470000000000002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27394</v>
      </c>
      <c r="C37">
        <v>1.2629999999999999</v>
      </c>
      <c r="D37">
        <v>6.0830000000000002</v>
      </c>
      <c r="E37">
        <v>4.2999999999999997E-2</v>
      </c>
      <c r="F37">
        <v>196.49</v>
      </c>
      <c r="G37" t="s">
        <v>173</v>
      </c>
      <c r="H37" s="1">
        <v>15766</v>
      </c>
      <c r="I37">
        <v>1.284</v>
      </c>
      <c r="J37">
        <v>6.2880000000000003</v>
      </c>
      <c r="K37">
        <v>4.2999999999999997E-2</v>
      </c>
      <c r="L37">
        <v>196.49</v>
      </c>
      <c r="M37" t="s">
        <v>173</v>
      </c>
      <c r="N37" s="1">
        <v>11628</v>
      </c>
      <c r="O37">
        <v>1.2350000000000001</v>
      </c>
      <c r="P37">
        <v>5.7930000000000001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27394</v>
      </c>
      <c r="C38">
        <v>1.9670000000000001</v>
      </c>
      <c r="D38">
        <v>1.339</v>
      </c>
      <c r="E38">
        <v>7.0999999999999994E-2</v>
      </c>
      <c r="F38">
        <v>7.2789999999999999</v>
      </c>
      <c r="G38" t="s">
        <v>174</v>
      </c>
      <c r="H38" s="1">
        <v>15766</v>
      </c>
      <c r="I38">
        <v>1.9650000000000001</v>
      </c>
      <c r="J38">
        <v>1.345</v>
      </c>
      <c r="K38">
        <v>7.3999999999999996E-2</v>
      </c>
      <c r="L38">
        <v>7.2789999999999999</v>
      </c>
      <c r="M38" t="s">
        <v>174</v>
      </c>
      <c r="N38" s="1">
        <v>11628</v>
      </c>
      <c r="O38">
        <v>1.9710000000000001</v>
      </c>
      <c r="P38">
        <v>1.331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27394</v>
      </c>
      <c r="C39">
        <v>1.843</v>
      </c>
      <c r="D39">
        <v>1.214</v>
      </c>
      <c r="E39">
        <v>3.4000000000000002E-2</v>
      </c>
      <c r="F39">
        <v>6.8040000000000003</v>
      </c>
      <c r="G39" t="s">
        <v>175</v>
      </c>
      <c r="H39" s="1">
        <v>15766</v>
      </c>
      <c r="I39">
        <v>1.8580000000000001</v>
      </c>
      <c r="J39">
        <v>1.2170000000000001</v>
      </c>
      <c r="K39">
        <v>3.4000000000000002E-2</v>
      </c>
      <c r="L39">
        <v>6.8040000000000003</v>
      </c>
      <c r="M39" t="s">
        <v>175</v>
      </c>
      <c r="N39" s="1">
        <v>11628</v>
      </c>
      <c r="O39">
        <v>1.8240000000000001</v>
      </c>
      <c r="P39">
        <v>1.21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27394</v>
      </c>
      <c r="C40">
        <v>0.27700000000000002</v>
      </c>
      <c r="D40">
        <v>0.17399999999999999</v>
      </c>
      <c r="E40">
        <v>0</v>
      </c>
      <c r="F40">
        <v>1</v>
      </c>
      <c r="G40" t="s">
        <v>42</v>
      </c>
      <c r="H40" s="1">
        <v>15766</v>
      </c>
      <c r="I40">
        <v>0.28299999999999997</v>
      </c>
      <c r="J40">
        <v>0.17199999999999999</v>
      </c>
      <c r="K40">
        <v>0</v>
      </c>
      <c r="L40">
        <v>1</v>
      </c>
      <c r="M40" t="s">
        <v>42</v>
      </c>
      <c r="N40" s="1">
        <v>11628</v>
      </c>
      <c r="O40">
        <v>0.26800000000000002</v>
      </c>
      <c r="P40">
        <v>0.17699999999999999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27394</v>
      </c>
      <c r="C41">
        <v>2.3E-2</v>
      </c>
      <c r="D41">
        <v>3.5000000000000003E-2</v>
      </c>
      <c r="E41">
        <v>0</v>
      </c>
      <c r="F41">
        <v>0.77600000000000002</v>
      </c>
      <c r="G41" t="s">
        <v>43</v>
      </c>
      <c r="H41" s="1">
        <v>15766</v>
      </c>
      <c r="I41">
        <v>2.4E-2</v>
      </c>
      <c r="J41">
        <v>3.1E-2</v>
      </c>
      <c r="K41">
        <v>0</v>
      </c>
      <c r="L41">
        <v>0.77600000000000002</v>
      </c>
      <c r="M41" t="s">
        <v>43</v>
      </c>
      <c r="N41" s="1">
        <v>11628</v>
      </c>
      <c r="O41">
        <v>2.3E-2</v>
      </c>
      <c r="P41">
        <v>0.04</v>
      </c>
      <c r="Q41">
        <v>0</v>
      </c>
      <c r="R41">
        <v>0.77600000000000002</v>
      </c>
    </row>
    <row r="42" spans="1:18" x14ac:dyDescent="0.25">
      <c r="A42" t="s">
        <v>44</v>
      </c>
      <c r="B42" s="1">
        <v>27394</v>
      </c>
      <c r="C42">
        <v>0.434</v>
      </c>
      <c r="D42">
        <v>0.183</v>
      </c>
      <c r="E42">
        <v>0</v>
      </c>
      <c r="F42">
        <v>1</v>
      </c>
      <c r="G42" t="s">
        <v>44</v>
      </c>
      <c r="H42" s="1">
        <v>15766</v>
      </c>
      <c r="I42">
        <v>0.42699999999999999</v>
      </c>
      <c r="J42">
        <v>0.17699999999999999</v>
      </c>
      <c r="K42">
        <v>0</v>
      </c>
      <c r="L42">
        <v>1</v>
      </c>
      <c r="M42" t="s">
        <v>44</v>
      </c>
      <c r="N42" s="1">
        <v>11628</v>
      </c>
      <c r="O42">
        <v>0.443</v>
      </c>
      <c r="P42">
        <v>0.191</v>
      </c>
      <c r="Q42">
        <v>1.2999999999999999E-2</v>
      </c>
      <c r="R42">
        <v>1</v>
      </c>
    </row>
    <row r="43" spans="1:18" x14ac:dyDescent="0.25">
      <c r="A43" t="s">
        <v>45</v>
      </c>
      <c r="B43" s="1">
        <v>27394</v>
      </c>
      <c r="C43">
        <v>5.8999999999999997E-2</v>
      </c>
      <c r="D43">
        <v>7.6999999999999999E-2</v>
      </c>
      <c r="E43">
        <v>0</v>
      </c>
      <c r="F43">
        <v>0.64</v>
      </c>
      <c r="G43" t="s">
        <v>45</v>
      </c>
      <c r="H43" s="1">
        <v>15766</v>
      </c>
      <c r="I43">
        <v>0.06</v>
      </c>
      <c r="J43">
        <v>6.9000000000000006E-2</v>
      </c>
      <c r="K43">
        <v>0</v>
      </c>
      <c r="L43">
        <v>0.55700000000000005</v>
      </c>
      <c r="M43" t="s">
        <v>45</v>
      </c>
      <c r="N43" s="1">
        <v>11628</v>
      </c>
      <c r="O43">
        <v>5.8999999999999997E-2</v>
      </c>
      <c r="P43">
        <v>8.6999999999999994E-2</v>
      </c>
      <c r="Q43">
        <v>0</v>
      </c>
      <c r="R43">
        <v>0.64</v>
      </c>
    </row>
    <row r="44" spans="1:18" x14ac:dyDescent="0.25">
      <c r="A44" t="s">
        <v>46</v>
      </c>
      <c r="B44" s="1">
        <v>27394</v>
      </c>
      <c r="C44">
        <v>0.82199999999999995</v>
      </c>
      <c r="D44">
        <v>0.2</v>
      </c>
      <c r="E44">
        <v>7.0000000000000007E-2</v>
      </c>
      <c r="F44">
        <v>1</v>
      </c>
      <c r="G44" t="s">
        <v>46</v>
      </c>
      <c r="H44" s="1">
        <v>15766</v>
      </c>
      <c r="I44">
        <v>0.81599999999999995</v>
      </c>
      <c r="J44">
        <v>0.20599999999999999</v>
      </c>
      <c r="K44">
        <v>7.0000000000000007E-2</v>
      </c>
      <c r="L44">
        <v>1</v>
      </c>
      <c r="M44" t="s">
        <v>46</v>
      </c>
      <c r="N44" s="1">
        <v>11628</v>
      </c>
      <c r="O44">
        <v>0.83099999999999996</v>
      </c>
      <c r="P44">
        <v>0.191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27394</v>
      </c>
      <c r="C45">
        <v>0.17699999999999999</v>
      </c>
      <c r="D45">
        <v>0.19900000000000001</v>
      </c>
      <c r="E45">
        <v>0</v>
      </c>
      <c r="F45">
        <v>0.93</v>
      </c>
      <c r="G45" t="s">
        <v>47</v>
      </c>
      <c r="H45" s="1">
        <v>15766</v>
      </c>
      <c r="I45">
        <v>0.184</v>
      </c>
      <c r="J45">
        <v>0.20599999999999999</v>
      </c>
      <c r="K45">
        <v>0</v>
      </c>
      <c r="L45">
        <v>0.93</v>
      </c>
      <c r="M45" t="s">
        <v>47</v>
      </c>
      <c r="N45" s="1">
        <v>11628</v>
      </c>
      <c r="O45">
        <v>0.16800000000000001</v>
      </c>
      <c r="P45">
        <v>0.19</v>
      </c>
      <c r="Q45">
        <v>0</v>
      </c>
      <c r="R45">
        <v>0.92600000000000005</v>
      </c>
    </row>
    <row r="46" spans="1:18" x14ac:dyDescent="0.25">
      <c r="A46" t="s">
        <v>48</v>
      </c>
      <c r="B46" s="1">
        <v>27394</v>
      </c>
      <c r="C46" s="2">
        <v>0.54800000000000004</v>
      </c>
      <c r="D46" s="2">
        <v>0.193</v>
      </c>
      <c r="E46" s="2">
        <v>0</v>
      </c>
      <c r="F46" s="2">
        <v>1</v>
      </c>
      <c r="G46" t="s">
        <v>48</v>
      </c>
      <c r="H46" s="1">
        <v>15766</v>
      </c>
      <c r="I46">
        <v>0.53</v>
      </c>
      <c r="J46">
        <v>0.19</v>
      </c>
      <c r="K46">
        <v>0</v>
      </c>
      <c r="L46">
        <v>1</v>
      </c>
      <c r="M46" t="s">
        <v>48</v>
      </c>
      <c r="N46" s="1">
        <v>11628</v>
      </c>
      <c r="O46" s="2">
        <v>0.57099999999999995</v>
      </c>
      <c r="P46" s="2">
        <v>0.19500000000000001</v>
      </c>
      <c r="Q46" s="2">
        <v>0</v>
      </c>
      <c r="R46" s="2">
        <v>1</v>
      </c>
    </row>
    <row r="47" spans="1:18" x14ac:dyDescent="0.25">
      <c r="A47" t="s">
        <v>49</v>
      </c>
      <c r="B47" s="1">
        <v>27394</v>
      </c>
      <c r="C47" s="2">
        <v>0.45200000000000001</v>
      </c>
      <c r="D47" s="2">
        <v>0.193</v>
      </c>
      <c r="E47" s="2">
        <v>0</v>
      </c>
      <c r="F47" s="2">
        <v>1</v>
      </c>
      <c r="G47" t="s">
        <v>49</v>
      </c>
      <c r="H47" s="1">
        <v>15766</v>
      </c>
      <c r="I47">
        <v>0.46899999999999997</v>
      </c>
      <c r="J47">
        <v>0.19</v>
      </c>
      <c r="K47">
        <v>0</v>
      </c>
      <c r="L47">
        <v>1</v>
      </c>
      <c r="M47" t="s">
        <v>49</v>
      </c>
      <c r="N47" s="1">
        <v>11628</v>
      </c>
      <c r="O47" s="2">
        <v>0.42799999999999999</v>
      </c>
      <c r="P47" s="2">
        <v>0.19500000000000001</v>
      </c>
      <c r="Q47" s="2">
        <v>0</v>
      </c>
      <c r="R47" s="2">
        <v>1</v>
      </c>
    </row>
    <row r="48" spans="1:18" x14ac:dyDescent="0.25">
      <c r="A48" t="s">
        <v>50</v>
      </c>
      <c r="B48" s="1">
        <v>27394</v>
      </c>
      <c r="C48">
        <v>12.492000000000001</v>
      </c>
      <c r="D48">
        <v>42</v>
      </c>
      <c r="E48">
        <v>0</v>
      </c>
      <c r="F48" s="1">
        <v>1000</v>
      </c>
      <c r="G48" t="s">
        <v>50</v>
      </c>
      <c r="H48" s="1">
        <v>15766</v>
      </c>
      <c r="I48">
        <v>12.013999999999999</v>
      </c>
      <c r="J48">
        <v>39.945999999999998</v>
      </c>
      <c r="K48">
        <v>0</v>
      </c>
      <c r="L48">
        <v>651</v>
      </c>
      <c r="M48" t="s">
        <v>50</v>
      </c>
      <c r="N48" s="1">
        <v>11628</v>
      </c>
      <c r="O48">
        <v>13.141</v>
      </c>
      <c r="P48">
        <v>44.627000000000002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27394</v>
      </c>
      <c r="C49" s="2">
        <v>1.22</v>
      </c>
      <c r="D49" s="2">
        <v>1.823</v>
      </c>
      <c r="E49" s="2">
        <v>0</v>
      </c>
      <c r="F49" s="2">
        <v>36</v>
      </c>
      <c r="G49" t="s">
        <v>51</v>
      </c>
      <c r="H49" s="1">
        <v>15766</v>
      </c>
      <c r="I49">
        <v>1.2050000000000001</v>
      </c>
      <c r="J49">
        <v>1.8140000000000001</v>
      </c>
      <c r="K49">
        <v>0</v>
      </c>
      <c r="L49">
        <v>36</v>
      </c>
      <c r="M49" t="s">
        <v>51</v>
      </c>
      <c r="N49" s="1">
        <v>11628</v>
      </c>
      <c r="O49" s="2">
        <v>1.2410000000000001</v>
      </c>
      <c r="P49" s="2">
        <v>1.835</v>
      </c>
      <c r="Q49" s="2">
        <v>0</v>
      </c>
      <c r="R49" s="2">
        <v>23</v>
      </c>
    </row>
    <row r="50" spans="1:18" x14ac:dyDescent="0.25">
      <c r="A50" t="s">
        <v>52</v>
      </c>
      <c r="B50" s="1">
        <v>27394</v>
      </c>
      <c r="C50" s="2">
        <v>0.373</v>
      </c>
      <c r="D50" s="2">
        <v>0.48399999999999999</v>
      </c>
      <c r="E50" s="2">
        <v>0</v>
      </c>
      <c r="F50" s="2">
        <v>1</v>
      </c>
      <c r="G50" t="s">
        <v>52</v>
      </c>
      <c r="H50" s="1">
        <v>15766</v>
      </c>
      <c r="I50" s="2">
        <v>0.36199999999999999</v>
      </c>
      <c r="J50" s="2">
        <v>0.48099999999999998</v>
      </c>
      <c r="K50" s="2">
        <v>0</v>
      </c>
      <c r="L50" s="2">
        <v>1</v>
      </c>
      <c r="M50" t="s">
        <v>52</v>
      </c>
      <c r="N50" s="1">
        <v>11628</v>
      </c>
      <c r="O50" s="2">
        <v>0.38700000000000001</v>
      </c>
      <c r="P50" s="2">
        <v>0.48699999999999999</v>
      </c>
      <c r="Q50" s="2">
        <v>0</v>
      </c>
      <c r="R50" s="2">
        <v>1</v>
      </c>
    </row>
    <row r="51" spans="1:18" x14ac:dyDescent="0.25">
      <c r="A51" t="s">
        <v>53</v>
      </c>
      <c r="B51" s="1">
        <v>27394</v>
      </c>
      <c r="C51" s="2">
        <v>2359781</v>
      </c>
      <c r="D51" s="2">
        <v>6929.1909999999998</v>
      </c>
      <c r="E51" s="2">
        <v>2351041</v>
      </c>
      <c r="F51" s="2">
        <v>2400056</v>
      </c>
      <c r="G51" t="s">
        <v>53</v>
      </c>
      <c r="H51" s="1">
        <v>15766</v>
      </c>
      <c r="I51" s="2">
        <v>2359859</v>
      </c>
      <c r="J51" s="2">
        <v>6988.36</v>
      </c>
      <c r="K51" s="2">
        <v>2351041</v>
      </c>
      <c r="L51" s="2">
        <v>2400056</v>
      </c>
      <c r="M51" t="s">
        <v>53</v>
      </c>
      <c r="N51" s="1">
        <v>11628</v>
      </c>
      <c r="O51" s="2">
        <v>2359674</v>
      </c>
      <c r="P51" s="2">
        <v>6847.0140000000001</v>
      </c>
      <c r="Q51" s="2">
        <v>2351041</v>
      </c>
      <c r="R51" s="2">
        <v>2400056</v>
      </c>
    </row>
    <row r="52" spans="1:18" x14ac:dyDescent="0.25">
      <c r="A52" t="s">
        <v>54</v>
      </c>
      <c r="B52" s="1">
        <v>27394</v>
      </c>
      <c r="C52" s="2">
        <v>614132.1</v>
      </c>
      <c r="D52" s="2">
        <v>11659.79</v>
      </c>
      <c r="E52" s="2">
        <v>580446.1</v>
      </c>
      <c r="F52" s="2">
        <v>637819.69999999995</v>
      </c>
      <c r="G52" t="s">
        <v>54</v>
      </c>
      <c r="H52" s="1">
        <v>15766</v>
      </c>
      <c r="I52" s="2">
        <v>614074.9</v>
      </c>
      <c r="J52" s="2">
        <v>11554.02</v>
      </c>
      <c r="K52" s="2">
        <v>580446.1</v>
      </c>
      <c r="L52" s="2">
        <v>637819.69999999995</v>
      </c>
      <c r="M52" t="s">
        <v>54</v>
      </c>
      <c r="N52" s="1">
        <v>11628</v>
      </c>
      <c r="O52" s="2">
        <v>614209.69999999995</v>
      </c>
      <c r="P52" s="2">
        <v>11801.75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27394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15766</v>
      </c>
      <c r="I53" s="2">
        <v>1</v>
      </c>
      <c r="J53" s="2">
        <v>0</v>
      </c>
      <c r="K53" s="2">
        <v>1</v>
      </c>
      <c r="L53" s="2">
        <v>1</v>
      </c>
      <c r="M53" t="s">
        <v>56</v>
      </c>
      <c r="N53" s="1">
        <v>11628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27394</v>
      </c>
      <c r="C54" s="2">
        <v>0</v>
      </c>
      <c r="D54">
        <v>0</v>
      </c>
      <c r="E54" s="1">
        <v>0</v>
      </c>
      <c r="F54" s="1">
        <v>0</v>
      </c>
      <c r="G54" t="s">
        <v>57</v>
      </c>
      <c r="H54" s="1">
        <v>15766</v>
      </c>
      <c r="I54" s="2">
        <v>0</v>
      </c>
      <c r="J54" s="2">
        <v>0</v>
      </c>
      <c r="K54" s="2">
        <v>0</v>
      </c>
      <c r="L54" s="2">
        <v>0</v>
      </c>
      <c r="M54" t="s">
        <v>57</v>
      </c>
      <c r="N54" s="1">
        <v>11628</v>
      </c>
      <c r="O54" s="2">
        <v>0</v>
      </c>
      <c r="P54">
        <v>0</v>
      </c>
      <c r="Q54" s="1">
        <v>0</v>
      </c>
      <c r="R54" s="1">
        <v>0</v>
      </c>
    </row>
    <row r="55" spans="1:18" x14ac:dyDescent="0.25">
      <c r="A55" t="s">
        <v>58</v>
      </c>
      <c r="B55" s="1">
        <v>27394</v>
      </c>
      <c r="C55">
        <v>0.26200000000000001</v>
      </c>
      <c r="D55">
        <v>0.44</v>
      </c>
      <c r="E55">
        <v>0</v>
      </c>
      <c r="F55">
        <v>1</v>
      </c>
      <c r="G55" t="s">
        <v>58</v>
      </c>
      <c r="H55" s="1">
        <v>15766</v>
      </c>
      <c r="I55" s="2">
        <v>0.27600000000000002</v>
      </c>
      <c r="J55" s="2">
        <v>0.44700000000000001</v>
      </c>
      <c r="K55" s="2">
        <v>0</v>
      </c>
      <c r="L55" s="2">
        <v>1</v>
      </c>
      <c r="M55" t="s">
        <v>58</v>
      </c>
      <c r="N55" s="1">
        <v>11628</v>
      </c>
      <c r="O55">
        <v>0.24399999999999999</v>
      </c>
      <c r="P55">
        <v>0.42899999999999999</v>
      </c>
      <c r="Q55">
        <v>0</v>
      </c>
      <c r="R55">
        <v>1</v>
      </c>
    </row>
    <row r="56" spans="1:18" x14ac:dyDescent="0.25">
      <c r="A56" t="s">
        <v>59</v>
      </c>
      <c r="B56" s="1">
        <v>27394</v>
      </c>
      <c r="C56">
        <v>0.214</v>
      </c>
      <c r="D56">
        <v>0.41</v>
      </c>
      <c r="E56">
        <v>0</v>
      </c>
      <c r="F56">
        <v>1</v>
      </c>
      <c r="G56" t="s">
        <v>59</v>
      </c>
      <c r="H56" s="1">
        <v>15766</v>
      </c>
      <c r="I56">
        <v>0.217</v>
      </c>
      <c r="J56">
        <v>0.41199999999999998</v>
      </c>
      <c r="K56">
        <v>0</v>
      </c>
      <c r="L56">
        <v>1</v>
      </c>
      <c r="M56" t="s">
        <v>59</v>
      </c>
      <c r="N56" s="1">
        <v>11628</v>
      </c>
      <c r="O56">
        <v>0.21099999999999999</v>
      </c>
      <c r="P56">
        <v>0.40799999999999997</v>
      </c>
      <c r="Q56">
        <v>0</v>
      </c>
      <c r="R56">
        <v>1</v>
      </c>
    </row>
    <row r="57" spans="1:18" x14ac:dyDescent="0.25">
      <c r="A57" t="s">
        <v>60</v>
      </c>
      <c r="B57" s="1">
        <v>27394</v>
      </c>
      <c r="C57" s="2">
        <v>0.52300000000000002</v>
      </c>
      <c r="D57">
        <v>0.499</v>
      </c>
      <c r="E57" s="1">
        <v>0</v>
      </c>
      <c r="F57" s="1">
        <v>1</v>
      </c>
      <c r="G57" t="s">
        <v>60</v>
      </c>
      <c r="H57" s="1">
        <v>15766</v>
      </c>
      <c r="I57">
        <v>0.50700000000000001</v>
      </c>
      <c r="J57">
        <v>0.5</v>
      </c>
      <c r="K57">
        <v>0</v>
      </c>
      <c r="L57">
        <v>1</v>
      </c>
      <c r="M57" t="s">
        <v>60</v>
      </c>
      <c r="N57" s="1">
        <v>11628</v>
      </c>
      <c r="O57" s="2">
        <v>0.54500000000000004</v>
      </c>
      <c r="P57">
        <v>0.498</v>
      </c>
      <c r="Q57" s="1">
        <v>0</v>
      </c>
      <c r="R57" s="1">
        <v>1</v>
      </c>
    </row>
    <row r="58" spans="1:18" x14ac:dyDescent="0.25">
      <c r="A58" t="s">
        <v>61</v>
      </c>
      <c r="B58" s="1">
        <v>27394</v>
      </c>
      <c r="C58" s="2">
        <v>2019.056</v>
      </c>
      <c r="D58">
        <v>2.0099999999999998</v>
      </c>
      <c r="E58" s="1">
        <v>2016</v>
      </c>
      <c r="F58" s="1">
        <v>2023</v>
      </c>
      <c r="G58" t="s">
        <v>61</v>
      </c>
      <c r="H58" s="1">
        <v>15766</v>
      </c>
      <c r="I58" s="2">
        <v>2017.5650000000001</v>
      </c>
      <c r="J58">
        <v>1.167</v>
      </c>
      <c r="K58" s="1">
        <v>2016</v>
      </c>
      <c r="L58" s="1">
        <v>2020</v>
      </c>
      <c r="M58" t="s">
        <v>61</v>
      </c>
      <c r="N58" s="1">
        <v>11628</v>
      </c>
      <c r="O58" s="2">
        <v>2021.078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27394</v>
      </c>
      <c r="C59" s="2">
        <v>0.111</v>
      </c>
      <c r="D59">
        <v>0.314</v>
      </c>
      <c r="E59" s="1">
        <v>0</v>
      </c>
      <c r="F59" s="1">
        <v>1</v>
      </c>
      <c r="G59" t="s">
        <v>62</v>
      </c>
      <c r="H59" s="1">
        <v>15766</v>
      </c>
      <c r="I59" s="2">
        <v>0.114</v>
      </c>
      <c r="J59">
        <v>0.318</v>
      </c>
      <c r="K59" s="1">
        <v>0</v>
      </c>
      <c r="L59" s="1">
        <v>1</v>
      </c>
      <c r="M59" t="s">
        <v>62</v>
      </c>
      <c r="N59" s="1">
        <v>11628</v>
      </c>
      <c r="O59" s="2">
        <v>0.107</v>
      </c>
      <c r="P59">
        <v>0.309</v>
      </c>
      <c r="Q59" s="1">
        <v>0</v>
      </c>
      <c r="R59" s="1">
        <v>1</v>
      </c>
    </row>
    <row r="60" spans="1:18" x14ac:dyDescent="0.25">
      <c r="A60" t="s">
        <v>63</v>
      </c>
      <c r="B60" s="1">
        <v>27394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15766</v>
      </c>
      <c r="I60" s="2">
        <v>2.9999999999999997E-4</v>
      </c>
      <c r="J60">
        <v>1.7999999999999999E-2</v>
      </c>
      <c r="K60" s="1">
        <v>0</v>
      </c>
      <c r="L60" s="1">
        <v>1</v>
      </c>
      <c r="M60" t="s">
        <v>63</v>
      </c>
      <c r="N60" s="1">
        <v>11628</v>
      </c>
      <c r="O60">
        <v>1E-3</v>
      </c>
      <c r="P60">
        <v>2.9000000000000001E-2</v>
      </c>
      <c r="Q60">
        <v>0</v>
      </c>
      <c r="R60">
        <v>1</v>
      </c>
    </row>
    <row r="61" spans="1:18" x14ac:dyDescent="0.25">
      <c r="A61" t="s">
        <v>64</v>
      </c>
      <c r="B61" s="1">
        <v>27394</v>
      </c>
      <c r="C61">
        <v>5.2999999999999999E-2</v>
      </c>
      <c r="D61">
        <v>0.22500000000000001</v>
      </c>
      <c r="E61">
        <v>0</v>
      </c>
      <c r="F61">
        <v>1</v>
      </c>
      <c r="G61" t="s">
        <v>64</v>
      </c>
      <c r="H61" s="1">
        <v>15766</v>
      </c>
      <c r="I61" s="2">
        <v>5.0999999999999997E-2</v>
      </c>
      <c r="J61">
        <v>0.219</v>
      </c>
      <c r="K61" s="1">
        <v>0</v>
      </c>
      <c r="L61" s="1">
        <v>1</v>
      </c>
      <c r="M61" t="s">
        <v>64</v>
      </c>
      <c r="N61" s="1">
        <v>11628</v>
      </c>
      <c r="O61">
        <v>5.7000000000000002E-2</v>
      </c>
      <c r="P61">
        <v>0.23200000000000001</v>
      </c>
      <c r="Q61">
        <v>0</v>
      </c>
      <c r="R61">
        <v>1</v>
      </c>
    </row>
    <row r="62" spans="1:18" x14ac:dyDescent="0.25">
      <c r="A62" t="s">
        <v>65</v>
      </c>
      <c r="B62" s="1">
        <v>27394</v>
      </c>
      <c r="C62">
        <v>0.23</v>
      </c>
      <c r="D62">
        <v>0.42099999999999999</v>
      </c>
      <c r="E62">
        <v>0</v>
      </c>
      <c r="F62">
        <v>1</v>
      </c>
      <c r="G62" t="s">
        <v>65</v>
      </c>
      <c r="H62" s="1">
        <v>15766</v>
      </c>
      <c r="I62" s="2">
        <v>0.23799999999999999</v>
      </c>
      <c r="J62">
        <v>0.42599999999999999</v>
      </c>
      <c r="K62" s="1">
        <v>0</v>
      </c>
      <c r="L62" s="1">
        <v>1</v>
      </c>
      <c r="M62" t="s">
        <v>65</v>
      </c>
      <c r="N62" s="1">
        <v>11628</v>
      </c>
      <c r="O62">
        <v>0.22</v>
      </c>
      <c r="P62">
        <v>0.41399999999999998</v>
      </c>
      <c r="Q62">
        <v>0</v>
      </c>
      <c r="R62">
        <v>1</v>
      </c>
    </row>
    <row r="63" spans="1:18" x14ac:dyDescent="0.25">
      <c r="A63" t="s">
        <v>66</v>
      </c>
      <c r="B63" s="1">
        <v>27394</v>
      </c>
      <c r="C63">
        <v>0.28599999999999998</v>
      </c>
      <c r="D63">
        <v>0.45200000000000001</v>
      </c>
      <c r="E63">
        <v>0</v>
      </c>
      <c r="F63">
        <v>1</v>
      </c>
      <c r="G63" t="s">
        <v>66</v>
      </c>
      <c r="H63" s="1">
        <v>15766</v>
      </c>
      <c r="I63">
        <v>0.27700000000000002</v>
      </c>
      <c r="J63">
        <v>0.44800000000000001</v>
      </c>
      <c r="K63">
        <v>0</v>
      </c>
      <c r="L63">
        <v>1</v>
      </c>
      <c r="M63" t="s">
        <v>66</v>
      </c>
      <c r="N63" s="1">
        <v>11628</v>
      </c>
      <c r="O63">
        <v>0.29699999999999999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27394</v>
      </c>
      <c r="C64">
        <v>6.7000000000000004E-2</v>
      </c>
      <c r="D64">
        <v>0.249</v>
      </c>
      <c r="E64">
        <v>0</v>
      </c>
      <c r="F64">
        <v>1</v>
      </c>
      <c r="G64" t="s">
        <v>67</v>
      </c>
      <c r="H64" s="1">
        <v>15766</v>
      </c>
      <c r="I64">
        <v>6.8000000000000005E-2</v>
      </c>
      <c r="J64">
        <v>0.252</v>
      </c>
      <c r="K64">
        <v>0</v>
      </c>
      <c r="L64">
        <v>1</v>
      </c>
      <c r="M64" t="s">
        <v>67</v>
      </c>
      <c r="N64" s="1">
        <v>11628</v>
      </c>
      <c r="O64">
        <v>6.5000000000000002E-2</v>
      </c>
      <c r="P64">
        <v>0.246</v>
      </c>
      <c r="Q64">
        <v>0</v>
      </c>
      <c r="R64">
        <v>1</v>
      </c>
    </row>
    <row r="65" spans="1:18" x14ac:dyDescent="0.25">
      <c r="A65" t="s">
        <v>68</v>
      </c>
      <c r="B65" s="1">
        <v>27394</v>
      </c>
      <c r="C65">
        <v>0.19700000000000001</v>
      </c>
      <c r="D65">
        <v>0.39800000000000002</v>
      </c>
      <c r="E65">
        <v>0</v>
      </c>
      <c r="F65">
        <v>1</v>
      </c>
      <c r="G65" t="s">
        <v>68</v>
      </c>
      <c r="H65" s="1">
        <v>15766</v>
      </c>
      <c r="I65">
        <v>0.191</v>
      </c>
      <c r="J65">
        <v>0.39300000000000002</v>
      </c>
      <c r="K65">
        <v>0</v>
      </c>
      <c r="L65">
        <v>1</v>
      </c>
      <c r="M65" t="s">
        <v>68</v>
      </c>
      <c r="N65" s="1">
        <v>11628</v>
      </c>
      <c r="O65">
        <v>0.20399999999999999</v>
      </c>
      <c r="P65">
        <v>0.40300000000000002</v>
      </c>
      <c r="Q65">
        <v>0</v>
      </c>
      <c r="R65">
        <v>1</v>
      </c>
    </row>
    <row r="66" spans="1:18" x14ac:dyDescent="0.25">
      <c r="A66" t="s">
        <v>69</v>
      </c>
      <c r="B66" s="1">
        <v>27394</v>
      </c>
      <c r="C66">
        <v>5.6000000000000001E-2</v>
      </c>
      <c r="D66">
        <v>0.23</v>
      </c>
      <c r="E66">
        <v>0</v>
      </c>
      <c r="F66">
        <v>1</v>
      </c>
      <c r="G66" t="s">
        <v>69</v>
      </c>
      <c r="H66" s="1">
        <v>15766</v>
      </c>
      <c r="I66">
        <v>6.0999999999999999E-2</v>
      </c>
      <c r="J66">
        <v>0.23899999999999999</v>
      </c>
      <c r="K66">
        <v>0</v>
      </c>
      <c r="L66">
        <v>1</v>
      </c>
      <c r="M66" t="s">
        <v>69</v>
      </c>
      <c r="N66" s="1">
        <v>11628</v>
      </c>
      <c r="O66">
        <v>4.9000000000000002E-2</v>
      </c>
      <c r="P66">
        <v>0.217</v>
      </c>
      <c r="Q66">
        <v>0</v>
      </c>
      <c r="R66">
        <v>1</v>
      </c>
    </row>
    <row r="67" spans="1:18" x14ac:dyDescent="0.25">
      <c r="A67" t="s">
        <v>70</v>
      </c>
      <c r="B67" s="1">
        <v>27394</v>
      </c>
      <c r="C67">
        <v>0.17399999999999999</v>
      </c>
      <c r="D67">
        <v>0.379</v>
      </c>
      <c r="E67">
        <v>0</v>
      </c>
      <c r="F67">
        <v>1</v>
      </c>
      <c r="G67" t="s">
        <v>70</v>
      </c>
      <c r="H67" s="1">
        <v>15766</v>
      </c>
      <c r="I67">
        <v>0.17399999999999999</v>
      </c>
      <c r="J67">
        <v>0.379</v>
      </c>
      <c r="K67">
        <v>0</v>
      </c>
      <c r="L67">
        <v>1</v>
      </c>
      <c r="M67" t="s">
        <v>70</v>
      </c>
      <c r="N67" s="1">
        <v>11628</v>
      </c>
      <c r="O67">
        <v>0.17499999999999999</v>
      </c>
      <c r="P67">
        <v>0.38</v>
      </c>
      <c r="Q67">
        <v>0</v>
      </c>
      <c r="R67">
        <v>1</v>
      </c>
    </row>
    <row r="68" spans="1:18" x14ac:dyDescent="0.25">
      <c r="A68" t="s">
        <v>71</v>
      </c>
      <c r="B68" s="1">
        <v>27394</v>
      </c>
      <c r="C68">
        <v>0.36</v>
      </c>
      <c r="D68">
        <v>0.48</v>
      </c>
      <c r="E68">
        <v>0</v>
      </c>
      <c r="F68">
        <v>1</v>
      </c>
      <c r="G68" t="s">
        <v>71</v>
      </c>
      <c r="H68" s="1">
        <v>15766</v>
      </c>
      <c r="I68">
        <v>0.375</v>
      </c>
      <c r="J68">
        <v>0.48399999999999999</v>
      </c>
      <c r="K68">
        <v>0</v>
      </c>
      <c r="L68">
        <v>1</v>
      </c>
      <c r="M68" t="s">
        <v>71</v>
      </c>
      <c r="N68" s="1">
        <v>11628</v>
      </c>
      <c r="O68">
        <v>0.34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27394</v>
      </c>
      <c r="C69">
        <v>0.44</v>
      </c>
      <c r="D69">
        <v>0.496</v>
      </c>
      <c r="E69">
        <v>0</v>
      </c>
      <c r="F69">
        <v>1</v>
      </c>
      <c r="G69" t="s">
        <v>72</v>
      </c>
      <c r="H69" s="1">
        <v>15766</v>
      </c>
      <c r="I69">
        <v>0.42599999999999999</v>
      </c>
      <c r="J69">
        <v>0.49399999999999999</v>
      </c>
      <c r="K69">
        <v>0</v>
      </c>
      <c r="L69">
        <v>1</v>
      </c>
      <c r="M69" t="s">
        <v>72</v>
      </c>
      <c r="N69" s="1">
        <v>11628</v>
      </c>
      <c r="O69">
        <v>0.46</v>
      </c>
      <c r="P69">
        <v>0.498</v>
      </c>
      <c r="Q69">
        <v>0</v>
      </c>
      <c r="R69">
        <v>1</v>
      </c>
    </row>
    <row r="70" spans="1:18" x14ac:dyDescent="0.25">
      <c r="A70" t="s">
        <v>73</v>
      </c>
      <c r="B70" s="1">
        <v>27394</v>
      </c>
      <c r="C70">
        <v>2.5000000000000001E-2</v>
      </c>
      <c r="D70">
        <v>0.156</v>
      </c>
      <c r="E70">
        <v>0</v>
      </c>
      <c r="F70">
        <v>1</v>
      </c>
      <c r="G70" t="s">
        <v>73</v>
      </c>
      <c r="H70" s="1">
        <v>15766</v>
      </c>
      <c r="I70">
        <v>2.5000000000000001E-2</v>
      </c>
      <c r="J70">
        <v>0.157</v>
      </c>
      <c r="K70">
        <v>0</v>
      </c>
      <c r="L70">
        <v>1</v>
      </c>
      <c r="M70" t="s">
        <v>73</v>
      </c>
      <c r="N70" s="1">
        <v>11628</v>
      </c>
      <c r="O70">
        <v>2.5000000000000001E-2</v>
      </c>
      <c r="P70">
        <v>0.155</v>
      </c>
      <c r="Q70">
        <v>0</v>
      </c>
      <c r="R70">
        <v>1</v>
      </c>
    </row>
    <row r="71" spans="1:18" x14ac:dyDescent="0.25">
      <c r="A71" t="s">
        <v>165</v>
      </c>
      <c r="B71" s="1">
        <v>27394</v>
      </c>
      <c r="C71">
        <v>0.10100000000000001</v>
      </c>
      <c r="D71">
        <v>0.30099999999999999</v>
      </c>
      <c r="E71">
        <v>0</v>
      </c>
      <c r="F71">
        <v>1</v>
      </c>
      <c r="G71" t="s">
        <v>165</v>
      </c>
      <c r="H71" s="1">
        <v>15766</v>
      </c>
      <c r="I71">
        <v>0.10299999999999999</v>
      </c>
      <c r="J71">
        <v>0.30499999999999999</v>
      </c>
      <c r="K71">
        <v>0</v>
      </c>
      <c r="L71">
        <v>1</v>
      </c>
      <c r="M71" t="s">
        <v>165</v>
      </c>
      <c r="N71" s="1">
        <v>11628</v>
      </c>
      <c r="O71">
        <v>9.7000000000000003E-2</v>
      </c>
      <c r="P71">
        <v>0.29499999999999998</v>
      </c>
      <c r="Q71">
        <v>0</v>
      </c>
      <c r="R71">
        <v>1</v>
      </c>
    </row>
    <row r="72" spans="1:18" x14ac:dyDescent="0.25">
      <c r="A72" t="s">
        <v>166</v>
      </c>
      <c r="B72" s="1">
        <v>27394</v>
      </c>
      <c r="C72">
        <v>0.44</v>
      </c>
      <c r="D72">
        <v>0.496</v>
      </c>
      <c r="E72">
        <v>0</v>
      </c>
      <c r="F72">
        <v>1</v>
      </c>
      <c r="G72" t="s">
        <v>166</v>
      </c>
      <c r="H72" s="1">
        <v>15766</v>
      </c>
      <c r="I72">
        <v>0.432</v>
      </c>
      <c r="J72">
        <v>0.495</v>
      </c>
      <c r="K72">
        <v>0</v>
      </c>
      <c r="L72">
        <v>1</v>
      </c>
      <c r="M72" t="s">
        <v>166</v>
      </c>
      <c r="N72" s="1">
        <v>11628</v>
      </c>
      <c r="O72">
        <v>0.45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27394</v>
      </c>
      <c r="C73">
        <v>0.441</v>
      </c>
      <c r="D73">
        <v>0.496</v>
      </c>
      <c r="E73">
        <v>0</v>
      </c>
      <c r="F73">
        <v>1</v>
      </c>
      <c r="G73" t="s">
        <v>167</v>
      </c>
      <c r="H73" s="1">
        <v>15766</v>
      </c>
      <c r="I73">
        <v>0.44600000000000001</v>
      </c>
      <c r="J73">
        <v>0.497</v>
      </c>
      <c r="K73">
        <v>0</v>
      </c>
      <c r="L73">
        <v>1</v>
      </c>
      <c r="M73" t="s">
        <v>167</v>
      </c>
      <c r="N73" s="1">
        <v>11628</v>
      </c>
      <c r="O73">
        <v>0.433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27394</v>
      </c>
      <c r="C74">
        <v>8.9999999999999993E-3</v>
      </c>
      <c r="D74">
        <v>9.4E-2</v>
      </c>
      <c r="E74">
        <v>0</v>
      </c>
      <c r="F74">
        <v>1</v>
      </c>
      <c r="G74" t="s">
        <v>168</v>
      </c>
      <c r="H74" s="1">
        <v>15766</v>
      </c>
      <c r="I74">
        <v>8.0000000000000002E-3</v>
      </c>
      <c r="J74">
        <v>9.1999999999999998E-2</v>
      </c>
      <c r="K74">
        <v>0</v>
      </c>
      <c r="L74">
        <v>1</v>
      </c>
      <c r="M74" t="s">
        <v>168</v>
      </c>
      <c r="N74" s="1">
        <v>11628</v>
      </c>
      <c r="O74">
        <v>8.9999999999999993E-3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27394</v>
      </c>
      <c r="C75">
        <v>8.9999999999999993E-3</v>
      </c>
      <c r="D75">
        <v>9.4E-2</v>
      </c>
      <c r="E75">
        <v>0</v>
      </c>
      <c r="F75">
        <v>1</v>
      </c>
      <c r="G75" t="s">
        <v>169</v>
      </c>
      <c r="H75" s="1">
        <v>15766</v>
      </c>
      <c r="I75">
        <v>8.0000000000000002E-3</v>
      </c>
      <c r="J75">
        <v>0.09</v>
      </c>
      <c r="K75">
        <v>0</v>
      </c>
      <c r="L75">
        <v>1</v>
      </c>
      <c r="M75" t="s">
        <v>169</v>
      </c>
      <c r="N75" s="1">
        <v>11628</v>
      </c>
      <c r="O75">
        <v>0.01</v>
      </c>
      <c r="P75">
        <v>0.1</v>
      </c>
      <c r="Q75">
        <v>0</v>
      </c>
      <c r="R75">
        <v>1</v>
      </c>
    </row>
    <row r="76" spans="1:18" x14ac:dyDescent="0.25">
      <c r="A76" t="s">
        <v>170</v>
      </c>
      <c r="B76" s="1">
        <v>27394</v>
      </c>
      <c r="C76">
        <v>1E-3</v>
      </c>
      <c r="D76">
        <v>3.4000000000000002E-2</v>
      </c>
      <c r="E76">
        <v>0</v>
      </c>
      <c r="F76">
        <v>1</v>
      </c>
      <c r="G76" t="s">
        <v>170</v>
      </c>
      <c r="H76" s="1">
        <v>15766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11628</v>
      </c>
      <c r="O76">
        <v>1E-3</v>
      </c>
      <c r="P76">
        <v>3.3000000000000002E-2</v>
      </c>
      <c r="Q76">
        <v>0</v>
      </c>
      <c r="R76">
        <v>1</v>
      </c>
    </row>
    <row r="77" spans="1:18" x14ac:dyDescent="0.25">
      <c r="A77" t="s">
        <v>79</v>
      </c>
      <c r="B77" s="1">
        <v>27394</v>
      </c>
      <c r="C77">
        <v>0.19900000000000001</v>
      </c>
      <c r="D77">
        <v>0.4</v>
      </c>
      <c r="E77">
        <v>0</v>
      </c>
      <c r="F77">
        <v>1</v>
      </c>
      <c r="G77" t="s">
        <v>79</v>
      </c>
      <c r="H77" s="1">
        <v>15766</v>
      </c>
      <c r="I77">
        <v>0.20200000000000001</v>
      </c>
      <c r="J77">
        <v>0.40200000000000002</v>
      </c>
      <c r="K77">
        <v>0</v>
      </c>
      <c r="L77">
        <v>1</v>
      </c>
      <c r="M77" t="s">
        <v>79</v>
      </c>
      <c r="N77" s="1">
        <v>11628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27394</v>
      </c>
      <c r="C78">
        <v>0.01</v>
      </c>
      <c r="D78">
        <v>0.10100000000000001</v>
      </c>
      <c r="E78">
        <v>0</v>
      </c>
      <c r="F78">
        <v>1</v>
      </c>
      <c r="G78" t="s">
        <v>80</v>
      </c>
      <c r="H78" s="1">
        <v>15766</v>
      </c>
      <c r="I78">
        <v>8.9999999999999993E-3</v>
      </c>
      <c r="J78">
        <v>9.5000000000000001E-2</v>
      </c>
      <c r="K78">
        <v>0</v>
      </c>
      <c r="L78">
        <v>1</v>
      </c>
      <c r="M78" t="s">
        <v>80</v>
      </c>
      <c r="N78" s="1">
        <v>11628</v>
      </c>
      <c r="O78">
        <v>1.2E-2</v>
      </c>
      <c r="P78">
        <v>0.109</v>
      </c>
      <c r="Q78">
        <v>0</v>
      </c>
      <c r="R78">
        <v>1</v>
      </c>
    </row>
    <row r="79" spans="1:18" x14ac:dyDescent="0.25">
      <c r="A79" t="s">
        <v>81</v>
      </c>
      <c r="B79" s="1">
        <v>27394</v>
      </c>
      <c r="C79">
        <v>1E-3</v>
      </c>
      <c r="D79">
        <v>2.3E-2</v>
      </c>
      <c r="E79">
        <v>0</v>
      </c>
      <c r="F79">
        <v>1</v>
      </c>
      <c r="G79" t="s">
        <v>81</v>
      </c>
      <c r="H79" s="1">
        <v>15766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11628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27394</v>
      </c>
      <c r="C80">
        <v>7.4999999999999997E-2</v>
      </c>
      <c r="D80">
        <v>0.26300000000000001</v>
      </c>
      <c r="E80">
        <v>0</v>
      </c>
      <c r="F80">
        <v>1</v>
      </c>
      <c r="G80" t="s">
        <v>82</v>
      </c>
      <c r="H80" s="1">
        <v>15766</v>
      </c>
      <c r="I80">
        <v>7.3999999999999996E-2</v>
      </c>
      <c r="J80">
        <v>0.26200000000000001</v>
      </c>
      <c r="K80">
        <v>0</v>
      </c>
      <c r="L80">
        <v>1</v>
      </c>
      <c r="M80" t="s">
        <v>82</v>
      </c>
      <c r="N80" s="1">
        <v>11628</v>
      </c>
      <c r="O80">
        <v>7.4999999999999997E-2</v>
      </c>
      <c r="P80">
        <v>0.26300000000000001</v>
      </c>
      <c r="Q80">
        <v>0</v>
      </c>
      <c r="R80">
        <v>1</v>
      </c>
    </row>
    <row r="81" spans="1:18" x14ac:dyDescent="0.25">
      <c r="A81" t="s">
        <v>83</v>
      </c>
      <c r="B81" s="1">
        <v>27394</v>
      </c>
      <c r="C81">
        <v>0.311</v>
      </c>
      <c r="D81">
        <v>0.46300000000000002</v>
      </c>
      <c r="E81">
        <v>0</v>
      </c>
      <c r="F81">
        <v>1</v>
      </c>
      <c r="G81" t="s">
        <v>83</v>
      </c>
      <c r="H81" s="1">
        <v>15766</v>
      </c>
      <c r="I81">
        <v>0.314</v>
      </c>
      <c r="J81">
        <v>0.46400000000000002</v>
      </c>
      <c r="K81">
        <v>0</v>
      </c>
      <c r="L81">
        <v>1</v>
      </c>
      <c r="M81" t="s">
        <v>83</v>
      </c>
      <c r="N81" s="1">
        <v>11628</v>
      </c>
      <c r="O81">
        <v>0.30599999999999999</v>
      </c>
      <c r="P81">
        <v>0.46100000000000002</v>
      </c>
      <c r="Q81">
        <v>0</v>
      </c>
      <c r="R81">
        <v>1</v>
      </c>
    </row>
    <row r="82" spans="1:18" x14ac:dyDescent="0.25">
      <c r="A82" t="s">
        <v>84</v>
      </c>
      <c r="B82" s="1">
        <v>27394</v>
      </c>
      <c r="C82">
        <v>8.0000000000000002E-3</v>
      </c>
      <c r="D82">
        <v>8.7999999999999995E-2</v>
      </c>
      <c r="E82">
        <v>0</v>
      </c>
      <c r="F82">
        <v>1</v>
      </c>
      <c r="G82" t="s">
        <v>84</v>
      </c>
      <c r="H82" s="1">
        <v>15766</v>
      </c>
      <c r="I82">
        <v>7.0000000000000001E-3</v>
      </c>
      <c r="J82">
        <v>8.4000000000000005E-2</v>
      </c>
      <c r="K82">
        <v>0</v>
      </c>
      <c r="L82">
        <v>1</v>
      </c>
      <c r="M82" t="s">
        <v>84</v>
      </c>
      <c r="N82" s="1">
        <v>11628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27394</v>
      </c>
      <c r="C83">
        <v>0.39700000000000002</v>
      </c>
      <c r="D83">
        <v>0.48899999999999999</v>
      </c>
      <c r="E83">
        <v>0</v>
      </c>
      <c r="F83">
        <v>1</v>
      </c>
      <c r="G83" t="s">
        <v>85</v>
      </c>
      <c r="H83" s="1">
        <v>15766</v>
      </c>
      <c r="I83">
        <v>0.39300000000000002</v>
      </c>
      <c r="J83">
        <v>0.48799999999999999</v>
      </c>
      <c r="K83">
        <v>0</v>
      </c>
      <c r="L83">
        <v>1</v>
      </c>
      <c r="M83" t="s">
        <v>85</v>
      </c>
      <c r="N83" s="1">
        <v>11628</v>
      </c>
      <c r="O83">
        <v>0.40200000000000002</v>
      </c>
      <c r="P83">
        <v>0.49</v>
      </c>
      <c r="Q83">
        <v>0</v>
      </c>
      <c r="R83">
        <v>1</v>
      </c>
    </row>
    <row r="84" spans="1:18" x14ac:dyDescent="0.25">
      <c r="A84" t="s">
        <v>6</v>
      </c>
      <c r="B84" s="1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s="1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s="1" t="s">
        <v>7</v>
      </c>
      <c r="I86" t="s">
        <v>8</v>
      </c>
      <c r="J86" t="s">
        <v>162</v>
      </c>
      <c r="K86" t="s">
        <v>8</v>
      </c>
      <c r="L86" t="s">
        <v>9</v>
      </c>
    </row>
    <row r="87" spans="1:18" x14ac:dyDescent="0.25">
      <c r="H87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5F4A-2124-41D9-98CB-37E518A74EB4}">
  <sheetPr codeName="Sheet3"/>
  <dimension ref="A1:R86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22962</v>
      </c>
      <c r="C3">
        <v>1.304</v>
      </c>
      <c r="D3">
        <v>0.53500000000000003</v>
      </c>
      <c r="E3">
        <v>1</v>
      </c>
      <c r="F3">
        <v>4</v>
      </c>
      <c r="G3" t="s">
        <v>10</v>
      </c>
      <c r="H3" s="1">
        <v>13262</v>
      </c>
      <c r="I3">
        <v>1.294</v>
      </c>
      <c r="J3">
        <v>0.52800000000000002</v>
      </c>
      <c r="K3">
        <v>1</v>
      </c>
      <c r="L3">
        <v>4</v>
      </c>
      <c r="M3" t="s">
        <v>10</v>
      </c>
      <c r="N3" s="1">
        <v>9700</v>
      </c>
      <c r="O3">
        <v>1.3169999999999999</v>
      </c>
      <c r="P3">
        <v>0.54500000000000004</v>
      </c>
      <c r="Q3">
        <v>1</v>
      </c>
      <c r="R3">
        <v>4</v>
      </c>
    </row>
    <row r="4" spans="1:18" x14ac:dyDescent="0.25">
      <c r="A4" t="s">
        <v>11</v>
      </c>
      <c r="B4" s="1">
        <v>22962</v>
      </c>
      <c r="C4">
        <v>0.42199999999999999</v>
      </c>
      <c r="D4">
        <v>0.49399999999999999</v>
      </c>
      <c r="E4">
        <v>0</v>
      </c>
      <c r="F4">
        <v>1</v>
      </c>
      <c r="G4" t="s">
        <v>11</v>
      </c>
      <c r="H4" s="1">
        <v>13262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9700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22962</v>
      </c>
      <c r="C5">
        <v>0.36699999999999999</v>
      </c>
      <c r="D5">
        <v>0.48199999999999998</v>
      </c>
      <c r="E5">
        <v>0</v>
      </c>
      <c r="F5">
        <v>1</v>
      </c>
      <c r="G5" t="s">
        <v>12</v>
      </c>
      <c r="H5" s="1">
        <v>13262</v>
      </c>
      <c r="I5">
        <v>1E-3</v>
      </c>
      <c r="J5">
        <v>3.7999999999999999E-2</v>
      </c>
      <c r="K5">
        <v>0</v>
      </c>
      <c r="L5">
        <v>1</v>
      </c>
      <c r="M5" t="s">
        <v>12</v>
      </c>
      <c r="N5" s="1">
        <v>9700</v>
      </c>
      <c r="O5">
        <v>0.86699999999999999</v>
      </c>
      <c r="P5">
        <v>0.33900000000000002</v>
      </c>
      <c r="Q5">
        <v>0</v>
      </c>
      <c r="R5">
        <v>1</v>
      </c>
    </row>
    <row r="6" spans="1:18" x14ac:dyDescent="0.25">
      <c r="A6" t="s">
        <v>36</v>
      </c>
      <c r="B6" s="1">
        <v>9700</v>
      </c>
      <c r="C6">
        <v>289.73099999999999</v>
      </c>
      <c r="D6">
        <v>542.82399999999996</v>
      </c>
      <c r="E6">
        <v>0</v>
      </c>
      <c r="F6" s="1">
        <v>4021</v>
      </c>
      <c r="H6" s="1"/>
      <c r="M6" t="s">
        <v>36</v>
      </c>
      <c r="N6" s="1">
        <v>9700</v>
      </c>
      <c r="O6">
        <v>289.73099999999999</v>
      </c>
      <c r="P6">
        <v>542.82399999999996</v>
      </c>
      <c r="Q6">
        <v>0</v>
      </c>
      <c r="R6" s="1">
        <v>4021</v>
      </c>
    </row>
    <row r="7" spans="1:18" x14ac:dyDescent="0.25">
      <c r="A7" t="s">
        <v>13</v>
      </c>
      <c r="B7" s="1">
        <v>22962</v>
      </c>
      <c r="C7">
        <v>2.39</v>
      </c>
      <c r="D7">
        <v>0.97599999999999998</v>
      </c>
      <c r="E7">
        <v>0</v>
      </c>
      <c r="F7">
        <v>17</v>
      </c>
      <c r="G7" t="s">
        <v>13</v>
      </c>
      <c r="H7" s="1">
        <v>13262</v>
      </c>
      <c r="I7">
        <v>2.3530000000000002</v>
      </c>
      <c r="J7">
        <v>0.94099999999999995</v>
      </c>
      <c r="K7">
        <v>0</v>
      </c>
      <c r="L7">
        <v>17</v>
      </c>
      <c r="M7" t="s">
        <v>13</v>
      </c>
      <c r="N7" s="1">
        <v>9700</v>
      </c>
      <c r="O7">
        <v>2.4409999999999998</v>
      </c>
      <c r="P7">
        <v>1.018</v>
      </c>
      <c r="Q7">
        <v>0</v>
      </c>
      <c r="R7">
        <v>15</v>
      </c>
    </row>
    <row r="8" spans="1:18" x14ac:dyDescent="0.25">
      <c r="A8" t="s">
        <v>14</v>
      </c>
      <c r="B8" s="1">
        <v>22962</v>
      </c>
      <c r="C8">
        <v>0.39300000000000002</v>
      </c>
      <c r="D8">
        <v>0.52500000000000002</v>
      </c>
      <c r="E8">
        <v>0</v>
      </c>
      <c r="F8">
        <v>5</v>
      </c>
      <c r="G8" t="s">
        <v>14</v>
      </c>
      <c r="H8" s="1">
        <v>13262</v>
      </c>
      <c r="I8">
        <v>0.39600000000000002</v>
      </c>
      <c r="J8">
        <v>0.51900000000000002</v>
      </c>
      <c r="K8">
        <v>0</v>
      </c>
      <c r="L8">
        <v>5</v>
      </c>
      <c r="M8" t="s">
        <v>14</v>
      </c>
      <c r="N8" s="1">
        <v>9700</v>
      </c>
      <c r="O8">
        <v>0.38900000000000001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22962</v>
      </c>
      <c r="C9">
        <v>3.7890000000000001</v>
      </c>
      <c r="D9">
        <v>1.242</v>
      </c>
      <c r="E9">
        <v>0</v>
      </c>
      <c r="F9">
        <v>25</v>
      </c>
      <c r="G9" t="s">
        <v>15</v>
      </c>
      <c r="H9" s="1">
        <v>13262</v>
      </c>
      <c r="I9">
        <v>3.7410000000000001</v>
      </c>
      <c r="J9">
        <v>1.1930000000000001</v>
      </c>
      <c r="K9">
        <v>0</v>
      </c>
      <c r="L9">
        <v>18</v>
      </c>
      <c r="M9" t="s">
        <v>15</v>
      </c>
      <c r="N9" s="1">
        <v>9700</v>
      </c>
      <c r="O9">
        <v>3.8540000000000001</v>
      </c>
      <c r="P9">
        <v>1.3049999999999999</v>
      </c>
      <c r="Q9">
        <v>0</v>
      </c>
      <c r="R9">
        <v>25</v>
      </c>
    </row>
    <row r="10" spans="1:18" x14ac:dyDescent="0.25">
      <c r="A10" t="s">
        <v>16</v>
      </c>
      <c r="B10" s="1">
        <v>22962</v>
      </c>
      <c r="C10">
        <v>42.31</v>
      </c>
      <c r="D10">
        <v>56.515000000000001</v>
      </c>
      <c r="E10">
        <v>0</v>
      </c>
      <c r="F10" s="1">
        <v>1402</v>
      </c>
      <c r="G10" t="s">
        <v>16</v>
      </c>
      <c r="H10" s="1">
        <v>13262</v>
      </c>
      <c r="I10">
        <v>51.58</v>
      </c>
      <c r="J10">
        <v>59.838999999999999</v>
      </c>
      <c r="K10">
        <v>0</v>
      </c>
      <c r="L10" s="1">
        <v>1402</v>
      </c>
      <c r="M10" t="s">
        <v>16</v>
      </c>
      <c r="N10" s="1">
        <v>9700</v>
      </c>
      <c r="O10">
        <v>29.635999999999999</v>
      </c>
      <c r="P10">
        <v>48.86</v>
      </c>
      <c r="Q10">
        <v>0</v>
      </c>
      <c r="R10">
        <v>593</v>
      </c>
    </row>
    <row r="11" spans="1:18" x14ac:dyDescent="0.25">
      <c r="A11" t="s">
        <v>163</v>
      </c>
      <c r="B11" s="1">
        <v>22962</v>
      </c>
      <c r="C11" s="2">
        <v>1865.643</v>
      </c>
      <c r="D11">
        <v>900.70500000000004</v>
      </c>
      <c r="E11">
        <v>220</v>
      </c>
      <c r="F11" s="1">
        <v>17408</v>
      </c>
      <c r="G11" t="s">
        <v>163</v>
      </c>
      <c r="H11" s="1">
        <v>13262</v>
      </c>
      <c r="I11" s="2">
        <v>1836.721</v>
      </c>
      <c r="J11">
        <v>867.13</v>
      </c>
      <c r="K11">
        <v>420</v>
      </c>
      <c r="L11" s="1">
        <v>17408</v>
      </c>
      <c r="M11" t="s">
        <v>163</v>
      </c>
      <c r="N11" s="1">
        <v>9700</v>
      </c>
      <c r="O11" s="2">
        <v>1905.1849999999999</v>
      </c>
      <c r="P11">
        <v>943.29200000000003</v>
      </c>
      <c r="Q11">
        <v>220</v>
      </c>
      <c r="R11" s="1">
        <v>16703</v>
      </c>
    </row>
    <row r="12" spans="1:18" x14ac:dyDescent="0.25">
      <c r="A12" t="s">
        <v>17</v>
      </c>
      <c r="B12" s="1">
        <v>22962</v>
      </c>
      <c r="C12">
        <v>329.86799999999999</v>
      </c>
      <c r="D12">
        <v>233.65600000000001</v>
      </c>
      <c r="E12">
        <v>0</v>
      </c>
      <c r="F12" s="1">
        <v>5000</v>
      </c>
      <c r="G12" t="s">
        <v>17</v>
      </c>
      <c r="H12" s="1">
        <v>13262</v>
      </c>
      <c r="I12" s="2">
        <v>329.21199999999999</v>
      </c>
      <c r="J12">
        <v>234.369</v>
      </c>
      <c r="K12">
        <v>0</v>
      </c>
      <c r="L12" s="1">
        <v>5000</v>
      </c>
      <c r="M12" t="s">
        <v>17</v>
      </c>
      <c r="N12" s="1">
        <v>9700</v>
      </c>
      <c r="O12">
        <v>330.76499999999999</v>
      </c>
      <c r="P12">
        <v>232.68600000000001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22962</v>
      </c>
      <c r="C13" s="2">
        <v>1266276</v>
      </c>
      <c r="D13" s="2">
        <v>1031480</v>
      </c>
      <c r="E13" s="2">
        <v>168375.1</v>
      </c>
      <c r="F13" s="2">
        <v>23293838</v>
      </c>
      <c r="G13" t="s">
        <v>19</v>
      </c>
      <c r="H13" s="1">
        <v>13262</v>
      </c>
      <c r="I13" s="2">
        <v>1189380</v>
      </c>
      <c r="J13" s="2">
        <v>977310.8</v>
      </c>
      <c r="K13" s="2">
        <v>168375.1</v>
      </c>
      <c r="L13" s="1">
        <v>23293838</v>
      </c>
      <c r="M13" t="s">
        <v>19</v>
      </c>
      <c r="N13" s="1">
        <v>9700</v>
      </c>
      <c r="O13" s="2">
        <v>1371410</v>
      </c>
      <c r="P13" s="2">
        <v>1092566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22962</v>
      </c>
      <c r="C14" s="2">
        <v>1252747</v>
      </c>
      <c r="D14" s="2">
        <v>958895.1</v>
      </c>
      <c r="E14" s="2">
        <v>180401.9</v>
      </c>
      <c r="F14" s="2">
        <v>22166108</v>
      </c>
      <c r="G14" t="s">
        <v>20</v>
      </c>
      <c r="H14" s="1">
        <v>13262</v>
      </c>
      <c r="I14" s="2">
        <v>1164489</v>
      </c>
      <c r="J14" s="2">
        <v>899968.6</v>
      </c>
      <c r="K14" s="2">
        <v>180401.9</v>
      </c>
      <c r="L14" s="1">
        <v>21058570</v>
      </c>
      <c r="M14" t="s">
        <v>20</v>
      </c>
      <c r="N14" s="1">
        <v>9700</v>
      </c>
      <c r="O14" s="2">
        <v>1373414</v>
      </c>
      <c r="P14" s="2">
        <v>1021825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22962</v>
      </c>
      <c r="C15" s="2">
        <v>10892.06</v>
      </c>
      <c r="D15" s="2">
        <v>121236.6</v>
      </c>
      <c r="E15" s="1">
        <v>-2010000</v>
      </c>
      <c r="F15" s="1">
        <v>6900000</v>
      </c>
      <c r="G15" t="s">
        <v>190</v>
      </c>
      <c r="H15" s="1">
        <v>13262</v>
      </c>
      <c r="I15" s="2">
        <v>20447.759999999998</v>
      </c>
      <c r="J15" s="2">
        <v>94762.45</v>
      </c>
      <c r="K15" s="2">
        <v>-1850000</v>
      </c>
      <c r="L15" s="1">
        <v>2950000</v>
      </c>
      <c r="M15" t="s">
        <v>190</v>
      </c>
      <c r="N15" s="1">
        <v>9700</v>
      </c>
      <c r="O15" s="2">
        <v>-2172.6570000000002</v>
      </c>
      <c r="P15" s="2">
        <v>149073</v>
      </c>
      <c r="Q15" s="1">
        <v>-2010000</v>
      </c>
      <c r="R15" s="1">
        <v>6900000</v>
      </c>
    </row>
    <row r="16" spans="1:18" x14ac:dyDescent="0.25">
      <c r="A16" t="s">
        <v>21</v>
      </c>
      <c r="B16" s="1">
        <v>22962</v>
      </c>
      <c r="C16">
        <v>2.5999999999999999E-2</v>
      </c>
      <c r="D16">
        <v>0.159</v>
      </c>
      <c r="E16">
        <v>0</v>
      </c>
      <c r="F16">
        <v>1</v>
      </c>
      <c r="G16" t="s">
        <v>21</v>
      </c>
      <c r="H16" s="1">
        <v>13262</v>
      </c>
      <c r="I16" s="2">
        <v>2.3E-2</v>
      </c>
      <c r="J16" s="2">
        <v>0.151</v>
      </c>
      <c r="K16" s="2">
        <v>0</v>
      </c>
      <c r="L16" s="2">
        <v>1</v>
      </c>
      <c r="M16" t="s">
        <v>21</v>
      </c>
      <c r="N16" s="1">
        <v>9700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22962</v>
      </c>
      <c r="C17">
        <v>4.4999999999999998E-2</v>
      </c>
      <c r="D17">
        <v>0.20699999999999999</v>
      </c>
      <c r="E17">
        <v>0</v>
      </c>
      <c r="F17">
        <v>1</v>
      </c>
      <c r="G17" t="s">
        <v>22</v>
      </c>
      <c r="H17" s="1">
        <v>13262</v>
      </c>
      <c r="I17" s="2">
        <v>4.2999999999999997E-2</v>
      </c>
      <c r="J17" s="2">
        <v>0.20200000000000001</v>
      </c>
      <c r="K17" s="2">
        <v>0</v>
      </c>
      <c r="L17" s="2">
        <v>1</v>
      </c>
      <c r="M17" t="s">
        <v>22</v>
      </c>
      <c r="N17" s="1">
        <v>9700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22962</v>
      </c>
      <c r="C18">
        <v>8.9999999999999993E-3</v>
      </c>
      <c r="D18">
        <v>9.5000000000000001E-2</v>
      </c>
      <c r="E18">
        <v>0</v>
      </c>
      <c r="F18">
        <v>1</v>
      </c>
      <c r="G18" t="s">
        <v>23</v>
      </c>
      <c r="H18" s="1">
        <v>13262</v>
      </c>
      <c r="I18" s="2">
        <v>8.9999999999999993E-3</v>
      </c>
      <c r="J18" s="2">
        <v>9.1999999999999998E-2</v>
      </c>
      <c r="K18" s="1">
        <v>0</v>
      </c>
      <c r="L18" s="1">
        <v>1</v>
      </c>
      <c r="M18" t="s">
        <v>23</v>
      </c>
      <c r="N18" s="1">
        <v>9700</v>
      </c>
      <c r="O18">
        <v>0.01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22962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13262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9700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22962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13262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9700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22962</v>
      </c>
      <c r="C21">
        <v>2.0000000000000001E-4</v>
      </c>
      <c r="D21">
        <v>1.4999999999999999E-2</v>
      </c>
      <c r="E21">
        <v>0</v>
      </c>
      <c r="F21">
        <v>1</v>
      </c>
      <c r="G21" t="s">
        <v>26</v>
      </c>
      <c r="H21" s="1">
        <v>13262</v>
      </c>
      <c r="I21">
        <v>2.0000000000000001E-4</v>
      </c>
      <c r="J21">
        <v>1.4999999999999999E-2</v>
      </c>
      <c r="K21">
        <v>0</v>
      </c>
      <c r="L21">
        <v>1</v>
      </c>
      <c r="M21" t="s">
        <v>26</v>
      </c>
      <c r="N21" s="1">
        <v>9700</v>
      </c>
      <c r="O21">
        <v>2.0000000000000001E-4</v>
      </c>
      <c r="P21">
        <v>1.4E-2</v>
      </c>
      <c r="Q21">
        <v>0</v>
      </c>
      <c r="R21">
        <v>1</v>
      </c>
    </row>
    <row r="22" spans="1:18" x14ac:dyDescent="0.25">
      <c r="A22" t="s">
        <v>27</v>
      </c>
      <c r="B22" s="1">
        <v>22962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13262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9700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22962</v>
      </c>
      <c r="C23">
        <v>0.91800000000000004</v>
      </c>
      <c r="D23">
        <v>0.27400000000000002</v>
      </c>
      <c r="E23">
        <v>0</v>
      </c>
      <c r="F23">
        <v>1</v>
      </c>
      <c r="G23" t="s">
        <v>28</v>
      </c>
      <c r="H23" s="1">
        <v>13262</v>
      </c>
      <c r="I23">
        <v>0.91700000000000004</v>
      </c>
      <c r="J23">
        <v>0.27600000000000002</v>
      </c>
      <c r="K23">
        <v>0</v>
      </c>
      <c r="L23">
        <v>1</v>
      </c>
      <c r="M23" t="s">
        <v>28</v>
      </c>
      <c r="N23" s="1">
        <v>9700</v>
      </c>
      <c r="O23">
        <v>0.92</v>
      </c>
      <c r="P23">
        <v>0.27200000000000002</v>
      </c>
      <c r="Q23">
        <v>0</v>
      </c>
      <c r="R23">
        <v>1</v>
      </c>
    </row>
    <row r="24" spans="1:18" x14ac:dyDescent="0.25">
      <c r="A24" t="s">
        <v>29</v>
      </c>
      <c r="B24" s="1">
        <v>22962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13262</v>
      </c>
      <c r="I24">
        <v>0.02</v>
      </c>
      <c r="J24">
        <v>0.13900000000000001</v>
      </c>
      <c r="K24">
        <v>0</v>
      </c>
      <c r="L24">
        <v>1</v>
      </c>
      <c r="M24" t="s">
        <v>29</v>
      </c>
      <c r="N24" s="1">
        <v>9700</v>
      </c>
      <c r="O24">
        <v>1.7999999999999999E-2</v>
      </c>
      <c r="P24">
        <v>0.13200000000000001</v>
      </c>
      <c r="Q24">
        <v>0</v>
      </c>
      <c r="R24">
        <v>1</v>
      </c>
    </row>
    <row r="25" spans="1:18" x14ac:dyDescent="0.25">
      <c r="A25" t="s">
        <v>30</v>
      </c>
      <c r="B25" s="1">
        <v>22962</v>
      </c>
      <c r="C25">
        <v>3.9E-2</v>
      </c>
      <c r="D25">
        <v>0.193</v>
      </c>
      <c r="E25">
        <v>0</v>
      </c>
      <c r="F25">
        <v>1</v>
      </c>
      <c r="G25" t="s">
        <v>30</v>
      </c>
      <c r="H25" s="1">
        <v>13262</v>
      </c>
      <c r="I25">
        <v>3.4000000000000002E-2</v>
      </c>
      <c r="J25">
        <v>0.18</v>
      </c>
      <c r="K25">
        <v>0</v>
      </c>
      <c r="L25">
        <v>1</v>
      </c>
      <c r="M25" t="s">
        <v>30</v>
      </c>
      <c r="N25" s="1">
        <v>9700</v>
      </c>
      <c r="O25">
        <v>4.5999999999999999E-2</v>
      </c>
      <c r="P25">
        <v>0.20899999999999999</v>
      </c>
      <c r="Q25">
        <v>0</v>
      </c>
      <c r="R25">
        <v>1</v>
      </c>
    </row>
    <row r="26" spans="1:18" x14ac:dyDescent="0.25">
      <c r="A26" t="s">
        <v>31</v>
      </c>
      <c r="B26" s="1">
        <v>22962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13262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9700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22962</v>
      </c>
      <c r="C27">
        <v>1</v>
      </c>
      <c r="D27">
        <v>1.6E-2</v>
      </c>
      <c r="E27">
        <v>0</v>
      </c>
      <c r="F27">
        <v>1</v>
      </c>
      <c r="G27" t="s">
        <v>32</v>
      </c>
      <c r="H27" s="1">
        <v>13262</v>
      </c>
      <c r="I27">
        <v>1</v>
      </c>
      <c r="J27">
        <v>1.7000000000000001E-2</v>
      </c>
      <c r="K27">
        <v>0</v>
      </c>
      <c r="L27">
        <v>1</v>
      </c>
      <c r="M27" t="s">
        <v>32</v>
      </c>
      <c r="N27" s="1">
        <v>9700</v>
      </c>
      <c r="O27">
        <v>1</v>
      </c>
      <c r="P27">
        <v>1.4E-2</v>
      </c>
      <c r="Q27">
        <v>0</v>
      </c>
      <c r="R27">
        <v>1</v>
      </c>
    </row>
    <row r="28" spans="1:18" x14ac:dyDescent="0.25">
      <c r="A28" t="s">
        <v>33</v>
      </c>
      <c r="B28" s="1">
        <v>22962</v>
      </c>
      <c r="C28">
        <v>38.738</v>
      </c>
      <c r="D28">
        <v>23.157</v>
      </c>
      <c r="E28">
        <v>0</v>
      </c>
      <c r="F28">
        <v>123</v>
      </c>
      <c r="G28" t="s">
        <v>33</v>
      </c>
      <c r="H28" s="1">
        <v>13262</v>
      </c>
      <c r="I28">
        <v>36.6</v>
      </c>
      <c r="J28">
        <v>22.885000000000002</v>
      </c>
      <c r="K28">
        <v>0</v>
      </c>
      <c r="L28">
        <v>112</v>
      </c>
      <c r="M28" t="s">
        <v>33</v>
      </c>
      <c r="N28" s="1">
        <v>9700</v>
      </c>
      <c r="O28">
        <v>41.661000000000001</v>
      </c>
      <c r="P28">
        <v>23.207000000000001</v>
      </c>
      <c r="Q28">
        <v>0</v>
      </c>
      <c r="R28">
        <v>123</v>
      </c>
    </row>
    <row r="29" spans="1:18" x14ac:dyDescent="0.25">
      <c r="A29" t="s">
        <v>34</v>
      </c>
      <c r="B29" s="1">
        <v>22962</v>
      </c>
      <c r="C29">
        <v>2.0369999999999999</v>
      </c>
      <c r="D29">
        <v>1.988</v>
      </c>
      <c r="E29">
        <v>0</v>
      </c>
      <c r="F29">
        <v>15.129</v>
      </c>
      <c r="G29" t="s">
        <v>34</v>
      </c>
      <c r="H29" s="1">
        <v>13262</v>
      </c>
      <c r="I29">
        <v>1.863</v>
      </c>
      <c r="J29">
        <v>1.887</v>
      </c>
      <c r="K29">
        <v>0</v>
      </c>
      <c r="L29">
        <v>12.544</v>
      </c>
      <c r="M29" t="s">
        <v>34</v>
      </c>
      <c r="N29" s="1">
        <v>9700</v>
      </c>
      <c r="O29">
        <v>2.274</v>
      </c>
      <c r="P29">
        <v>2.097</v>
      </c>
      <c r="Q29">
        <v>0</v>
      </c>
      <c r="R29">
        <v>15.129</v>
      </c>
    </row>
    <row r="30" spans="1:18" x14ac:dyDescent="0.25">
      <c r="A30" t="s">
        <v>35</v>
      </c>
      <c r="B30" s="1">
        <v>22962</v>
      </c>
      <c r="C30">
        <v>4.9429999999999996</v>
      </c>
      <c r="D30">
        <v>12.606999999999999</v>
      </c>
      <c r="E30">
        <v>0</v>
      </c>
      <c r="F30">
        <v>94</v>
      </c>
      <c r="G30" t="s">
        <v>35</v>
      </c>
      <c r="H30" s="1">
        <v>13262</v>
      </c>
      <c r="I30">
        <v>4.54</v>
      </c>
      <c r="J30">
        <v>12.061</v>
      </c>
      <c r="K30">
        <v>0</v>
      </c>
      <c r="L30">
        <v>88</v>
      </c>
      <c r="M30" t="s">
        <v>35</v>
      </c>
      <c r="N30" s="1">
        <v>9700</v>
      </c>
      <c r="O30">
        <v>5.4939999999999998</v>
      </c>
      <c r="P30">
        <v>13.298</v>
      </c>
      <c r="Q30">
        <v>0</v>
      </c>
      <c r="R30">
        <v>94</v>
      </c>
    </row>
    <row r="31" spans="1:18" x14ac:dyDescent="0.25">
      <c r="A31" t="s">
        <v>18</v>
      </c>
      <c r="B31" s="1">
        <v>22962</v>
      </c>
      <c r="C31" s="2">
        <v>2082.42</v>
      </c>
      <c r="D31" s="2">
        <v>1098.866</v>
      </c>
      <c r="E31">
        <v>220</v>
      </c>
      <c r="F31" s="1">
        <v>23350</v>
      </c>
      <c r="G31" t="s">
        <v>18</v>
      </c>
      <c r="H31" s="1">
        <v>13262</v>
      </c>
      <c r="I31" s="2">
        <v>2046.7080000000001</v>
      </c>
      <c r="J31" s="2">
        <v>1059.201</v>
      </c>
      <c r="K31">
        <v>455</v>
      </c>
      <c r="L31" s="1">
        <v>23350</v>
      </c>
      <c r="M31" t="s">
        <v>18</v>
      </c>
      <c r="N31" s="1">
        <v>9700</v>
      </c>
      <c r="O31" s="2">
        <v>2131.2449999999999</v>
      </c>
      <c r="P31" s="2">
        <v>1149.1469999999999</v>
      </c>
      <c r="Q31">
        <v>220</v>
      </c>
      <c r="R31" s="1">
        <v>18919</v>
      </c>
    </row>
    <row r="32" spans="1:18" x14ac:dyDescent="0.25">
      <c r="A32" t="s">
        <v>37</v>
      </c>
      <c r="B32" s="1">
        <v>22962</v>
      </c>
      <c r="C32">
        <v>0.95199999999999996</v>
      </c>
      <c r="D32">
        <v>3.57</v>
      </c>
      <c r="E32">
        <v>2.1000000000000001E-2</v>
      </c>
      <c r="F32">
        <v>128.91800000000001</v>
      </c>
      <c r="G32" t="s">
        <v>37</v>
      </c>
      <c r="H32" s="1">
        <v>13262</v>
      </c>
      <c r="I32" s="2">
        <v>0.97399999999999998</v>
      </c>
      <c r="J32" s="2">
        <v>3.5049999999999999</v>
      </c>
      <c r="K32">
        <v>2.1000000000000001E-2</v>
      </c>
      <c r="L32" s="1">
        <v>128.91800000000001</v>
      </c>
      <c r="M32" t="s">
        <v>37</v>
      </c>
      <c r="N32" s="1">
        <v>9700</v>
      </c>
      <c r="O32">
        <v>0.92200000000000004</v>
      </c>
      <c r="P32">
        <v>3.657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22962</v>
      </c>
      <c r="C33">
        <v>2.496</v>
      </c>
      <c r="D33">
        <v>2.581</v>
      </c>
      <c r="E33">
        <v>0</v>
      </c>
      <c r="F33">
        <v>13.552</v>
      </c>
      <c r="G33" t="s">
        <v>164</v>
      </c>
      <c r="H33" s="1">
        <v>13262</v>
      </c>
      <c r="I33" s="2">
        <v>2.5550000000000002</v>
      </c>
      <c r="J33" s="2">
        <v>2.62</v>
      </c>
      <c r="K33">
        <v>0</v>
      </c>
      <c r="L33" s="1">
        <v>13.552</v>
      </c>
      <c r="M33" t="s">
        <v>164</v>
      </c>
      <c r="N33" s="1">
        <v>9700</v>
      </c>
      <c r="O33">
        <v>2.4159999999999999</v>
      </c>
      <c r="P33">
        <v>2.5230000000000001</v>
      </c>
      <c r="Q33">
        <v>0</v>
      </c>
      <c r="R33">
        <v>13.477</v>
      </c>
    </row>
    <row r="34" spans="1:18" x14ac:dyDescent="0.25">
      <c r="A34" t="s">
        <v>39</v>
      </c>
      <c r="B34" s="1">
        <v>22962</v>
      </c>
      <c r="C34">
        <v>0.52900000000000003</v>
      </c>
      <c r="D34">
        <v>0.32800000000000001</v>
      </c>
      <c r="E34">
        <v>0</v>
      </c>
      <c r="F34">
        <v>3.56</v>
      </c>
      <c r="G34" t="s">
        <v>39</v>
      </c>
      <c r="H34" s="1">
        <v>13262</v>
      </c>
      <c r="I34" s="2">
        <v>0.53100000000000003</v>
      </c>
      <c r="J34" s="2">
        <v>0.32400000000000001</v>
      </c>
      <c r="K34">
        <v>0</v>
      </c>
      <c r="L34" s="1">
        <v>3.302</v>
      </c>
      <c r="M34" t="s">
        <v>39</v>
      </c>
      <c r="N34" s="1">
        <v>9700</v>
      </c>
      <c r="O34">
        <v>0.52500000000000002</v>
      </c>
      <c r="P34">
        <v>0.33400000000000002</v>
      </c>
      <c r="Q34">
        <v>0</v>
      </c>
      <c r="R34">
        <v>3.56</v>
      </c>
    </row>
    <row r="35" spans="1:18" x14ac:dyDescent="0.25">
      <c r="A35" t="s">
        <v>40</v>
      </c>
      <c r="B35" s="1">
        <v>22962</v>
      </c>
      <c r="C35">
        <v>5.2629999999999999</v>
      </c>
      <c r="D35">
        <v>4.2350000000000003</v>
      </c>
      <c r="E35">
        <v>0.01</v>
      </c>
      <c r="F35">
        <v>20.997</v>
      </c>
      <c r="G35" t="s">
        <v>40</v>
      </c>
      <c r="H35" s="1">
        <v>13262</v>
      </c>
      <c r="I35">
        <v>5.2480000000000002</v>
      </c>
      <c r="J35">
        <v>4.1980000000000004</v>
      </c>
      <c r="K35">
        <v>0.01</v>
      </c>
      <c r="L35">
        <v>20.997</v>
      </c>
      <c r="M35" t="s">
        <v>40</v>
      </c>
      <c r="N35" s="1">
        <v>9700</v>
      </c>
      <c r="O35">
        <v>5.2839999999999998</v>
      </c>
      <c r="P35">
        <v>4.2859999999999996</v>
      </c>
      <c r="Q35">
        <v>0.01</v>
      </c>
      <c r="R35">
        <v>20.927</v>
      </c>
    </row>
    <row r="36" spans="1:18" x14ac:dyDescent="0.25">
      <c r="A36" t="s">
        <v>41</v>
      </c>
      <c r="B36" s="1">
        <v>22962</v>
      </c>
      <c r="C36">
        <v>10.823</v>
      </c>
      <c r="D36">
        <v>5.5970000000000004</v>
      </c>
      <c r="E36">
        <v>0.32300000000000001</v>
      </c>
      <c r="F36">
        <v>30.986000000000001</v>
      </c>
      <c r="G36" t="s">
        <v>41</v>
      </c>
      <c r="H36" s="1">
        <v>13262</v>
      </c>
      <c r="I36">
        <v>10.755000000000001</v>
      </c>
      <c r="J36">
        <v>5.6029999999999998</v>
      </c>
      <c r="K36">
        <v>0.32300000000000001</v>
      </c>
      <c r="L36">
        <v>30.003</v>
      </c>
      <c r="M36" t="s">
        <v>41</v>
      </c>
      <c r="N36" s="1">
        <v>9700</v>
      </c>
      <c r="O36">
        <v>10.916</v>
      </c>
      <c r="P36">
        <v>5.5869999999999997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22962</v>
      </c>
      <c r="C37">
        <v>1.056</v>
      </c>
      <c r="D37">
        <v>0.82299999999999995</v>
      </c>
      <c r="E37">
        <v>1.6E-2</v>
      </c>
      <c r="F37">
        <v>7.8339999999999996</v>
      </c>
      <c r="G37" t="s">
        <v>173</v>
      </c>
      <c r="H37" s="1">
        <v>13262</v>
      </c>
      <c r="I37">
        <v>1.0489999999999999</v>
      </c>
      <c r="J37">
        <v>0.80200000000000005</v>
      </c>
      <c r="K37">
        <v>2.5999999999999999E-2</v>
      </c>
      <c r="L37">
        <v>7.8339999999999996</v>
      </c>
      <c r="M37" t="s">
        <v>173</v>
      </c>
      <c r="N37" s="1">
        <v>9700</v>
      </c>
      <c r="O37">
        <v>1.0649999999999999</v>
      </c>
      <c r="P37">
        <v>0.85099999999999998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22962</v>
      </c>
      <c r="C38">
        <v>2.4860000000000002</v>
      </c>
      <c r="D38">
        <v>1.8169999999999999</v>
      </c>
      <c r="E38">
        <v>3.6999999999999998E-2</v>
      </c>
      <c r="F38">
        <v>17.684000000000001</v>
      </c>
      <c r="G38" t="s">
        <v>174</v>
      </c>
      <c r="H38" s="1">
        <v>13262</v>
      </c>
      <c r="I38">
        <v>2.4710000000000001</v>
      </c>
      <c r="J38">
        <v>1.798</v>
      </c>
      <c r="K38">
        <v>4.2999999999999997E-2</v>
      </c>
      <c r="L38">
        <v>17.684000000000001</v>
      </c>
      <c r="M38" t="s">
        <v>174</v>
      </c>
      <c r="N38" s="1">
        <v>9700</v>
      </c>
      <c r="O38">
        <v>2.5070000000000001</v>
      </c>
      <c r="P38">
        <v>1.8440000000000001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22962</v>
      </c>
      <c r="C39">
        <v>2.5830000000000002</v>
      </c>
      <c r="D39">
        <v>1.728</v>
      </c>
      <c r="E39">
        <v>3.6999999999999998E-2</v>
      </c>
      <c r="F39">
        <v>17.684000000000001</v>
      </c>
      <c r="G39" t="s">
        <v>175</v>
      </c>
      <c r="H39" s="1">
        <v>13262</v>
      </c>
      <c r="I39">
        <v>2.5640000000000001</v>
      </c>
      <c r="J39">
        <v>1.7010000000000001</v>
      </c>
      <c r="K39">
        <v>4.8000000000000001E-2</v>
      </c>
      <c r="L39">
        <v>17.684000000000001</v>
      </c>
      <c r="M39" t="s">
        <v>175</v>
      </c>
      <c r="N39" s="1">
        <v>9700</v>
      </c>
      <c r="O39">
        <v>2.61</v>
      </c>
      <c r="P39">
        <v>1.764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22962</v>
      </c>
      <c r="C40">
        <v>0.219</v>
      </c>
      <c r="D40">
        <v>0.157</v>
      </c>
      <c r="E40">
        <v>0</v>
      </c>
      <c r="F40">
        <v>0.91800000000000004</v>
      </c>
      <c r="G40" t="s">
        <v>42</v>
      </c>
      <c r="H40" s="1">
        <v>13262</v>
      </c>
      <c r="I40">
        <v>0.221</v>
      </c>
      <c r="J40">
        <v>0.152</v>
      </c>
      <c r="K40">
        <v>0</v>
      </c>
      <c r="L40">
        <v>0.85599999999999998</v>
      </c>
      <c r="M40" t="s">
        <v>42</v>
      </c>
      <c r="N40" s="1">
        <v>9700</v>
      </c>
      <c r="O40">
        <v>0.217</v>
      </c>
      <c r="P40">
        <v>0.16400000000000001</v>
      </c>
      <c r="Q40">
        <v>0</v>
      </c>
      <c r="R40">
        <v>0.91800000000000004</v>
      </c>
    </row>
    <row r="41" spans="1:18" x14ac:dyDescent="0.25">
      <c r="A41" t="s">
        <v>43</v>
      </c>
      <c r="B41" s="1">
        <v>22962</v>
      </c>
      <c r="C41">
        <v>0.02</v>
      </c>
      <c r="D41">
        <v>3.4000000000000002E-2</v>
      </c>
      <c r="E41">
        <v>0</v>
      </c>
      <c r="F41">
        <v>0.36299999999999999</v>
      </c>
      <c r="G41" t="s">
        <v>43</v>
      </c>
      <c r="H41" s="1">
        <v>13262</v>
      </c>
      <c r="I41">
        <v>0.02</v>
      </c>
      <c r="J41">
        <v>3.3000000000000002E-2</v>
      </c>
      <c r="K41">
        <v>0</v>
      </c>
      <c r="L41">
        <v>0.36299999999999999</v>
      </c>
      <c r="M41" t="s">
        <v>43</v>
      </c>
      <c r="N41" s="1">
        <v>9700</v>
      </c>
      <c r="O41">
        <v>1.9E-2</v>
      </c>
      <c r="P41">
        <v>3.5999999999999997E-2</v>
      </c>
      <c r="Q41">
        <v>0</v>
      </c>
      <c r="R41">
        <v>0.34200000000000003</v>
      </c>
    </row>
    <row r="42" spans="1:18" x14ac:dyDescent="0.25">
      <c r="A42" t="s">
        <v>44</v>
      </c>
      <c r="B42" s="1">
        <v>22962</v>
      </c>
      <c r="C42">
        <v>0.41399999999999998</v>
      </c>
      <c r="D42">
        <v>0.193</v>
      </c>
      <c r="E42">
        <v>0</v>
      </c>
      <c r="F42">
        <v>0.96899999999999997</v>
      </c>
      <c r="G42" t="s">
        <v>44</v>
      </c>
      <c r="H42" s="1">
        <v>13262</v>
      </c>
      <c r="I42">
        <v>0.41499999999999998</v>
      </c>
      <c r="J42">
        <v>0.188</v>
      </c>
      <c r="K42">
        <v>1E-3</v>
      </c>
      <c r="L42">
        <v>0.96899999999999997</v>
      </c>
      <c r="M42" t="s">
        <v>44</v>
      </c>
      <c r="N42" s="1">
        <v>9700</v>
      </c>
      <c r="O42">
        <v>0.41299999999999998</v>
      </c>
      <c r="P42">
        <v>0.2</v>
      </c>
      <c r="Q42">
        <v>0</v>
      </c>
      <c r="R42">
        <v>0.95699999999999996</v>
      </c>
    </row>
    <row r="43" spans="1:18" x14ac:dyDescent="0.25">
      <c r="A43" t="s">
        <v>45</v>
      </c>
      <c r="B43" s="1">
        <v>22962</v>
      </c>
      <c r="C43">
        <v>8.3000000000000004E-2</v>
      </c>
      <c r="D43">
        <v>0.105</v>
      </c>
      <c r="E43">
        <v>0</v>
      </c>
      <c r="F43">
        <v>0.71</v>
      </c>
      <c r="G43" t="s">
        <v>45</v>
      </c>
      <c r="H43" s="1">
        <v>13262</v>
      </c>
      <c r="I43">
        <v>8.2000000000000003E-2</v>
      </c>
      <c r="J43">
        <v>9.7000000000000003E-2</v>
      </c>
      <c r="K43">
        <v>0</v>
      </c>
      <c r="L43">
        <v>0.60799999999999998</v>
      </c>
      <c r="M43" t="s">
        <v>45</v>
      </c>
      <c r="N43" s="1">
        <v>9700</v>
      </c>
      <c r="O43">
        <v>8.3000000000000004E-2</v>
      </c>
      <c r="P43">
        <v>0.115</v>
      </c>
      <c r="Q43">
        <v>0</v>
      </c>
      <c r="R43">
        <v>0.71</v>
      </c>
    </row>
    <row r="44" spans="1:18" x14ac:dyDescent="0.25">
      <c r="A44" t="s">
        <v>46</v>
      </c>
      <c r="B44" s="1">
        <v>22962</v>
      </c>
      <c r="C44">
        <v>0.93500000000000005</v>
      </c>
      <c r="D44">
        <v>0.08</v>
      </c>
      <c r="E44">
        <v>1.2E-2</v>
      </c>
      <c r="F44">
        <v>1</v>
      </c>
      <c r="G44" t="s">
        <v>46</v>
      </c>
      <c r="H44" s="1">
        <v>13262</v>
      </c>
      <c r="I44">
        <v>0.93600000000000005</v>
      </c>
      <c r="J44">
        <v>7.3999999999999996E-2</v>
      </c>
      <c r="K44">
        <v>1.2E-2</v>
      </c>
      <c r="L44">
        <v>1</v>
      </c>
      <c r="M44" t="s">
        <v>46</v>
      </c>
      <c r="N44" s="1">
        <v>9700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22962</v>
      </c>
      <c r="C45">
        <v>6.3E-2</v>
      </c>
      <c r="D45">
        <v>7.4999999999999997E-2</v>
      </c>
      <c r="E45">
        <v>0</v>
      </c>
      <c r="F45">
        <v>0.69899999999999995</v>
      </c>
      <c r="G45" t="s">
        <v>47</v>
      </c>
      <c r="H45" s="1">
        <v>13262</v>
      </c>
      <c r="I45">
        <v>6.2E-2</v>
      </c>
      <c r="J45">
        <v>6.8000000000000005E-2</v>
      </c>
      <c r="K45">
        <v>0</v>
      </c>
      <c r="L45">
        <v>0.69799999999999995</v>
      </c>
      <c r="M45" t="s">
        <v>47</v>
      </c>
      <c r="N45" s="1">
        <v>9700</v>
      </c>
      <c r="O45">
        <v>6.4000000000000001E-2</v>
      </c>
      <c r="P45">
        <v>8.4000000000000005E-2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22962</v>
      </c>
      <c r="C46">
        <v>0.748</v>
      </c>
      <c r="D46">
        <v>0.16600000000000001</v>
      </c>
      <c r="E46">
        <v>0</v>
      </c>
      <c r="F46">
        <v>1</v>
      </c>
      <c r="G46" t="s">
        <v>48</v>
      </c>
      <c r="H46" s="1">
        <v>13262</v>
      </c>
      <c r="I46">
        <v>0.73799999999999999</v>
      </c>
      <c r="J46">
        <v>0.161</v>
      </c>
      <c r="K46">
        <v>0</v>
      </c>
      <c r="L46">
        <v>1</v>
      </c>
      <c r="M46" t="s">
        <v>48</v>
      </c>
      <c r="N46" s="1">
        <v>9700</v>
      </c>
      <c r="O46">
        <v>0.76100000000000001</v>
      </c>
      <c r="P46">
        <v>0.17199999999999999</v>
      </c>
      <c r="Q46">
        <v>0</v>
      </c>
      <c r="R46">
        <v>1</v>
      </c>
    </row>
    <row r="47" spans="1:18" x14ac:dyDescent="0.25">
      <c r="A47" t="s">
        <v>49</v>
      </c>
      <c r="B47" s="1">
        <v>22962</v>
      </c>
      <c r="C47">
        <v>0.251</v>
      </c>
      <c r="D47">
        <v>0.16500000000000001</v>
      </c>
      <c r="E47">
        <v>0</v>
      </c>
      <c r="F47">
        <v>1</v>
      </c>
      <c r="G47" t="s">
        <v>49</v>
      </c>
      <c r="H47" s="1">
        <v>13262</v>
      </c>
      <c r="I47">
        <v>0.26</v>
      </c>
      <c r="J47">
        <v>0.159</v>
      </c>
      <c r="K47">
        <v>0</v>
      </c>
      <c r="L47">
        <v>1</v>
      </c>
      <c r="M47" t="s">
        <v>49</v>
      </c>
      <c r="N47" s="1">
        <v>9700</v>
      </c>
      <c r="O47">
        <v>0.23799999999999999</v>
      </c>
      <c r="P47">
        <v>0.17100000000000001</v>
      </c>
      <c r="Q47">
        <v>0</v>
      </c>
      <c r="R47">
        <v>1</v>
      </c>
    </row>
    <row r="48" spans="1:18" x14ac:dyDescent="0.25">
      <c r="A48" t="s">
        <v>50</v>
      </c>
      <c r="B48" s="1">
        <v>22962</v>
      </c>
      <c r="C48">
        <v>24.802</v>
      </c>
      <c r="D48">
        <v>52.430999999999997</v>
      </c>
      <c r="E48">
        <v>0</v>
      </c>
      <c r="F48">
        <v>667</v>
      </c>
      <c r="G48" t="s">
        <v>50</v>
      </c>
      <c r="H48" s="1">
        <v>13262</v>
      </c>
      <c r="I48">
        <v>24.937000000000001</v>
      </c>
      <c r="J48">
        <v>50.914999999999999</v>
      </c>
      <c r="K48">
        <v>0</v>
      </c>
      <c r="L48">
        <v>667</v>
      </c>
      <c r="M48" t="s">
        <v>50</v>
      </c>
      <c r="N48" s="1">
        <v>9700</v>
      </c>
      <c r="O48">
        <v>24.617000000000001</v>
      </c>
      <c r="P48">
        <v>54.439</v>
      </c>
      <c r="Q48">
        <v>0</v>
      </c>
      <c r="R48">
        <v>623</v>
      </c>
    </row>
    <row r="49" spans="1:18" x14ac:dyDescent="0.25">
      <c r="A49" t="s">
        <v>51</v>
      </c>
      <c r="B49" s="1">
        <v>22962</v>
      </c>
      <c r="C49">
        <v>2.1000000000000001E-2</v>
      </c>
      <c r="D49">
        <v>0.14399999999999999</v>
      </c>
      <c r="E49">
        <v>0</v>
      </c>
      <c r="F49">
        <v>1</v>
      </c>
      <c r="G49" t="s">
        <v>51</v>
      </c>
      <c r="H49" s="1">
        <v>13262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9700</v>
      </c>
      <c r="O49">
        <v>0.05</v>
      </c>
      <c r="P49">
        <v>0.218</v>
      </c>
      <c r="Q49">
        <v>0</v>
      </c>
      <c r="R49">
        <v>1</v>
      </c>
    </row>
    <row r="50" spans="1:18" x14ac:dyDescent="0.25">
      <c r="A50" t="s">
        <v>52</v>
      </c>
      <c r="B50" s="1">
        <v>22962</v>
      </c>
      <c r="C50">
        <v>0.441</v>
      </c>
      <c r="D50">
        <v>0.496</v>
      </c>
      <c r="E50">
        <v>0</v>
      </c>
      <c r="F50">
        <v>1</v>
      </c>
      <c r="G50" t="s">
        <v>52</v>
      </c>
      <c r="H50" s="1">
        <v>13262</v>
      </c>
      <c r="I50">
        <v>0.40600000000000003</v>
      </c>
      <c r="J50">
        <v>0.49099999999999999</v>
      </c>
      <c r="K50">
        <v>0</v>
      </c>
      <c r="L50">
        <v>1</v>
      </c>
      <c r="M50" t="s">
        <v>52</v>
      </c>
      <c r="N50" s="1">
        <v>9700</v>
      </c>
      <c r="O50">
        <v>0.48799999999999999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22962</v>
      </c>
      <c r="C51" s="2">
        <v>2363465</v>
      </c>
      <c r="D51" s="2">
        <v>7873.1610000000001</v>
      </c>
      <c r="E51" s="2">
        <v>2350907</v>
      </c>
      <c r="F51" s="2">
        <v>2399920</v>
      </c>
      <c r="G51" t="s">
        <v>53</v>
      </c>
      <c r="H51" s="1">
        <v>13262</v>
      </c>
      <c r="I51" s="2">
        <v>2363456</v>
      </c>
      <c r="J51" s="2">
        <v>7714.9219999999996</v>
      </c>
      <c r="K51" s="2">
        <v>2350907</v>
      </c>
      <c r="L51" s="2">
        <v>2399920</v>
      </c>
      <c r="M51" t="s">
        <v>53</v>
      </c>
      <c r="N51" s="1">
        <v>9700</v>
      </c>
      <c r="O51" s="2">
        <v>2363479</v>
      </c>
      <c r="P51" s="2">
        <v>8084.8779999999997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22962</v>
      </c>
      <c r="C52" s="2">
        <v>610985.6</v>
      </c>
      <c r="D52" s="2">
        <v>14875.62</v>
      </c>
      <c r="E52" s="2">
        <v>579824.19999999995</v>
      </c>
      <c r="F52" s="2">
        <v>638667.69999999995</v>
      </c>
      <c r="G52" t="s">
        <v>54</v>
      </c>
      <c r="H52" s="1">
        <v>13262</v>
      </c>
      <c r="I52" s="2">
        <v>610586.6</v>
      </c>
      <c r="J52" s="2">
        <v>14742.77</v>
      </c>
      <c r="K52" s="2">
        <v>579824.19999999995</v>
      </c>
      <c r="L52" s="2">
        <v>638667.69999999995</v>
      </c>
      <c r="M52" t="s">
        <v>54</v>
      </c>
      <c r="N52" s="1">
        <v>9700</v>
      </c>
      <c r="O52" s="2">
        <v>611531.1</v>
      </c>
      <c r="P52" s="2">
        <v>15039.02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22962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13262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9700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22962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13262</v>
      </c>
      <c r="I54" s="2">
        <v>1</v>
      </c>
      <c r="J54" s="2">
        <v>0</v>
      </c>
      <c r="K54" s="2">
        <v>1</v>
      </c>
      <c r="L54" s="2">
        <v>1</v>
      </c>
      <c r="M54" t="s">
        <v>57</v>
      </c>
      <c r="N54" s="1">
        <v>9700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22962</v>
      </c>
      <c r="C55">
        <v>0.437</v>
      </c>
      <c r="D55">
        <v>0.496</v>
      </c>
      <c r="E55">
        <v>0</v>
      </c>
      <c r="F55">
        <v>1</v>
      </c>
      <c r="G55" t="s">
        <v>58</v>
      </c>
      <c r="H55" s="1">
        <v>13262</v>
      </c>
      <c r="I55" s="2">
        <v>0.434</v>
      </c>
      <c r="J55" s="2">
        <v>0.496</v>
      </c>
      <c r="K55" s="2">
        <v>0</v>
      </c>
      <c r="L55" s="2">
        <v>1</v>
      </c>
      <c r="M55" t="s">
        <v>58</v>
      </c>
      <c r="N55" s="1">
        <v>9700</v>
      </c>
      <c r="O55">
        <v>0.44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22962</v>
      </c>
      <c r="C56">
        <v>0.51200000000000001</v>
      </c>
      <c r="D56">
        <v>0.5</v>
      </c>
      <c r="E56">
        <v>0</v>
      </c>
      <c r="F56">
        <v>1</v>
      </c>
      <c r="G56" t="s">
        <v>59</v>
      </c>
      <c r="H56" s="1">
        <v>13262</v>
      </c>
      <c r="I56">
        <v>0.51700000000000002</v>
      </c>
      <c r="J56">
        <v>0.5</v>
      </c>
      <c r="K56">
        <v>0</v>
      </c>
      <c r="L56">
        <v>1</v>
      </c>
      <c r="M56" t="s">
        <v>59</v>
      </c>
      <c r="N56" s="1">
        <v>9700</v>
      </c>
      <c r="O56">
        <v>0.505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22962</v>
      </c>
      <c r="C57">
        <v>5.0999999999999997E-2</v>
      </c>
      <c r="D57">
        <v>0.221</v>
      </c>
      <c r="E57">
        <v>0</v>
      </c>
      <c r="F57">
        <v>1</v>
      </c>
      <c r="G57" t="s">
        <v>60</v>
      </c>
      <c r="H57" s="1">
        <v>13262</v>
      </c>
      <c r="I57">
        <v>4.8000000000000001E-2</v>
      </c>
      <c r="J57">
        <v>0.214</v>
      </c>
      <c r="K57">
        <v>0</v>
      </c>
      <c r="L57">
        <v>1</v>
      </c>
      <c r="M57" t="s">
        <v>60</v>
      </c>
      <c r="N57" s="1">
        <v>9700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22962</v>
      </c>
      <c r="C58" s="2">
        <v>2019.038</v>
      </c>
      <c r="D58">
        <v>2.0070000000000001</v>
      </c>
      <c r="E58" s="1">
        <v>2016</v>
      </c>
      <c r="F58" s="1">
        <v>2023</v>
      </c>
      <c r="G58" t="s">
        <v>61</v>
      </c>
      <c r="H58" s="1">
        <v>13262</v>
      </c>
      <c r="I58" s="2">
        <v>2017.5719999999999</v>
      </c>
      <c r="J58">
        <v>1.18</v>
      </c>
      <c r="K58" s="1">
        <v>2016</v>
      </c>
      <c r="L58" s="1">
        <v>2020</v>
      </c>
      <c r="M58" t="s">
        <v>61</v>
      </c>
      <c r="N58" s="1">
        <v>9700</v>
      </c>
      <c r="O58" s="2">
        <v>2021.0419999999999</v>
      </c>
      <c r="P58">
        <v>0.82499999999999996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22962</v>
      </c>
      <c r="C59">
        <v>0.872</v>
      </c>
      <c r="D59">
        <v>0.33400000000000002</v>
      </c>
      <c r="E59">
        <v>0</v>
      </c>
      <c r="F59">
        <v>1</v>
      </c>
      <c r="G59" t="s">
        <v>62</v>
      </c>
      <c r="H59" s="1">
        <v>13262</v>
      </c>
      <c r="I59" s="2">
        <v>0.86899999999999999</v>
      </c>
      <c r="J59">
        <v>0.33800000000000002</v>
      </c>
      <c r="K59" s="1">
        <v>0</v>
      </c>
      <c r="L59" s="1">
        <v>1</v>
      </c>
      <c r="M59" t="s">
        <v>62</v>
      </c>
      <c r="N59" s="1">
        <v>9700</v>
      </c>
      <c r="O59">
        <v>0.878</v>
      </c>
      <c r="P59">
        <v>0.32800000000000001</v>
      </c>
      <c r="Q59">
        <v>0</v>
      </c>
      <c r="R59">
        <v>1</v>
      </c>
    </row>
    <row r="60" spans="1:18" x14ac:dyDescent="0.25">
      <c r="A60" t="s">
        <v>63</v>
      </c>
      <c r="B60" s="1">
        <v>22962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13262</v>
      </c>
      <c r="I60" s="2">
        <v>1.7000000000000001E-2</v>
      </c>
      <c r="J60">
        <v>0.13100000000000001</v>
      </c>
      <c r="K60" s="1">
        <v>0</v>
      </c>
      <c r="L60" s="1">
        <v>1</v>
      </c>
      <c r="M60" t="s">
        <v>63</v>
      </c>
      <c r="N60" s="1">
        <v>9700</v>
      </c>
      <c r="O60">
        <v>1.7000000000000001E-2</v>
      </c>
      <c r="P60">
        <v>0.128</v>
      </c>
      <c r="Q60">
        <v>0</v>
      </c>
      <c r="R60">
        <v>1</v>
      </c>
    </row>
    <row r="61" spans="1:18" x14ac:dyDescent="0.25">
      <c r="A61" t="s">
        <v>64</v>
      </c>
      <c r="B61" s="1">
        <v>22962</v>
      </c>
      <c r="C61">
        <v>1E-4</v>
      </c>
      <c r="D61">
        <v>1.0999999999999999E-2</v>
      </c>
      <c r="E61">
        <v>0</v>
      </c>
      <c r="F61">
        <v>1</v>
      </c>
      <c r="G61" t="s">
        <v>64</v>
      </c>
      <c r="H61" s="1">
        <v>13262</v>
      </c>
      <c r="I61" s="2">
        <v>2.0000000000000001E-4</v>
      </c>
      <c r="J61">
        <v>1.2E-2</v>
      </c>
      <c r="K61" s="1">
        <v>0</v>
      </c>
      <c r="L61" s="1">
        <v>1</v>
      </c>
      <c r="M61" t="s">
        <v>64</v>
      </c>
      <c r="N61" s="1">
        <v>9700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22962</v>
      </c>
      <c r="C62">
        <v>7.8E-2</v>
      </c>
      <c r="D62">
        <v>0.26800000000000002</v>
      </c>
      <c r="E62">
        <v>0</v>
      </c>
      <c r="F62">
        <v>1</v>
      </c>
      <c r="G62" t="s">
        <v>65</v>
      </c>
      <c r="H62" s="1">
        <v>13262</v>
      </c>
      <c r="I62">
        <v>8.2000000000000003E-2</v>
      </c>
      <c r="J62">
        <v>0.27400000000000002</v>
      </c>
      <c r="K62">
        <v>0</v>
      </c>
      <c r="L62">
        <v>1</v>
      </c>
      <c r="M62" t="s">
        <v>65</v>
      </c>
      <c r="N62" s="1">
        <v>9700</v>
      </c>
      <c r="O62">
        <v>7.1999999999999995E-2</v>
      </c>
      <c r="P62">
        <v>0.25900000000000001</v>
      </c>
      <c r="Q62">
        <v>0</v>
      </c>
      <c r="R62">
        <v>1</v>
      </c>
    </row>
    <row r="63" spans="1:18" x14ac:dyDescent="0.25">
      <c r="A63" t="s">
        <v>66</v>
      </c>
      <c r="B63" s="1">
        <v>22962</v>
      </c>
      <c r="C63">
        <v>1.7999999999999999E-2</v>
      </c>
      <c r="D63">
        <v>0.13300000000000001</v>
      </c>
      <c r="E63">
        <v>0</v>
      </c>
      <c r="F63">
        <v>1</v>
      </c>
      <c r="G63" t="s">
        <v>66</v>
      </c>
      <c r="H63" s="1">
        <v>13262</v>
      </c>
      <c r="I63">
        <v>1.7999999999999999E-2</v>
      </c>
      <c r="J63">
        <v>0.13200000000000001</v>
      </c>
      <c r="K63">
        <v>0</v>
      </c>
      <c r="L63">
        <v>1</v>
      </c>
      <c r="M63" t="s">
        <v>66</v>
      </c>
      <c r="N63" s="1">
        <v>9700</v>
      </c>
      <c r="O63">
        <v>1.7999999999999999E-2</v>
      </c>
      <c r="P63">
        <v>0.13400000000000001</v>
      </c>
      <c r="Q63">
        <v>0</v>
      </c>
      <c r="R63">
        <v>1</v>
      </c>
    </row>
    <row r="64" spans="1:18" x14ac:dyDescent="0.25">
      <c r="A64" t="s">
        <v>67</v>
      </c>
      <c r="B64" s="1">
        <v>22962</v>
      </c>
      <c r="C64">
        <v>4.0000000000000002E-4</v>
      </c>
      <c r="D64">
        <v>2.1000000000000001E-2</v>
      </c>
      <c r="E64">
        <v>0</v>
      </c>
      <c r="F64">
        <v>1</v>
      </c>
      <c r="G64" t="s">
        <v>67</v>
      </c>
      <c r="H64" s="1">
        <v>13262</v>
      </c>
      <c r="I64">
        <v>5.0000000000000001E-4</v>
      </c>
      <c r="J64">
        <v>2.1000000000000001E-2</v>
      </c>
      <c r="K64">
        <v>0</v>
      </c>
      <c r="L64">
        <v>1</v>
      </c>
      <c r="M64" t="s">
        <v>67</v>
      </c>
      <c r="N64" s="1">
        <v>9700</v>
      </c>
      <c r="O64">
        <v>4.0000000000000002E-4</v>
      </c>
      <c r="P64">
        <v>0.02</v>
      </c>
      <c r="Q64">
        <v>0</v>
      </c>
      <c r="R64">
        <v>1</v>
      </c>
    </row>
    <row r="65" spans="1:18" x14ac:dyDescent="0.25">
      <c r="A65" t="s">
        <v>68</v>
      </c>
      <c r="B65" s="1">
        <v>22962</v>
      </c>
      <c r="C65">
        <v>1.4E-2</v>
      </c>
      <c r="D65">
        <v>0.11700000000000001</v>
      </c>
      <c r="E65">
        <v>0</v>
      </c>
      <c r="F65">
        <v>1</v>
      </c>
      <c r="G65" t="s">
        <v>68</v>
      </c>
      <c r="H65" s="1">
        <v>13262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9700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22962</v>
      </c>
      <c r="C66">
        <v>1E-4</v>
      </c>
      <c r="D66">
        <v>1.0999999999999999E-2</v>
      </c>
      <c r="E66">
        <v>0</v>
      </c>
      <c r="F66">
        <v>1</v>
      </c>
      <c r="G66" t="s">
        <v>69</v>
      </c>
      <c r="H66" s="1">
        <v>13262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9700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22962</v>
      </c>
      <c r="C67">
        <v>0.215</v>
      </c>
      <c r="D67">
        <v>0.41099999999999998</v>
      </c>
      <c r="E67">
        <v>0</v>
      </c>
      <c r="F67">
        <v>1</v>
      </c>
      <c r="G67" t="s">
        <v>70</v>
      </c>
      <c r="H67" s="1">
        <v>13262</v>
      </c>
      <c r="I67">
        <v>0.21</v>
      </c>
      <c r="J67">
        <v>0.40799999999999997</v>
      </c>
      <c r="K67">
        <v>0</v>
      </c>
      <c r="L67">
        <v>1</v>
      </c>
      <c r="M67" t="s">
        <v>70</v>
      </c>
      <c r="N67" s="1">
        <v>9700</v>
      </c>
      <c r="O67">
        <v>0.222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22962</v>
      </c>
      <c r="C68">
        <v>0.30199999999999999</v>
      </c>
      <c r="D68">
        <v>0.45900000000000002</v>
      </c>
      <c r="E68">
        <v>0</v>
      </c>
      <c r="F68">
        <v>1</v>
      </c>
      <c r="G68" t="s">
        <v>71</v>
      </c>
      <c r="H68" s="1">
        <v>13262</v>
      </c>
      <c r="I68">
        <v>0.31900000000000001</v>
      </c>
      <c r="J68">
        <v>0.46600000000000003</v>
      </c>
      <c r="K68">
        <v>0</v>
      </c>
      <c r="L68">
        <v>1</v>
      </c>
      <c r="M68" t="s">
        <v>71</v>
      </c>
      <c r="N68" s="1">
        <v>9700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22962</v>
      </c>
      <c r="C69">
        <v>0.40899999999999997</v>
      </c>
      <c r="D69">
        <v>0.49199999999999999</v>
      </c>
      <c r="E69">
        <v>0</v>
      </c>
      <c r="F69">
        <v>1</v>
      </c>
      <c r="G69" t="s">
        <v>72</v>
      </c>
      <c r="H69" s="1">
        <v>13262</v>
      </c>
      <c r="I69">
        <v>0.39500000000000002</v>
      </c>
      <c r="J69">
        <v>0.48899999999999999</v>
      </c>
      <c r="K69">
        <v>0</v>
      </c>
      <c r="L69">
        <v>1</v>
      </c>
      <c r="M69" t="s">
        <v>72</v>
      </c>
      <c r="N69" s="1">
        <v>9700</v>
      </c>
      <c r="O69">
        <v>0.42899999999999999</v>
      </c>
      <c r="P69">
        <v>0.495</v>
      </c>
      <c r="Q69">
        <v>0</v>
      </c>
      <c r="R69">
        <v>1</v>
      </c>
    </row>
    <row r="70" spans="1:18" x14ac:dyDescent="0.25">
      <c r="A70" t="s">
        <v>73</v>
      </c>
      <c r="B70" s="1">
        <v>22962</v>
      </c>
      <c r="C70">
        <v>7.3999999999999996E-2</v>
      </c>
      <c r="D70">
        <v>0.26200000000000001</v>
      </c>
      <c r="E70">
        <v>0</v>
      </c>
      <c r="F70">
        <v>1</v>
      </c>
      <c r="G70" t="s">
        <v>73</v>
      </c>
      <c r="H70" s="1">
        <v>13262</v>
      </c>
      <c r="I70">
        <v>7.6999999999999999E-2</v>
      </c>
      <c r="J70">
        <v>0.26600000000000001</v>
      </c>
      <c r="K70">
        <v>0</v>
      </c>
      <c r="L70">
        <v>1</v>
      </c>
      <c r="M70" t="s">
        <v>73</v>
      </c>
      <c r="N70" s="1">
        <v>9700</v>
      </c>
      <c r="O70">
        <v>7.0000000000000007E-2</v>
      </c>
      <c r="P70">
        <v>0.25600000000000001</v>
      </c>
      <c r="Q70">
        <v>0</v>
      </c>
      <c r="R70">
        <v>1</v>
      </c>
    </row>
    <row r="71" spans="1:18" x14ac:dyDescent="0.25">
      <c r="A71" t="s">
        <v>165</v>
      </c>
      <c r="B71" s="1">
        <v>22962</v>
      </c>
      <c r="C71">
        <v>4.0000000000000001E-3</v>
      </c>
      <c r="D71">
        <v>6.4000000000000001E-2</v>
      </c>
      <c r="E71">
        <v>0</v>
      </c>
      <c r="F71">
        <v>1</v>
      </c>
      <c r="G71" t="s">
        <v>165</v>
      </c>
      <c r="H71" s="1">
        <v>13262</v>
      </c>
      <c r="I71">
        <v>4.0000000000000001E-3</v>
      </c>
      <c r="J71">
        <v>6.5000000000000002E-2</v>
      </c>
      <c r="K71">
        <v>0</v>
      </c>
      <c r="L71">
        <v>1</v>
      </c>
      <c r="M71" t="s">
        <v>165</v>
      </c>
      <c r="N71" s="1">
        <v>9700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22962</v>
      </c>
      <c r="C72">
        <v>3.2000000000000001E-2</v>
      </c>
      <c r="D72">
        <v>0.17599999999999999</v>
      </c>
      <c r="E72">
        <v>0</v>
      </c>
      <c r="F72">
        <v>1</v>
      </c>
      <c r="G72" t="s">
        <v>166</v>
      </c>
      <c r="H72" s="1">
        <v>13262</v>
      </c>
      <c r="I72">
        <v>3.5999999999999997E-2</v>
      </c>
      <c r="J72">
        <v>0.185</v>
      </c>
      <c r="K72">
        <v>0</v>
      </c>
      <c r="L72">
        <v>1</v>
      </c>
      <c r="M72" t="s">
        <v>166</v>
      </c>
      <c r="N72" s="1">
        <v>9700</v>
      </c>
      <c r="O72">
        <v>2.7E-2</v>
      </c>
      <c r="P72">
        <v>0.16200000000000001</v>
      </c>
      <c r="Q72">
        <v>0</v>
      </c>
      <c r="R72">
        <v>1</v>
      </c>
    </row>
    <row r="73" spans="1:18" x14ac:dyDescent="0.25">
      <c r="A73" t="s">
        <v>167</v>
      </c>
      <c r="B73" s="1">
        <v>22962</v>
      </c>
      <c r="C73">
        <v>0.51</v>
      </c>
      <c r="D73">
        <v>0.5</v>
      </c>
      <c r="E73">
        <v>0</v>
      </c>
      <c r="F73">
        <v>1</v>
      </c>
      <c r="G73" t="s">
        <v>167</v>
      </c>
      <c r="H73" s="1">
        <v>13262</v>
      </c>
      <c r="I73">
        <v>0.54</v>
      </c>
      <c r="J73">
        <v>0.498</v>
      </c>
      <c r="K73">
        <v>0</v>
      </c>
      <c r="L73">
        <v>1</v>
      </c>
      <c r="M73" t="s">
        <v>167</v>
      </c>
      <c r="N73" s="1">
        <v>9700</v>
      </c>
      <c r="O73">
        <v>0.46800000000000003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22962</v>
      </c>
      <c r="C74">
        <v>0.122</v>
      </c>
      <c r="D74">
        <v>0.32800000000000001</v>
      </c>
      <c r="E74">
        <v>0</v>
      </c>
      <c r="F74">
        <v>1</v>
      </c>
      <c r="G74" t="s">
        <v>168</v>
      </c>
      <c r="H74" s="1">
        <v>13262</v>
      </c>
      <c r="I74">
        <v>0.11799999999999999</v>
      </c>
      <c r="J74">
        <v>0.32200000000000001</v>
      </c>
      <c r="K74">
        <v>0</v>
      </c>
      <c r="L74">
        <v>1</v>
      </c>
      <c r="M74" t="s">
        <v>168</v>
      </c>
      <c r="N74" s="1">
        <v>9700</v>
      </c>
      <c r="O74">
        <v>0.129</v>
      </c>
      <c r="P74">
        <v>0.33500000000000002</v>
      </c>
      <c r="Q74">
        <v>0</v>
      </c>
      <c r="R74">
        <v>1</v>
      </c>
    </row>
    <row r="75" spans="1:18" x14ac:dyDescent="0.25">
      <c r="A75" t="s">
        <v>169</v>
      </c>
      <c r="B75" s="1">
        <v>22962</v>
      </c>
      <c r="C75">
        <v>0.253</v>
      </c>
      <c r="D75">
        <v>0.434</v>
      </c>
      <c r="E75">
        <v>0</v>
      </c>
      <c r="F75">
        <v>1</v>
      </c>
      <c r="G75" t="s">
        <v>169</v>
      </c>
      <c r="H75" s="1">
        <v>13262</v>
      </c>
      <c r="I75">
        <v>0.23499999999999999</v>
      </c>
      <c r="J75">
        <v>0.42399999999999999</v>
      </c>
      <c r="K75">
        <v>0</v>
      </c>
      <c r="L75">
        <v>1</v>
      </c>
      <c r="M75" t="s">
        <v>169</v>
      </c>
      <c r="N75" s="1">
        <v>9700</v>
      </c>
      <c r="O75">
        <v>0.27700000000000002</v>
      </c>
      <c r="P75">
        <v>0.44700000000000001</v>
      </c>
      <c r="Q75">
        <v>0</v>
      </c>
      <c r="R75">
        <v>1</v>
      </c>
    </row>
    <row r="76" spans="1:18" x14ac:dyDescent="0.25">
      <c r="A76" t="s">
        <v>170</v>
      </c>
      <c r="B76" s="1">
        <v>22962</v>
      </c>
      <c r="C76">
        <v>7.9000000000000001E-2</v>
      </c>
      <c r="D76">
        <v>0.27</v>
      </c>
      <c r="E76">
        <v>0</v>
      </c>
      <c r="F76">
        <v>1</v>
      </c>
      <c r="G76" t="s">
        <v>170</v>
      </c>
      <c r="H76" s="1">
        <v>13262</v>
      </c>
      <c r="I76">
        <v>6.8000000000000005E-2</v>
      </c>
      <c r="J76">
        <v>0.252</v>
      </c>
      <c r="K76">
        <v>0</v>
      </c>
      <c r="L76">
        <v>1</v>
      </c>
      <c r="M76" t="s">
        <v>170</v>
      </c>
      <c r="N76" s="1">
        <v>9700</v>
      </c>
      <c r="O76">
        <v>9.5000000000000001E-2</v>
      </c>
      <c r="P76">
        <v>0.29299999999999998</v>
      </c>
      <c r="Q76">
        <v>0</v>
      </c>
      <c r="R76">
        <v>1</v>
      </c>
    </row>
    <row r="77" spans="1:18" x14ac:dyDescent="0.25">
      <c r="A77" t="s">
        <v>79</v>
      </c>
      <c r="B77" s="1">
        <v>22962</v>
      </c>
      <c r="C77">
        <v>3.2000000000000001E-2</v>
      </c>
      <c r="D77">
        <v>0.17699999999999999</v>
      </c>
      <c r="E77">
        <v>0</v>
      </c>
      <c r="F77">
        <v>1</v>
      </c>
      <c r="G77" t="s">
        <v>79</v>
      </c>
      <c r="H77" s="1">
        <v>13262</v>
      </c>
      <c r="I77">
        <v>0.03</v>
      </c>
      <c r="J77">
        <v>0.17</v>
      </c>
      <c r="K77">
        <v>0</v>
      </c>
      <c r="L77">
        <v>1</v>
      </c>
      <c r="M77" t="s">
        <v>79</v>
      </c>
      <c r="N77" s="1">
        <v>9700</v>
      </c>
      <c r="O77">
        <v>3.5999999999999997E-2</v>
      </c>
      <c r="P77">
        <v>0.185</v>
      </c>
      <c r="Q77">
        <v>0</v>
      </c>
      <c r="R77">
        <v>1</v>
      </c>
    </row>
    <row r="78" spans="1:18" x14ac:dyDescent="0.25">
      <c r="A78" t="s">
        <v>80</v>
      </c>
      <c r="B78" s="1">
        <v>22962</v>
      </c>
      <c r="C78">
        <v>2.9999999999999997E-4</v>
      </c>
      <c r="D78">
        <v>1.7000000000000001E-2</v>
      </c>
      <c r="E78">
        <v>0</v>
      </c>
      <c r="F78">
        <v>1</v>
      </c>
      <c r="G78" t="s">
        <v>80</v>
      </c>
      <c r="H78" s="1">
        <v>13262</v>
      </c>
      <c r="I78">
        <v>5.0000000000000001E-4</v>
      </c>
      <c r="J78">
        <v>2.1000000000000001E-2</v>
      </c>
      <c r="K78">
        <v>0</v>
      </c>
      <c r="L78">
        <v>1</v>
      </c>
      <c r="M78" t="s">
        <v>80</v>
      </c>
      <c r="N78" s="1">
        <v>9700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22962</v>
      </c>
      <c r="C79">
        <v>3.0000000000000001E-3</v>
      </c>
      <c r="D79">
        <v>5.8000000000000003E-2</v>
      </c>
      <c r="E79">
        <v>0</v>
      </c>
      <c r="F79">
        <v>1</v>
      </c>
      <c r="G79" t="s">
        <v>81</v>
      </c>
      <c r="H79" s="1">
        <v>13262</v>
      </c>
      <c r="I79">
        <v>3.0000000000000001E-3</v>
      </c>
      <c r="J79">
        <v>5.7000000000000002E-2</v>
      </c>
      <c r="K79">
        <v>0</v>
      </c>
      <c r="L79">
        <v>1</v>
      </c>
      <c r="M79" t="s">
        <v>81</v>
      </c>
      <c r="N79" s="1">
        <v>9700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22962</v>
      </c>
      <c r="C80">
        <v>4.0000000000000001E-3</v>
      </c>
      <c r="D80">
        <v>6.0999999999999999E-2</v>
      </c>
      <c r="E80">
        <v>0</v>
      </c>
      <c r="F80">
        <v>1</v>
      </c>
      <c r="G80" t="s">
        <v>82</v>
      </c>
      <c r="H80" s="1">
        <v>13262</v>
      </c>
      <c r="I80">
        <v>4.0000000000000001E-3</v>
      </c>
      <c r="J80">
        <v>6.2E-2</v>
      </c>
      <c r="K80">
        <v>0</v>
      </c>
      <c r="L80">
        <v>1</v>
      </c>
      <c r="M80" t="s">
        <v>82</v>
      </c>
      <c r="N80" s="1">
        <v>9700</v>
      </c>
      <c r="O80">
        <v>4.0000000000000001E-3</v>
      </c>
      <c r="P80">
        <v>6.0999999999999999E-2</v>
      </c>
      <c r="Q80">
        <v>0</v>
      </c>
      <c r="R80">
        <v>1</v>
      </c>
    </row>
    <row r="81" spans="1:18" x14ac:dyDescent="0.25">
      <c r="A81" t="s">
        <v>83</v>
      </c>
      <c r="B81" s="1">
        <v>22962</v>
      </c>
      <c r="C81">
        <v>0.54900000000000004</v>
      </c>
      <c r="D81">
        <v>0.498</v>
      </c>
      <c r="E81">
        <v>0</v>
      </c>
      <c r="F81">
        <v>1</v>
      </c>
      <c r="G81" t="s">
        <v>83</v>
      </c>
      <c r="H81" s="1">
        <v>13262</v>
      </c>
      <c r="I81">
        <v>0.56399999999999995</v>
      </c>
      <c r="J81">
        <v>0.496</v>
      </c>
      <c r="K81">
        <v>0</v>
      </c>
      <c r="L81">
        <v>1</v>
      </c>
      <c r="M81" t="s">
        <v>83</v>
      </c>
      <c r="N81" s="1">
        <v>9700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22962</v>
      </c>
      <c r="C82">
        <v>8.0000000000000002E-3</v>
      </c>
      <c r="D82">
        <v>8.5999999999999993E-2</v>
      </c>
      <c r="E82">
        <v>0</v>
      </c>
      <c r="F82">
        <v>1</v>
      </c>
      <c r="G82" t="s">
        <v>84</v>
      </c>
      <c r="H82" s="1">
        <v>13262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9700</v>
      </c>
      <c r="O82">
        <v>8.9999999999999993E-3</v>
      </c>
      <c r="P82">
        <v>9.6000000000000002E-2</v>
      </c>
      <c r="Q82">
        <v>0</v>
      </c>
      <c r="R82">
        <v>1</v>
      </c>
    </row>
    <row r="83" spans="1:18" x14ac:dyDescent="0.25">
      <c r="A83" t="s">
        <v>85</v>
      </c>
      <c r="B83" s="1">
        <v>22962</v>
      </c>
      <c r="C83">
        <v>0.40400000000000003</v>
      </c>
      <c r="D83">
        <v>0.49099999999999999</v>
      </c>
      <c r="E83">
        <v>0</v>
      </c>
      <c r="F83">
        <v>1</v>
      </c>
      <c r="G83" t="s">
        <v>85</v>
      </c>
      <c r="H83" s="1">
        <v>13262</v>
      </c>
      <c r="I83">
        <v>0.39200000000000002</v>
      </c>
      <c r="J83">
        <v>0.48799999999999999</v>
      </c>
      <c r="K83">
        <v>0</v>
      </c>
      <c r="L83">
        <v>1</v>
      </c>
      <c r="M83" t="s">
        <v>85</v>
      </c>
      <c r="N83" s="1">
        <v>9700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  <row r="85" spans="1:18" x14ac:dyDescent="0.25">
      <c r="G85" t="s">
        <v>6</v>
      </c>
      <c r="H85" s="1" t="s">
        <v>7</v>
      </c>
      <c r="I85" t="s">
        <v>8</v>
      </c>
      <c r="J85" t="s">
        <v>162</v>
      </c>
      <c r="K85" t="s">
        <v>8</v>
      </c>
      <c r="L85" t="s">
        <v>9</v>
      </c>
    </row>
    <row r="86" spans="1:18" x14ac:dyDescent="0.25">
      <c r="G86" t="s">
        <v>6</v>
      </c>
      <c r="H86" s="1" t="s">
        <v>7</v>
      </c>
      <c r="I86" t="s">
        <v>8</v>
      </c>
      <c r="J86" t="s">
        <v>162</v>
      </c>
      <c r="K86" t="s">
        <v>8</v>
      </c>
      <c r="L86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AFEAB-C02E-4F5D-B2BC-78FCB32B1505}">
  <sheetPr codeName="Sheet4"/>
  <dimension ref="A1:R85"/>
  <sheetViews>
    <sheetView workbookViewId="0">
      <selection activeCell="M1" sqref="M1:M84"/>
    </sheetView>
  </sheetViews>
  <sheetFormatPr defaultRowHeight="15" x14ac:dyDescent="0.25"/>
  <cols>
    <col min="1" max="1" width="30.7109375" bestFit="1" customWidth="1"/>
    <col min="2" max="2" width="6.5703125" bestFit="1" customWidth="1"/>
    <col min="3" max="3" width="11.7109375" bestFit="1" customWidth="1"/>
    <col min="4" max="4" width="10.140625" bestFit="1" customWidth="1"/>
    <col min="5" max="5" width="12.42578125" bestFit="1" customWidth="1"/>
    <col min="6" max="6" width="12.7109375" bestFit="1" customWidth="1"/>
    <col min="7" max="7" width="30.7109375" bestFit="1" customWidth="1"/>
    <col min="8" max="8" width="6.5703125" bestFit="1" customWidth="1"/>
    <col min="9" max="9" width="11.7109375" bestFit="1" customWidth="1"/>
    <col min="10" max="10" width="10.140625" bestFit="1" customWidth="1"/>
    <col min="11" max="11" width="11.7109375" bestFit="1" customWidth="1"/>
    <col min="12" max="12" width="12.7109375" bestFit="1" customWidth="1"/>
    <col min="13" max="13" width="30.7109375" bestFit="1" customWidth="1"/>
    <col min="14" max="14" width="6.5703125" bestFit="1" customWidth="1"/>
    <col min="15" max="15" width="11.7109375" bestFit="1" customWidth="1"/>
    <col min="16" max="16" width="10.140625" bestFit="1" customWidth="1"/>
    <col min="17" max="17" width="12.42578125" bestFit="1" customWidth="1"/>
    <col min="18" max="18" width="12.71093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43225</v>
      </c>
      <c r="C3">
        <v>1.175</v>
      </c>
      <c r="D3">
        <v>0.42</v>
      </c>
      <c r="E3">
        <v>1</v>
      </c>
      <c r="F3">
        <v>5</v>
      </c>
      <c r="G3" t="s">
        <v>10</v>
      </c>
      <c r="H3" s="1">
        <v>22647</v>
      </c>
      <c r="I3">
        <v>1.073</v>
      </c>
      <c r="J3">
        <v>0.26500000000000001</v>
      </c>
      <c r="K3">
        <v>1</v>
      </c>
      <c r="L3">
        <v>4</v>
      </c>
      <c r="M3" t="s">
        <v>10</v>
      </c>
      <c r="N3" s="1">
        <v>20578</v>
      </c>
      <c r="O3">
        <v>1.2869999999999999</v>
      </c>
      <c r="P3">
        <v>0.51900000000000002</v>
      </c>
      <c r="Q3">
        <v>1</v>
      </c>
      <c r="R3">
        <v>5</v>
      </c>
    </row>
    <row r="4" spans="1:18" x14ac:dyDescent="0.25">
      <c r="A4" t="s">
        <v>11</v>
      </c>
      <c r="B4" s="1">
        <v>43225</v>
      </c>
      <c r="C4">
        <v>0.47599999999999998</v>
      </c>
      <c r="D4">
        <v>0.499</v>
      </c>
      <c r="E4">
        <v>0</v>
      </c>
      <c r="F4">
        <v>1</v>
      </c>
      <c r="G4" t="s">
        <v>11</v>
      </c>
      <c r="H4" s="1">
        <v>22647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20578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43225</v>
      </c>
      <c r="C5">
        <v>0.42</v>
      </c>
      <c r="D5">
        <v>0.49399999999999999</v>
      </c>
      <c r="E5">
        <v>0</v>
      </c>
      <c r="F5">
        <v>1</v>
      </c>
      <c r="G5" t="s">
        <v>12</v>
      </c>
      <c r="H5" s="1">
        <v>22647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20578</v>
      </c>
      <c r="O5">
        <v>0.88100000000000001</v>
      </c>
      <c r="P5">
        <v>0.32400000000000001</v>
      </c>
      <c r="Q5">
        <v>0</v>
      </c>
      <c r="R5">
        <v>1</v>
      </c>
    </row>
    <row r="6" spans="1:18" x14ac:dyDescent="0.25">
      <c r="A6" t="s">
        <v>36</v>
      </c>
      <c r="B6" s="1">
        <v>20578</v>
      </c>
      <c r="C6">
        <v>306.84199999999998</v>
      </c>
      <c r="D6">
        <v>563.34699999999998</v>
      </c>
      <c r="E6">
        <v>0</v>
      </c>
      <c r="F6" s="1">
        <v>4021</v>
      </c>
      <c r="H6" s="1"/>
      <c r="M6" t="s">
        <v>36</v>
      </c>
      <c r="N6" s="1">
        <v>20578</v>
      </c>
      <c r="O6">
        <v>306.84199999999998</v>
      </c>
      <c r="P6">
        <v>563.34699999999998</v>
      </c>
      <c r="Q6">
        <v>0</v>
      </c>
      <c r="R6" s="1">
        <v>4021</v>
      </c>
    </row>
    <row r="7" spans="1:18" x14ac:dyDescent="0.25">
      <c r="A7" t="s">
        <v>13</v>
      </c>
      <c r="B7" s="1">
        <v>43225</v>
      </c>
      <c r="C7">
        <v>1.911</v>
      </c>
      <c r="D7">
        <v>0.90600000000000003</v>
      </c>
      <c r="E7">
        <v>0</v>
      </c>
      <c r="F7">
        <v>17</v>
      </c>
      <c r="G7" t="s">
        <v>13</v>
      </c>
      <c r="H7" s="1">
        <v>22647</v>
      </c>
      <c r="I7">
        <v>1.8939999999999999</v>
      </c>
      <c r="J7">
        <v>0.88400000000000001</v>
      </c>
      <c r="K7">
        <v>0</v>
      </c>
      <c r="L7">
        <v>17</v>
      </c>
      <c r="M7" t="s">
        <v>13</v>
      </c>
      <c r="N7" s="1">
        <v>20578</v>
      </c>
      <c r="O7">
        <v>1.929</v>
      </c>
      <c r="P7">
        <v>0.93</v>
      </c>
      <c r="Q7">
        <v>0</v>
      </c>
      <c r="R7">
        <v>15</v>
      </c>
    </row>
    <row r="8" spans="1:18" x14ac:dyDescent="0.25">
      <c r="A8" t="s">
        <v>14</v>
      </c>
      <c r="B8" s="1">
        <v>43225</v>
      </c>
      <c r="C8">
        <v>0.26700000000000002</v>
      </c>
      <c r="D8">
        <v>0.46500000000000002</v>
      </c>
      <c r="E8">
        <v>0</v>
      </c>
      <c r="F8">
        <v>5</v>
      </c>
      <c r="G8" t="s">
        <v>14</v>
      </c>
      <c r="H8" s="1">
        <v>22647</v>
      </c>
      <c r="I8">
        <v>0.26400000000000001</v>
      </c>
      <c r="J8">
        <v>0.46</v>
      </c>
      <c r="K8">
        <v>0</v>
      </c>
      <c r="L8">
        <v>5</v>
      </c>
      <c r="M8" t="s">
        <v>14</v>
      </c>
      <c r="N8" s="1">
        <v>20578</v>
      </c>
      <c r="O8">
        <v>0.27</v>
      </c>
      <c r="P8">
        <v>0.47</v>
      </c>
      <c r="Q8">
        <v>0</v>
      </c>
      <c r="R8">
        <v>5</v>
      </c>
    </row>
    <row r="9" spans="1:18" x14ac:dyDescent="0.25">
      <c r="A9" t="s">
        <v>15</v>
      </c>
      <c r="B9" s="1">
        <v>43225</v>
      </c>
      <c r="C9">
        <v>2.7229999999999999</v>
      </c>
      <c r="D9">
        <v>1.4910000000000001</v>
      </c>
      <c r="E9">
        <v>0</v>
      </c>
      <c r="F9">
        <v>25</v>
      </c>
      <c r="G9" t="s">
        <v>15</v>
      </c>
      <c r="H9" s="1">
        <v>22647</v>
      </c>
      <c r="I9">
        <v>2.7090000000000001</v>
      </c>
      <c r="J9">
        <v>1.466</v>
      </c>
      <c r="K9">
        <v>0</v>
      </c>
      <c r="L9">
        <v>18</v>
      </c>
      <c r="M9" t="s">
        <v>15</v>
      </c>
      <c r="N9" s="1">
        <v>20578</v>
      </c>
      <c r="O9">
        <v>2.7389999999999999</v>
      </c>
      <c r="P9">
        <v>1.518</v>
      </c>
      <c r="Q9">
        <v>0</v>
      </c>
      <c r="R9">
        <v>25</v>
      </c>
    </row>
    <row r="10" spans="1:18" x14ac:dyDescent="0.25">
      <c r="A10" t="s">
        <v>16</v>
      </c>
      <c r="B10" s="1">
        <v>43225</v>
      </c>
      <c r="C10">
        <v>43.43</v>
      </c>
      <c r="D10">
        <v>58.869</v>
      </c>
      <c r="E10">
        <v>0</v>
      </c>
      <c r="F10">
        <v>946</v>
      </c>
      <c r="G10" t="s">
        <v>16</v>
      </c>
      <c r="H10" s="1">
        <v>22647</v>
      </c>
      <c r="I10">
        <v>51.058</v>
      </c>
      <c r="J10">
        <v>59.274000000000001</v>
      </c>
      <c r="K10">
        <v>0</v>
      </c>
      <c r="L10">
        <v>785</v>
      </c>
      <c r="M10" t="s">
        <v>16</v>
      </c>
      <c r="N10" s="1">
        <v>20578</v>
      </c>
      <c r="O10">
        <v>35.034999999999997</v>
      </c>
      <c r="P10">
        <v>57.259</v>
      </c>
      <c r="Q10">
        <v>0</v>
      </c>
      <c r="R10">
        <v>946</v>
      </c>
    </row>
    <row r="11" spans="1:18" x14ac:dyDescent="0.25">
      <c r="A11" t="s">
        <v>163</v>
      </c>
      <c r="B11" s="1">
        <v>43225</v>
      </c>
      <c r="C11" s="2">
        <v>1338.1969999999999</v>
      </c>
      <c r="D11">
        <v>848.31200000000001</v>
      </c>
      <c r="E11">
        <v>120</v>
      </c>
      <c r="F11" s="1">
        <v>17408</v>
      </c>
      <c r="G11" t="s">
        <v>163</v>
      </c>
      <c r="H11" s="1">
        <v>22647</v>
      </c>
      <c r="I11" s="2">
        <v>1331.0050000000001</v>
      </c>
      <c r="J11">
        <v>828.36900000000003</v>
      </c>
      <c r="K11">
        <v>160</v>
      </c>
      <c r="L11" s="1">
        <v>17408</v>
      </c>
      <c r="M11" t="s">
        <v>163</v>
      </c>
      <c r="N11" s="1">
        <v>20578</v>
      </c>
      <c r="O11" s="2">
        <v>1346.1110000000001</v>
      </c>
      <c r="P11">
        <v>869.68299999999999</v>
      </c>
      <c r="Q11">
        <v>120</v>
      </c>
      <c r="R11" s="1">
        <v>16703</v>
      </c>
    </row>
    <row r="12" spans="1:18" x14ac:dyDescent="0.25">
      <c r="A12" t="s">
        <v>17</v>
      </c>
      <c r="B12" s="1">
        <v>43225</v>
      </c>
      <c r="C12">
        <v>166.345</v>
      </c>
      <c r="D12">
        <v>230.39</v>
      </c>
      <c r="E12">
        <v>0</v>
      </c>
      <c r="F12" s="1">
        <v>4444</v>
      </c>
      <c r="G12" t="s">
        <v>17</v>
      </c>
      <c r="H12" s="1">
        <v>22647</v>
      </c>
      <c r="I12" s="2">
        <v>165.55</v>
      </c>
      <c r="J12">
        <v>230.61099999999999</v>
      </c>
      <c r="K12">
        <v>0</v>
      </c>
      <c r="L12" s="1">
        <v>4444</v>
      </c>
      <c r="M12" t="s">
        <v>17</v>
      </c>
      <c r="N12" s="1">
        <v>20578</v>
      </c>
      <c r="O12">
        <v>167.22</v>
      </c>
      <c r="P12">
        <v>230.149</v>
      </c>
      <c r="Q12">
        <v>0</v>
      </c>
      <c r="R12" s="1">
        <v>3200</v>
      </c>
    </row>
    <row r="13" spans="1:18" x14ac:dyDescent="0.25">
      <c r="A13" t="s">
        <v>19</v>
      </c>
      <c r="B13" s="1">
        <v>43225</v>
      </c>
      <c r="C13" s="2">
        <v>958651.7</v>
      </c>
      <c r="D13" s="2">
        <v>904391.8</v>
      </c>
      <c r="E13" s="2">
        <v>85418.51</v>
      </c>
      <c r="F13" s="2">
        <v>28197546</v>
      </c>
      <c r="G13" t="s">
        <v>19</v>
      </c>
      <c r="H13" s="1">
        <v>22647</v>
      </c>
      <c r="I13" s="2">
        <v>930380.1</v>
      </c>
      <c r="J13" s="2">
        <v>880137.6</v>
      </c>
      <c r="K13" s="2">
        <v>99684.44</v>
      </c>
      <c r="L13" s="1">
        <v>28197546</v>
      </c>
      <c r="M13" t="s">
        <v>19</v>
      </c>
      <c r="N13" s="1">
        <v>20578</v>
      </c>
      <c r="O13" s="2">
        <v>989765.9</v>
      </c>
      <c r="P13" s="2">
        <v>929382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43225</v>
      </c>
      <c r="C14" s="2">
        <v>948253.7</v>
      </c>
      <c r="D14" s="2">
        <v>853577.7</v>
      </c>
      <c r="E14" s="2">
        <v>85418.51</v>
      </c>
      <c r="F14" s="2">
        <v>28197546</v>
      </c>
      <c r="G14" t="s">
        <v>20</v>
      </c>
      <c r="H14" s="1">
        <v>22647</v>
      </c>
      <c r="I14" s="2">
        <v>911841.9</v>
      </c>
      <c r="J14" s="2">
        <v>826926.9</v>
      </c>
      <c r="K14" s="2">
        <v>118448.6</v>
      </c>
      <c r="L14" s="2">
        <v>28197546</v>
      </c>
      <c r="M14" t="s">
        <v>20</v>
      </c>
      <c r="N14" s="1">
        <v>20578</v>
      </c>
      <c r="O14" s="2">
        <v>988326.5</v>
      </c>
      <c r="P14" s="2">
        <v>880258.6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43225</v>
      </c>
      <c r="C15" s="2">
        <v>8486.57</v>
      </c>
      <c r="D15" s="2">
        <v>92604.32</v>
      </c>
      <c r="E15" s="2">
        <v>-2010000</v>
      </c>
      <c r="F15" s="2">
        <v>6900000</v>
      </c>
      <c r="G15" t="s">
        <v>190</v>
      </c>
      <c r="H15" s="1">
        <v>22647</v>
      </c>
      <c r="I15" s="2">
        <v>15247.66</v>
      </c>
      <c r="J15" s="2">
        <v>70778.649999999994</v>
      </c>
      <c r="K15" s="2">
        <v>-1850000</v>
      </c>
      <c r="L15" s="2">
        <v>2950000</v>
      </c>
      <c r="M15" t="s">
        <v>190</v>
      </c>
      <c r="N15" s="1">
        <v>20578</v>
      </c>
      <c r="O15" s="2">
        <v>1045.6869999999999</v>
      </c>
      <c r="P15" s="2">
        <v>111331.9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43225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22647</v>
      </c>
      <c r="I16" s="2">
        <v>1.2E-2</v>
      </c>
      <c r="J16" s="2">
        <v>0.111</v>
      </c>
      <c r="K16" s="1">
        <v>0</v>
      </c>
      <c r="L16" s="1">
        <v>1</v>
      </c>
      <c r="M16" t="s">
        <v>21</v>
      </c>
      <c r="N16" s="1">
        <v>20578</v>
      </c>
      <c r="O16">
        <v>1.4E-2</v>
      </c>
      <c r="P16">
        <v>0.11899999999999999</v>
      </c>
      <c r="Q16">
        <v>0</v>
      </c>
      <c r="R16">
        <v>1</v>
      </c>
    </row>
    <row r="17" spans="1:18" x14ac:dyDescent="0.25">
      <c r="A17" t="s">
        <v>22</v>
      </c>
      <c r="B17" s="1">
        <v>43225</v>
      </c>
      <c r="C17">
        <v>3.5000000000000003E-2</v>
      </c>
      <c r="D17">
        <v>0.184</v>
      </c>
      <c r="E17">
        <v>0</v>
      </c>
      <c r="F17">
        <v>1</v>
      </c>
      <c r="G17" t="s">
        <v>22</v>
      </c>
      <c r="H17" s="1">
        <v>22647</v>
      </c>
      <c r="I17">
        <v>3.5000000000000003E-2</v>
      </c>
      <c r="J17">
        <v>0.184</v>
      </c>
      <c r="K17">
        <v>0</v>
      </c>
      <c r="L17">
        <v>1</v>
      </c>
      <c r="M17" t="s">
        <v>22</v>
      </c>
      <c r="N17" s="1">
        <v>20578</v>
      </c>
      <c r="O17">
        <v>3.5999999999999997E-2</v>
      </c>
      <c r="P17">
        <v>0.185</v>
      </c>
      <c r="Q17">
        <v>0</v>
      </c>
      <c r="R17">
        <v>1</v>
      </c>
    </row>
    <row r="18" spans="1:18" x14ac:dyDescent="0.25">
      <c r="A18" t="s">
        <v>23</v>
      </c>
      <c r="B18" s="1">
        <v>43225</v>
      </c>
      <c r="C18">
        <v>7.0000000000000001E-3</v>
      </c>
      <c r="D18">
        <v>8.5000000000000006E-2</v>
      </c>
      <c r="E18">
        <v>0</v>
      </c>
      <c r="F18">
        <v>1</v>
      </c>
      <c r="G18" t="s">
        <v>23</v>
      </c>
      <c r="H18" s="1">
        <v>22647</v>
      </c>
      <c r="I18">
        <v>8.0000000000000002E-3</v>
      </c>
      <c r="J18">
        <v>8.6999999999999994E-2</v>
      </c>
      <c r="K18">
        <v>0</v>
      </c>
      <c r="L18">
        <v>1</v>
      </c>
      <c r="M18" t="s">
        <v>23</v>
      </c>
      <c r="N18" s="1">
        <v>20578</v>
      </c>
      <c r="O18">
        <v>7.0000000000000001E-3</v>
      </c>
      <c r="P18">
        <v>8.3000000000000004E-2</v>
      </c>
      <c r="Q18">
        <v>0</v>
      </c>
      <c r="R18">
        <v>1</v>
      </c>
    </row>
    <row r="19" spans="1:18" x14ac:dyDescent="0.25">
      <c r="A19" t="s">
        <v>24</v>
      </c>
      <c r="B19" s="1">
        <v>43225</v>
      </c>
      <c r="C19">
        <v>0.09</v>
      </c>
      <c r="D19">
        <v>0.28599999999999998</v>
      </c>
      <c r="E19">
        <v>0</v>
      </c>
      <c r="F19">
        <v>1</v>
      </c>
      <c r="G19" t="s">
        <v>24</v>
      </c>
      <c r="H19" s="1">
        <v>22647</v>
      </c>
      <c r="I19">
        <v>9.1999999999999998E-2</v>
      </c>
      <c r="J19">
        <v>0.28899999999999998</v>
      </c>
      <c r="K19">
        <v>0</v>
      </c>
      <c r="L19">
        <v>1</v>
      </c>
      <c r="M19" t="s">
        <v>24</v>
      </c>
      <c r="N19" s="1">
        <v>20578</v>
      </c>
      <c r="O19">
        <v>8.6999999999999994E-2</v>
      </c>
      <c r="P19">
        <v>0.28199999999999997</v>
      </c>
      <c r="Q19">
        <v>0</v>
      </c>
      <c r="R19">
        <v>1</v>
      </c>
    </row>
    <row r="20" spans="1:18" x14ac:dyDescent="0.25">
      <c r="A20" t="s">
        <v>25</v>
      </c>
      <c r="B20" s="1">
        <v>43225</v>
      </c>
      <c r="C20">
        <v>0.29099999999999998</v>
      </c>
      <c r="D20">
        <v>0.45400000000000001</v>
      </c>
      <c r="E20">
        <v>0</v>
      </c>
      <c r="F20">
        <v>1</v>
      </c>
      <c r="G20" t="s">
        <v>25</v>
      </c>
      <c r="H20" s="1">
        <v>22647</v>
      </c>
      <c r="I20">
        <v>0.28799999999999998</v>
      </c>
      <c r="J20">
        <v>0.45300000000000001</v>
      </c>
      <c r="K20">
        <v>0</v>
      </c>
      <c r="L20">
        <v>1</v>
      </c>
      <c r="M20" t="s">
        <v>25</v>
      </c>
      <c r="N20" s="1">
        <v>20578</v>
      </c>
      <c r="O20">
        <v>0.29499999999999998</v>
      </c>
      <c r="P20">
        <v>0.45600000000000002</v>
      </c>
      <c r="Q20">
        <v>0</v>
      </c>
      <c r="R20">
        <v>1</v>
      </c>
    </row>
    <row r="21" spans="1:18" x14ac:dyDescent="0.25">
      <c r="A21" t="s">
        <v>26</v>
      </c>
      <c r="B21" s="1">
        <v>43225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22647</v>
      </c>
      <c r="I21">
        <v>0.152</v>
      </c>
      <c r="J21">
        <v>0.35899999999999999</v>
      </c>
      <c r="K21">
        <v>0</v>
      </c>
      <c r="L21">
        <v>1</v>
      </c>
      <c r="M21" t="s">
        <v>26</v>
      </c>
      <c r="N21" s="1">
        <v>20578</v>
      </c>
      <c r="O21">
        <v>0.16500000000000001</v>
      </c>
      <c r="P21">
        <v>0.371</v>
      </c>
      <c r="Q21">
        <v>0</v>
      </c>
      <c r="R21">
        <v>1</v>
      </c>
    </row>
    <row r="22" spans="1:18" x14ac:dyDescent="0.25">
      <c r="A22" t="s">
        <v>27</v>
      </c>
      <c r="B22" s="1">
        <v>43225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22647</v>
      </c>
      <c r="I22">
        <v>3.7999999999999999E-2</v>
      </c>
      <c r="J22">
        <v>0.191</v>
      </c>
      <c r="K22">
        <v>0</v>
      </c>
      <c r="L22">
        <v>1</v>
      </c>
      <c r="M22" t="s">
        <v>27</v>
      </c>
      <c r="N22" s="1">
        <v>20578</v>
      </c>
      <c r="O22">
        <v>3.5000000000000003E-2</v>
      </c>
      <c r="P22">
        <v>0.183</v>
      </c>
      <c r="Q22">
        <v>0</v>
      </c>
      <c r="R22">
        <v>1</v>
      </c>
    </row>
    <row r="23" spans="1:18" x14ac:dyDescent="0.25">
      <c r="A23" t="s">
        <v>28</v>
      </c>
      <c r="B23" s="1">
        <v>43225</v>
      </c>
      <c r="C23">
        <v>0.42599999999999999</v>
      </c>
      <c r="D23">
        <v>0.49399999999999999</v>
      </c>
      <c r="E23">
        <v>0</v>
      </c>
      <c r="F23">
        <v>1</v>
      </c>
      <c r="G23" t="s">
        <v>28</v>
      </c>
      <c r="H23" s="1">
        <v>22647</v>
      </c>
      <c r="I23">
        <v>0.432</v>
      </c>
      <c r="J23">
        <v>0.495</v>
      </c>
      <c r="K23">
        <v>0</v>
      </c>
      <c r="L23">
        <v>1</v>
      </c>
      <c r="M23" t="s">
        <v>28</v>
      </c>
      <c r="N23" s="1">
        <v>20578</v>
      </c>
      <c r="O23">
        <v>0.41899999999999998</v>
      </c>
      <c r="P23">
        <v>0.49299999999999999</v>
      </c>
      <c r="Q23">
        <v>0</v>
      </c>
      <c r="R23">
        <v>1</v>
      </c>
    </row>
    <row r="24" spans="1:18" x14ac:dyDescent="0.25">
      <c r="A24" t="s">
        <v>29</v>
      </c>
      <c r="B24" s="1">
        <v>43225</v>
      </c>
      <c r="C24">
        <v>8.9999999999999993E-3</v>
      </c>
      <c r="D24">
        <v>9.1999999999999998E-2</v>
      </c>
      <c r="E24">
        <v>0</v>
      </c>
      <c r="F24">
        <v>1</v>
      </c>
      <c r="G24" t="s">
        <v>29</v>
      </c>
      <c r="H24" s="1">
        <v>22647</v>
      </c>
      <c r="I24">
        <v>8.9999999999999993E-3</v>
      </c>
      <c r="J24">
        <v>9.2999999999999999E-2</v>
      </c>
      <c r="K24">
        <v>0</v>
      </c>
      <c r="L24">
        <v>1</v>
      </c>
      <c r="M24" t="s">
        <v>29</v>
      </c>
      <c r="N24" s="1">
        <v>20578</v>
      </c>
      <c r="O24">
        <v>8.0000000000000002E-3</v>
      </c>
      <c r="P24">
        <v>9.0999999999999998E-2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43225</v>
      </c>
      <c r="C25">
        <v>1.9E-2</v>
      </c>
      <c r="D25">
        <v>0.13700000000000001</v>
      </c>
      <c r="E25">
        <v>0</v>
      </c>
      <c r="F25">
        <v>1</v>
      </c>
      <c r="G25" t="s">
        <v>30</v>
      </c>
      <c r="H25" s="1">
        <v>22647</v>
      </c>
      <c r="I25">
        <v>1.7000000000000001E-2</v>
      </c>
      <c r="J25">
        <v>0.13</v>
      </c>
      <c r="K25">
        <v>0</v>
      </c>
      <c r="L25">
        <v>1</v>
      </c>
      <c r="M25" t="s">
        <v>30</v>
      </c>
      <c r="N25" s="1">
        <v>20578</v>
      </c>
      <c r="O25">
        <v>2.1000000000000001E-2</v>
      </c>
      <c r="P25">
        <v>0.14399999999999999</v>
      </c>
      <c r="Q25">
        <v>0</v>
      </c>
      <c r="R25">
        <v>1</v>
      </c>
    </row>
    <row r="26" spans="1:18" x14ac:dyDescent="0.25">
      <c r="A26" t="s">
        <v>31</v>
      </c>
      <c r="B26" s="1">
        <v>43225</v>
      </c>
      <c r="C26">
        <v>4.3999999999999997E-2</v>
      </c>
      <c r="D26">
        <v>0.20499999999999999</v>
      </c>
      <c r="E26">
        <v>0</v>
      </c>
      <c r="F26">
        <v>1</v>
      </c>
      <c r="G26" t="s">
        <v>31</v>
      </c>
      <c r="H26" s="1">
        <v>22647</v>
      </c>
      <c r="I26">
        <v>4.4999999999999998E-2</v>
      </c>
      <c r="J26">
        <v>0.20699999999999999</v>
      </c>
      <c r="K26">
        <v>0</v>
      </c>
      <c r="L26">
        <v>1</v>
      </c>
      <c r="M26" t="s">
        <v>31</v>
      </c>
      <c r="N26" s="1">
        <v>20578</v>
      </c>
      <c r="O26">
        <v>4.2999999999999997E-2</v>
      </c>
      <c r="P26">
        <v>0.20200000000000001</v>
      </c>
      <c r="Q26">
        <v>0</v>
      </c>
      <c r="R26">
        <v>1</v>
      </c>
    </row>
    <row r="27" spans="1:18" x14ac:dyDescent="0.25">
      <c r="A27" t="s">
        <v>32</v>
      </c>
      <c r="B27" s="1">
        <v>43225</v>
      </c>
      <c r="C27">
        <v>0.46100000000000002</v>
      </c>
      <c r="D27">
        <v>0.498</v>
      </c>
      <c r="E27">
        <v>0</v>
      </c>
      <c r="F27">
        <v>1</v>
      </c>
      <c r="G27" t="s">
        <v>32</v>
      </c>
      <c r="H27" s="1">
        <v>22647</v>
      </c>
      <c r="I27">
        <v>0.46700000000000003</v>
      </c>
      <c r="J27">
        <v>0.499</v>
      </c>
      <c r="K27">
        <v>0</v>
      </c>
      <c r="L27">
        <v>1</v>
      </c>
      <c r="M27" t="s">
        <v>32</v>
      </c>
      <c r="N27" s="1">
        <v>20578</v>
      </c>
      <c r="O27">
        <v>0.45400000000000001</v>
      </c>
      <c r="P27">
        <v>0.498</v>
      </c>
      <c r="Q27">
        <v>0</v>
      </c>
      <c r="R27">
        <v>1</v>
      </c>
    </row>
    <row r="28" spans="1:18" x14ac:dyDescent="0.25">
      <c r="A28" t="s">
        <v>33</v>
      </c>
      <c r="B28" s="1">
        <v>43225</v>
      </c>
      <c r="C28">
        <v>37.728000000000002</v>
      </c>
      <c r="D28">
        <v>19.638000000000002</v>
      </c>
      <c r="E28">
        <v>0</v>
      </c>
      <c r="F28">
        <v>123</v>
      </c>
      <c r="G28" t="s">
        <v>33</v>
      </c>
      <c r="H28" s="1">
        <v>22647</v>
      </c>
      <c r="I28">
        <v>36.420999999999999</v>
      </c>
      <c r="J28">
        <v>19.324000000000002</v>
      </c>
      <c r="K28">
        <v>0</v>
      </c>
      <c r="L28">
        <v>112</v>
      </c>
      <c r="M28" t="s">
        <v>33</v>
      </c>
      <c r="N28" s="1">
        <v>20578</v>
      </c>
      <c r="O28">
        <v>39.164999999999999</v>
      </c>
      <c r="P28">
        <v>19.879000000000001</v>
      </c>
      <c r="Q28">
        <v>0</v>
      </c>
      <c r="R28">
        <v>123</v>
      </c>
    </row>
    <row r="29" spans="1:18" x14ac:dyDescent="0.25">
      <c r="A29" t="s">
        <v>34</v>
      </c>
      <c r="B29" s="1">
        <v>43225</v>
      </c>
      <c r="C29">
        <v>1.8089999999999999</v>
      </c>
      <c r="D29">
        <v>1.575</v>
      </c>
      <c r="E29">
        <v>0</v>
      </c>
      <c r="F29">
        <v>15.129</v>
      </c>
      <c r="G29" t="s">
        <v>34</v>
      </c>
      <c r="H29" s="1">
        <v>22647</v>
      </c>
      <c r="I29">
        <v>1.7</v>
      </c>
      <c r="J29">
        <v>1.4990000000000001</v>
      </c>
      <c r="K29">
        <v>0</v>
      </c>
      <c r="L29">
        <v>12.544</v>
      </c>
      <c r="M29" t="s">
        <v>34</v>
      </c>
      <c r="N29" s="1">
        <v>20578</v>
      </c>
      <c r="O29">
        <v>1.929</v>
      </c>
      <c r="P29">
        <v>1.6459999999999999</v>
      </c>
      <c r="Q29">
        <v>0</v>
      </c>
      <c r="R29">
        <v>15.129</v>
      </c>
    </row>
    <row r="30" spans="1:18" x14ac:dyDescent="0.25">
      <c r="A30" t="s">
        <v>35</v>
      </c>
      <c r="B30" s="1">
        <v>43225</v>
      </c>
      <c r="C30">
        <v>3.1739999999999999</v>
      </c>
      <c r="D30">
        <v>9.4009999999999998</v>
      </c>
      <c r="E30">
        <v>0</v>
      </c>
      <c r="F30">
        <v>94</v>
      </c>
      <c r="G30" t="s">
        <v>35</v>
      </c>
      <c r="H30" s="1">
        <v>22647</v>
      </c>
      <c r="I30">
        <v>3.0259999999999998</v>
      </c>
      <c r="J30">
        <v>9.1479999999999997</v>
      </c>
      <c r="K30">
        <v>0</v>
      </c>
      <c r="L30">
        <v>88</v>
      </c>
      <c r="M30" t="s">
        <v>35</v>
      </c>
      <c r="N30" s="1">
        <v>20578</v>
      </c>
      <c r="O30">
        <v>3.3370000000000002</v>
      </c>
      <c r="P30">
        <v>9.6690000000000005</v>
      </c>
      <c r="Q30">
        <v>0</v>
      </c>
      <c r="R30">
        <v>94</v>
      </c>
    </row>
    <row r="31" spans="1:18" x14ac:dyDescent="0.25">
      <c r="A31" t="s">
        <v>18</v>
      </c>
      <c r="B31" s="1">
        <v>43225</v>
      </c>
      <c r="C31" s="2">
        <v>1484.021</v>
      </c>
      <c r="D31" s="2">
        <v>1003.519</v>
      </c>
      <c r="E31">
        <v>175</v>
      </c>
      <c r="F31" s="1">
        <v>23350</v>
      </c>
      <c r="G31" t="s">
        <v>18</v>
      </c>
      <c r="H31" s="1">
        <v>22647</v>
      </c>
      <c r="I31" s="2">
        <v>1476.0930000000001</v>
      </c>
      <c r="J31">
        <v>982.21900000000005</v>
      </c>
      <c r="K31">
        <v>195</v>
      </c>
      <c r="L31" s="1">
        <v>23350</v>
      </c>
      <c r="M31" t="s">
        <v>18</v>
      </c>
      <c r="N31" s="1">
        <v>20578</v>
      </c>
      <c r="O31" s="2">
        <v>1492.7449999999999</v>
      </c>
      <c r="P31" s="2">
        <v>1026.402</v>
      </c>
      <c r="Q31">
        <v>175</v>
      </c>
      <c r="R31" s="1">
        <v>18919</v>
      </c>
    </row>
    <row r="32" spans="1:18" x14ac:dyDescent="0.25">
      <c r="A32" t="s">
        <v>37</v>
      </c>
      <c r="B32" s="1">
        <v>43225</v>
      </c>
      <c r="C32">
        <v>2.9940000000000002</v>
      </c>
      <c r="D32">
        <v>5.8680000000000003</v>
      </c>
      <c r="E32">
        <v>1.4E-2</v>
      </c>
      <c r="F32">
        <v>128.91800000000001</v>
      </c>
      <c r="G32" t="s">
        <v>37</v>
      </c>
      <c r="H32" s="1">
        <v>22647</v>
      </c>
      <c r="I32" s="2">
        <v>2.879</v>
      </c>
      <c r="J32">
        <v>5.7009999999999996</v>
      </c>
      <c r="K32">
        <v>1.4E-2</v>
      </c>
      <c r="L32" s="1">
        <v>128.91800000000001</v>
      </c>
      <c r="M32" t="s">
        <v>37</v>
      </c>
      <c r="N32" s="1">
        <v>20578</v>
      </c>
      <c r="O32">
        <v>3.121</v>
      </c>
      <c r="P32">
        <v>6.0430000000000001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43225</v>
      </c>
      <c r="C33">
        <v>2.0870000000000002</v>
      </c>
      <c r="D33">
        <v>2.4420000000000002</v>
      </c>
      <c r="E33">
        <v>0</v>
      </c>
      <c r="F33">
        <v>13.552</v>
      </c>
      <c r="G33" t="s">
        <v>164</v>
      </c>
      <c r="H33" s="1">
        <v>22647</v>
      </c>
      <c r="I33">
        <v>2.1280000000000001</v>
      </c>
      <c r="J33">
        <v>2.4900000000000002</v>
      </c>
      <c r="K33">
        <v>0</v>
      </c>
      <c r="L33">
        <v>13.552</v>
      </c>
      <c r="M33" t="s">
        <v>164</v>
      </c>
      <c r="N33" s="1">
        <v>20578</v>
      </c>
      <c r="O33">
        <v>2.0419999999999998</v>
      </c>
      <c r="P33">
        <v>2.3860000000000001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43225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22647</v>
      </c>
      <c r="I34">
        <v>0.42</v>
      </c>
      <c r="J34">
        <v>0.307</v>
      </c>
      <c r="K34">
        <v>0</v>
      </c>
      <c r="L34">
        <v>3.302</v>
      </c>
      <c r="M34" t="s">
        <v>39</v>
      </c>
      <c r="N34" s="1">
        <v>20578</v>
      </c>
      <c r="O34">
        <v>0.42799999999999999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43225</v>
      </c>
      <c r="C35">
        <v>4.0519999999999996</v>
      </c>
      <c r="D35">
        <v>3.9369999999999998</v>
      </c>
      <c r="E35">
        <v>0.01</v>
      </c>
      <c r="F35">
        <v>20.997</v>
      </c>
      <c r="G35" t="s">
        <v>40</v>
      </c>
      <c r="H35" s="1">
        <v>22647</v>
      </c>
      <c r="I35">
        <v>3.9580000000000002</v>
      </c>
      <c r="J35">
        <v>3.83</v>
      </c>
      <c r="K35">
        <v>1.4999999999999999E-2</v>
      </c>
      <c r="L35">
        <v>20.997</v>
      </c>
      <c r="M35" t="s">
        <v>40</v>
      </c>
      <c r="N35" s="1">
        <v>20578</v>
      </c>
      <c r="O35">
        <v>4.1559999999999997</v>
      </c>
      <c r="P35">
        <v>4.0490000000000004</v>
      </c>
      <c r="Q35">
        <v>0.01</v>
      </c>
      <c r="R35">
        <v>20.927</v>
      </c>
    </row>
    <row r="36" spans="1:18" x14ac:dyDescent="0.25">
      <c r="A36" t="s">
        <v>41</v>
      </c>
      <c r="B36" s="1">
        <v>43225</v>
      </c>
      <c r="C36">
        <v>9.1059999999999999</v>
      </c>
      <c r="D36">
        <v>5.61</v>
      </c>
      <c r="E36">
        <v>0.32300000000000001</v>
      </c>
      <c r="F36">
        <v>30.986000000000001</v>
      </c>
      <c r="G36" t="s">
        <v>41</v>
      </c>
      <c r="H36" s="1">
        <v>22647</v>
      </c>
      <c r="I36">
        <v>9.1259999999999994</v>
      </c>
      <c r="J36">
        <v>5.6150000000000002</v>
      </c>
      <c r="K36">
        <v>0.32300000000000001</v>
      </c>
      <c r="L36">
        <v>30.003</v>
      </c>
      <c r="M36" t="s">
        <v>41</v>
      </c>
      <c r="N36" s="1">
        <v>20578</v>
      </c>
      <c r="O36">
        <v>9.0850000000000009</v>
      </c>
      <c r="P36">
        <v>5.6059999999999999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43225</v>
      </c>
      <c r="C37">
        <v>1.1579999999999999</v>
      </c>
      <c r="D37">
        <v>4.585</v>
      </c>
      <c r="E37">
        <v>1.6E-2</v>
      </c>
      <c r="F37">
        <v>196.49</v>
      </c>
      <c r="G37" t="s">
        <v>173</v>
      </c>
      <c r="H37" s="1">
        <v>22647</v>
      </c>
      <c r="I37">
        <v>1.1579999999999999</v>
      </c>
      <c r="J37">
        <v>4.7549999999999999</v>
      </c>
      <c r="K37">
        <v>2.5999999999999999E-2</v>
      </c>
      <c r="L37">
        <v>196.49</v>
      </c>
      <c r="M37" t="s">
        <v>173</v>
      </c>
      <c r="N37" s="1">
        <v>20578</v>
      </c>
      <c r="O37">
        <v>1.1579999999999999</v>
      </c>
      <c r="P37">
        <v>4.391</v>
      </c>
      <c r="Q37">
        <v>1.6E-2</v>
      </c>
      <c r="R37">
        <v>196.49</v>
      </c>
    </row>
    <row r="38" spans="1:18" x14ac:dyDescent="0.25">
      <c r="A38" t="s">
        <v>174</v>
      </c>
      <c r="B38" s="1">
        <v>43225</v>
      </c>
      <c r="C38">
        <v>2.1909999999999998</v>
      </c>
      <c r="D38">
        <v>1.5940000000000001</v>
      </c>
      <c r="E38">
        <v>3.6999999999999998E-2</v>
      </c>
      <c r="F38">
        <v>17.684000000000001</v>
      </c>
      <c r="G38" t="s">
        <v>174</v>
      </c>
      <c r="H38" s="1">
        <v>22647</v>
      </c>
      <c r="I38">
        <v>2.1709999999999998</v>
      </c>
      <c r="J38">
        <v>1.579</v>
      </c>
      <c r="K38">
        <v>4.2999999999999997E-2</v>
      </c>
      <c r="L38">
        <v>17.684000000000001</v>
      </c>
      <c r="M38" t="s">
        <v>174</v>
      </c>
      <c r="N38" s="1">
        <v>20578</v>
      </c>
      <c r="O38">
        <v>2.2120000000000002</v>
      </c>
      <c r="P38">
        <v>1.609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43225</v>
      </c>
      <c r="C39">
        <v>2.1549999999999998</v>
      </c>
      <c r="D39">
        <v>1.518</v>
      </c>
      <c r="E39">
        <v>3.4000000000000002E-2</v>
      </c>
      <c r="F39">
        <v>17.684000000000001</v>
      </c>
      <c r="G39" t="s">
        <v>175</v>
      </c>
      <c r="H39" s="1">
        <v>22647</v>
      </c>
      <c r="I39">
        <v>2.1360000000000001</v>
      </c>
      <c r="J39">
        <v>1.4970000000000001</v>
      </c>
      <c r="K39">
        <v>3.4000000000000002E-2</v>
      </c>
      <c r="L39">
        <v>17.684000000000001</v>
      </c>
      <c r="M39" t="s">
        <v>175</v>
      </c>
      <c r="N39" s="1">
        <v>20578</v>
      </c>
      <c r="O39">
        <v>2.177</v>
      </c>
      <c r="P39">
        <v>1.5409999999999999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43225</v>
      </c>
      <c r="C40">
        <v>0.247</v>
      </c>
      <c r="D40">
        <v>0.17</v>
      </c>
      <c r="E40">
        <v>0</v>
      </c>
      <c r="F40">
        <v>1</v>
      </c>
      <c r="G40" t="s">
        <v>42</v>
      </c>
      <c r="H40" s="1">
        <v>22647</v>
      </c>
      <c r="I40">
        <v>0.249</v>
      </c>
      <c r="J40">
        <v>0.16700000000000001</v>
      </c>
      <c r="K40">
        <v>0</v>
      </c>
      <c r="L40">
        <v>1</v>
      </c>
      <c r="M40" t="s">
        <v>42</v>
      </c>
      <c r="N40" s="1">
        <v>20578</v>
      </c>
      <c r="O40">
        <v>0.24399999999999999</v>
      </c>
      <c r="P40">
        <v>0.17299999999999999</v>
      </c>
      <c r="Q40">
        <v>0</v>
      </c>
      <c r="R40">
        <v>0.91800000000000004</v>
      </c>
    </row>
    <row r="41" spans="1:18" x14ac:dyDescent="0.25">
      <c r="A41" t="s">
        <v>43</v>
      </c>
      <c r="B41" s="1">
        <v>43225</v>
      </c>
      <c r="C41">
        <v>2.1000000000000001E-2</v>
      </c>
      <c r="D41">
        <v>3.4000000000000002E-2</v>
      </c>
      <c r="E41">
        <v>0</v>
      </c>
      <c r="F41">
        <v>0.77600000000000002</v>
      </c>
      <c r="G41" t="s">
        <v>43</v>
      </c>
      <c r="H41" s="1">
        <v>22647</v>
      </c>
      <c r="I41">
        <v>0.02</v>
      </c>
      <c r="J41">
        <v>0.03</v>
      </c>
      <c r="K41">
        <v>0</v>
      </c>
      <c r="L41">
        <v>0.36299999999999999</v>
      </c>
      <c r="M41" t="s">
        <v>43</v>
      </c>
      <c r="N41" s="1">
        <v>20578</v>
      </c>
      <c r="O41">
        <v>2.1000000000000001E-2</v>
      </c>
      <c r="P41">
        <v>3.7999999999999999E-2</v>
      </c>
      <c r="Q41">
        <v>0</v>
      </c>
      <c r="R41">
        <v>0.77600000000000002</v>
      </c>
    </row>
    <row r="42" spans="1:18" x14ac:dyDescent="0.25">
      <c r="A42" t="s">
        <v>44</v>
      </c>
      <c r="B42" s="1">
        <v>43225</v>
      </c>
      <c r="C42">
        <v>0.432</v>
      </c>
      <c r="D42">
        <v>0.19</v>
      </c>
      <c r="E42">
        <v>0</v>
      </c>
      <c r="F42">
        <v>1</v>
      </c>
      <c r="G42" t="s">
        <v>44</v>
      </c>
      <c r="H42" s="1">
        <v>22647</v>
      </c>
      <c r="I42">
        <v>0.433</v>
      </c>
      <c r="J42">
        <v>0.183</v>
      </c>
      <c r="K42">
        <v>0</v>
      </c>
      <c r="L42">
        <v>1</v>
      </c>
      <c r="M42" t="s">
        <v>44</v>
      </c>
      <c r="N42" s="1">
        <v>20578</v>
      </c>
      <c r="O42">
        <v>0.43099999999999999</v>
      </c>
      <c r="P42">
        <v>0.19600000000000001</v>
      </c>
      <c r="Q42">
        <v>0</v>
      </c>
      <c r="R42">
        <v>1</v>
      </c>
    </row>
    <row r="43" spans="1:18" x14ac:dyDescent="0.25">
      <c r="A43" t="s">
        <v>45</v>
      </c>
      <c r="B43" s="1">
        <v>43225</v>
      </c>
      <c r="C43">
        <v>6.9000000000000006E-2</v>
      </c>
      <c r="D43">
        <v>9.1999999999999998E-2</v>
      </c>
      <c r="E43">
        <v>0</v>
      </c>
      <c r="F43">
        <v>0.71</v>
      </c>
      <c r="G43" t="s">
        <v>45</v>
      </c>
      <c r="H43" s="1">
        <v>22647</v>
      </c>
      <c r="I43">
        <v>6.8000000000000005E-2</v>
      </c>
      <c r="J43">
        <v>8.2000000000000003E-2</v>
      </c>
      <c r="K43">
        <v>0</v>
      </c>
      <c r="L43">
        <v>0.60799999999999998</v>
      </c>
      <c r="M43" t="s">
        <v>45</v>
      </c>
      <c r="N43" s="1">
        <v>20578</v>
      </c>
      <c r="O43">
        <v>6.9000000000000006E-2</v>
      </c>
      <c r="P43">
        <v>0.10100000000000001</v>
      </c>
      <c r="Q43">
        <v>0</v>
      </c>
      <c r="R43">
        <v>0.71</v>
      </c>
    </row>
    <row r="44" spans="1:18" x14ac:dyDescent="0.25">
      <c r="A44" t="s">
        <v>46</v>
      </c>
      <c r="B44" s="1">
        <v>43225</v>
      </c>
      <c r="C44">
        <v>0.872</v>
      </c>
      <c r="D44">
        <v>0.16800000000000001</v>
      </c>
      <c r="E44">
        <v>1.2E-2</v>
      </c>
      <c r="F44">
        <v>1</v>
      </c>
      <c r="G44" t="s">
        <v>46</v>
      </c>
      <c r="H44" s="1">
        <v>22647</v>
      </c>
      <c r="I44">
        <v>0.86799999999999999</v>
      </c>
      <c r="J44">
        <v>0.17299999999999999</v>
      </c>
      <c r="K44">
        <v>1.2E-2</v>
      </c>
      <c r="L44">
        <v>1</v>
      </c>
      <c r="M44" t="s">
        <v>46</v>
      </c>
      <c r="N44" s="1">
        <v>20578</v>
      </c>
      <c r="O44">
        <v>0.878</v>
      </c>
      <c r="P44">
        <v>0.16200000000000001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43225</v>
      </c>
      <c r="C45">
        <v>0.126</v>
      </c>
      <c r="D45">
        <v>0.16700000000000001</v>
      </c>
      <c r="E45">
        <v>0</v>
      </c>
      <c r="F45">
        <v>0.93</v>
      </c>
      <c r="G45" t="s">
        <v>47</v>
      </c>
      <c r="H45" s="1">
        <v>22647</v>
      </c>
      <c r="I45">
        <v>0.13100000000000001</v>
      </c>
      <c r="J45">
        <v>0.17199999999999999</v>
      </c>
      <c r="K45">
        <v>0</v>
      </c>
      <c r="L45">
        <v>0.93</v>
      </c>
      <c r="M45" t="s">
        <v>47</v>
      </c>
      <c r="N45" s="1">
        <v>20578</v>
      </c>
      <c r="O45">
        <v>0.121</v>
      </c>
      <c r="P45">
        <v>0.16</v>
      </c>
      <c r="Q45">
        <v>0</v>
      </c>
      <c r="R45">
        <v>0.92600000000000005</v>
      </c>
    </row>
    <row r="46" spans="1:18" x14ac:dyDescent="0.25">
      <c r="A46" t="s">
        <v>48</v>
      </c>
      <c r="B46" s="1">
        <v>43225</v>
      </c>
      <c r="C46">
        <v>0.63900000000000001</v>
      </c>
      <c r="D46">
        <v>0.20899999999999999</v>
      </c>
      <c r="E46">
        <v>0</v>
      </c>
      <c r="F46">
        <v>1</v>
      </c>
      <c r="G46" t="s">
        <v>48</v>
      </c>
      <c r="H46" s="1">
        <v>22647</v>
      </c>
      <c r="I46">
        <v>0.624</v>
      </c>
      <c r="J46">
        <v>0.20799999999999999</v>
      </c>
      <c r="K46">
        <v>0</v>
      </c>
      <c r="L46">
        <v>1</v>
      </c>
      <c r="M46" t="s">
        <v>48</v>
      </c>
      <c r="N46" s="1">
        <v>20578</v>
      </c>
      <c r="O46">
        <v>0.65700000000000003</v>
      </c>
      <c r="P46">
        <v>0.20899999999999999</v>
      </c>
      <c r="Q46">
        <v>0</v>
      </c>
      <c r="R46">
        <v>1</v>
      </c>
    </row>
    <row r="47" spans="1:18" x14ac:dyDescent="0.25">
      <c r="A47" t="s">
        <v>49</v>
      </c>
      <c r="B47" s="1">
        <v>43225</v>
      </c>
      <c r="C47">
        <v>0.36</v>
      </c>
      <c r="D47">
        <v>0.20799999999999999</v>
      </c>
      <c r="E47">
        <v>0</v>
      </c>
      <c r="F47">
        <v>1</v>
      </c>
      <c r="G47" t="s">
        <v>49</v>
      </c>
      <c r="H47" s="1">
        <v>22647</v>
      </c>
      <c r="I47">
        <v>0.375</v>
      </c>
      <c r="J47">
        <v>0.20799999999999999</v>
      </c>
      <c r="K47">
        <v>0</v>
      </c>
      <c r="L47">
        <v>1</v>
      </c>
      <c r="M47" t="s">
        <v>49</v>
      </c>
      <c r="N47" s="1">
        <v>20578</v>
      </c>
      <c r="O47">
        <v>0.34200000000000003</v>
      </c>
      <c r="P47">
        <v>0.20799999999999999</v>
      </c>
      <c r="Q47">
        <v>0</v>
      </c>
      <c r="R47">
        <v>1</v>
      </c>
    </row>
    <row r="48" spans="1:18" x14ac:dyDescent="0.25">
      <c r="A48" t="s">
        <v>50</v>
      </c>
      <c r="B48" s="1">
        <v>43225</v>
      </c>
      <c r="C48">
        <v>17.091999999999999</v>
      </c>
      <c r="D48">
        <v>46.92</v>
      </c>
      <c r="E48">
        <v>0</v>
      </c>
      <c r="F48" s="1">
        <v>1000</v>
      </c>
      <c r="G48" t="s">
        <v>50</v>
      </c>
      <c r="H48" s="1">
        <v>22647</v>
      </c>
      <c r="I48">
        <v>16.152999999999999</v>
      </c>
      <c r="J48">
        <v>44.679000000000002</v>
      </c>
      <c r="K48">
        <v>0</v>
      </c>
      <c r="L48">
        <v>667</v>
      </c>
      <c r="M48" t="s">
        <v>50</v>
      </c>
      <c r="N48" s="1">
        <v>20578</v>
      </c>
      <c r="O48">
        <v>18.125</v>
      </c>
      <c r="P48">
        <v>49.249000000000002</v>
      </c>
      <c r="Q48">
        <v>0</v>
      </c>
      <c r="R48" s="1">
        <v>1000</v>
      </c>
    </row>
    <row r="49" spans="1:18" x14ac:dyDescent="0.25">
      <c r="A49" t="s">
        <v>51</v>
      </c>
      <c r="B49" s="1">
        <v>43225</v>
      </c>
      <c r="C49">
        <v>0.69499999999999995</v>
      </c>
      <c r="D49">
        <v>1.488</v>
      </c>
      <c r="E49">
        <v>0</v>
      </c>
      <c r="F49">
        <v>36</v>
      </c>
      <c r="G49" t="s">
        <v>51</v>
      </c>
      <c r="H49" s="1">
        <v>22647</v>
      </c>
      <c r="I49">
        <v>0.68300000000000005</v>
      </c>
      <c r="J49">
        <v>1.482</v>
      </c>
      <c r="K49">
        <v>0</v>
      </c>
      <c r="L49">
        <v>36</v>
      </c>
      <c r="M49" t="s">
        <v>51</v>
      </c>
      <c r="N49" s="1">
        <v>20578</v>
      </c>
      <c r="O49">
        <v>0.70799999999999996</v>
      </c>
      <c r="P49">
        <v>1.496</v>
      </c>
      <c r="Q49">
        <v>0</v>
      </c>
      <c r="R49">
        <v>23</v>
      </c>
    </row>
    <row r="50" spans="1:18" x14ac:dyDescent="0.25">
      <c r="A50" t="s">
        <v>52</v>
      </c>
      <c r="B50" s="1">
        <v>43225</v>
      </c>
      <c r="C50">
        <v>0.41299999999999998</v>
      </c>
      <c r="D50">
        <v>0.49199999999999999</v>
      </c>
      <c r="E50">
        <v>0</v>
      </c>
      <c r="F50">
        <v>1</v>
      </c>
      <c r="G50" t="s">
        <v>52</v>
      </c>
      <c r="H50" s="1">
        <v>22647</v>
      </c>
      <c r="I50">
        <v>0.39300000000000002</v>
      </c>
      <c r="J50">
        <v>0.48799999999999999</v>
      </c>
      <c r="K50">
        <v>0</v>
      </c>
      <c r="L50">
        <v>1</v>
      </c>
      <c r="M50" t="s">
        <v>52</v>
      </c>
      <c r="N50" s="1">
        <v>20578</v>
      </c>
      <c r="O50">
        <v>0.435</v>
      </c>
      <c r="P50">
        <v>0.496</v>
      </c>
      <c r="Q50">
        <v>0</v>
      </c>
      <c r="R50">
        <v>1</v>
      </c>
    </row>
    <row r="51" spans="1:18" x14ac:dyDescent="0.25">
      <c r="A51" t="s">
        <v>53</v>
      </c>
      <c r="B51" s="1">
        <v>43225</v>
      </c>
      <c r="C51" s="2">
        <v>2361405</v>
      </c>
      <c r="D51" s="2">
        <v>7646.3770000000004</v>
      </c>
      <c r="E51" s="2">
        <v>2350907</v>
      </c>
      <c r="F51" s="2">
        <v>2400056</v>
      </c>
      <c r="G51" t="s">
        <v>53</v>
      </c>
      <c r="H51" s="1">
        <v>22647</v>
      </c>
      <c r="I51" s="2">
        <v>2361413</v>
      </c>
      <c r="J51" s="2">
        <v>7607.0919999999996</v>
      </c>
      <c r="K51" s="2">
        <v>2350907</v>
      </c>
      <c r="L51" s="2">
        <v>2400056</v>
      </c>
      <c r="M51" t="s">
        <v>53</v>
      </c>
      <c r="N51" s="1">
        <v>20578</v>
      </c>
      <c r="O51" s="2">
        <v>2361396</v>
      </c>
      <c r="P51" s="2">
        <v>7689.5550000000003</v>
      </c>
      <c r="Q51" s="2">
        <v>2350907</v>
      </c>
      <c r="R51" s="2">
        <v>2400056</v>
      </c>
    </row>
    <row r="52" spans="1:18" x14ac:dyDescent="0.25">
      <c r="A52" t="s">
        <v>54</v>
      </c>
      <c r="B52" s="1">
        <v>43225</v>
      </c>
      <c r="C52" s="2">
        <v>613179.1</v>
      </c>
      <c r="D52" s="2">
        <v>13163.16</v>
      </c>
      <c r="E52" s="2">
        <v>579824.19999999995</v>
      </c>
      <c r="F52" s="2">
        <v>638667.69999999995</v>
      </c>
      <c r="G52" t="s">
        <v>54</v>
      </c>
      <c r="H52" s="1">
        <v>22647</v>
      </c>
      <c r="I52" s="2">
        <v>613303.1</v>
      </c>
      <c r="J52" s="2">
        <v>12959.05</v>
      </c>
      <c r="K52" s="2">
        <v>579824.19999999995</v>
      </c>
      <c r="L52" s="2">
        <v>638667.69999999995</v>
      </c>
      <c r="M52" t="s">
        <v>54</v>
      </c>
      <c r="N52" s="1">
        <v>20578</v>
      </c>
      <c r="O52" s="2">
        <v>613042.69999999995</v>
      </c>
      <c r="P52" s="2">
        <v>13383.19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43225</v>
      </c>
      <c r="C53">
        <v>0.54</v>
      </c>
      <c r="D53">
        <v>0.498</v>
      </c>
      <c r="E53">
        <v>0</v>
      </c>
      <c r="F53">
        <v>1</v>
      </c>
      <c r="G53" t="s">
        <v>56</v>
      </c>
      <c r="H53" s="1">
        <v>22647</v>
      </c>
      <c r="I53" s="2">
        <v>0.53300000000000003</v>
      </c>
      <c r="J53" s="2">
        <v>0.499</v>
      </c>
      <c r="K53" s="2">
        <v>0</v>
      </c>
      <c r="L53" s="2">
        <v>1</v>
      </c>
      <c r="M53" t="s">
        <v>56</v>
      </c>
      <c r="N53" s="1">
        <v>20578</v>
      </c>
      <c r="O53">
        <v>0.54700000000000004</v>
      </c>
      <c r="P53">
        <v>0.498</v>
      </c>
      <c r="Q53">
        <v>0</v>
      </c>
      <c r="R53">
        <v>1</v>
      </c>
    </row>
    <row r="54" spans="1:18" x14ac:dyDescent="0.25">
      <c r="A54" t="s">
        <v>57</v>
      </c>
      <c r="B54" s="1">
        <v>43225</v>
      </c>
      <c r="C54">
        <v>0.46</v>
      </c>
      <c r="D54">
        <v>0.498</v>
      </c>
      <c r="E54">
        <v>0</v>
      </c>
      <c r="F54">
        <v>1</v>
      </c>
      <c r="G54" t="s">
        <v>57</v>
      </c>
      <c r="H54" s="1">
        <v>22647</v>
      </c>
      <c r="I54">
        <v>0.46700000000000003</v>
      </c>
      <c r="J54">
        <v>0.499</v>
      </c>
      <c r="K54">
        <v>0</v>
      </c>
      <c r="L54">
        <v>1</v>
      </c>
      <c r="M54" t="s">
        <v>57</v>
      </c>
      <c r="N54" s="1">
        <v>20578</v>
      </c>
      <c r="O54">
        <v>0.45300000000000001</v>
      </c>
      <c r="P54">
        <v>0.498</v>
      </c>
      <c r="Q54">
        <v>0</v>
      </c>
      <c r="R54">
        <v>1</v>
      </c>
    </row>
    <row r="55" spans="1:18" x14ac:dyDescent="0.25">
      <c r="A55" t="s">
        <v>58</v>
      </c>
      <c r="B55" s="1">
        <v>43225</v>
      </c>
      <c r="C55">
        <v>0.34699999999999998</v>
      </c>
      <c r="D55">
        <v>0.47599999999999998</v>
      </c>
      <c r="E55">
        <v>0</v>
      </c>
      <c r="F55">
        <v>1</v>
      </c>
      <c r="G55" t="s">
        <v>58</v>
      </c>
      <c r="H55" s="1">
        <v>22647</v>
      </c>
      <c r="I55">
        <v>0.36099999999999999</v>
      </c>
      <c r="J55">
        <v>0.48</v>
      </c>
      <c r="K55">
        <v>0</v>
      </c>
      <c r="L55">
        <v>1</v>
      </c>
      <c r="M55" t="s">
        <v>58</v>
      </c>
      <c r="N55" s="1">
        <v>20578</v>
      </c>
      <c r="O55">
        <v>0.33200000000000002</v>
      </c>
      <c r="P55">
        <v>0.47099999999999997</v>
      </c>
      <c r="Q55">
        <v>0</v>
      </c>
      <c r="R55">
        <v>1</v>
      </c>
    </row>
    <row r="56" spans="1:18" x14ac:dyDescent="0.25">
      <c r="A56" t="s">
        <v>59</v>
      </c>
      <c r="B56" s="1">
        <v>43225</v>
      </c>
      <c r="C56">
        <v>0.33700000000000002</v>
      </c>
      <c r="D56">
        <v>0.47299999999999998</v>
      </c>
      <c r="E56">
        <v>0</v>
      </c>
      <c r="F56">
        <v>1</v>
      </c>
      <c r="G56" t="s">
        <v>59</v>
      </c>
      <c r="H56" s="1">
        <v>22647</v>
      </c>
      <c r="I56">
        <v>0.33100000000000002</v>
      </c>
      <c r="J56">
        <v>0.47099999999999997</v>
      </c>
      <c r="K56">
        <v>0</v>
      </c>
      <c r="L56">
        <v>1</v>
      </c>
      <c r="M56" t="s">
        <v>59</v>
      </c>
      <c r="N56" s="1">
        <v>20578</v>
      </c>
      <c r="O56">
        <v>0.34300000000000003</v>
      </c>
      <c r="P56">
        <v>0.47499999999999998</v>
      </c>
      <c r="Q56">
        <v>0</v>
      </c>
      <c r="R56">
        <v>1</v>
      </c>
    </row>
    <row r="57" spans="1:18" x14ac:dyDescent="0.25">
      <c r="A57" t="s">
        <v>60</v>
      </c>
      <c r="B57" s="1">
        <v>43225</v>
      </c>
      <c r="C57">
        <v>0.316</v>
      </c>
      <c r="D57">
        <v>0.46500000000000002</v>
      </c>
      <c r="E57">
        <v>0</v>
      </c>
      <c r="F57">
        <v>1</v>
      </c>
      <c r="G57" t="s">
        <v>60</v>
      </c>
      <c r="H57" s="1">
        <v>22647</v>
      </c>
      <c r="I57">
        <v>0.308</v>
      </c>
      <c r="J57">
        <v>0.46200000000000002</v>
      </c>
      <c r="K57">
        <v>0</v>
      </c>
      <c r="L57">
        <v>1</v>
      </c>
      <c r="M57" t="s">
        <v>60</v>
      </c>
      <c r="N57" s="1">
        <v>20578</v>
      </c>
      <c r="O57">
        <v>0.32500000000000001</v>
      </c>
      <c r="P57">
        <v>0.46800000000000003</v>
      </c>
      <c r="Q57">
        <v>0</v>
      </c>
      <c r="R57">
        <v>1</v>
      </c>
    </row>
    <row r="58" spans="1:18" x14ac:dyDescent="0.25">
      <c r="A58" t="s">
        <v>61</v>
      </c>
      <c r="B58" s="1">
        <v>43225</v>
      </c>
      <c r="C58" s="2">
        <v>2019.2829999999999</v>
      </c>
      <c r="D58">
        <v>1.99</v>
      </c>
      <c r="E58" s="1">
        <v>2016</v>
      </c>
      <c r="F58" s="1">
        <v>2023</v>
      </c>
      <c r="G58" t="s">
        <v>61</v>
      </c>
      <c r="H58" s="1">
        <v>22647</v>
      </c>
      <c r="I58" s="2">
        <v>2017.6479999999999</v>
      </c>
      <c r="J58">
        <v>1.175</v>
      </c>
      <c r="K58" s="1">
        <v>2016</v>
      </c>
      <c r="L58" s="1">
        <v>2020</v>
      </c>
      <c r="M58" t="s">
        <v>61</v>
      </c>
      <c r="N58" s="1">
        <v>20578</v>
      </c>
      <c r="O58" s="2">
        <v>2021.0830000000001</v>
      </c>
      <c r="P58">
        <v>0.78600000000000003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43225</v>
      </c>
      <c r="C59">
        <v>0.46</v>
      </c>
      <c r="D59">
        <v>0.498</v>
      </c>
      <c r="E59">
        <v>0</v>
      </c>
      <c r="F59">
        <v>1</v>
      </c>
      <c r="G59" t="s">
        <v>62</v>
      </c>
      <c r="H59" s="1">
        <v>22647</v>
      </c>
      <c r="I59" s="2">
        <v>0.46400000000000002</v>
      </c>
      <c r="J59">
        <v>0.499</v>
      </c>
      <c r="K59" s="1">
        <v>0</v>
      </c>
      <c r="L59" s="1">
        <v>1</v>
      </c>
      <c r="M59" t="s">
        <v>62</v>
      </c>
      <c r="N59" s="1">
        <v>20578</v>
      </c>
      <c r="O59">
        <v>0.45600000000000002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43225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22647</v>
      </c>
      <c r="I60">
        <v>8.0000000000000002E-3</v>
      </c>
      <c r="J60">
        <v>9.0999999999999998E-2</v>
      </c>
      <c r="K60">
        <v>0</v>
      </c>
      <c r="L60">
        <v>1</v>
      </c>
      <c r="M60" t="s">
        <v>63</v>
      </c>
      <c r="N60" s="1">
        <v>20578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43225</v>
      </c>
      <c r="C61">
        <v>0.03</v>
      </c>
      <c r="D61">
        <v>0.17199999999999999</v>
      </c>
      <c r="E61">
        <v>0</v>
      </c>
      <c r="F61">
        <v>1</v>
      </c>
      <c r="G61" t="s">
        <v>64</v>
      </c>
      <c r="H61" s="1">
        <v>22647</v>
      </c>
      <c r="I61">
        <v>2.9000000000000001E-2</v>
      </c>
      <c r="J61">
        <v>0.16900000000000001</v>
      </c>
      <c r="K61">
        <v>0</v>
      </c>
      <c r="L61">
        <v>1</v>
      </c>
      <c r="M61" t="s">
        <v>64</v>
      </c>
      <c r="N61" s="1">
        <v>20578</v>
      </c>
      <c r="O61">
        <v>3.2000000000000001E-2</v>
      </c>
      <c r="P61">
        <v>0.17499999999999999</v>
      </c>
      <c r="Q61">
        <v>0</v>
      </c>
      <c r="R61">
        <v>1</v>
      </c>
    </row>
    <row r="62" spans="1:18" x14ac:dyDescent="0.25">
      <c r="A62" t="s">
        <v>65</v>
      </c>
      <c r="B62" s="1">
        <v>43225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22647</v>
      </c>
      <c r="I62">
        <v>0.14799999999999999</v>
      </c>
      <c r="J62">
        <v>0.35499999999999998</v>
      </c>
      <c r="K62">
        <v>0</v>
      </c>
      <c r="L62">
        <v>1</v>
      </c>
      <c r="M62" t="s">
        <v>65</v>
      </c>
      <c r="N62" s="1">
        <v>20578</v>
      </c>
      <c r="O62">
        <v>0.151</v>
      </c>
      <c r="P62">
        <v>0.35799999999999998</v>
      </c>
      <c r="Q62">
        <v>0</v>
      </c>
      <c r="R62">
        <v>1</v>
      </c>
    </row>
    <row r="63" spans="1:18" x14ac:dyDescent="0.25">
      <c r="A63" t="s">
        <v>66</v>
      </c>
      <c r="B63" s="1">
        <v>43225</v>
      </c>
      <c r="C63">
        <v>0.16600000000000001</v>
      </c>
      <c r="D63">
        <v>0.372</v>
      </c>
      <c r="E63">
        <v>0</v>
      </c>
      <c r="F63">
        <v>1</v>
      </c>
      <c r="G63" t="s">
        <v>66</v>
      </c>
      <c r="H63" s="1">
        <v>22647</v>
      </c>
      <c r="I63">
        <v>0.161</v>
      </c>
      <c r="J63">
        <v>0.36799999999999999</v>
      </c>
      <c r="K63">
        <v>0</v>
      </c>
      <c r="L63">
        <v>1</v>
      </c>
      <c r="M63" t="s">
        <v>66</v>
      </c>
      <c r="N63" s="1">
        <v>20578</v>
      </c>
      <c r="O63">
        <v>0.17100000000000001</v>
      </c>
      <c r="P63">
        <v>0.377</v>
      </c>
      <c r="Q63">
        <v>0</v>
      </c>
      <c r="R63">
        <v>1</v>
      </c>
    </row>
    <row r="64" spans="1:18" x14ac:dyDescent="0.25">
      <c r="A64" t="s">
        <v>67</v>
      </c>
      <c r="B64" s="1">
        <v>43225</v>
      </c>
      <c r="C64">
        <v>3.7999999999999999E-2</v>
      </c>
      <c r="D64">
        <v>0.192</v>
      </c>
      <c r="E64">
        <v>0</v>
      </c>
      <c r="F64">
        <v>1</v>
      </c>
      <c r="G64" t="s">
        <v>67</v>
      </c>
      <c r="H64" s="1">
        <v>22647</v>
      </c>
      <c r="I64">
        <v>0.04</v>
      </c>
      <c r="J64">
        <v>0.19600000000000001</v>
      </c>
      <c r="K64">
        <v>0</v>
      </c>
      <c r="L64">
        <v>1</v>
      </c>
      <c r="M64" t="s">
        <v>67</v>
      </c>
      <c r="N64" s="1">
        <v>20578</v>
      </c>
      <c r="O64">
        <v>3.5999999999999997E-2</v>
      </c>
      <c r="P64">
        <v>0.187</v>
      </c>
      <c r="Q64">
        <v>0</v>
      </c>
      <c r="R64">
        <v>1</v>
      </c>
    </row>
    <row r="65" spans="1:18" x14ac:dyDescent="0.25">
      <c r="A65" t="s">
        <v>68</v>
      </c>
      <c r="B65" s="1">
        <v>43225</v>
      </c>
      <c r="C65">
        <v>0.11600000000000001</v>
      </c>
      <c r="D65">
        <v>0.32100000000000001</v>
      </c>
      <c r="E65">
        <v>0</v>
      </c>
      <c r="F65">
        <v>1</v>
      </c>
      <c r="G65" t="s">
        <v>68</v>
      </c>
      <c r="H65" s="1">
        <v>22647</v>
      </c>
      <c r="I65">
        <v>0.114</v>
      </c>
      <c r="J65">
        <v>0.318</v>
      </c>
      <c r="K65">
        <v>0</v>
      </c>
      <c r="L65">
        <v>1</v>
      </c>
      <c r="M65" t="s">
        <v>68</v>
      </c>
      <c r="N65" s="1">
        <v>20578</v>
      </c>
      <c r="O65">
        <v>0.11899999999999999</v>
      </c>
      <c r="P65">
        <v>0.32400000000000001</v>
      </c>
      <c r="Q65">
        <v>0</v>
      </c>
      <c r="R65">
        <v>1</v>
      </c>
    </row>
    <row r="66" spans="1:18" x14ac:dyDescent="0.25">
      <c r="A66" t="s">
        <v>69</v>
      </c>
      <c r="B66" s="1">
        <v>43225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22647</v>
      </c>
      <c r="I66">
        <v>3.5000000000000003E-2</v>
      </c>
      <c r="J66">
        <v>0.184</v>
      </c>
      <c r="K66">
        <v>0</v>
      </c>
      <c r="L66">
        <v>1</v>
      </c>
      <c r="M66" t="s">
        <v>69</v>
      </c>
      <c r="N66" s="1">
        <v>20578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43225</v>
      </c>
      <c r="C67">
        <v>0.19500000000000001</v>
      </c>
      <c r="D67">
        <v>0.39600000000000002</v>
      </c>
      <c r="E67">
        <v>0</v>
      </c>
      <c r="F67">
        <v>1</v>
      </c>
      <c r="G67" t="s">
        <v>70</v>
      </c>
      <c r="H67" s="1">
        <v>22647</v>
      </c>
      <c r="I67">
        <v>0.19400000000000001</v>
      </c>
      <c r="J67">
        <v>0.39600000000000002</v>
      </c>
      <c r="K67">
        <v>0</v>
      </c>
      <c r="L67">
        <v>1</v>
      </c>
      <c r="M67" t="s">
        <v>70</v>
      </c>
      <c r="N67" s="1">
        <v>20578</v>
      </c>
      <c r="O67">
        <v>0.19600000000000001</v>
      </c>
      <c r="P67">
        <v>0.39700000000000002</v>
      </c>
      <c r="Q67">
        <v>0</v>
      </c>
      <c r="R67">
        <v>1</v>
      </c>
    </row>
    <row r="68" spans="1:18" x14ac:dyDescent="0.25">
      <c r="A68" t="s">
        <v>71</v>
      </c>
      <c r="B68" s="1">
        <v>43225</v>
      </c>
      <c r="C68">
        <v>0.33100000000000002</v>
      </c>
      <c r="D68">
        <v>0.47099999999999997</v>
      </c>
      <c r="E68">
        <v>0</v>
      </c>
      <c r="F68">
        <v>1</v>
      </c>
      <c r="G68" t="s">
        <v>71</v>
      </c>
      <c r="H68" s="1">
        <v>22647</v>
      </c>
      <c r="I68">
        <v>0.34799999999999998</v>
      </c>
      <c r="J68">
        <v>0.47599999999999998</v>
      </c>
      <c r="K68">
        <v>0</v>
      </c>
      <c r="L68">
        <v>1</v>
      </c>
      <c r="M68" t="s">
        <v>71</v>
      </c>
      <c r="N68" s="1">
        <v>20578</v>
      </c>
      <c r="O68">
        <v>0.313</v>
      </c>
      <c r="P68">
        <v>0.46400000000000002</v>
      </c>
      <c r="Q68">
        <v>0</v>
      </c>
      <c r="R68">
        <v>1</v>
      </c>
    </row>
    <row r="69" spans="1:18" x14ac:dyDescent="0.25">
      <c r="A69" t="s">
        <v>72</v>
      </c>
      <c r="B69" s="1">
        <v>43225</v>
      </c>
      <c r="C69">
        <v>0.42899999999999999</v>
      </c>
      <c r="D69">
        <v>0.495</v>
      </c>
      <c r="E69">
        <v>0</v>
      </c>
      <c r="F69">
        <v>1</v>
      </c>
      <c r="G69" t="s">
        <v>72</v>
      </c>
      <c r="H69" s="1">
        <v>22647</v>
      </c>
      <c r="I69">
        <v>0.41</v>
      </c>
      <c r="J69">
        <v>0.49199999999999999</v>
      </c>
      <c r="K69">
        <v>0</v>
      </c>
      <c r="L69">
        <v>1</v>
      </c>
      <c r="M69" t="s">
        <v>72</v>
      </c>
      <c r="N69" s="1">
        <v>20578</v>
      </c>
      <c r="O69">
        <v>0.44900000000000001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43225</v>
      </c>
      <c r="C70">
        <v>4.4999999999999998E-2</v>
      </c>
      <c r="D70">
        <v>0.20699999999999999</v>
      </c>
      <c r="E70">
        <v>0</v>
      </c>
      <c r="F70">
        <v>1</v>
      </c>
      <c r="G70" t="s">
        <v>73</v>
      </c>
      <c r="H70" s="1">
        <v>22647</v>
      </c>
      <c r="I70">
        <v>4.8000000000000001E-2</v>
      </c>
      <c r="J70">
        <v>0.21299999999999999</v>
      </c>
      <c r="K70">
        <v>0</v>
      </c>
      <c r="L70">
        <v>1</v>
      </c>
      <c r="M70" t="s">
        <v>73</v>
      </c>
      <c r="N70" s="1">
        <v>20578</v>
      </c>
      <c r="O70">
        <v>4.2000000000000003E-2</v>
      </c>
      <c r="P70">
        <v>0.2</v>
      </c>
      <c r="Q70">
        <v>0</v>
      </c>
      <c r="R70">
        <v>1</v>
      </c>
    </row>
    <row r="71" spans="1:18" x14ac:dyDescent="0.25">
      <c r="A71" t="s">
        <v>165</v>
      </c>
      <c r="B71" s="1">
        <v>43225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22647</v>
      </c>
      <c r="I71">
        <v>0.06</v>
      </c>
      <c r="J71">
        <v>0.23799999999999999</v>
      </c>
      <c r="K71">
        <v>0</v>
      </c>
      <c r="L71">
        <v>1</v>
      </c>
      <c r="M71" t="s">
        <v>165</v>
      </c>
      <c r="N71" s="1">
        <v>20578</v>
      </c>
      <c r="O71">
        <v>5.5E-2</v>
      </c>
      <c r="P71">
        <v>0.22800000000000001</v>
      </c>
      <c r="Q71">
        <v>0</v>
      </c>
      <c r="R71">
        <v>1</v>
      </c>
    </row>
    <row r="72" spans="1:18" x14ac:dyDescent="0.25">
      <c r="A72" t="s">
        <v>166</v>
      </c>
      <c r="B72" s="1">
        <v>43225</v>
      </c>
      <c r="C72">
        <v>0.26</v>
      </c>
      <c r="D72">
        <v>0.439</v>
      </c>
      <c r="E72">
        <v>0</v>
      </c>
      <c r="F72">
        <v>1</v>
      </c>
      <c r="G72" t="s">
        <v>166</v>
      </c>
      <c r="H72" s="1">
        <v>22647</v>
      </c>
      <c r="I72">
        <v>0.26100000000000001</v>
      </c>
      <c r="J72">
        <v>0.439</v>
      </c>
      <c r="K72">
        <v>0</v>
      </c>
      <c r="L72">
        <v>1</v>
      </c>
      <c r="M72" t="s">
        <v>166</v>
      </c>
      <c r="N72" s="1">
        <v>20578</v>
      </c>
      <c r="O72">
        <v>0.26</v>
      </c>
      <c r="P72">
        <v>0.438</v>
      </c>
      <c r="Q72">
        <v>0</v>
      </c>
      <c r="R72">
        <v>1</v>
      </c>
    </row>
    <row r="73" spans="1:18" x14ac:dyDescent="0.25">
      <c r="A73" t="s">
        <v>167</v>
      </c>
      <c r="B73" s="1">
        <v>43225</v>
      </c>
      <c r="C73">
        <v>0.45800000000000002</v>
      </c>
      <c r="D73">
        <v>0.498</v>
      </c>
      <c r="E73">
        <v>0</v>
      </c>
      <c r="F73">
        <v>1</v>
      </c>
      <c r="G73" t="s">
        <v>167</v>
      </c>
      <c r="H73" s="1">
        <v>22647</v>
      </c>
      <c r="I73">
        <v>0.46899999999999997</v>
      </c>
      <c r="J73">
        <v>0.499</v>
      </c>
      <c r="K73">
        <v>0</v>
      </c>
      <c r="L73">
        <v>1</v>
      </c>
      <c r="M73" t="s">
        <v>167</v>
      </c>
      <c r="N73" s="1">
        <v>20578</v>
      </c>
      <c r="O73">
        <v>0.44600000000000001</v>
      </c>
      <c r="P73">
        <v>0.497</v>
      </c>
      <c r="Q73">
        <v>0</v>
      </c>
      <c r="R73">
        <v>1</v>
      </c>
    </row>
    <row r="74" spans="1:18" x14ac:dyDescent="0.25">
      <c r="A74" t="s">
        <v>168</v>
      </c>
      <c r="B74" s="1">
        <v>43225</v>
      </c>
      <c r="C74">
        <v>6.2E-2</v>
      </c>
      <c r="D74">
        <v>0.24099999999999999</v>
      </c>
      <c r="E74">
        <v>0</v>
      </c>
      <c r="F74">
        <v>1</v>
      </c>
      <c r="G74" t="s">
        <v>168</v>
      </c>
      <c r="H74" s="1">
        <v>22647</v>
      </c>
      <c r="I74">
        <v>0.06</v>
      </c>
      <c r="J74">
        <v>0.23799999999999999</v>
      </c>
      <c r="K74">
        <v>0</v>
      </c>
      <c r="L74">
        <v>1</v>
      </c>
      <c r="M74" t="s">
        <v>168</v>
      </c>
      <c r="N74" s="1">
        <v>20578</v>
      </c>
      <c r="O74">
        <v>6.4000000000000001E-2</v>
      </c>
      <c r="P74">
        <v>0.245</v>
      </c>
      <c r="Q74">
        <v>0</v>
      </c>
      <c r="R74">
        <v>1</v>
      </c>
    </row>
    <row r="75" spans="1:18" x14ac:dyDescent="0.25">
      <c r="A75" t="s">
        <v>169</v>
      </c>
      <c r="B75" s="1">
        <v>43225</v>
      </c>
      <c r="C75">
        <v>0.123</v>
      </c>
      <c r="D75">
        <v>0.32900000000000001</v>
      </c>
      <c r="E75">
        <v>0</v>
      </c>
      <c r="F75">
        <v>1</v>
      </c>
      <c r="G75" t="s">
        <v>169</v>
      </c>
      <c r="H75" s="1">
        <v>22647</v>
      </c>
      <c r="I75">
        <v>0.11600000000000001</v>
      </c>
      <c r="J75">
        <v>0.32</v>
      </c>
      <c r="K75">
        <v>0</v>
      </c>
      <c r="L75">
        <v>1</v>
      </c>
      <c r="M75" t="s">
        <v>169</v>
      </c>
      <c r="N75" s="1">
        <v>20578</v>
      </c>
      <c r="O75">
        <v>0.13100000000000001</v>
      </c>
      <c r="P75">
        <v>0.33800000000000002</v>
      </c>
      <c r="Q75">
        <v>0</v>
      </c>
      <c r="R75">
        <v>1</v>
      </c>
    </row>
    <row r="76" spans="1:18" x14ac:dyDescent="0.25">
      <c r="A76" t="s">
        <v>170</v>
      </c>
      <c r="B76" s="1">
        <v>43225</v>
      </c>
      <c r="C76">
        <v>3.9E-2</v>
      </c>
      <c r="D76">
        <v>0.193</v>
      </c>
      <c r="E76">
        <v>0</v>
      </c>
      <c r="F76">
        <v>1</v>
      </c>
      <c r="G76" t="s">
        <v>170</v>
      </c>
      <c r="H76" s="1">
        <v>22647</v>
      </c>
      <c r="I76">
        <v>3.4000000000000002E-2</v>
      </c>
      <c r="J76">
        <v>0.18</v>
      </c>
      <c r="K76">
        <v>0</v>
      </c>
      <c r="L76">
        <v>1</v>
      </c>
      <c r="M76" t="s">
        <v>170</v>
      </c>
      <c r="N76" s="1">
        <v>20578</v>
      </c>
      <c r="O76">
        <v>4.3999999999999997E-2</v>
      </c>
      <c r="P76">
        <v>0.20599999999999999</v>
      </c>
      <c r="Q76">
        <v>0</v>
      </c>
      <c r="R76">
        <v>1</v>
      </c>
    </row>
    <row r="77" spans="1:18" x14ac:dyDescent="0.25">
      <c r="A77" t="s">
        <v>79</v>
      </c>
      <c r="B77" s="1">
        <v>43225</v>
      </c>
      <c r="C77">
        <v>0.126</v>
      </c>
      <c r="D77">
        <v>0.33200000000000002</v>
      </c>
      <c r="E77">
        <v>0</v>
      </c>
      <c r="F77">
        <v>1</v>
      </c>
      <c r="G77" t="s">
        <v>79</v>
      </c>
      <c r="H77" s="1">
        <v>22647</v>
      </c>
      <c r="I77">
        <v>0.129</v>
      </c>
      <c r="J77">
        <v>0.33500000000000002</v>
      </c>
      <c r="K77">
        <v>0</v>
      </c>
      <c r="L77">
        <v>1</v>
      </c>
      <c r="M77" t="s">
        <v>79</v>
      </c>
      <c r="N77" s="1">
        <v>20578</v>
      </c>
      <c r="O77">
        <v>0.123</v>
      </c>
      <c r="P77">
        <v>0.32900000000000001</v>
      </c>
      <c r="Q77">
        <v>0</v>
      </c>
      <c r="R77">
        <v>1</v>
      </c>
    </row>
    <row r="78" spans="1:18" x14ac:dyDescent="0.25">
      <c r="A78" t="s">
        <v>80</v>
      </c>
      <c r="B78" s="1">
        <v>43225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22647</v>
      </c>
      <c r="I78">
        <v>6.0000000000000001E-3</v>
      </c>
      <c r="J78">
        <v>7.3999999999999996E-2</v>
      </c>
      <c r="K78">
        <v>0</v>
      </c>
      <c r="L78">
        <v>1</v>
      </c>
      <c r="M78" t="s">
        <v>80</v>
      </c>
      <c r="N78" s="1">
        <v>20578</v>
      </c>
      <c r="O78">
        <v>7.0000000000000001E-3</v>
      </c>
      <c r="P78">
        <v>8.2000000000000003E-2</v>
      </c>
      <c r="Q78">
        <v>0</v>
      </c>
      <c r="R78">
        <v>1</v>
      </c>
    </row>
    <row r="79" spans="1:18" x14ac:dyDescent="0.25">
      <c r="A79" t="s">
        <v>81</v>
      </c>
      <c r="B79" s="1">
        <v>43225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22647</v>
      </c>
      <c r="I79">
        <v>2E-3</v>
      </c>
      <c r="J79">
        <v>4.1000000000000002E-2</v>
      </c>
      <c r="K79">
        <v>0</v>
      </c>
      <c r="L79">
        <v>1</v>
      </c>
      <c r="M79" t="s">
        <v>81</v>
      </c>
      <c r="N79" s="1">
        <v>20578</v>
      </c>
      <c r="O79">
        <v>2E-3</v>
      </c>
      <c r="P79">
        <v>4.2999999999999997E-2</v>
      </c>
      <c r="Q79">
        <v>0</v>
      </c>
      <c r="R79">
        <v>1</v>
      </c>
    </row>
    <row r="80" spans="1:18" x14ac:dyDescent="0.25">
      <c r="A80" t="s">
        <v>82</v>
      </c>
      <c r="B80" s="1">
        <v>43225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22647</v>
      </c>
      <c r="I80">
        <v>4.2999999999999997E-2</v>
      </c>
      <c r="J80">
        <v>0.20200000000000001</v>
      </c>
      <c r="K80">
        <v>0</v>
      </c>
      <c r="L80">
        <v>1</v>
      </c>
      <c r="M80" t="s">
        <v>82</v>
      </c>
      <c r="N80" s="1">
        <v>20578</v>
      </c>
      <c r="O80">
        <v>4.2999999999999997E-2</v>
      </c>
      <c r="P80">
        <v>0.20200000000000001</v>
      </c>
      <c r="Q80">
        <v>0</v>
      </c>
      <c r="R80">
        <v>1</v>
      </c>
    </row>
    <row r="81" spans="1:18" x14ac:dyDescent="0.25">
      <c r="A81" t="s">
        <v>83</v>
      </c>
      <c r="B81" s="1">
        <v>43225</v>
      </c>
      <c r="C81">
        <v>0.40300000000000002</v>
      </c>
      <c r="D81">
        <v>0.49</v>
      </c>
      <c r="E81">
        <v>0</v>
      </c>
      <c r="F81">
        <v>1</v>
      </c>
      <c r="G81" t="s">
        <v>83</v>
      </c>
      <c r="H81" s="1">
        <v>22647</v>
      </c>
      <c r="I81">
        <v>0.40100000000000002</v>
      </c>
      <c r="J81">
        <v>0.49</v>
      </c>
      <c r="K81">
        <v>0</v>
      </c>
      <c r="L81">
        <v>1</v>
      </c>
      <c r="M81" t="s">
        <v>83</v>
      </c>
      <c r="N81" s="1">
        <v>20578</v>
      </c>
      <c r="O81">
        <v>0.40500000000000003</v>
      </c>
      <c r="P81">
        <v>0.49099999999999999</v>
      </c>
      <c r="Q81">
        <v>0</v>
      </c>
      <c r="R81">
        <v>1</v>
      </c>
    </row>
    <row r="82" spans="1:18" x14ac:dyDescent="0.25">
      <c r="A82" t="s">
        <v>84</v>
      </c>
      <c r="B82" s="1">
        <v>43225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22647</v>
      </c>
      <c r="I82">
        <v>7.0000000000000001E-3</v>
      </c>
      <c r="J82">
        <v>8.3000000000000004E-2</v>
      </c>
      <c r="K82">
        <v>0</v>
      </c>
      <c r="L82">
        <v>1</v>
      </c>
      <c r="M82" t="s">
        <v>84</v>
      </c>
      <c r="N82" s="1">
        <v>20578</v>
      </c>
      <c r="O82">
        <v>8.9999999999999993E-3</v>
      </c>
      <c r="P82">
        <v>9.5000000000000001E-2</v>
      </c>
      <c r="Q82">
        <v>0</v>
      </c>
      <c r="R82">
        <v>1</v>
      </c>
    </row>
    <row r="83" spans="1:18" x14ac:dyDescent="0.25">
      <c r="A83" t="s">
        <v>85</v>
      </c>
      <c r="B83" s="1">
        <v>43225</v>
      </c>
      <c r="C83">
        <v>0.41199999999999998</v>
      </c>
      <c r="D83">
        <v>0.49199999999999999</v>
      </c>
      <c r="E83">
        <v>0</v>
      </c>
      <c r="F83">
        <v>1</v>
      </c>
      <c r="G83" t="s">
        <v>85</v>
      </c>
      <c r="H83" s="1">
        <v>22647</v>
      </c>
      <c r="I83">
        <v>0.41299999999999998</v>
      </c>
      <c r="J83">
        <v>0.49199999999999999</v>
      </c>
      <c r="K83">
        <v>0</v>
      </c>
      <c r="L83">
        <v>1</v>
      </c>
      <c r="M83" t="s">
        <v>85</v>
      </c>
      <c r="N83" s="1">
        <v>20578</v>
      </c>
      <c r="O83">
        <v>0.41199999999999998</v>
      </c>
      <c r="P83">
        <v>0.49199999999999999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DEB44-234C-47BF-9495-E8C85309C37D}">
  <sheetPr codeName="Sheet5"/>
  <dimension ref="A1:R85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23328</v>
      </c>
      <c r="C3">
        <v>1.18</v>
      </c>
      <c r="D3">
        <v>0.42699999999999999</v>
      </c>
      <c r="E3">
        <v>1</v>
      </c>
      <c r="F3">
        <v>5</v>
      </c>
      <c r="G3" t="s">
        <v>10</v>
      </c>
      <c r="H3" s="1">
        <v>12074</v>
      </c>
      <c r="I3">
        <v>1.0720000000000001</v>
      </c>
      <c r="J3">
        <v>0.26500000000000001</v>
      </c>
      <c r="K3">
        <v>1</v>
      </c>
      <c r="L3">
        <v>4</v>
      </c>
      <c r="M3" t="s">
        <v>10</v>
      </c>
      <c r="N3" s="1">
        <v>11254</v>
      </c>
      <c r="O3">
        <v>1.2949999999999999</v>
      </c>
      <c r="P3">
        <v>0.52600000000000002</v>
      </c>
      <c r="Q3">
        <v>1</v>
      </c>
      <c r="R3">
        <v>5</v>
      </c>
    </row>
    <row r="4" spans="1:18" x14ac:dyDescent="0.25">
      <c r="A4" t="s">
        <v>11</v>
      </c>
      <c r="B4" s="1">
        <v>23328</v>
      </c>
      <c r="C4">
        <v>0.48199999999999998</v>
      </c>
      <c r="D4">
        <v>0.5</v>
      </c>
      <c r="E4">
        <v>0</v>
      </c>
      <c r="F4">
        <v>1</v>
      </c>
      <c r="G4" t="s">
        <v>11</v>
      </c>
      <c r="H4" s="1">
        <v>12074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11254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23328</v>
      </c>
      <c r="C5">
        <v>0.433</v>
      </c>
      <c r="D5">
        <v>0.496</v>
      </c>
      <c r="E5">
        <v>0</v>
      </c>
      <c r="F5">
        <v>1</v>
      </c>
      <c r="G5" t="s">
        <v>12</v>
      </c>
      <c r="H5" s="1">
        <v>12074</v>
      </c>
      <c r="I5">
        <v>2E-3</v>
      </c>
      <c r="J5">
        <v>4.1000000000000002E-2</v>
      </c>
      <c r="K5">
        <v>0</v>
      </c>
      <c r="L5">
        <v>1</v>
      </c>
      <c r="M5" t="s">
        <v>12</v>
      </c>
      <c r="N5" s="1">
        <v>11254</v>
      </c>
      <c r="O5">
        <v>0.89600000000000002</v>
      </c>
      <c r="P5">
        <v>0.30599999999999999</v>
      </c>
      <c r="Q5">
        <v>0</v>
      </c>
      <c r="R5">
        <v>1</v>
      </c>
    </row>
    <row r="6" spans="1:18" x14ac:dyDescent="0.25">
      <c r="A6" t="s">
        <v>36</v>
      </c>
      <c r="B6" s="1">
        <v>11254</v>
      </c>
      <c r="C6">
        <v>316.60500000000002</v>
      </c>
      <c r="D6">
        <v>574.68200000000002</v>
      </c>
      <c r="E6">
        <v>0</v>
      </c>
      <c r="F6" s="1">
        <v>4021</v>
      </c>
      <c r="H6" s="1"/>
      <c r="M6" t="s">
        <v>36</v>
      </c>
      <c r="N6" s="1">
        <v>11254</v>
      </c>
      <c r="O6">
        <v>316.60500000000002</v>
      </c>
      <c r="P6">
        <v>574.68200000000002</v>
      </c>
      <c r="Q6">
        <v>0</v>
      </c>
      <c r="R6" s="1">
        <v>4021</v>
      </c>
    </row>
    <row r="7" spans="1:18" x14ac:dyDescent="0.25">
      <c r="A7" t="s">
        <v>13</v>
      </c>
      <c r="B7" s="1">
        <v>23328</v>
      </c>
      <c r="C7">
        <v>1.4910000000000001</v>
      </c>
      <c r="D7">
        <v>0.55300000000000005</v>
      </c>
      <c r="E7">
        <v>0</v>
      </c>
      <c r="F7">
        <v>6</v>
      </c>
      <c r="G7" t="s">
        <v>13</v>
      </c>
      <c r="H7" s="1">
        <v>12074</v>
      </c>
      <c r="I7">
        <v>1.4830000000000001</v>
      </c>
      <c r="J7">
        <v>0.55100000000000005</v>
      </c>
      <c r="K7">
        <v>0</v>
      </c>
      <c r="L7">
        <v>4</v>
      </c>
      <c r="M7" t="s">
        <v>13</v>
      </c>
      <c r="N7" s="1">
        <v>11254</v>
      </c>
      <c r="O7">
        <v>1.5</v>
      </c>
      <c r="P7">
        <v>0.55500000000000005</v>
      </c>
      <c r="Q7">
        <v>0</v>
      </c>
      <c r="R7">
        <v>6</v>
      </c>
    </row>
    <row r="8" spans="1:18" x14ac:dyDescent="0.25">
      <c r="A8" t="s">
        <v>14</v>
      </c>
      <c r="B8" s="1">
        <v>23328</v>
      </c>
      <c r="C8">
        <v>0.16700000000000001</v>
      </c>
      <c r="D8">
        <v>0.378</v>
      </c>
      <c r="E8">
        <v>0</v>
      </c>
      <c r="F8">
        <v>4</v>
      </c>
      <c r="G8" t="s">
        <v>14</v>
      </c>
      <c r="H8" s="1">
        <v>12074</v>
      </c>
      <c r="I8">
        <v>0.16200000000000001</v>
      </c>
      <c r="J8">
        <v>0.371</v>
      </c>
      <c r="K8">
        <v>0</v>
      </c>
      <c r="L8">
        <v>2</v>
      </c>
      <c r="M8" t="s">
        <v>14</v>
      </c>
      <c r="N8" s="1">
        <v>11254</v>
      </c>
      <c r="O8">
        <v>0.17299999999999999</v>
      </c>
      <c r="P8">
        <v>0.38500000000000001</v>
      </c>
      <c r="Q8">
        <v>0</v>
      </c>
      <c r="R8">
        <v>4</v>
      </c>
    </row>
    <row r="9" spans="1:18" x14ac:dyDescent="0.25">
      <c r="A9" t="s">
        <v>15</v>
      </c>
      <c r="B9" s="1">
        <v>23328</v>
      </c>
      <c r="C9">
        <v>1.792</v>
      </c>
      <c r="D9">
        <v>0.92</v>
      </c>
      <c r="E9">
        <v>0</v>
      </c>
      <c r="F9">
        <v>8</v>
      </c>
      <c r="G9" t="s">
        <v>15</v>
      </c>
      <c r="H9" s="1">
        <v>12074</v>
      </c>
      <c r="I9">
        <v>1.778</v>
      </c>
      <c r="J9">
        <v>0.91500000000000004</v>
      </c>
      <c r="K9">
        <v>0</v>
      </c>
      <c r="L9">
        <v>5</v>
      </c>
      <c r="M9" t="s">
        <v>15</v>
      </c>
      <c r="N9" s="1">
        <v>11254</v>
      </c>
      <c r="O9">
        <v>1.806</v>
      </c>
      <c r="P9">
        <v>0.92500000000000004</v>
      </c>
      <c r="Q9">
        <v>0</v>
      </c>
      <c r="R9">
        <v>8</v>
      </c>
    </row>
    <row r="10" spans="1:18" x14ac:dyDescent="0.25">
      <c r="A10" t="s">
        <v>16</v>
      </c>
      <c r="B10" s="1">
        <v>23328</v>
      </c>
      <c r="C10">
        <v>45.384999999999998</v>
      </c>
      <c r="D10">
        <v>61.390999999999998</v>
      </c>
      <c r="E10">
        <v>0</v>
      </c>
      <c r="F10">
        <v>946</v>
      </c>
      <c r="G10" t="s">
        <v>16</v>
      </c>
      <c r="H10" s="1">
        <v>12074</v>
      </c>
      <c r="I10">
        <v>50.74</v>
      </c>
      <c r="J10">
        <v>59.234000000000002</v>
      </c>
      <c r="K10">
        <v>0</v>
      </c>
      <c r="L10">
        <v>785</v>
      </c>
      <c r="M10" t="s">
        <v>16</v>
      </c>
      <c r="N10" s="1">
        <v>11254</v>
      </c>
      <c r="O10">
        <v>39.640999999999998</v>
      </c>
      <c r="P10">
        <v>63.124000000000002</v>
      </c>
      <c r="Q10">
        <v>0</v>
      </c>
      <c r="R10">
        <v>946</v>
      </c>
    </row>
    <row r="11" spans="1:18" x14ac:dyDescent="0.25">
      <c r="A11" t="s">
        <v>163</v>
      </c>
      <c r="B11" s="1">
        <v>23328</v>
      </c>
      <c r="C11">
        <v>874.19200000000001</v>
      </c>
      <c r="D11">
        <v>389.03199999999998</v>
      </c>
      <c r="E11">
        <v>120</v>
      </c>
      <c r="F11" s="1">
        <v>10740</v>
      </c>
      <c r="G11" t="s">
        <v>163</v>
      </c>
      <c r="H11" s="1">
        <v>12074</v>
      </c>
      <c r="I11">
        <v>870.36900000000003</v>
      </c>
      <c r="J11">
        <v>384.16300000000001</v>
      </c>
      <c r="K11">
        <v>160</v>
      </c>
      <c r="L11" s="1">
        <v>6273</v>
      </c>
      <c r="M11" t="s">
        <v>163</v>
      </c>
      <c r="N11" s="1">
        <v>11254</v>
      </c>
      <c r="O11">
        <v>878.29399999999998</v>
      </c>
      <c r="P11">
        <v>394.16500000000002</v>
      </c>
      <c r="Q11">
        <v>120</v>
      </c>
      <c r="R11" s="1">
        <v>10740</v>
      </c>
    </row>
    <row r="12" spans="1:18" x14ac:dyDescent="0.25">
      <c r="A12" t="s">
        <v>17</v>
      </c>
      <c r="B12" s="1">
        <v>23328</v>
      </c>
      <c r="C12">
        <v>25.187999999999999</v>
      </c>
      <c r="D12">
        <v>94.600999999999999</v>
      </c>
      <c r="E12">
        <v>0</v>
      </c>
      <c r="F12" s="1">
        <v>1380</v>
      </c>
      <c r="G12" t="s">
        <v>17</v>
      </c>
      <c r="H12" s="1">
        <v>12074</v>
      </c>
      <c r="I12">
        <v>19.574000000000002</v>
      </c>
      <c r="J12">
        <v>83.397999999999996</v>
      </c>
      <c r="K12">
        <v>0</v>
      </c>
      <c r="L12" s="1">
        <v>942</v>
      </c>
      <c r="M12" t="s">
        <v>17</v>
      </c>
      <c r="N12" s="1">
        <v>11254</v>
      </c>
      <c r="O12">
        <v>31.210999999999999</v>
      </c>
      <c r="P12">
        <v>104.97499999999999</v>
      </c>
      <c r="Q12">
        <v>0</v>
      </c>
      <c r="R12" s="1">
        <v>1380</v>
      </c>
    </row>
    <row r="13" spans="1:18" x14ac:dyDescent="0.25">
      <c r="A13" t="s">
        <v>19</v>
      </c>
      <c r="B13" s="1">
        <v>23328</v>
      </c>
      <c r="C13" s="2">
        <v>674395.6</v>
      </c>
      <c r="D13" s="2">
        <v>623780.30000000005</v>
      </c>
      <c r="E13" s="2">
        <v>85418.51</v>
      </c>
      <c r="F13" s="2">
        <v>28197546</v>
      </c>
      <c r="G13" t="s">
        <v>19</v>
      </c>
      <c r="H13" s="1">
        <v>12074</v>
      </c>
      <c r="I13" s="2">
        <v>680477.7</v>
      </c>
      <c r="J13" s="2">
        <v>655421.5</v>
      </c>
      <c r="K13" s="2">
        <v>99684.44</v>
      </c>
      <c r="L13" s="2">
        <v>28197546</v>
      </c>
      <c r="M13" t="s">
        <v>19</v>
      </c>
      <c r="N13" s="1">
        <v>11254</v>
      </c>
      <c r="O13" s="2">
        <v>667870.30000000005</v>
      </c>
      <c r="P13" s="2">
        <v>587902.30000000005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23328</v>
      </c>
      <c r="C14" s="2">
        <v>665547.9</v>
      </c>
      <c r="D14" s="2">
        <v>595737.19999999995</v>
      </c>
      <c r="E14" s="2">
        <v>85418.51</v>
      </c>
      <c r="F14" s="2">
        <v>28197546</v>
      </c>
      <c r="G14" t="s">
        <v>20</v>
      </c>
      <c r="H14" s="1">
        <v>12074</v>
      </c>
      <c r="I14" s="2">
        <v>667891.5</v>
      </c>
      <c r="J14" s="2">
        <v>633233.6</v>
      </c>
      <c r="K14" s="2">
        <v>118448.6</v>
      </c>
      <c r="L14" s="2">
        <v>28197546</v>
      </c>
      <c r="M14" t="s">
        <v>20</v>
      </c>
      <c r="N14" s="1">
        <v>11254</v>
      </c>
      <c r="O14" s="2">
        <v>663033.5</v>
      </c>
      <c r="P14" s="2">
        <v>552704.4</v>
      </c>
      <c r="Q14" s="2">
        <v>85418.51</v>
      </c>
      <c r="R14" s="2">
        <v>12768128</v>
      </c>
    </row>
    <row r="15" spans="1:18" x14ac:dyDescent="0.25">
      <c r="A15" t="s">
        <v>190</v>
      </c>
      <c r="B15" s="1">
        <v>23328</v>
      </c>
      <c r="C15" s="2">
        <v>7379.6009999999997</v>
      </c>
      <c r="D15" s="2">
        <v>50229.24</v>
      </c>
      <c r="E15" s="1">
        <v>-300000</v>
      </c>
      <c r="F15" s="1">
        <v>4750000</v>
      </c>
      <c r="G15" t="s">
        <v>190</v>
      </c>
      <c r="H15" s="1">
        <v>12074</v>
      </c>
      <c r="I15" s="2">
        <v>10355.24</v>
      </c>
      <c r="J15" s="2">
        <v>33509.42</v>
      </c>
      <c r="K15" s="2">
        <v>-152000</v>
      </c>
      <c r="L15" s="2">
        <v>750000</v>
      </c>
      <c r="M15" t="s">
        <v>190</v>
      </c>
      <c r="N15" s="1">
        <v>11254</v>
      </c>
      <c r="O15" s="2">
        <v>4187.1459999999997</v>
      </c>
      <c r="P15" s="2">
        <v>63290.02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23328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12074</v>
      </c>
      <c r="I16" s="2">
        <v>1E-3</v>
      </c>
      <c r="J16" s="2">
        <v>3.2000000000000001E-2</v>
      </c>
      <c r="K16" s="1">
        <v>0</v>
      </c>
      <c r="L16" s="1">
        <v>1</v>
      </c>
      <c r="M16" t="s">
        <v>21</v>
      </c>
      <c r="N16" s="1">
        <v>11254</v>
      </c>
      <c r="O16">
        <v>2E-3</v>
      </c>
      <c r="P16">
        <v>4.1000000000000002E-2</v>
      </c>
      <c r="Q16">
        <v>0</v>
      </c>
      <c r="R16">
        <v>1</v>
      </c>
    </row>
    <row r="17" spans="1:18" x14ac:dyDescent="0.25">
      <c r="A17" t="s">
        <v>22</v>
      </c>
      <c r="B17" s="1">
        <v>23328</v>
      </c>
      <c r="C17">
        <v>2.7E-2</v>
      </c>
      <c r="D17">
        <v>0.161</v>
      </c>
      <c r="E17">
        <v>0</v>
      </c>
      <c r="F17">
        <v>1</v>
      </c>
      <c r="G17" t="s">
        <v>22</v>
      </c>
      <c r="H17" s="1">
        <v>12074</v>
      </c>
      <c r="I17">
        <v>2.8000000000000001E-2</v>
      </c>
      <c r="J17">
        <v>0.16500000000000001</v>
      </c>
      <c r="K17">
        <v>0</v>
      </c>
      <c r="L17">
        <v>1</v>
      </c>
      <c r="M17" t="s">
        <v>22</v>
      </c>
      <c r="N17" s="1">
        <v>11254</v>
      </c>
      <c r="O17">
        <v>2.5999999999999999E-2</v>
      </c>
      <c r="P17">
        <v>0.158</v>
      </c>
      <c r="Q17">
        <v>0</v>
      </c>
      <c r="R17">
        <v>1</v>
      </c>
    </row>
    <row r="18" spans="1:18" x14ac:dyDescent="0.25">
      <c r="A18" t="s">
        <v>23</v>
      </c>
      <c r="B18" s="1">
        <v>23328</v>
      </c>
      <c r="C18">
        <v>6.0000000000000001E-3</v>
      </c>
      <c r="D18">
        <v>7.8E-2</v>
      </c>
      <c r="E18">
        <v>0</v>
      </c>
      <c r="F18">
        <v>1</v>
      </c>
      <c r="G18" t="s">
        <v>23</v>
      </c>
      <c r="H18" s="1">
        <v>12074</v>
      </c>
      <c r="I18">
        <v>7.0000000000000001E-3</v>
      </c>
      <c r="J18">
        <v>8.5000000000000006E-2</v>
      </c>
      <c r="K18">
        <v>0</v>
      </c>
      <c r="L18">
        <v>1</v>
      </c>
      <c r="M18" t="s">
        <v>23</v>
      </c>
      <c r="N18" s="1">
        <v>11254</v>
      </c>
      <c r="O18">
        <v>5.0000000000000001E-3</v>
      </c>
      <c r="P18">
        <v>6.9000000000000006E-2</v>
      </c>
      <c r="Q18">
        <v>0</v>
      </c>
      <c r="R18">
        <v>1</v>
      </c>
    </row>
    <row r="19" spans="1:18" x14ac:dyDescent="0.25">
      <c r="A19" t="s">
        <v>24</v>
      </c>
      <c r="B19" s="1">
        <v>23328</v>
      </c>
      <c r="C19">
        <v>0.16600000000000001</v>
      </c>
      <c r="D19">
        <v>0.372</v>
      </c>
      <c r="E19">
        <v>0</v>
      </c>
      <c r="F19">
        <v>1</v>
      </c>
      <c r="G19" t="s">
        <v>24</v>
      </c>
      <c r="H19" s="1">
        <v>12074</v>
      </c>
      <c r="I19">
        <v>0.17299999999999999</v>
      </c>
      <c r="J19">
        <v>0.378</v>
      </c>
      <c r="K19">
        <v>0</v>
      </c>
      <c r="L19">
        <v>1</v>
      </c>
      <c r="M19" t="s">
        <v>24</v>
      </c>
      <c r="N19" s="1">
        <v>11254</v>
      </c>
      <c r="O19">
        <v>0.16</v>
      </c>
      <c r="P19">
        <v>0.36599999999999999</v>
      </c>
      <c r="Q19">
        <v>0</v>
      </c>
      <c r="R19">
        <v>1</v>
      </c>
    </row>
    <row r="20" spans="1:18" x14ac:dyDescent="0.25">
      <c r="A20" t="s">
        <v>25</v>
      </c>
      <c r="B20" s="1">
        <v>23328</v>
      </c>
      <c r="C20">
        <v>0.53900000000000003</v>
      </c>
      <c r="D20">
        <v>0.498</v>
      </c>
      <c r="E20">
        <v>0</v>
      </c>
      <c r="F20">
        <v>1</v>
      </c>
      <c r="G20" t="s">
        <v>25</v>
      </c>
      <c r="H20" s="1">
        <v>12074</v>
      </c>
      <c r="I20">
        <v>0.54</v>
      </c>
      <c r="J20">
        <v>0.498</v>
      </c>
      <c r="K20">
        <v>0</v>
      </c>
      <c r="L20">
        <v>1</v>
      </c>
      <c r="M20" t="s">
        <v>25</v>
      </c>
      <c r="N20" s="1">
        <v>11254</v>
      </c>
      <c r="O20">
        <v>0.53900000000000003</v>
      </c>
      <c r="P20">
        <v>0.498</v>
      </c>
      <c r="Q20">
        <v>0</v>
      </c>
      <c r="R20">
        <v>1</v>
      </c>
    </row>
    <row r="21" spans="1:18" x14ac:dyDescent="0.25">
      <c r="A21" t="s">
        <v>26</v>
      </c>
      <c r="B21" s="1">
        <v>23328</v>
      </c>
      <c r="C21">
        <v>0.29299999999999998</v>
      </c>
      <c r="D21">
        <v>0.45500000000000002</v>
      </c>
      <c r="E21">
        <v>0</v>
      </c>
      <c r="F21">
        <v>1</v>
      </c>
      <c r="G21" t="s">
        <v>26</v>
      </c>
      <c r="H21" s="1">
        <v>12074</v>
      </c>
      <c r="I21">
        <v>0.28499999999999998</v>
      </c>
      <c r="J21">
        <v>0.45200000000000001</v>
      </c>
      <c r="K21">
        <v>0</v>
      </c>
      <c r="L21">
        <v>1</v>
      </c>
      <c r="M21" t="s">
        <v>26</v>
      </c>
      <c r="N21" s="1">
        <v>11254</v>
      </c>
      <c r="O21">
        <v>0.30099999999999999</v>
      </c>
      <c r="P21">
        <v>0.45900000000000002</v>
      </c>
      <c r="Q21">
        <v>0</v>
      </c>
      <c r="R21">
        <v>1</v>
      </c>
    </row>
    <row r="22" spans="1:18" x14ac:dyDescent="0.25">
      <c r="A22" t="s">
        <v>27</v>
      </c>
      <c r="B22" s="1">
        <v>23328</v>
      </c>
      <c r="C22">
        <v>6.7000000000000004E-2</v>
      </c>
      <c r="D22">
        <v>0.251</v>
      </c>
      <c r="E22">
        <v>0</v>
      </c>
      <c r="F22">
        <v>1</v>
      </c>
      <c r="G22" t="s">
        <v>27</v>
      </c>
      <c r="H22" s="1">
        <v>12074</v>
      </c>
      <c r="I22">
        <v>7.0999999999999994E-2</v>
      </c>
      <c r="J22">
        <v>0.25700000000000001</v>
      </c>
      <c r="K22">
        <v>0</v>
      </c>
      <c r="L22">
        <v>1</v>
      </c>
      <c r="M22" t="s">
        <v>27</v>
      </c>
      <c r="N22" s="1">
        <v>11254</v>
      </c>
      <c r="O22">
        <v>6.3E-2</v>
      </c>
      <c r="P22">
        <v>0.24299999999999999</v>
      </c>
      <c r="Q22">
        <v>0</v>
      </c>
      <c r="R22">
        <v>1</v>
      </c>
    </row>
    <row r="23" spans="1:18" x14ac:dyDescent="0.25">
      <c r="A23" t="s">
        <v>28</v>
      </c>
      <c r="B23" s="1">
        <v>23328</v>
      </c>
      <c r="C23">
        <v>3.0000000000000001E-3</v>
      </c>
      <c r="D23">
        <v>5.3999999999999999E-2</v>
      </c>
      <c r="E23">
        <v>0</v>
      </c>
      <c r="F23">
        <v>1</v>
      </c>
      <c r="G23" t="s">
        <v>28</v>
      </c>
      <c r="H23" s="1">
        <v>12074</v>
      </c>
      <c r="I23">
        <v>3.0000000000000001E-3</v>
      </c>
      <c r="J23">
        <v>5.5E-2</v>
      </c>
      <c r="K23">
        <v>0</v>
      </c>
      <c r="L23">
        <v>1</v>
      </c>
      <c r="M23" t="s">
        <v>28</v>
      </c>
      <c r="N23" s="1">
        <v>11254</v>
      </c>
      <c r="O23">
        <v>3.0000000000000001E-3</v>
      </c>
      <c r="P23">
        <v>5.2999999999999999E-2</v>
      </c>
      <c r="Q23">
        <v>0</v>
      </c>
      <c r="R23">
        <v>1</v>
      </c>
    </row>
    <row r="24" spans="1:18" x14ac:dyDescent="0.25">
      <c r="A24" t="s">
        <v>29</v>
      </c>
      <c r="B24" s="1">
        <v>23328</v>
      </c>
      <c r="C24">
        <v>4.0000000000000003E-5</v>
      </c>
      <c r="D24">
        <v>7.0000000000000001E-3</v>
      </c>
      <c r="E24">
        <v>0</v>
      </c>
      <c r="F24">
        <v>1</v>
      </c>
      <c r="G24" t="s">
        <v>29</v>
      </c>
      <c r="H24" s="1">
        <v>12074</v>
      </c>
      <c r="I24">
        <v>1E-4</v>
      </c>
      <c r="J24">
        <v>8.9999999999999993E-3</v>
      </c>
      <c r="K24">
        <v>0</v>
      </c>
      <c r="L24">
        <v>1</v>
      </c>
      <c r="M24" t="s">
        <v>29</v>
      </c>
      <c r="N24" s="1">
        <v>11254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23328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12074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11254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23328</v>
      </c>
      <c r="C26">
        <v>8.1000000000000003E-2</v>
      </c>
      <c r="D26">
        <v>0.27300000000000002</v>
      </c>
      <c r="E26">
        <v>0</v>
      </c>
      <c r="F26">
        <v>1</v>
      </c>
      <c r="G26" t="s">
        <v>31</v>
      </c>
      <c r="H26" s="1">
        <v>12074</v>
      </c>
      <c r="I26">
        <v>8.4000000000000005E-2</v>
      </c>
      <c r="J26">
        <v>0.27700000000000002</v>
      </c>
      <c r="K26">
        <v>0</v>
      </c>
      <c r="L26">
        <v>1</v>
      </c>
      <c r="M26" t="s">
        <v>31</v>
      </c>
      <c r="N26" s="1">
        <v>11254</v>
      </c>
      <c r="O26">
        <v>7.8E-2</v>
      </c>
      <c r="P26">
        <v>0.26900000000000002</v>
      </c>
      <c r="Q26">
        <v>0</v>
      </c>
      <c r="R26">
        <v>1</v>
      </c>
    </row>
    <row r="27" spans="1:18" x14ac:dyDescent="0.25">
      <c r="A27" t="s">
        <v>32</v>
      </c>
      <c r="B27" s="1">
        <v>23328</v>
      </c>
      <c r="C27">
        <v>1E-3</v>
      </c>
      <c r="D27">
        <v>3.1E-2</v>
      </c>
      <c r="E27">
        <v>0</v>
      </c>
      <c r="F27">
        <v>1</v>
      </c>
      <c r="G27" t="s">
        <v>32</v>
      </c>
      <c r="H27" s="1">
        <v>12074</v>
      </c>
      <c r="I27">
        <v>1E-3</v>
      </c>
      <c r="J27">
        <v>2.4E-2</v>
      </c>
      <c r="K27">
        <v>0</v>
      </c>
      <c r="L27">
        <v>1</v>
      </c>
      <c r="M27" t="s">
        <v>32</v>
      </c>
      <c r="N27" s="1">
        <v>11254</v>
      </c>
      <c r="O27">
        <v>1E-3</v>
      </c>
      <c r="P27">
        <v>3.5999999999999997E-2</v>
      </c>
      <c r="Q27">
        <v>0</v>
      </c>
      <c r="R27">
        <v>1</v>
      </c>
    </row>
    <row r="28" spans="1:18" x14ac:dyDescent="0.25">
      <c r="A28" t="s">
        <v>33</v>
      </c>
      <c r="B28" s="1">
        <v>23328</v>
      </c>
      <c r="C28">
        <v>35.895000000000003</v>
      </c>
      <c r="D28">
        <v>16.035</v>
      </c>
      <c r="E28">
        <v>0</v>
      </c>
      <c r="F28">
        <v>90</v>
      </c>
      <c r="G28" t="s">
        <v>33</v>
      </c>
      <c r="H28" s="1">
        <v>12074</v>
      </c>
      <c r="I28">
        <v>34.770000000000003</v>
      </c>
      <c r="J28">
        <v>15.666</v>
      </c>
      <c r="K28">
        <v>0</v>
      </c>
      <c r="L28">
        <v>90</v>
      </c>
      <c r="M28" t="s">
        <v>33</v>
      </c>
      <c r="N28" s="1">
        <v>11254</v>
      </c>
      <c r="O28">
        <v>37.101999999999997</v>
      </c>
      <c r="P28">
        <v>16.335999999999999</v>
      </c>
      <c r="Q28">
        <v>0</v>
      </c>
      <c r="R28">
        <v>83</v>
      </c>
    </row>
    <row r="29" spans="1:18" x14ac:dyDescent="0.25">
      <c r="A29" t="s">
        <v>34</v>
      </c>
      <c r="B29" s="1">
        <v>23328</v>
      </c>
      <c r="C29">
        <v>1.546</v>
      </c>
      <c r="D29">
        <v>1.022</v>
      </c>
      <c r="E29">
        <v>0</v>
      </c>
      <c r="F29">
        <v>8.1</v>
      </c>
      <c r="G29" t="s">
        <v>34</v>
      </c>
      <c r="H29" s="1">
        <v>12074</v>
      </c>
      <c r="I29">
        <v>1.454</v>
      </c>
      <c r="J29">
        <v>0.97199999999999998</v>
      </c>
      <c r="K29">
        <v>0</v>
      </c>
      <c r="L29">
        <v>8.1</v>
      </c>
      <c r="M29" t="s">
        <v>34</v>
      </c>
      <c r="N29" s="1">
        <v>11254</v>
      </c>
      <c r="O29">
        <v>1.643</v>
      </c>
      <c r="P29">
        <v>1.0649999999999999</v>
      </c>
      <c r="Q29">
        <v>0</v>
      </c>
      <c r="R29">
        <v>6.8890000000000002</v>
      </c>
    </row>
    <row r="30" spans="1:18" x14ac:dyDescent="0.25">
      <c r="A30" t="s">
        <v>35</v>
      </c>
      <c r="B30" s="1">
        <v>23328</v>
      </c>
      <c r="C30">
        <v>1.4670000000000001</v>
      </c>
      <c r="D30">
        <v>4.048</v>
      </c>
      <c r="E30">
        <v>0</v>
      </c>
      <c r="F30">
        <v>57</v>
      </c>
      <c r="G30" t="s">
        <v>35</v>
      </c>
      <c r="H30" s="1">
        <v>12074</v>
      </c>
      <c r="I30">
        <v>1.397</v>
      </c>
      <c r="J30">
        <v>3.855</v>
      </c>
      <c r="K30">
        <v>0</v>
      </c>
      <c r="L30">
        <v>57</v>
      </c>
      <c r="M30" t="s">
        <v>35</v>
      </c>
      <c r="N30" s="1">
        <v>11254</v>
      </c>
      <c r="O30">
        <v>1.5429999999999999</v>
      </c>
      <c r="P30">
        <v>4.2450000000000001</v>
      </c>
      <c r="Q30">
        <v>0</v>
      </c>
      <c r="R30">
        <v>45</v>
      </c>
    </row>
    <row r="31" spans="1:18" x14ac:dyDescent="0.25">
      <c r="A31" t="s">
        <v>18</v>
      </c>
      <c r="B31" s="1">
        <v>23328</v>
      </c>
      <c r="C31">
        <v>954.88099999999997</v>
      </c>
      <c r="D31">
        <v>439.685</v>
      </c>
      <c r="E31">
        <v>175</v>
      </c>
      <c r="F31" s="1">
        <v>11155</v>
      </c>
      <c r="G31" t="s">
        <v>18</v>
      </c>
      <c r="H31" s="1">
        <v>12074</v>
      </c>
      <c r="I31">
        <v>951.59900000000005</v>
      </c>
      <c r="J31">
        <v>437.76</v>
      </c>
      <c r="K31">
        <v>195</v>
      </c>
      <c r="L31" s="1">
        <v>7582</v>
      </c>
      <c r="M31" t="s">
        <v>18</v>
      </c>
      <c r="N31" s="1">
        <v>11254</v>
      </c>
      <c r="O31">
        <v>958.40099999999995</v>
      </c>
      <c r="P31">
        <v>441.733</v>
      </c>
      <c r="Q31">
        <v>175</v>
      </c>
      <c r="R31" s="1">
        <v>11155</v>
      </c>
    </row>
    <row r="32" spans="1:18" x14ac:dyDescent="0.25">
      <c r="A32" t="s">
        <v>37</v>
      </c>
      <c r="B32" s="1">
        <v>23328</v>
      </c>
      <c r="C32">
        <v>4.7949999999999999</v>
      </c>
      <c r="D32">
        <v>6.7949999999999999</v>
      </c>
      <c r="E32">
        <v>1.4E-2</v>
      </c>
      <c r="F32">
        <v>111.96899999999999</v>
      </c>
      <c r="G32" t="s">
        <v>37</v>
      </c>
      <c r="H32" s="1">
        <v>12074</v>
      </c>
      <c r="I32">
        <v>4.6459999999999999</v>
      </c>
      <c r="J32">
        <v>6.6319999999999997</v>
      </c>
      <c r="K32">
        <v>1.4E-2</v>
      </c>
      <c r="L32" s="1">
        <v>52.774999999999999</v>
      </c>
      <c r="M32" t="s">
        <v>37</v>
      </c>
      <c r="N32" s="1">
        <v>11254</v>
      </c>
      <c r="O32">
        <v>4.9550000000000001</v>
      </c>
      <c r="P32">
        <v>6.9630000000000001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23328</v>
      </c>
      <c r="C33">
        <v>1.71</v>
      </c>
      <c r="D33">
        <v>2.2189999999999999</v>
      </c>
      <c r="E33">
        <v>0</v>
      </c>
      <c r="F33">
        <v>12.788</v>
      </c>
      <c r="G33" t="s">
        <v>164</v>
      </c>
      <c r="H33" s="1">
        <v>12074</v>
      </c>
      <c r="I33">
        <v>1.704</v>
      </c>
      <c r="J33">
        <v>2.238</v>
      </c>
      <c r="K33">
        <v>0</v>
      </c>
      <c r="L33">
        <v>12.788</v>
      </c>
      <c r="M33" t="s">
        <v>164</v>
      </c>
      <c r="N33" s="1">
        <v>11254</v>
      </c>
      <c r="O33">
        <v>1.7170000000000001</v>
      </c>
      <c r="P33">
        <v>2.198</v>
      </c>
      <c r="Q33">
        <v>0</v>
      </c>
      <c r="R33">
        <v>12.788</v>
      </c>
    </row>
    <row r="34" spans="1:18" x14ac:dyDescent="0.25">
      <c r="A34" t="s">
        <v>39</v>
      </c>
      <c r="B34" s="1">
        <v>23328</v>
      </c>
      <c r="C34">
        <v>0.33600000000000002</v>
      </c>
      <c r="D34">
        <v>0.26700000000000002</v>
      </c>
      <c r="E34">
        <v>0</v>
      </c>
      <c r="F34">
        <v>2.165</v>
      </c>
      <c r="G34" t="s">
        <v>39</v>
      </c>
      <c r="H34" s="1">
        <v>12074</v>
      </c>
      <c r="I34">
        <v>0.32500000000000001</v>
      </c>
      <c r="J34">
        <v>0.25700000000000001</v>
      </c>
      <c r="K34">
        <v>1.2E-2</v>
      </c>
      <c r="L34">
        <v>1.7529999999999999</v>
      </c>
      <c r="M34" t="s">
        <v>39</v>
      </c>
      <c r="N34" s="1">
        <v>11254</v>
      </c>
      <c r="O34">
        <v>0.34699999999999998</v>
      </c>
      <c r="P34">
        <v>0.27800000000000002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23328</v>
      </c>
      <c r="C35">
        <v>3.1150000000000002</v>
      </c>
      <c r="D35">
        <v>3.4460000000000002</v>
      </c>
      <c r="E35">
        <v>1.4999999999999999E-2</v>
      </c>
      <c r="F35">
        <v>20.402999999999999</v>
      </c>
      <c r="G35" t="s">
        <v>40</v>
      </c>
      <c r="H35" s="1">
        <v>12074</v>
      </c>
      <c r="I35">
        <v>2.9990000000000001</v>
      </c>
      <c r="J35">
        <v>3.2829999999999999</v>
      </c>
      <c r="K35">
        <v>1.4999999999999999E-2</v>
      </c>
      <c r="L35">
        <v>20.402999999999999</v>
      </c>
      <c r="M35" t="s">
        <v>40</v>
      </c>
      <c r="N35" s="1">
        <v>11254</v>
      </c>
      <c r="O35">
        <v>3.2389999999999999</v>
      </c>
      <c r="P35">
        <v>3.6080000000000001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23328</v>
      </c>
      <c r="C36">
        <v>7.5739999999999998</v>
      </c>
      <c r="D36">
        <v>5.1509999999999998</v>
      </c>
      <c r="E36">
        <v>0.99299999999999999</v>
      </c>
      <c r="F36">
        <v>25.135999999999999</v>
      </c>
      <c r="G36" t="s">
        <v>41</v>
      </c>
      <c r="H36" s="1">
        <v>12074</v>
      </c>
      <c r="I36">
        <v>7.577</v>
      </c>
      <c r="J36">
        <v>5.157</v>
      </c>
      <c r="K36">
        <v>0.99299999999999999</v>
      </c>
      <c r="L36">
        <v>25.135999999999999</v>
      </c>
      <c r="M36" t="s">
        <v>41</v>
      </c>
      <c r="N36" s="1">
        <v>11254</v>
      </c>
      <c r="O36">
        <v>7.5709999999999997</v>
      </c>
      <c r="P36">
        <v>5.1440000000000001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23328</v>
      </c>
      <c r="C37">
        <v>1.2569999999999999</v>
      </c>
      <c r="D37">
        <v>6.1950000000000003</v>
      </c>
      <c r="E37">
        <v>4.2999999999999997E-2</v>
      </c>
      <c r="F37">
        <v>196.49</v>
      </c>
      <c r="G37" t="s">
        <v>173</v>
      </c>
      <c r="H37" s="1">
        <v>12074</v>
      </c>
      <c r="I37">
        <v>1.276</v>
      </c>
      <c r="J37">
        <v>6.4690000000000003</v>
      </c>
      <c r="K37">
        <v>4.2999999999999997E-2</v>
      </c>
      <c r="L37">
        <v>196.49</v>
      </c>
      <c r="M37" t="s">
        <v>173</v>
      </c>
      <c r="N37" s="1">
        <v>11254</v>
      </c>
      <c r="O37">
        <v>1.2370000000000001</v>
      </c>
      <c r="P37">
        <v>5.8860000000000001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23328</v>
      </c>
      <c r="C38">
        <v>1.9430000000000001</v>
      </c>
      <c r="D38">
        <v>1.319</v>
      </c>
      <c r="E38">
        <v>7.0999999999999994E-2</v>
      </c>
      <c r="F38">
        <v>7.2789999999999999</v>
      </c>
      <c r="G38" t="s">
        <v>174</v>
      </c>
      <c r="H38" s="1">
        <v>12074</v>
      </c>
      <c r="I38">
        <v>1.92</v>
      </c>
      <c r="J38">
        <v>1.3089999999999999</v>
      </c>
      <c r="K38">
        <v>7.3999999999999996E-2</v>
      </c>
      <c r="L38">
        <v>7.2789999999999999</v>
      </c>
      <c r="M38" t="s">
        <v>174</v>
      </c>
      <c r="N38" s="1">
        <v>11254</v>
      </c>
      <c r="O38">
        <v>1.968</v>
      </c>
      <c r="P38">
        <v>1.33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23328</v>
      </c>
      <c r="C39">
        <v>1.8029999999999999</v>
      </c>
      <c r="D39">
        <v>1.1970000000000001</v>
      </c>
      <c r="E39">
        <v>3.4000000000000002E-2</v>
      </c>
      <c r="F39">
        <v>6.8040000000000003</v>
      </c>
      <c r="G39" t="s">
        <v>175</v>
      </c>
      <c r="H39" s="1">
        <v>12074</v>
      </c>
      <c r="I39">
        <v>1.792</v>
      </c>
      <c r="J39">
        <v>1.1870000000000001</v>
      </c>
      <c r="K39">
        <v>3.4000000000000002E-2</v>
      </c>
      <c r="L39">
        <v>6.8040000000000003</v>
      </c>
      <c r="M39" t="s">
        <v>175</v>
      </c>
      <c r="N39" s="1">
        <v>11254</v>
      </c>
      <c r="O39">
        <v>1.8149999999999999</v>
      </c>
      <c r="P39">
        <v>1.2070000000000001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23328</v>
      </c>
      <c r="C40">
        <v>0.27300000000000002</v>
      </c>
      <c r="D40">
        <v>0.17499999999999999</v>
      </c>
      <c r="E40">
        <v>0</v>
      </c>
      <c r="F40">
        <v>1</v>
      </c>
      <c r="G40" t="s">
        <v>42</v>
      </c>
      <c r="H40" s="1">
        <v>12074</v>
      </c>
      <c r="I40">
        <v>0.27900000000000003</v>
      </c>
      <c r="J40">
        <v>0.17199999999999999</v>
      </c>
      <c r="K40">
        <v>0</v>
      </c>
      <c r="L40">
        <v>1</v>
      </c>
      <c r="M40" t="s">
        <v>42</v>
      </c>
      <c r="N40" s="1">
        <v>11254</v>
      </c>
      <c r="O40">
        <v>0.26700000000000002</v>
      </c>
      <c r="P40">
        <v>0.17699999999999999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23328</v>
      </c>
      <c r="C41">
        <v>2.3E-2</v>
      </c>
      <c r="D41">
        <v>3.5000000000000003E-2</v>
      </c>
      <c r="E41">
        <v>0</v>
      </c>
      <c r="F41">
        <v>0.77600000000000002</v>
      </c>
      <c r="G41" t="s">
        <v>43</v>
      </c>
      <c r="H41" s="1">
        <v>12074</v>
      </c>
      <c r="I41">
        <v>2.1999999999999999E-2</v>
      </c>
      <c r="J41">
        <v>2.9000000000000001E-2</v>
      </c>
      <c r="K41">
        <v>0</v>
      </c>
      <c r="L41">
        <v>0.188</v>
      </c>
      <c r="M41" t="s">
        <v>43</v>
      </c>
      <c r="N41" s="1">
        <v>11254</v>
      </c>
      <c r="O41">
        <v>2.3E-2</v>
      </c>
      <c r="P41">
        <v>0.04</v>
      </c>
      <c r="Q41">
        <v>0</v>
      </c>
      <c r="R41">
        <v>0.77600000000000002</v>
      </c>
    </row>
    <row r="42" spans="1:18" x14ac:dyDescent="0.25">
      <c r="A42" t="s">
        <v>44</v>
      </c>
      <c r="B42" s="1">
        <v>23328</v>
      </c>
      <c r="C42">
        <v>0.441</v>
      </c>
      <c r="D42">
        <v>0.184</v>
      </c>
      <c r="E42">
        <v>0</v>
      </c>
      <c r="F42">
        <v>1</v>
      </c>
      <c r="G42" t="s">
        <v>44</v>
      </c>
      <c r="H42" s="1">
        <v>12074</v>
      </c>
      <c r="I42">
        <v>0.439</v>
      </c>
      <c r="J42">
        <v>0.17699999999999999</v>
      </c>
      <c r="K42">
        <v>0</v>
      </c>
      <c r="L42">
        <v>1</v>
      </c>
      <c r="M42" t="s">
        <v>44</v>
      </c>
      <c r="N42" s="1">
        <v>11254</v>
      </c>
      <c r="O42">
        <v>0.44400000000000001</v>
      </c>
      <c r="P42">
        <v>0.192</v>
      </c>
      <c r="Q42">
        <v>1.2999999999999999E-2</v>
      </c>
      <c r="R42">
        <v>1</v>
      </c>
    </row>
    <row r="43" spans="1:18" x14ac:dyDescent="0.25">
      <c r="A43" t="s">
        <v>45</v>
      </c>
      <c r="B43" s="1">
        <v>23328</v>
      </c>
      <c r="C43">
        <v>5.8000000000000003E-2</v>
      </c>
      <c r="D43">
        <v>7.8E-2</v>
      </c>
      <c r="E43">
        <v>0</v>
      </c>
      <c r="F43">
        <v>0.64</v>
      </c>
      <c r="G43" t="s">
        <v>45</v>
      </c>
      <c r="H43" s="1">
        <v>12074</v>
      </c>
      <c r="I43">
        <v>5.8000000000000003E-2</v>
      </c>
      <c r="J43">
        <v>6.8000000000000005E-2</v>
      </c>
      <c r="K43">
        <v>0</v>
      </c>
      <c r="L43">
        <v>0.55700000000000005</v>
      </c>
      <c r="M43" t="s">
        <v>45</v>
      </c>
      <c r="N43" s="1">
        <v>11254</v>
      </c>
      <c r="O43">
        <v>5.8000000000000003E-2</v>
      </c>
      <c r="P43">
        <v>8.5999999999999993E-2</v>
      </c>
      <c r="Q43">
        <v>0</v>
      </c>
      <c r="R43">
        <v>0.64</v>
      </c>
    </row>
    <row r="44" spans="1:18" x14ac:dyDescent="0.25">
      <c r="A44" t="s">
        <v>46</v>
      </c>
      <c r="B44" s="1">
        <v>23328</v>
      </c>
      <c r="C44">
        <v>0.81899999999999995</v>
      </c>
      <c r="D44">
        <v>0.20100000000000001</v>
      </c>
      <c r="E44">
        <v>7.0000000000000007E-2</v>
      </c>
      <c r="F44">
        <v>1</v>
      </c>
      <c r="G44" t="s">
        <v>46</v>
      </c>
      <c r="H44" s="1">
        <v>12074</v>
      </c>
      <c r="I44">
        <v>0.80800000000000005</v>
      </c>
      <c r="J44">
        <v>0.20899999999999999</v>
      </c>
      <c r="K44">
        <v>7.0000000000000007E-2</v>
      </c>
      <c r="L44">
        <v>1</v>
      </c>
      <c r="M44" t="s">
        <v>46</v>
      </c>
      <c r="N44" s="1">
        <v>11254</v>
      </c>
      <c r="O44">
        <v>0.83</v>
      </c>
      <c r="P44">
        <v>0.192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23328</v>
      </c>
      <c r="C45">
        <v>0.18</v>
      </c>
      <c r="D45">
        <v>0.20100000000000001</v>
      </c>
      <c r="E45">
        <v>0</v>
      </c>
      <c r="F45">
        <v>0.93</v>
      </c>
      <c r="G45" t="s">
        <v>47</v>
      </c>
      <c r="H45" s="1">
        <v>12074</v>
      </c>
      <c r="I45">
        <v>0.191</v>
      </c>
      <c r="J45">
        <v>0.20899999999999999</v>
      </c>
      <c r="K45">
        <v>0</v>
      </c>
      <c r="L45">
        <v>0.93</v>
      </c>
      <c r="M45" t="s">
        <v>47</v>
      </c>
      <c r="N45" s="1">
        <v>11254</v>
      </c>
      <c r="O45">
        <v>0.16800000000000001</v>
      </c>
      <c r="P45">
        <v>0.19</v>
      </c>
      <c r="Q45">
        <v>0</v>
      </c>
      <c r="R45">
        <v>0.92600000000000005</v>
      </c>
    </row>
    <row r="46" spans="1:18" x14ac:dyDescent="0.25">
      <c r="A46" t="s">
        <v>48</v>
      </c>
      <c r="B46" s="1">
        <v>23328</v>
      </c>
      <c r="C46">
        <v>0.54600000000000004</v>
      </c>
      <c r="D46">
        <v>0.19400000000000001</v>
      </c>
      <c r="E46">
        <v>0</v>
      </c>
      <c r="F46">
        <v>1</v>
      </c>
      <c r="G46" t="s">
        <v>48</v>
      </c>
      <c r="H46" s="1">
        <v>12074</v>
      </c>
      <c r="I46">
        <v>0.52300000000000002</v>
      </c>
      <c r="J46">
        <v>0.19</v>
      </c>
      <c r="K46">
        <v>0</v>
      </c>
      <c r="L46">
        <v>1</v>
      </c>
      <c r="M46" t="s">
        <v>48</v>
      </c>
      <c r="N46" s="1">
        <v>11254</v>
      </c>
      <c r="O46">
        <v>0.56999999999999995</v>
      </c>
      <c r="P46">
        <v>0.19600000000000001</v>
      </c>
      <c r="Q46">
        <v>0</v>
      </c>
      <c r="R46">
        <v>1</v>
      </c>
    </row>
    <row r="47" spans="1:18" x14ac:dyDescent="0.25">
      <c r="A47" t="s">
        <v>49</v>
      </c>
      <c r="B47" s="1">
        <v>23328</v>
      </c>
      <c r="C47">
        <v>0.45300000000000001</v>
      </c>
      <c r="D47">
        <v>0.19400000000000001</v>
      </c>
      <c r="E47">
        <v>0</v>
      </c>
      <c r="F47">
        <v>1</v>
      </c>
      <c r="G47" t="s">
        <v>49</v>
      </c>
      <c r="H47" s="1">
        <v>12074</v>
      </c>
      <c r="I47">
        <v>0.47599999999999998</v>
      </c>
      <c r="J47">
        <v>0.19</v>
      </c>
      <c r="K47">
        <v>0</v>
      </c>
      <c r="L47">
        <v>1</v>
      </c>
      <c r="M47" t="s">
        <v>49</v>
      </c>
      <c r="N47" s="1">
        <v>11254</v>
      </c>
      <c r="O47">
        <v>0.42899999999999999</v>
      </c>
      <c r="P47">
        <v>0.19500000000000001</v>
      </c>
      <c r="Q47">
        <v>0</v>
      </c>
      <c r="R47">
        <v>1</v>
      </c>
    </row>
    <row r="48" spans="1:18" x14ac:dyDescent="0.25">
      <c r="A48" t="s">
        <v>50</v>
      </c>
      <c r="B48" s="1">
        <v>23328</v>
      </c>
      <c r="C48">
        <v>11.619</v>
      </c>
      <c r="D48">
        <v>41.274999999999999</v>
      </c>
      <c r="E48">
        <v>0</v>
      </c>
      <c r="F48" s="1">
        <v>1000</v>
      </c>
      <c r="G48" t="s">
        <v>50</v>
      </c>
      <c r="H48" s="1">
        <v>12074</v>
      </c>
      <c r="I48">
        <v>10.451000000000001</v>
      </c>
      <c r="J48">
        <v>38.476999999999997</v>
      </c>
      <c r="K48">
        <v>0</v>
      </c>
      <c r="L48">
        <v>631</v>
      </c>
      <c r="M48" t="s">
        <v>50</v>
      </c>
      <c r="N48" s="1">
        <v>11254</v>
      </c>
      <c r="O48">
        <v>12.872</v>
      </c>
      <c r="P48">
        <v>44.046999999999997</v>
      </c>
      <c r="Q48">
        <v>0</v>
      </c>
      <c r="R48" s="1">
        <v>1000</v>
      </c>
    </row>
    <row r="49" spans="1:18" x14ac:dyDescent="0.25">
      <c r="A49" t="s">
        <v>51</v>
      </c>
      <c r="B49" s="1">
        <v>23328</v>
      </c>
      <c r="C49">
        <v>1.266</v>
      </c>
      <c r="D49">
        <v>1.837</v>
      </c>
      <c r="E49">
        <v>0</v>
      </c>
      <c r="F49">
        <v>36</v>
      </c>
      <c r="G49" t="s">
        <v>51</v>
      </c>
      <c r="H49" s="1">
        <v>12074</v>
      </c>
      <c r="I49">
        <v>1.2809999999999999</v>
      </c>
      <c r="J49">
        <v>1.831</v>
      </c>
      <c r="K49">
        <v>0</v>
      </c>
      <c r="L49">
        <v>36</v>
      </c>
      <c r="M49" t="s">
        <v>51</v>
      </c>
      <c r="N49" s="1">
        <v>11254</v>
      </c>
      <c r="O49">
        <v>1.2509999999999999</v>
      </c>
      <c r="P49">
        <v>1.8440000000000001</v>
      </c>
      <c r="Q49">
        <v>0</v>
      </c>
      <c r="R49">
        <v>23</v>
      </c>
    </row>
    <row r="50" spans="1:18" x14ac:dyDescent="0.25">
      <c r="A50" t="s">
        <v>52</v>
      </c>
      <c r="B50" s="1">
        <v>23328</v>
      </c>
      <c r="C50">
        <v>0.378</v>
      </c>
      <c r="D50">
        <v>0.48499999999999999</v>
      </c>
      <c r="E50">
        <v>0</v>
      </c>
      <c r="F50">
        <v>1</v>
      </c>
      <c r="G50" t="s">
        <v>52</v>
      </c>
      <c r="H50" s="1">
        <v>12074</v>
      </c>
      <c r="I50">
        <v>0.36799999999999999</v>
      </c>
      <c r="J50">
        <v>0.48199999999999998</v>
      </c>
      <c r="K50">
        <v>0</v>
      </c>
      <c r="L50">
        <v>1</v>
      </c>
      <c r="M50" t="s">
        <v>52</v>
      </c>
      <c r="N50" s="1">
        <v>11254</v>
      </c>
      <c r="O50">
        <v>0.38800000000000001</v>
      </c>
      <c r="P50">
        <v>0.48699999999999999</v>
      </c>
      <c r="Q50">
        <v>0</v>
      </c>
      <c r="R50">
        <v>1</v>
      </c>
    </row>
    <row r="51" spans="1:18" x14ac:dyDescent="0.25">
      <c r="A51" t="s">
        <v>53</v>
      </c>
      <c r="B51" s="1">
        <v>23328</v>
      </c>
      <c r="C51" s="2">
        <v>2359587</v>
      </c>
      <c r="D51" s="2">
        <v>6889.2250000000004</v>
      </c>
      <c r="E51" s="2">
        <v>2351041</v>
      </c>
      <c r="F51" s="2">
        <v>2400056</v>
      </c>
      <c r="G51" t="s">
        <v>53</v>
      </c>
      <c r="H51" s="1">
        <v>12074</v>
      </c>
      <c r="I51" s="2">
        <v>2359529</v>
      </c>
      <c r="J51" s="2">
        <v>6919.9920000000002</v>
      </c>
      <c r="K51" s="2">
        <v>2351113</v>
      </c>
      <c r="L51" s="2">
        <v>2400056</v>
      </c>
      <c r="M51" t="s">
        <v>53</v>
      </c>
      <c r="N51" s="1">
        <v>11254</v>
      </c>
      <c r="O51" s="2">
        <v>2359650</v>
      </c>
      <c r="P51" s="2">
        <v>6855.8190000000004</v>
      </c>
      <c r="Q51" s="2">
        <v>2351041</v>
      </c>
      <c r="R51" s="2">
        <v>2400056</v>
      </c>
    </row>
    <row r="52" spans="1:18" x14ac:dyDescent="0.25">
      <c r="A52" t="s">
        <v>54</v>
      </c>
      <c r="B52" s="1">
        <v>23328</v>
      </c>
      <c r="C52" s="2">
        <v>614636.6</v>
      </c>
      <c r="D52" s="2">
        <v>11421.5</v>
      </c>
      <c r="E52" s="2">
        <v>580446.1</v>
      </c>
      <c r="F52" s="2">
        <v>637819.69999999995</v>
      </c>
      <c r="G52" t="s">
        <v>54</v>
      </c>
      <c r="H52" s="1">
        <v>12074</v>
      </c>
      <c r="I52" s="2">
        <v>614953.80000000005</v>
      </c>
      <c r="J52" s="2">
        <v>11102.62</v>
      </c>
      <c r="K52" s="2">
        <v>580446.1</v>
      </c>
      <c r="L52" s="2">
        <v>637819.69999999995</v>
      </c>
      <c r="M52" t="s">
        <v>54</v>
      </c>
      <c r="N52" s="1">
        <v>11254</v>
      </c>
      <c r="O52" s="2">
        <v>614296.30000000005</v>
      </c>
      <c r="P52" s="2">
        <v>11744.97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23328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12074</v>
      </c>
      <c r="I53" s="2">
        <v>1</v>
      </c>
      <c r="J53" s="2">
        <v>0</v>
      </c>
      <c r="K53" s="2">
        <v>1</v>
      </c>
      <c r="L53" s="2">
        <v>1</v>
      </c>
      <c r="M53" t="s">
        <v>56</v>
      </c>
      <c r="N53" s="1">
        <v>11254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23328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12074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11254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23328</v>
      </c>
      <c r="C55">
        <v>0.26100000000000001</v>
      </c>
      <c r="D55">
        <v>0.439</v>
      </c>
      <c r="E55">
        <v>0</v>
      </c>
      <c r="F55">
        <v>1</v>
      </c>
      <c r="G55" t="s">
        <v>58</v>
      </c>
      <c r="H55" s="1">
        <v>12074</v>
      </c>
      <c r="I55">
        <v>0.27600000000000002</v>
      </c>
      <c r="J55">
        <v>0.44700000000000001</v>
      </c>
      <c r="K55">
        <v>0</v>
      </c>
      <c r="L55">
        <v>1</v>
      </c>
      <c r="M55" t="s">
        <v>58</v>
      </c>
      <c r="N55" s="1">
        <v>11254</v>
      </c>
      <c r="O55">
        <v>0.245</v>
      </c>
      <c r="P55">
        <v>0.43</v>
      </c>
      <c r="Q55">
        <v>0</v>
      </c>
      <c r="R55">
        <v>1</v>
      </c>
    </row>
    <row r="56" spans="1:18" x14ac:dyDescent="0.25">
      <c r="A56" t="s">
        <v>59</v>
      </c>
      <c r="B56" s="1">
        <v>23328</v>
      </c>
      <c r="C56">
        <v>0.19800000000000001</v>
      </c>
      <c r="D56">
        <v>0.39900000000000002</v>
      </c>
      <c r="E56">
        <v>0</v>
      </c>
      <c r="F56">
        <v>1</v>
      </c>
      <c r="G56" t="s">
        <v>59</v>
      </c>
      <c r="H56" s="1">
        <v>12074</v>
      </c>
      <c r="I56">
        <v>0.19</v>
      </c>
      <c r="J56">
        <v>0.39200000000000002</v>
      </c>
      <c r="K56">
        <v>0</v>
      </c>
      <c r="L56">
        <v>1</v>
      </c>
      <c r="M56" t="s">
        <v>59</v>
      </c>
      <c r="N56" s="1">
        <v>11254</v>
      </c>
      <c r="O56">
        <v>0.20699999999999999</v>
      </c>
      <c r="P56">
        <v>0.40500000000000003</v>
      </c>
      <c r="Q56">
        <v>0</v>
      </c>
      <c r="R56">
        <v>1</v>
      </c>
    </row>
    <row r="57" spans="1:18" x14ac:dyDescent="0.25">
      <c r="A57" t="s">
        <v>60</v>
      </c>
      <c r="B57" s="1">
        <v>23328</v>
      </c>
      <c r="C57">
        <v>0.54100000000000004</v>
      </c>
      <c r="D57">
        <v>0.498</v>
      </c>
      <c r="E57">
        <v>0</v>
      </c>
      <c r="F57">
        <v>1</v>
      </c>
      <c r="G57" t="s">
        <v>60</v>
      </c>
      <c r="H57" s="1">
        <v>12074</v>
      </c>
      <c r="I57">
        <v>0.53400000000000003</v>
      </c>
      <c r="J57">
        <v>0.499</v>
      </c>
      <c r="K57">
        <v>0</v>
      </c>
      <c r="L57">
        <v>1</v>
      </c>
      <c r="M57" t="s">
        <v>60</v>
      </c>
      <c r="N57" s="1">
        <v>11254</v>
      </c>
      <c r="O57">
        <v>0.54800000000000004</v>
      </c>
      <c r="P57">
        <v>0.498</v>
      </c>
      <c r="Q57">
        <v>0</v>
      </c>
      <c r="R57">
        <v>1</v>
      </c>
    </row>
    <row r="58" spans="1:18" x14ac:dyDescent="0.25">
      <c r="A58" t="s">
        <v>61</v>
      </c>
      <c r="B58" s="1">
        <v>23328</v>
      </c>
      <c r="C58" s="2">
        <v>2019.319</v>
      </c>
      <c r="D58">
        <v>1.9810000000000001</v>
      </c>
      <c r="E58" s="1">
        <v>2016</v>
      </c>
      <c r="F58" s="1">
        <v>2023</v>
      </c>
      <c r="G58" t="s">
        <v>61</v>
      </c>
      <c r="H58" s="1">
        <v>12074</v>
      </c>
      <c r="I58" s="2">
        <v>2017.6610000000001</v>
      </c>
      <c r="J58">
        <v>1.1639999999999999</v>
      </c>
      <c r="K58" s="1">
        <v>2016</v>
      </c>
      <c r="L58" s="1">
        <v>2020</v>
      </c>
      <c r="M58" t="s">
        <v>61</v>
      </c>
      <c r="N58" s="1">
        <v>11254</v>
      </c>
      <c r="O58" s="2">
        <v>2021.098</v>
      </c>
      <c r="P58">
        <v>0.753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23328</v>
      </c>
      <c r="C59">
        <v>0.10100000000000001</v>
      </c>
      <c r="D59">
        <v>0.30099999999999999</v>
      </c>
      <c r="E59">
        <v>0</v>
      </c>
      <c r="F59">
        <v>1</v>
      </c>
      <c r="G59" t="s">
        <v>62</v>
      </c>
      <c r="H59" s="1">
        <v>12074</v>
      </c>
      <c r="I59" s="2">
        <v>9.7000000000000003E-2</v>
      </c>
      <c r="J59">
        <v>0.29599999999999999</v>
      </c>
      <c r="K59" s="1">
        <v>0</v>
      </c>
      <c r="L59" s="1">
        <v>1</v>
      </c>
      <c r="M59" t="s">
        <v>62</v>
      </c>
      <c r="N59" s="1">
        <v>11254</v>
      </c>
      <c r="O59">
        <v>0.105</v>
      </c>
      <c r="P59">
        <v>0.307</v>
      </c>
      <c r="Q59">
        <v>0</v>
      </c>
      <c r="R59">
        <v>1</v>
      </c>
    </row>
    <row r="60" spans="1:18" x14ac:dyDescent="0.25">
      <c r="A60" t="s">
        <v>63</v>
      </c>
      <c r="B60" s="1">
        <v>23328</v>
      </c>
      <c r="C60">
        <v>1E-3</v>
      </c>
      <c r="D60">
        <v>2.3E-2</v>
      </c>
      <c r="E60">
        <v>0</v>
      </c>
      <c r="F60">
        <v>1</v>
      </c>
      <c r="G60" t="s">
        <v>63</v>
      </c>
      <c r="H60" s="1">
        <v>12074</v>
      </c>
      <c r="I60">
        <v>2.0000000000000001E-4</v>
      </c>
      <c r="J60">
        <v>1.6E-2</v>
      </c>
      <c r="K60">
        <v>0</v>
      </c>
      <c r="L60">
        <v>1</v>
      </c>
      <c r="M60" t="s">
        <v>63</v>
      </c>
      <c r="N60" s="1">
        <v>11254</v>
      </c>
      <c r="O60">
        <v>1E-3</v>
      </c>
      <c r="P60">
        <v>2.8000000000000001E-2</v>
      </c>
      <c r="Q60">
        <v>0</v>
      </c>
      <c r="R60">
        <v>1</v>
      </c>
    </row>
    <row r="61" spans="1:18" x14ac:dyDescent="0.25">
      <c r="A61" t="s">
        <v>64</v>
      </c>
      <c r="B61" s="1">
        <v>23328</v>
      </c>
      <c r="C61">
        <v>5.6000000000000001E-2</v>
      </c>
      <c r="D61">
        <v>0.23</v>
      </c>
      <c r="E61">
        <v>0</v>
      </c>
      <c r="F61">
        <v>1</v>
      </c>
      <c r="G61" t="s">
        <v>64</v>
      </c>
      <c r="H61" s="1">
        <v>12074</v>
      </c>
      <c r="I61">
        <v>5.5E-2</v>
      </c>
      <c r="J61">
        <v>0.22700000000000001</v>
      </c>
      <c r="K61">
        <v>0</v>
      </c>
      <c r="L61">
        <v>1</v>
      </c>
      <c r="M61" t="s">
        <v>64</v>
      </c>
      <c r="N61" s="1">
        <v>11254</v>
      </c>
      <c r="O61">
        <v>5.8000000000000003E-2</v>
      </c>
      <c r="P61">
        <v>0.23300000000000001</v>
      </c>
      <c r="Q61">
        <v>0</v>
      </c>
      <c r="R61">
        <v>1</v>
      </c>
    </row>
    <row r="62" spans="1:18" x14ac:dyDescent="0.25">
      <c r="A62" t="s">
        <v>65</v>
      </c>
      <c r="B62" s="1">
        <v>23328</v>
      </c>
      <c r="C62">
        <v>0.217</v>
      </c>
      <c r="D62">
        <v>0.41299999999999998</v>
      </c>
      <c r="E62">
        <v>0</v>
      </c>
      <c r="F62">
        <v>1</v>
      </c>
      <c r="G62" t="s">
        <v>65</v>
      </c>
      <c r="H62" s="1">
        <v>12074</v>
      </c>
      <c r="I62">
        <v>0.218</v>
      </c>
      <c r="J62">
        <v>0.41299999999999998</v>
      </c>
      <c r="K62">
        <v>0</v>
      </c>
      <c r="L62">
        <v>1</v>
      </c>
      <c r="M62" t="s">
        <v>65</v>
      </c>
      <c r="N62" s="1">
        <v>11254</v>
      </c>
      <c r="O62">
        <v>0.217</v>
      </c>
      <c r="P62">
        <v>0.41199999999999998</v>
      </c>
      <c r="Q62">
        <v>0</v>
      </c>
      <c r="R62">
        <v>1</v>
      </c>
    </row>
    <row r="63" spans="1:18" x14ac:dyDescent="0.25">
      <c r="A63" t="s">
        <v>66</v>
      </c>
      <c r="B63" s="1">
        <v>23328</v>
      </c>
      <c r="C63">
        <v>0.29299999999999998</v>
      </c>
      <c r="D63">
        <v>0.45500000000000002</v>
      </c>
      <c r="E63">
        <v>0</v>
      </c>
      <c r="F63">
        <v>1</v>
      </c>
      <c r="G63" t="s">
        <v>66</v>
      </c>
      <c r="H63" s="1">
        <v>12074</v>
      </c>
      <c r="I63">
        <v>0.28799999999999998</v>
      </c>
      <c r="J63">
        <v>0.45300000000000001</v>
      </c>
      <c r="K63">
        <v>0</v>
      </c>
      <c r="L63">
        <v>1</v>
      </c>
      <c r="M63" t="s">
        <v>66</v>
      </c>
      <c r="N63" s="1">
        <v>11254</v>
      </c>
      <c r="O63">
        <v>0.29799999999999999</v>
      </c>
      <c r="P63">
        <v>0.45700000000000002</v>
      </c>
      <c r="Q63">
        <v>0</v>
      </c>
      <c r="R63">
        <v>1</v>
      </c>
    </row>
    <row r="64" spans="1:18" x14ac:dyDescent="0.25">
      <c r="A64" t="s">
        <v>67</v>
      </c>
      <c r="B64" s="1">
        <v>23328</v>
      </c>
      <c r="C64">
        <v>7.0000000000000007E-2</v>
      </c>
      <c r="D64">
        <v>0.25600000000000001</v>
      </c>
      <c r="E64">
        <v>0</v>
      </c>
      <c r="F64">
        <v>1</v>
      </c>
      <c r="G64" t="s">
        <v>67</v>
      </c>
      <c r="H64" s="1">
        <v>12074</v>
      </c>
      <c r="I64">
        <v>7.4999999999999997E-2</v>
      </c>
      <c r="J64">
        <v>0.26300000000000001</v>
      </c>
      <c r="K64">
        <v>0</v>
      </c>
      <c r="L64">
        <v>1</v>
      </c>
      <c r="M64" t="s">
        <v>67</v>
      </c>
      <c r="N64" s="1">
        <v>11254</v>
      </c>
      <c r="O64">
        <v>6.6000000000000003E-2</v>
      </c>
      <c r="P64">
        <v>0.248</v>
      </c>
      <c r="Q64">
        <v>0</v>
      </c>
      <c r="R64">
        <v>1</v>
      </c>
    </row>
    <row r="65" spans="1:18" x14ac:dyDescent="0.25">
      <c r="A65" t="s">
        <v>68</v>
      </c>
      <c r="B65" s="1">
        <v>23328</v>
      </c>
      <c r="C65">
        <v>0.20399999999999999</v>
      </c>
      <c r="D65">
        <v>0.40300000000000002</v>
      </c>
      <c r="E65">
        <v>0</v>
      </c>
      <c r="F65">
        <v>1</v>
      </c>
      <c r="G65" t="s">
        <v>68</v>
      </c>
      <c r="H65" s="1">
        <v>12074</v>
      </c>
      <c r="I65">
        <v>0.20200000000000001</v>
      </c>
      <c r="J65">
        <v>0.40100000000000002</v>
      </c>
      <c r="K65">
        <v>0</v>
      </c>
      <c r="L65">
        <v>1</v>
      </c>
      <c r="M65" t="s">
        <v>68</v>
      </c>
      <c r="N65" s="1">
        <v>11254</v>
      </c>
      <c r="O65">
        <v>0.20499999999999999</v>
      </c>
      <c r="P65">
        <v>0.40400000000000003</v>
      </c>
      <c r="Q65">
        <v>0</v>
      </c>
      <c r="R65">
        <v>1</v>
      </c>
    </row>
    <row r="66" spans="1:18" x14ac:dyDescent="0.25">
      <c r="A66" t="s">
        <v>69</v>
      </c>
      <c r="B66" s="1">
        <v>23328</v>
      </c>
      <c r="C66">
        <v>5.8000000000000003E-2</v>
      </c>
      <c r="D66">
        <v>0.23400000000000001</v>
      </c>
      <c r="E66">
        <v>0</v>
      </c>
      <c r="F66">
        <v>1</v>
      </c>
      <c r="G66" t="s">
        <v>69</v>
      </c>
      <c r="H66" s="1">
        <v>12074</v>
      </c>
      <c r="I66">
        <v>6.6000000000000003E-2</v>
      </c>
      <c r="J66">
        <v>0.248</v>
      </c>
      <c r="K66">
        <v>0</v>
      </c>
      <c r="L66">
        <v>1</v>
      </c>
      <c r="M66" t="s">
        <v>69</v>
      </c>
      <c r="N66" s="1">
        <v>11254</v>
      </c>
      <c r="O66">
        <v>0.05</v>
      </c>
      <c r="P66">
        <v>0.219</v>
      </c>
      <c r="Q66">
        <v>0</v>
      </c>
      <c r="R66">
        <v>1</v>
      </c>
    </row>
    <row r="67" spans="1:18" x14ac:dyDescent="0.25">
      <c r="A67" t="s">
        <v>70</v>
      </c>
      <c r="B67" s="1">
        <v>23328</v>
      </c>
      <c r="C67">
        <v>0.17399999999999999</v>
      </c>
      <c r="D67">
        <v>0.379</v>
      </c>
      <c r="E67">
        <v>0</v>
      </c>
      <c r="F67">
        <v>1</v>
      </c>
      <c r="G67" t="s">
        <v>70</v>
      </c>
      <c r="H67" s="1">
        <v>12074</v>
      </c>
      <c r="I67">
        <v>0.17299999999999999</v>
      </c>
      <c r="J67">
        <v>0.379</v>
      </c>
      <c r="K67">
        <v>0</v>
      </c>
      <c r="L67">
        <v>1</v>
      </c>
      <c r="M67" t="s">
        <v>70</v>
      </c>
      <c r="N67" s="1">
        <v>11254</v>
      </c>
      <c r="O67">
        <v>0.17399999999999999</v>
      </c>
      <c r="P67">
        <v>0.379</v>
      </c>
      <c r="Q67">
        <v>0</v>
      </c>
      <c r="R67">
        <v>1</v>
      </c>
    </row>
    <row r="68" spans="1:18" x14ac:dyDescent="0.25">
      <c r="A68" t="s">
        <v>71</v>
      </c>
      <c r="B68" s="1">
        <v>23328</v>
      </c>
      <c r="C68">
        <v>0.36</v>
      </c>
      <c r="D68">
        <v>0.48</v>
      </c>
      <c r="E68">
        <v>0</v>
      </c>
      <c r="F68">
        <v>1</v>
      </c>
      <c r="G68" t="s">
        <v>71</v>
      </c>
      <c r="H68" s="1">
        <v>12074</v>
      </c>
      <c r="I68">
        <v>0.378</v>
      </c>
      <c r="J68">
        <v>0.48499999999999999</v>
      </c>
      <c r="K68">
        <v>0</v>
      </c>
      <c r="L68">
        <v>1</v>
      </c>
      <c r="M68" t="s">
        <v>71</v>
      </c>
      <c r="N68" s="1">
        <v>11254</v>
      </c>
      <c r="O68">
        <v>0.34100000000000003</v>
      </c>
      <c r="P68">
        <v>0.47399999999999998</v>
      </c>
      <c r="Q68">
        <v>0</v>
      </c>
      <c r="R68">
        <v>1</v>
      </c>
    </row>
    <row r="69" spans="1:18" x14ac:dyDescent="0.25">
      <c r="A69" t="s">
        <v>72</v>
      </c>
      <c r="B69" s="1">
        <v>23328</v>
      </c>
      <c r="C69">
        <v>0.443</v>
      </c>
      <c r="D69">
        <v>0.497</v>
      </c>
      <c r="E69">
        <v>0</v>
      </c>
      <c r="F69">
        <v>1</v>
      </c>
      <c r="G69" t="s">
        <v>72</v>
      </c>
      <c r="H69" s="1">
        <v>12074</v>
      </c>
      <c r="I69">
        <v>0.42499999999999999</v>
      </c>
      <c r="J69">
        <v>0.49399999999999999</v>
      </c>
      <c r="K69">
        <v>0</v>
      </c>
      <c r="L69">
        <v>1</v>
      </c>
      <c r="M69" t="s">
        <v>72</v>
      </c>
      <c r="N69" s="1">
        <v>11254</v>
      </c>
      <c r="O69">
        <v>0.46200000000000002</v>
      </c>
      <c r="P69">
        <v>0.499</v>
      </c>
      <c r="Q69">
        <v>0</v>
      </c>
      <c r="R69">
        <v>1</v>
      </c>
    </row>
    <row r="70" spans="1:18" x14ac:dyDescent="0.25">
      <c r="A70" t="s">
        <v>73</v>
      </c>
      <c r="B70" s="1">
        <v>23328</v>
      </c>
      <c r="C70">
        <v>2.3E-2</v>
      </c>
      <c r="D70">
        <v>0.151</v>
      </c>
      <c r="E70">
        <v>0</v>
      </c>
      <c r="F70">
        <v>1</v>
      </c>
      <c r="G70" t="s">
        <v>73</v>
      </c>
      <c r="H70" s="1">
        <v>12074</v>
      </c>
      <c r="I70">
        <v>2.4E-2</v>
      </c>
      <c r="J70">
        <v>0.153</v>
      </c>
      <c r="K70">
        <v>0</v>
      </c>
      <c r="L70">
        <v>1</v>
      </c>
      <c r="M70" t="s">
        <v>73</v>
      </c>
      <c r="N70" s="1">
        <v>11254</v>
      </c>
      <c r="O70">
        <v>2.3E-2</v>
      </c>
      <c r="P70">
        <v>0.15</v>
      </c>
      <c r="Q70">
        <v>0</v>
      </c>
      <c r="R70">
        <v>1</v>
      </c>
    </row>
    <row r="71" spans="1:18" x14ac:dyDescent="0.25">
      <c r="A71" t="s">
        <v>165</v>
      </c>
      <c r="B71" s="1">
        <v>23328</v>
      </c>
      <c r="C71">
        <v>0.10299999999999999</v>
      </c>
      <c r="D71">
        <v>0.30399999999999999</v>
      </c>
      <c r="E71">
        <v>0</v>
      </c>
      <c r="F71">
        <v>1</v>
      </c>
      <c r="G71" t="s">
        <v>165</v>
      </c>
      <c r="H71" s="1">
        <v>12074</v>
      </c>
      <c r="I71">
        <v>0.109</v>
      </c>
      <c r="J71">
        <v>0.312</v>
      </c>
      <c r="K71">
        <v>0</v>
      </c>
      <c r="L71">
        <v>1</v>
      </c>
      <c r="M71" t="s">
        <v>165</v>
      </c>
      <c r="N71" s="1">
        <v>11254</v>
      </c>
      <c r="O71">
        <v>9.7000000000000003E-2</v>
      </c>
      <c r="P71">
        <v>0.29599999999999999</v>
      </c>
      <c r="Q71">
        <v>0</v>
      </c>
      <c r="R71">
        <v>1</v>
      </c>
    </row>
    <row r="72" spans="1:18" x14ac:dyDescent="0.25">
      <c r="A72" t="s">
        <v>166</v>
      </c>
      <c r="B72" s="1">
        <v>23328</v>
      </c>
      <c r="C72">
        <v>0.45500000000000002</v>
      </c>
      <c r="D72">
        <v>0.498</v>
      </c>
      <c r="E72">
        <v>0</v>
      </c>
      <c r="F72">
        <v>1</v>
      </c>
      <c r="G72" t="s">
        <v>166</v>
      </c>
      <c r="H72" s="1">
        <v>12074</v>
      </c>
      <c r="I72">
        <v>0.45700000000000002</v>
      </c>
      <c r="J72">
        <v>0.498</v>
      </c>
      <c r="K72">
        <v>0</v>
      </c>
      <c r="L72">
        <v>1</v>
      </c>
      <c r="M72" t="s">
        <v>166</v>
      </c>
      <c r="N72" s="1">
        <v>11254</v>
      </c>
      <c r="O72">
        <v>0.45300000000000001</v>
      </c>
      <c r="P72">
        <v>0.498</v>
      </c>
      <c r="Q72">
        <v>0</v>
      </c>
      <c r="R72">
        <v>1</v>
      </c>
    </row>
    <row r="73" spans="1:18" x14ac:dyDescent="0.25">
      <c r="A73" t="s">
        <v>167</v>
      </c>
      <c r="B73" s="1">
        <v>23328</v>
      </c>
      <c r="C73">
        <v>0.42299999999999999</v>
      </c>
      <c r="D73">
        <v>0.49399999999999999</v>
      </c>
      <c r="E73">
        <v>0</v>
      </c>
      <c r="F73">
        <v>1</v>
      </c>
      <c r="G73" t="s">
        <v>167</v>
      </c>
      <c r="H73" s="1">
        <v>12074</v>
      </c>
      <c r="I73">
        <v>0.41599999999999998</v>
      </c>
      <c r="J73">
        <v>0.49299999999999999</v>
      </c>
      <c r="K73">
        <v>0</v>
      </c>
      <c r="L73">
        <v>1</v>
      </c>
      <c r="M73" t="s">
        <v>167</v>
      </c>
      <c r="N73" s="1">
        <v>11254</v>
      </c>
      <c r="O73">
        <v>0.42899999999999999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23328</v>
      </c>
      <c r="C74">
        <v>8.9999999999999993E-3</v>
      </c>
      <c r="D74">
        <v>9.5000000000000001E-2</v>
      </c>
      <c r="E74">
        <v>0</v>
      </c>
      <c r="F74">
        <v>1</v>
      </c>
      <c r="G74" t="s">
        <v>168</v>
      </c>
      <c r="H74" s="1">
        <v>12074</v>
      </c>
      <c r="I74">
        <v>8.9999999999999993E-3</v>
      </c>
      <c r="J74">
        <v>9.2999999999999999E-2</v>
      </c>
      <c r="K74">
        <v>0</v>
      </c>
      <c r="L74">
        <v>1</v>
      </c>
      <c r="M74" t="s">
        <v>168</v>
      </c>
      <c r="N74" s="1">
        <v>11254</v>
      </c>
      <c r="O74">
        <v>0.01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23328</v>
      </c>
      <c r="C75">
        <v>8.9999999999999993E-3</v>
      </c>
      <c r="D75">
        <v>9.2999999999999999E-2</v>
      </c>
      <c r="E75">
        <v>0</v>
      </c>
      <c r="F75">
        <v>1</v>
      </c>
      <c r="G75" t="s">
        <v>169</v>
      </c>
      <c r="H75" s="1">
        <v>12074</v>
      </c>
      <c r="I75">
        <v>8.0000000000000002E-3</v>
      </c>
      <c r="J75">
        <v>8.7999999999999995E-2</v>
      </c>
      <c r="K75">
        <v>0</v>
      </c>
      <c r="L75">
        <v>1</v>
      </c>
      <c r="M75" t="s">
        <v>169</v>
      </c>
      <c r="N75" s="1">
        <v>11254</v>
      </c>
      <c r="O75">
        <v>0.01</v>
      </c>
      <c r="P75">
        <v>9.8000000000000004E-2</v>
      </c>
      <c r="Q75">
        <v>0</v>
      </c>
      <c r="R75">
        <v>1</v>
      </c>
    </row>
    <row r="76" spans="1:18" x14ac:dyDescent="0.25">
      <c r="A76" t="s">
        <v>170</v>
      </c>
      <c r="B76" s="1">
        <v>23328</v>
      </c>
      <c r="C76">
        <v>1E-3</v>
      </c>
      <c r="D76">
        <v>3.5000000000000003E-2</v>
      </c>
      <c r="E76">
        <v>0</v>
      </c>
      <c r="F76">
        <v>1</v>
      </c>
      <c r="G76" t="s">
        <v>170</v>
      </c>
      <c r="H76" s="1">
        <v>12074</v>
      </c>
      <c r="I76">
        <v>1E-3</v>
      </c>
      <c r="J76">
        <v>3.5000000000000003E-2</v>
      </c>
      <c r="K76">
        <v>0</v>
      </c>
      <c r="L76">
        <v>1</v>
      </c>
      <c r="M76" t="s">
        <v>170</v>
      </c>
      <c r="N76" s="1">
        <v>11254</v>
      </c>
      <c r="O76">
        <v>1E-3</v>
      </c>
      <c r="P76">
        <v>3.4000000000000002E-2</v>
      </c>
      <c r="Q76">
        <v>0</v>
      </c>
      <c r="R76">
        <v>1</v>
      </c>
    </row>
    <row r="77" spans="1:18" x14ac:dyDescent="0.25">
      <c r="A77" t="s">
        <v>79</v>
      </c>
      <c r="B77" s="1">
        <v>23328</v>
      </c>
      <c r="C77">
        <v>0.20599999999999999</v>
      </c>
      <c r="D77">
        <v>0.40400000000000003</v>
      </c>
      <c r="E77">
        <v>0</v>
      </c>
      <c r="F77">
        <v>1</v>
      </c>
      <c r="G77" t="s">
        <v>79</v>
      </c>
      <c r="H77" s="1">
        <v>12074</v>
      </c>
      <c r="I77">
        <v>0.215</v>
      </c>
      <c r="J77">
        <v>0.41099999999999998</v>
      </c>
      <c r="K77">
        <v>0</v>
      </c>
      <c r="L77">
        <v>1</v>
      </c>
      <c r="M77" t="s">
        <v>79</v>
      </c>
      <c r="N77" s="1">
        <v>11254</v>
      </c>
      <c r="O77">
        <v>0.19600000000000001</v>
      </c>
      <c r="P77">
        <v>0.39700000000000002</v>
      </c>
      <c r="Q77">
        <v>0</v>
      </c>
      <c r="R77">
        <v>1</v>
      </c>
    </row>
    <row r="78" spans="1:18" x14ac:dyDescent="0.25">
      <c r="A78" t="s">
        <v>80</v>
      </c>
      <c r="B78" s="1">
        <v>23328</v>
      </c>
      <c r="C78">
        <v>1.0999999999999999E-2</v>
      </c>
      <c r="D78">
        <v>0.105</v>
      </c>
      <c r="E78">
        <v>0</v>
      </c>
      <c r="F78">
        <v>1</v>
      </c>
      <c r="G78" t="s">
        <v>80</v>
      </c>
      <c r="H78" s="1">
        <v>12074</v>
      </c>
      <c r="I78">
        <v>0.01</v>
      </c>
      <c r="J78">
        <v>9.9000000000000005E-2</v>
      </c>
      <c r="K78">
        <v>0</v>
      </c>
      <c r="L78">
        <v>1</v>
      </c>
      <c r="M78" t="s">
        <v>80</v>
      </c>
      <c r="N78" s="1">
        <v>11254</v>
      </c>
      <c r="O78">
        <v>1.2E-2</v>
      </c>
      <c r="P78">
        <v>0.11</v>
      </c>
      <c r="Q78">
        <v>0</v>
      </c>
      <c r="R78">
        <v>1</v>
      </c>
    </row>
    <row r="79" spans="1:18" x14ac:dyDescent="0.25">
      <c r="A79" t="s">
        <v>81</v>
      </c>
      <c r="B79" s="1">
        <v>23328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12074</v>
      </c>
      <c r="I79">
        <v>1E-3</v>
      </c>
      <c r="J79">
        <v>2.7E-2</v>
      </c>
      <c r="K79">
        <v>0</v>
      </c>
      <c r="L79">
        <v>1</v>
      </c>
      <c r="M79" t="s">
        <v>81</v>
      </c>
      <c r="N79" s="1">
        <v>11254</v>
      </c>
      <c r="O79">
        <v>4.0000000000000002E-4</v>
      </c>
      <c r="P79">
        <v>2.1000000000000001E-2</v>
      </c>
      <c r="Q79">
        <v>0</v>
      </c>
      <c r="R79">
        <v>1</v>
      </c>
    </row>
    <row r="80" spans="1:18" x14ac:dyDescent="0.25">
      <c r="A80" t="s">
        <v>82</v>
      </c>
      <c r="B80" s="1">
        <v>23328</v>
      </c>
      <c r="C80">
        <v>7.5999999999999998E-2</v>
      </c>
      <c r="D80">
        <v>0.26500000000000001</v>
      </c>
      <c r="E80">
        <v>0</v>
      </c>
      <c r="F80">
        <v>1</v>
      </c>
      <c r="G80" t="s">
        <v>82</v>
      </c>
      <c r="H80" s="1">
        <v>12074</v>
      </c>
      <c r="I80">
        <v>7.6999999999999999E-2</v>
      </c>
      <c r="J80">
        <v>0.26600000000000001</v>
      </c>
      <c r="K80">
        <v>0</v>
      </c>
      <c r="L80">
        <v>1</v>
      </c>
      <c r="M80" t="s">
        <v>82</v>
      </c>
      <c r="N80" s="1">
        <v>11254</v>
      </c>
      <c r="O80">
        <v>7.4999999999999997E-2</v>
      </c>
      <c r="P80">
        <v>0.26400000000000001</v>
      </c>
      <c r="Q80">
        <v>0</v>
      </c>
      <c r="R80">
        <v>1</v>
      </c>
    </row>
    <row r="81" spans="1:18" x14ac:dyDescent="0.25">
      <c r="A81" t="s">
        <v>83</v>
      </c>
      <c r="B81" s="1">
        <v>23328</v>
      </c>
      <c r="C81">
        <v>0.28799999999999998</v>
      </c>
      <c r="D81">
        <v>0.45300000000000001</v>
      </c>
      <c r="E81">
        <v>0</v>
      </c>
      <c r="F81">
        <v>1</v>
      </c>
      <c r="G81" t="s">
        <v>83</v>
      </c>
      <c r="H81" s="1">
        <v>12074</v>
      </c>
      <c r="I81">
        <v>0.27500000000000002</v>
      </c>
      <c r="J81">
        <v>0.44700000000000001</v>
      </c>
      <c r="K81">
        <v>0</v>
      </c>
      <c r="L81">
        <v>1</v>
      </c>
      <c r="M81" t="s">
        <v>83</v>
      </c>
      <c r="N81" s="1">
        <v>11254</v>
      </c>
      <c r="O81">
        <v>0.30199999999999999</v>
      </c>
      <c r="P81">
        <v>0.45900000000000002</v>
      </c>
      <c r="Q81">
        <v>0</v>
      </c>
      <c r="R81">
        <v>1</v>
      </c>
    </row>
    <row r="82" spans="1:18" x14ac:dyDescent="0.25">
      <c r="A82" t="s">
        <v>84</v>
      </c>
      <c r="B82" s="1">
        <v>23328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12074</v>
      </c>
      <c r="I82">
        <v>8.0000000000000002E-3</v>
      </c>
      <c r="J82">
        <v>8.6999999999999994E-2</v>
      </c>
      <c r="K82">
        <v>0</v>
      </c>
      <c r="L82">
        <v>1</v>
      </c>
      <c r="M82" t="s">
        <v>84</v>
      </c>
      <c r="N82" s="1">
        <v>11254</v>
      </c>
      <c r="O82">
        <v>8.9999999999999993E-3</v>
      </c>
      <c r="P82">
        <v>9.2999999999999999E-2</v>
      </c>
      <c r="Q82">
        <v>0</v>
      </c>
      <c r="R82">
        <v>1</v>
      </c>
    </row>
    <row r="83" spans="1:18" x14ac:dyDescent="0.25">
      <c r="A83" t="s">
        <v>85</v>
      </c>
      <c r="B83" s="1">
        <v>23328</v>
      </c>
      <c r="C83">
        <v>0.41</v>
      </c>
      <c r="D83">
        <v>0.49199999999999999</v>
      </c>
      <c r="E83">
        <v>0</v>
      </c>
      <c r="F83">
        <v>1</v>
      </c>
      <c r="G83" t="s">
        <v>85</v>
      </c>
      <c r="H83" s="1">
        <v>12074</v>
      </c>
      <c r="I83">
        <v>0.41499999999999998</v>
      </c>
      <c r="J83">
        <v>0.49299999999999999</v>
      </c>
      <c r="K83">
        <v>0</v>
      </c>
      <c r="L83">
        <v>1</v>
      </c>
      <c r="M83" t="s">
        <v>85</v>
      </c>
      <c r="N83" s="1">
        <v>11254</v>
      </c>
      <c r="O83">
        <v>0.40500000000000003</v>
      </c>
      <c r="P83">
        <v>0.49099999999999999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25F4-DAA0-4E75-8800-704CFF32D63F}">
  <sheetPr codeName="Sheet6"/>
  <dimension ref="A1:R84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8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19897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10573</v>
      </c>
      <c r="I3">
        <v>1.073</v>
      </c>
      <c r="J3">
        <v>0.26400000000000001</v>
      </c>
      <c r="K3">
        <v>1</v>
      </c>
      <c r="L3">
        <v>3</v>
      </c>
      <c r="M3" t="s">
        <v>10</v>
      </c>
      <c r="N3" s="1">
        <v>9324</v>
      </c>
      <c r="O3">
        <v>1.278</v>
      </c>
      <c r="P3">
        <v>0.51</v>
      </c>
      <c r="Q3">
        <v>1</v>
      </c>
      <c r="R3">
        <v>4</v>
      </c>
    </row>
    <row r="4" spans="1:18" x14ac:dyDescent="0.25">
      <c r="A4" t="s">
        <v>11</v>
      </c>
      <c r="B4" s="1">
        <v>19897</v>
      </c>
      <c r="C4">
        <v>0.46899999999999997</v>
      </c>
      <c r="D4">
        <v>0.499</v>
      </c>
      <c r="E4">
        <v>0</v>
      </c>
      <c r="F4">
        <v>1</v>
      </c>
      <c r="G4" t="s">
        <v>11</v>
      </c>
      <c r="H4" s="1">
        <v>10573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9324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19897</v>
      </c>
      <c r="C5">
        <v>0.40500000000000003</v>
      </c>
      <c r="D5">
        <v>0.49099999999999999</v>
      </c>
      <c r="E5">
        <v>0</v>
      </c>
      <c r="F5">
        <v>1</v>
      </c>
      <c r="G5" t="s">
        <v>12</v>
      </c>
      <c r="H5" s="1">
        <v>10573</v>
      </c>
      <c r="I5">
        <v>2E-3</v>
      </c>
      <c r="J5">
        <v>4.2000000000000003E-2</v>
      </c>
      <c r="K5">
        <v>0</v>
      </c>
      <c r="L5">
        <v>1</v>
      </c>
      <c r="M5" t="s">
        <v>12</v>
      </c>
      <c r="N5" s="1">
        <v>9324</v>
      </c>
      <c r="O5">
        <v>0.86299999999999999</v>
      </c>
      <c r="P5">
        <v>0.34399999999999997</v>
      </c>
      <c r="Q5">
        <v>0</v>
      </c>
      <c r="R5">
        <v>1</v>
      </c>
    </row>
    <row r="6" spans="1:18" x14ac:dyDescent="0.25">
      <c r="A6" t="s">
        <v>36</v>
      </c>
      <c r="B6" s="1">
        <v>9324</v>
      </c>
      <c r="C6">
        <v>295.05900000000003</v>
      </c>
      <c r="D6">
        <v>549.154</v>
      </c>
      <c r="E6">
        <v>0</v>
      </c>
      <c r="F6" s="1">
        <v>4021</v>
      </c>
      <c r="G6" t="s">
        <v>13</v>
      </c>
      <c r="H6" s="1">
        <v>10573</v>
      </c>
      <c r="I6">
        <v>2.363</v>
      </c>
      <c r="J6">
        <v>0.95499999999999996</v>
      </c>
      <c r="K6">
        <v>0</v>
      </c>
      <c r="L6">
        <v>17</v>
      </c>
      <c r="M6" t="s">
        <v>36</v>
      </c>
      <c r="N6" s="1">
        <v>9324</v>
      </c>
      <c r="O6">
        <v>295.05900000000003</v>
      </c>
      <c r="P6">
        <v>549.154</v>
      </c>
      <c r="Q6">
        <v>0</v>
      </c>
      <c r="R6" s="1">
        <v>4021</v>
      </c>
    </row>
    <row r="7" spans="1:18" x14ac:dyDescent="0.25">
      <c r="A7" t="s">
        <v>13</v>
      </c>
      <c r="B7" s="1">
        <v>19897</v>
      </c>
      <c r="C7">
        <v>2.4020000000000001</v>
      </c>
      <c r="D7">
        <v>0.98899999999999999</v>
      </c>
      <c r="E7">
        <v>0</v>
      </c>
      <c r="F7">
        <v>17</v>
      </c>
      <c r="G7" t="s">
        <v>14</v>
      </c>
      <c r="H7" s="1">
        <v>10573</v>
      </c>
      <c r="I7">
        <v>0.38</v>
      </c>
      <c r="J7">
        <v>0.51900000000000002</v>
      </c>
      <c r="K7">
        <v>0</v>
      </c>
      <c r="L7">
        <v>5</v>
      </c>
      <c r="M7" t="s">
        <v>13</v>
      </c>
      <c r="N7" s="1">
        <v>9324</v>
      </c>
      <c r="O7">
        <v>2.4460000000000002</v>
      </c>
      <c r="P7">
        <v>1.0229999999999999</v>
      </c>
      <c r="Q7">
        <v>0</v>
      </c>
      <c r="R7">
        <v>15</v>
      </c>
    </row>
    <row r="8" spans="1:18" x14ac:dyDescent="0.25">
      <c r="A8" t="s">
        <v>14</v>
      </c>
      <c r="B8" s="1">
        <v>19897</v>
      </c>
      <c r="C8">
        <v>0.38400000000000001</v>
      </c>
      <c r="D8">
        <v>0.52500000000000002</v>
      </c>
      <c r="E8">
        <v>0</v>
      </c>
      <c r="F8">
        <v>5</v>
      </c>
      <c r="G8" t="s">
        <v>15</v>
      </c>
      <c r="H8" s="1">
        <v>10573</v>
      </c>
      <c r="I8">
        <v>3.7730000000000001</v>
      </c>
      <c r="J8">
        <v>1.236</v>
      </c>
      <c r="K8">
        <v>0</v>
      </c>
      <c r="L8">
        <v>18</v>
      </c>
      <c r="M8" t="s">
        <v>14</v>
      </c>
      <c r="N8" s="1">
        <v>9324</v>
      </c>
      <c r="O8">
        <v>0.38800000000000001</v>
      </c>
      <c r="P8">
        <v>0.53200000000000003</v>
      </c>
      <c r="Q8">
        <v>0</v>
      </c>
      <c r="R8">
        <v>5</v>
      </c>
    </row>
    <row r="9" spans="1:18" x14ac:dyDescent="0.25">
      <c r="A9" t="s">
        <v>15</v>
      </c>
      <c r="B9" s="1">
        <v>19897</v>
      </c>
      <c r="C9">
        <v>3.8159999999999998</v>
      </c>
      <c r="D9">
        <v>1.276</v>
      </c>
      <c r="E9">
        <v>0</v>
      </c>
      <c r="F9">
        <v>25</v>
      </c>
      <c r="G9" t="s">
        <v>16</v>
      </c>
      <c r="H9" s="1">
        <v>10573</v>
      </c>
      <c r="I9">
        <v>51.421999999999997</v>
      </c>
      <c r="J9">
        <v>59.319000000000003</v>
      </c>
      <c r="K9">
        <v>0</v>
      </c>
      <c r="L9">
        <v>739</v>
      </c>
      <c r="M9" t="s">
        <v>15</v>
      </c>
      <c r="N9" s="1">
        <v>9324</v>
      </c>
      <c r="O9">
        <v>3.8650000000000002</v>
      </c>
      <c r="P9">
        <v>1.3180000000000001</v>
      </c>
      <c r="Q9">
        <v>0</v>
      </c>
      <c r="R9">
        <v>25</v>
      </c>
    </row>
    <row r="10" spans="1:18" x14ac:dyDescent="0.25">
      <c r="A10" t="s">
        <v>16</v>
      </c>
      <c r="B10" s="1">
        <v>19897</v>
      </c>
      <c r="C10">
        <v>41.137999999999998</v>
      </c>
      <c r="D10">
        <v>55.680999999999997</v>
      </c>
      <c r="E10">
        <v>0</v>
      </c>
      <c r="F10">
        <v>739</v>
      </c>
      <c r="G10" t="s">
        <v>163</v>
      </c>
      <c r="H10" s="1">
        <v>10573</v>
      </c>
      <c r="I10" s="2">
        <v>1857.0360000000001</v>
      </c>
      <c r="J10">
        <v>884.46500000000003</v>
      </c>
      <c r="K10">
        <v>420</v>
      </c>
      <c r="L10" s="1">
        <v>17408</v>
      </c>
      <c r="M10" t="s">
        <v>16</v>
      </c>
      <c r="N10" s="1">
        <v>9324</v>
      </c>
      <c r="O10">
        <v>29.477</v>
      </c>
      <c r="P10">
        <v>48.685000000000002</v>
      </c>
      <c r="Q10">
        <v>0</v>
      </c>
      <c r="R10">
        <v>593</v>
      </c>
    </row>
    <row r="11" spans="1:18" x14ac:dyDescent="0.25">
      <c r="A11" t="s">
        <v>163</v>
      </c>
      <c r="B11" s="1">
        <v>19897</v>
      </c>
      <c r="C11" s="2">
        <v>1882.2139999999999</v>
      </c>
      <c r="D11">
        <v>915.17600000000004</v>
      </c>
      <c r="E11">
        <v>220</v>
      </c>
      <c r="F11" s="1">
        <v>17408</v>
      </c>
      <c r="G11" t="s">
        <v>17</v>
      </c>
      <c r="H11" s="1">
        <v>10573</v>
      </c>
      <c r="I11" s="2">
        <v>332.24900000000002</v>
      </c>
      <c r="J11">
        <v>232.054</v>
      </c>
      <c r="K11">
        <v>0</v>
      </c>
      <c r="L11" s="1">
        <v>4444</v>
      </c>
      <c r="M11" t="s">
        <v>163</v>
      </c>
      <c r="N11" s="1">
        <v>9324</v>
      </c>
      <c r="O11" s="2">
        <v>1910.7639999999999</v>
      </c>
      <c r="P11">
        <v>948.03800000000001</v>
      </c>
      <c r="Q11">
        <v>220</v>
      </c>
      <c r="R11" s="1">
        <v>16703</v>
      </c>
    </row>
    <row r="12" spans="1:18" x14ac:dyDescent="0.25">
      <c r="A12" t="s">
        <v>17</v>
      </c>
      <c r="B12" s="1">
        <v>19897</v>
      </c>
      <c r="C12">
        <v>331.84199999999998</v>
      </c>
      <c r="D12">
        <v>232.529</v>
      </c>
      <c r="E12">
        <v>0</v>
      </c>
      <c r="F12" s="1">
        <v>4444</v>
      </c>
      <c r="G12" t="s">
        <v>19</v>
      </c>
      <c r="H12" s="1">
        <v>10573</v>
      </c>
      <c r="I12" s="2">
        <v>1215760</v>
      </c>
      <c r="J12" s="2">
        <v>1007968</v>
      </c>
      <c r="K12" s="2">
        <v>168375.1</v>
      </c>
      <c r="L12" s="1">
        <v>23293838</v>
      </c>
      <c r="M12" t="s">
        <v>17</v>
      </c>
      <c r="N12" s="1">
        <v>9324</v>
      </c>
      <c r="O12">
        <v>331.38200000000001</v>
      </c>
      <c r="P12">
        <v>233.07900000000001</v>
      </c>
      <c r="Q12">
        <v>0</v>
      </c>
      <c r="R12" s="1">
        <v>3200</v>
      </c>
    </row>
    <row r="13" spans="1:18" x14ac:dyDescent="0.25">
      <c r="A13" t="s">
        <v>19</v>
      </c>
      <c r="B13" s="1">
        <v>19897</v>
      </c>
      <c r="C13" s="2">
        <v>1291924</v>
      </c>
      <c r="D13" s="2">
        <v>1055899</v>
      </c>
      <c r="E13" s="2">
        <v>168375.1</v>
      </c>
      <c r="F13" s="2">
        <v>23293838</v>
      </c>
      <c r="G13" t="s">
        <v>20</v>
      </c>
      <c r="H13" s="1">
        <v>10573</v>
      </c>
      <c r="I13" s="2">
        <v>1190425</v>
      </c>
      <c r="J13" s="2">
        <v>928045.4</v>
      </c>
      <c r="K13" s="2">
        <v>180401.9</v>
      </c>
      <c r="L13" s="2">
        <v>21058570</v>
      </c>
      <c r="M13" t="s">
        <v>19</v>
      </c>
      <c r="N13" s="1">
        <v>9324</v>
      </c>
      <c r="O13" s="2">
        <v>1378292</v>
      </c>
      <c r="P13" s="2">
        <v>1101443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19897</v>
      </c>
      <c r="C14" s="2">
        <v>1279709</v>
      </c>
      <c r="D14" s="2">
        <v>981421.7</v>
      </c>
      <c r="E14" s="2">
        <v>180401.9</v>
      </c>
      <c r="F14" s="2">
        <v>22166108</v>
      </c>
      <c r="G14" t="s">
        <v>190</v>
      </c>
      <c r="H14" s="1">
        <v>10573</v>
      </c>
      <c r="I14" s="2">
        <v>20834.64</v>
      </c>
      <c r="J14" s="2">
        <v>96902.57</v>
      </c>
      <c r="K14" s="2">
        <v>-1850000</v>
      </c>
      <c r="L14" s="2">
        <v>2950000</v>
      </c>
      <c r="M14" t="s">
        <v>20</v>
      </c>
      <c r="N14" s="1">
        <v>9324</v>
      </c>
      <c r="O14" s="2">
        <v>1380953</v>
      </c>
      <c r="P14" s="2">
        <v>1029356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19897</v>
      </c>
      <c r="C15" s="2">
        <v>9784.4220000000005</v>
      </c>
      <c r="D15" s="2">
        <v>125176.7</v>
      </c>
      <c r="E15" s="2">
        <v>-2010000</v>
      </c>
      <c r="F15" s="2">
        <v>6900000</v>
      </c>
      <c r="G15" t="s">
        <v>21</v>
      </c>
      <c r="H15" s="1">
        <v>10573</v>
      </c>
      <c r="I15" s="2">
        <v>2.5000000000000001E-2</v>
      </c>
      <c r="J15" s="2">
        <v>0.157</v>
      </c>
      <c r="K15" s="1">
        <v>0</v>
      </c>
      <c r="L15" s="1">
        <v>1</v>
      </c>
      <c r="M15" t="s">
        <v>190</v>
      </c>
      <c r="N15" s="1">
        <v>9324</v>
      </c>
      <c r="O15" s="2">
        <v>-2746.0320000000002</v>
      </c>
      <c r="P15" s="2">
        <v>149985.60000000001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19897</v>
      </c>
      <c r="C16">
        <v>2.7E-2</v>
      </c>
      <c r="D16">
        <v>0.16400000000000001</v>
      </c>
      <c r="E16">
        <v>0</v>
      </c>
      <c r="F16">
        <v>1</v>
      </c>
      <c r="G16" t="s">
        <v>22</v>
      </c>
      <c r="H16" s="1">
        <v>10573</v>
      </c>
      <c r="I16">
        <v>4.2999999999999997E-2</v>
      </c>
      <c r="J16">
        <v>0.20300000000000001</v>
      </c>
      <c r="K16">
        <v>0</v>
      </c>
      <c r="L16">
        <v>1</v>
      </c>
      <c r="M16" t="s">
        <v>21</v>
      </c>
      <c r="N16" s="1">
        <v>9324</v>
      </c>
      <c r="O16">
        <v>0.03</v>
      </c>
      <c r="P16">
        <v>0.17</v>
      </c>
      <c r="Q16">
        <v>0</v>
      </c>
      <c r="R16">
        <v>1</v>
      </c>
    </row>
    <row r="17" spans="1:18" x14ac:dyDescent="0.25">
      <c r="A17" t="s">
        <v>22</v>
      </c>
      <c r="B17" s="1">
        <v>19897</v>
      </c>
      <c r="C17">
        <v>4.4999999999999998E-2</v>
      </c>
      <c r="D17">
        <v>0.20799999999999999</v>
      </c>
      <c r="E17">
        <v>0</v>
      </c>
      <c r="F17">
        <v>1</v>
      </c>
      <c r="G17" t="s">
        <v>23</v>
      </c>
      <c r="H17" s="1">
        <v>10573</v>
      </c>
      <c r="I17">
        <v>8.0000000000000002E-3</v>
      </c>
      <c r="J17">
        <v>0.09</v>
      </c>
      <c r="K17">
        <v>0</v>
      </c>
      <c r="L17">
        <v>1</v>
      </c>
      <c r="M17" t="s">
        <v>22</v>
      </c>
      <c r="N17" s="1">
        <v>9324</v>
      </c>
      <c r="O17">
        <v>4.8000000000000001E-2</v>
      </c>
      <c r="P17">
        <v>0.21299999999999999</v>
      </c>
      <c r="Q17">
        <v>0</v>
      </c>
      <c r="R17">
        <v>1</v>
      </c>
    </row>
    <row r="18" spans="1:18" x14ac:dyDescent="0.25">
      <c r="A18" t="s">
        <v>23</v>
      </c>
      <c r="B18" s="1">
        <v>19897</v>
      </c>
      <c r="C18">
        <v>8.9999999999999993E-3</v>
      </c>
      <c r="D18">
        <v>9.4E-2</v>
      </c>
      <c r="E18">
        <v>0</v>
      </c>
      <c r="F18">
        <v>1</v>
      </c>
      <c r="G18" t="s">
        <v>24</v>
      </c>
      <c r="H18" s="1">
        <v>10573</v>
      </c>
      <c r="I18">
        <v>0</v>
      </c>
      <c r="J18">
        <v>0</v>
      </c>
      <c r="K18">
        <v>0</v>
      </c>
      <c r="L18">
        <v>0</v>
      </c>
      <c r="M18" t="s">
        <v>23</v>
      </c>
      <c r="N18" s="1">
        <v>9324</v>
      </c>
      <c r="O18">
        <v>0.01</v>
      </c>
      <c r="P18">
        <v>9.7000000000000003E-2</v>
      </c>
      <c r="Q18">
        <v>0</v>
      </c>
      <c r="R18">
        <v>1</v>
      </c>
    </row>
    <row r="19" spans="1:18" x14ac:dyDescent="0.25">
      <c r="A19" t="s">
        <v>24</v>
      </c>
      <c r="B19" s="1">
        <v>19897</v>
      </c>
      <c r="C19">
        <v>0</v>
      </c>
      <c r="D19">
        <v>0</v>
      </c>
      <c r="E19">
        <v>0</v>
      </c>
      <c r="F19">
        <v>0</v>
      </c>
      <c r="G19" t="s">
        <v>25</v>
      </c>
      <c r="H19" s="1">
        <v>10573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9324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19897</v>
      </c>
      <c r="C20">
        <v>0</v>
      </c>
      <c r="D20">
        <v>0</v>
      </c>
      <c r="E20">
        <v>0</v>
      </c>
      <c r="F20">
        <v>0</v>
      </c>
      <c r="G20" t="s">
        <v>26</v>
      </c>
      <c r="H20" s="1">
        <v>10573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9324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19897</v>
      </c>
      <c r="C21">
        <v>1E-4</v>
      </c>
      <c r="D21">
        <v>0.01</v>
      </c>
      <c r="E21">
        <v>0</v>
      </c>
      <c r="F21">
        <v>1</v>
      </c>
      <c r="G21" t="s">
        <v>27</v>
      </c>
      <c r="H21" s="1">
        <v>10573</v>
      </c>
      <c r="I21">
        <v>0</v>
      </c>
      <c r="J21">
        <v>0</v>
      </c>
      <c r="K21">
        <v>0</v>
      </c>
      <c r="L21">
        <v>0</v>
      </c>
      <c r="M21" t="s">
        <v>26</v>
      </c>
      <c r="N21" s="1">
        <v>9324</v>
      </c>
      <c r="O21">
        <v>2.0000000000000001E-4</v>
      </c>
      <c r="P21">
        <v>1.4999999999999999E-2</v>
      </c>
      <c r="Q21">
        <v>0</v>
      </c>
      <c r="R21">
        <v>1</v>
      </c>
    </row>
    <row r="22" spans="1:18" x14ac:dyDescent="0.25">
      <c r="A22" t="s">
        <v>27</v>
      </c>
      <c r="B22" s="1">
        <v>19897</v>
      </c>
      <c r="C22">
        <v>0</v>
      </c>
      <c r="D22">
        <v>0</v>
      </c>
      <c r="E22">
        <v>0</v>
      </c>
      <c r="F22">
        <v>0</v>
      </c>
      <c r="G22" t="s">
        <v>28</v>
      </c>
      <c r="H22" s="1">
        <v>10573</v>
      </c>
      <c r="I22">
        <v>0.92200000000000004</v>
      </c>
      <c r="J22">
        <v>0.26800000000000002</v>
      </c>
      <c r="K22">
        <v>0</v>
      </c>
      <c r="L22">
        <v>1</v>
      </c>
      <c r="M22" t="s">
        <v>27</v>
      </c>
      <c r="N22" s="1">
        <v>9324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19897</v>
      </c>
      <c r="C23">
        <v>0.92100000000000004</v>
      </c>
      <c r="D23">
        <v>0.26900000000000002</v>
      </c>
      <c r="E23">
        <v>0</v>
      </c>
      <c r="F23">
        <v>1</v>
      </c>
      <c r="G23" t="s">
        <v>29</v>
      </c>
      <c r="H23" s="1">
        <v>10573</v>
      </c>
      <c r="I23">
        <v>1.9E-2</v>
      </c>
      <c r="J23">
        <v>0.13500000000000001</v>
      </c>
      <c r="K23">
        <v>0</v>
      </c>
      <c r="L23">
        <v>1</v>
      </c>
      <c r="M23" t="s">
        <v>28</v>
      </c>
      <c r="N23" s="1">
        <v>9324</v>
      </c>
      <c r="O23">
        <v>0.92</v>
      </c>
      <c r="P23">
        <v>0.27100000000000002</v>
      </c>
      <c r="Q23">
        <v>0</v>
      </c>
      <c r="R23">
        <v>1</v>
      </c>
    </row>
    <row r="24" spans="1:18" x14ac:dyDescent="0.25">
      <c r="A24" t="s">
        <v>29</v>
      </c>
      <c r="B24" s="1">
        <v>19897</v>
      </c>
      <c r="C24">
        <v>1.7999999999999999E-2</v>
      </c>
      <c r="D24">
        <v>0.13500000000000001</v>
      </c>
      <c r="E24">
        <v>0</v>
      </c>
      <c r="F24">
        <v>1</v>
      </c>
      <c r="G24" t="s">
        <v>30</v>
      </c>
      <c r="H24" s="1">
        <v>10573</v>
      </c>
      <c r="I24">
        <v>3.6999999999999998E-2</v>
      </c>
      <c r="J24">
        <v>0.189</v>
      </c>
      <c r="K24">
        <v>0</v>
      </c>
      <c r="L24">
        <v>1</v>
      </c>
      <c r="M24" t="s">
        <v>29</v>
      </c>
      <c r="N24" s="1">
        <v>9324</v>
      </c>
      <c r="O24">
        <v>1.7999999999999999E-2</v>
      </c>
      <c r="P24">
        <v>0.13400000000000001</v>
      </c>
      <c r="Q24">
        <v>0</v>
      </c>
      <c r="R24">
        <v>1</v>
      </c>
    </row>
    <row r="25" spans="1:18" x14ac:dyDescent="0.25">
      <c r="A25" t="s">
        <v>30</v>
      </c>
      <c r="B25" s="1">
        <v>19897</v>
      </c>
      <c r="C25">
        <v>4.1000000000000002E-2</v>
      </c>
      <c r="D25">
        <v>0.19900000000000001</v>
      </c>
      <c r="E25">
        <v>0</v>
      </c>
      <c r="F25">
        <v>1</v>
      </c>
      <c r="G25" t="s">
        <v>31</v>
      </c>
      <c r="H25" s="1">
        <v>10573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9324</v>
      </c>
      <c r="O25">
        <v>4.5999999999999999E-2</v>
      </c>
      <c r="P25">
        <v>0.21</v>
      </c>
      <c r="Q25">
        <v>0</v>
      </c>
      <c r="R25">
        <v>1</v>
      </c>
    </row>
    <row r="26" spans="1:18" x14ac:dyDescent="0.25">
      <c r="A26" t="s">
        <v>31</v>
      </c>
      <c r="B26" s="1">
        <v>19897</v>
      </c>
      <c r="C26">
        <v>0</v>
      </c>
      <c r="D26">
        <v>0</v>
      </c>
      <c r="E26">
        <v>0</v>
      </c>
      <c r="F26">
        <v>0</v>
      </c>
      <c r="G26" t="s">
        <v>32</v>
      </c>
      <c r="H26" s="1">
        <v>10573</v>
      </c>
      <c r="I26">
        <v>1</v>
      </c>
      <c r="J26">
        <v>0</v>
      </c>
      <c r="K26">
        <v>1</v>
      </c>
      <c r="L26">
        <v>1</v>
      </c>
      <c r="M26" t="s">
        <v>31</v>
      </c>
      <c r="N26" s="1">
        <v>9324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19897</v>
      </c>
      <c r="C27">
        <v>1</v>
      </c>
      <c r="D27">
        <v>0.01</v>
      </c>
      <c r="E27">
        <v>0</v>
      </c>
      <c r="F27">
        <v>1</v>
      </c>
      <c r="G27" t="s">
        <v>33</v>
      </c>
      <c r="H27" s="1">
        <v>10573</v>
      </c>
      <c r="I27">
        <v>38.307000000000002</v>
      </c>
      <c r="J27">
        <v>22.649000000000001</v>
      </c>
      <c r="K27">
        <v>0</v>
      </c>
      <c r="L27">
        <v>112</v>
      </c>
      <c r="M27" t="s">
        <v>32</v>
      </c>
      <c r="N27" s="1">
        <v>9324</v>
      </c>
      <c r="O27">
        <v>1</v>
      </c>
      <c r="P27">
        <v>1.4999999999999999E-2</v>
      </c>
      <c r="Q27">
        <v>0</v>
      </c>
      <c r="R27">
        <v>1</v>
      </c>
    </row>
    <row r="28" spans="1:18" x14ac:dyDescent="0.25">
      <c r="A28" t="s">
        <v>33</v>
      </c>
      <c r="B28" s="1">
        <v>19897</v>
      </c>
      <c r="C28">
        <v>39.875999999999998</v>
      </c>
      <c r="D28">
        <v>22.974</v>
      </c>
      <c r="E28">
        <v>0</v>
      </c>
      <c r="F28">
        <v>123</v>
      </c>
      <c r="G28" t="s">
        <v>34</v>
      </c>
      <c r="H28" s="1">
        <v>10573</v>
      </c>
      <c r="I28">
        <v>1.98</v>
      </c>
      <c r="J28">
        <v>1.8939999999999999</v>
      </c>
      <c r="K28">
        <v>0</v>
      </c>
      <c r="L28">
        <v>12.544</v>
      </c>
      <c r="M28" t="s">
        <v>33</v>
      </c>
      <c r="N28" s="1">
        <v>9324</v>
      </c>
      <c r="O28">
        <v>41.655000000000001</v>
      </c>
      <c r="P28">
        <v>23.210999999999999</v>
      </c>
      <c r="Q28">
        <v>0</v>
      </c>
      <c r="R28">
        <v>123</v>
      </c>
    </row>
    <row r="29" spans="1:18" x14ac:dyDescent="0.25">
      <c r="A29" t="s">
        <v>34</v>
      </c>
      <c r="B29" s="1">
        <v>19897</v>
      </c>
      <c r="C29">
        <v>2.1179999999999999</v>
      </c>
      <c r="D29">
        <v>1.9970000000000001</v>
      </c>
      <c r="E29">
        <v>0</v>
      </c>
      <c r="F29">
        <v>15.129</v>
      </c>
      <c r="G29" t="s">
        <v>35</v>
      </c>
      <c r="H29" s="1">
        <v>10573</v>
      </c>
      <c r="I29">
        <v>4.8860000000000001</v>
      </c>
      <c r="J29">
        <v>12.483000000000001</v>
      </c>
      <c r="K29">
        <v>0</v>
      </c>
      <c r="L29">
        <v>88</v>
      </c>
      <c r="M29" t="s">
        <v>34</v>
      </c>
      <c r="N29" s="1">
        <v>9324</v>
      </c>
      <c r="O29">
        <v>2.274</v>
      </c>
      <c r="P29">
        <v>2.0960000000000001</v>
      </c>
      <c r="Q29">
        <v>0</v>
      </c>
      <c r="R29">
        <v>15.129</v>
      </c>
    </row>
    <row r="30" spans="1:18" x14ac:dyDescent="0.25">
      <c r="A30" t="s">
        <v>35</v>
      </c>
      <c r="B30" s="1">
        <v>19897</v>
      </c>
      <c r="C30">
        <v>5.1749999999999998</v>
      </c>
      <c r="D30">
        <v>12.86</v>
      </c>
      <c r="E30">
        <v>0</v>
      </c>
      <c r="F30">
        <v>94</v>
      </c>
      <c r="G30" t="s">
        <v>18</v>
      </c>
      <c r="H30" s="1">
        <v>10573</v>
      </c>
      <c r="I30" s="2">
        <v>2075.0479999999998</v>
      </c>
      <c r="J30" s="2">
        <v>1083.8699999999999</v>
      </c>
      <c r="K30">
        <v>496</v>
      </c>
      <c r="L30" s="1">
        <v>23350</v>
      </c>
      <c r="M30" t="s">
        <v>35</v>
      </c>
      <c r="N30" s="1">
        <v>9324</v>
      </c>
      <c r="O30">
        <v>5.5039999999999996</v>
      </c>
      <c r="P30">
        <v>13.268000000000001</v>
      </c>
      <c r="Q30">
        <v>0</v>
      </c>
      <c r="R30">
        <v>94</v>
      </c>
    </row>
    <row r="31" spans="1:18" x14ac:dyDescent="0.25">
      <c r="A31" t="s">
        <v>18</v>
      </c>
      <c r="B31" s="1">
        <v>19897</v>
      </c>
      <c r="C31" s="2">
        <v>2104.4050000000002</v>
      </c>
      <c r="D31" s="2">
        <v>1117.125</v>
      </c>
      <c r="E31">
        <v>220</v>
      </c>
      <c r="F31" s="1">
        <v>23350</v>
      </c>
      <c r="G31" t="s">
        <v>37</v>
      </c>
      <c r="H31" s="1">
        <v>10573</v>
      </c>
      <c r="I31" s="2">
        <v>0.86</v>
      </c>
      <c r="J31" s="2">
        <v>3.4289999999999998</v>
      </c>
      <c r="K31">
        <v>2.9000000000000001E-2</v>
      </c>
      <c r="L31" s="1">
        <v>128.91800000000001</v>
      </c>
      <c r="M31" t="s">
        <v>18</v>
      </c>
      <c r="N31" s="1">
        <v>9324</v>
      </c>
      <c r="O31" s="2">
        <v>2137.6950000000002</v>
      </c>
      <c r="P31" s="2">
        <v>1152.8309999999999</v>
      </c>
      <c r="Q31">
        <v>220</v>
      </c>
      <c r="R31" s="1">
        <v>18919</v>
      </c>
    </row>
    <row r="32" spans="1:18" x14ac:dyDescent="0.25">
      <c r="A32" t="s">
        <v>37</v>
      </c>
      <c r="B32" s="1">
        <v>19897</v>
      </c>
      <c r="C32">
        <v>0.88300000000000001</v>
      </c>
      <c r="D32">
        <v>3.5219999999999998</v>
      </c>
      <c r="E32">
        <v>2.1000000000000001E-2</v>
      </c>
      <c r="F32">
        <v>128.91800000000001</v>
      </c>
      <c r="G32" t="s">
        <v>164</v>
      </c>
      <c r="H32" s="1">
        <v>10573</v>
      </c>
      <c r="I32">
        <v>2.6120000000000001</v>
      </c>
      <c r="J32">
        <v>2.669</v>
      </c>
      <c r="K32">
        <v>0</v>
      </c>
      <c r="L32">
        <v>13.552</v>
      </c>
      <c r="M32" t="s">
        <v>37</v>
      </c>
      <c r="N32" s="1">
        <v>9324</v>
      </c>
      <c r="O32">
        <v>0.90900000000000003</v>
      </c>
      <c r="P32">
        <v>3.625</v>
      </c>
      <c r="Q32">
        <v>2.1000000000000001E-2</v>
      </c>
      <c r="R32">
        <v>103.124</v>
      </c>
    </row>
    <row r="33" spans="1:18" x14ac:dyDescent="0.25">
      <c r="A33" t="s">
        <v>164</v>
      </c>
      <c r="B33" s="1">
        <v>19897</v>
      </c>
      <c r="C33">
        <v>2.528</v>
      </c>
      <c r="D33">
        <v>2.6110000000000002</v>
      </c>
      <c r="E33">
        <v>0</v>
      </c>
      <c r="F33">
        <v>13.552</v>
      </c>
      <c r="G33" t="s">
        <v>39</v>
      </c>
      <c r="H33" s="1">
        <v>10573</v>
      </c>
      <c r="I33">
        <v>0.52800000000000002</v>
      </c>
      <c r="J33">
        <v>0.32400000000000001</v>
      </c>
      <c r="K33">
        <v>0</v>
      </c>
      <c r="L33">
        <v>3.302</v>
      </c>
      <c r="M33" t="s">
        <v>164</v>
      </c>
      <c r="N33" s="1">
        <v>9324</v>
      </c>
      <c r="O33">
        <v>2.4340000000000002</v>
      </c>
      <c r="P33">
        <v>2.5409999999999999</v>
      </c>
      <c r="Q33">
        <v>0</v>
      </c>
      <c r="R33">
        <v>13.477</v>
      </c>
    </row>
    <row r="34" spans="1:18" x14ac:dyDescent="0.25">
      <c r="A34" t="s">
        <v>39</v>
      </c>
      <c r="B34" s="1">
        <v>19897</v>
      </c>
      <c r="C34">
        <v>0.52700000000000002</v>
      </c>
      <c r="D34">
        <v>0.33</v>
      </c>
      <c r="E34">
        <v>0</v>
      </c>
      <c r="F34">
        <v>3.56</v>
      </c>
      <c r="G34" t="s">
        <v>40</v>
      </c>
      <c r="H34" s="1">
        <v>10573</v>
      </c>
      <c r="I34">
        <v>5.0529999999999999</v>
      </c>
      <c r="J34">
        <v>4.1059999999999999</v>
      </c>
      <c r="K34">
        <v>2.1999999999999999E-2</v>
      </c>
      <c r="L34">
        <v>20.997</v>
      </c>
      <c r="M34" t="s">
        <v>39</v>
      </c>
      <c r="N34" s="1">
        <v>9324</v>
      </c>
      <c r="O34">
        <v>0.52600000000000002</v>
      </c>
      <c r="P34">
        <v>0.33600000000000002</v>
      </c>
      <c r="Q34">
        <v>0</v>
      </c>
      <c r="R34">
        <v>3.56</v>
      </c>
    </row>
    <row r="35" spans="1:18" x14ac:dyDescent="0.25">
      <c r="A35" t="s">
        <v>40</v>
      </c>
      <c r="B35" s="1">
        <v>19897</v>
      </c>
      <c r="C35">
        <v>5.1509999999999998</v>
      </c>
      <c r="D35">
        <v>4.1849999999999996</v>
      </c>
      <c r="E35">
        <v>0.01</v>
      </c>
      <c r="F35">
        <v>20.997</v>
      </c>
      <c r="G35" t="s">
        <v>41</v>
      </c>
      <c r="H35" s="1">
        <v>10573</v>
      </c>
      <c r="I35">
        <v>10.893000000000001</v>
      </c>
      <c r="J35">
        <v>5.5940000000000003</v>
      </c>
      <c r="K35">
        <v>0.32300000000000001</v>
      </c>
      <c r="L35">
        <v>30.003</v>
      </c>
      <c r="M35" t="s">
        <v>40</v>
      </c>
      <c r="N35" s="1">
        <v>9324</v>
      </c>
      <c r="O35">
        <v>5.2619999999999996</v>
      </c>
      <c r="P35">
        <v>4.2709999999999999</v>
      </c>
      <c r="Q35">
        <v>0.01</v>
      </c>
      <c r="R35">
        <v>20.927</v>
      </c>
    </row>
    <row r="36" spans="1:18" x14ac:dyDescent="0.25">
      <c r="A36" t="s">
        <v>41</v>
      </c>
      <c r="B36" s="1">
        <v>19897</v>
      </c>
      <c r="C36">
        <v>10.901999999999999</v>
      </c>
      <c r="D36">
        <v>5.5949999999999998</v>
      </c>
      <c r="E36">
        <v>0.32300000000000001</v>
      </c>
      <c r="F36">
        <v>30.986000000000001</v>
      </c>
      <c r="G36" t="s">
        <v>173</v>
      </c>
      <c r="H36" s="1">
        <v>10573</v>
      </c>
      <c r="I36">
        <v>1.0229999999999999</v>
      </c>
      <c r="J36">
        <v>0.77700000000000002</v>
      </c>
      <c r="K36">
        <v>2.5999999999999999E-2</v>
      </c>
      <c r="L36">
        <v>7.8339999999999996</v>
      </c>
      <c r="M36" t="s">
        <v>41</v>
      </c>
      <c r="N36" s="1">
        <v>9324</v>
      </c>
      <c r="O36">
        <v>10.912000000000001</v>
      </c>
      <c r="P36">
        <v>5.5960000000000001</v>
      </c>
      <c r="Q36">
        <v>1.274</v>
      </c>
      <c r="R36">
        <v>30.986000000000001</v>
      </c>
    </row>
    <row r="37" spans="1:18" x14ac:dyDescent="0.25">
      <c r="A37" t="s">
        <v>173</v>
      </c>
      <c r="B37" s="1">
        <v>19897</v>
      </c>
      <c r="C37">
        <v>1.042</v>
      </c>
      <c r="D37">
        <v>0.81</v>
      </c>
      <c r="E37">
        <v>1.6E-2</v>
      </c>
      <c r="F37">
        <v>7.8339999999999996</v>
      </c>
      <c r="G37" t="s">
        <v>174</v>
      </c>
      <c r="H37" s="1">
        <v>10573</v>
      </c>
      <c r="I37">
        <v>2.4580000000000002</v>
      </c>
      <c r="J37">
        <v>1.798</v>
      </c>
      <c r="K37">
        <v>4.2999999999999997E-2</v>
      </c>
      <c r="L37">
        <v>17.684000000000001</v>
      </c>
      <c r="M37" t="s">
        <v>173</v>
      </c>
      <c r="N37" s="1">
        <v>9324</v>
      </c>
      <c r="O37">
        <v>1.0620000000000001</v>
      </c>
      <c r="P37">
        <v>0.84599999999999997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19897</v>
      </c>
      <c r="C38">
        <v>2.4809999999999999</v>
      </c>
      <c r="D38">
        <v>1.823</v>
      </c>
      <c r="E38">
        <v>3.6999999999999998E-2</v>
      </c>
      <c r="F38">
        <v>17.684000000000001</v>
      </c>
      <c r="G38" t="s">
        <v>175</v>
      </c>
      <c r="H38" s="1">
        <v>10573</v>
      </c>
      <c r="I38">
        <v>2.528</v>
      </c>
      <c r="J38">
        <v>1.7050000000000001</v>
      </c>
      <c r="K38">
        <v>4.8000000000000001E-2</v>
      </c>
      <c r="L38">
        <v>17.684000000000001</v>
      </c>
      <c r="M38" t="s">
        <v>174</v>
      </c>
      <c r="N38" s="1">
        <v>9324</v>
      </c>
      <c r="O38">
        <v>2.5070000000000001</v>
      </c>
      <c r="P38">
        <v>1.85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19897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42</v>
      </c>
      <c r="H39" s="1">
        <v>10573</v>
      </c>
      <c r="I39">
        <v>0.215</v>
      </c>
      <c r="J39">
        <v>0.154</v>
      </c>
      <c r="K39">
        <v>0</v>
      </c>
      <c r="L39">
        <v>0.85599999999999998</v>
      </c>
      <c r="M39" t="s">
        <v>175</v>
      </c>
      <c r="N39" s="1">
        <v>9324</v>
      </c>
      <c r="O39">
        <v>2.6139999999999999</v>
      </c>
      <c r="P39">
        <v>1.77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19897</v>
      </c>
      <c r="C40">
        <v>0.216</v>
      </c>
      <c r="D40">
        <v>0.159</v>
      </c>
      <c r="E40">
        <v>0</v>
      </c>
      <c r="F40">
        <v>0.91800000000000004</v>
      </c>
      <c r="G40" t="s">
        <v>43</v>
      </c>
      <c r="H40" s="1">
        <v>10573</v>
      </c>
      <c r="I40">
        <v>1.7999999999999999E-2</v>
      </c>
      <c r="J40">
        <v>3.2000000000000001E-2</v>
      </c>
      <c r="K40">
        <v>0</v>
      </c>
      <c r="L40">
        <v>0.36299999999999999</v>
      </c>
      <c r="M40" t="s">
        <v>42</v>
      </c>
      <c r="N40" s="1">
        <v>9324</v>
      </c>
      <c r="O40">
        <v>0.216</v>
      </c>
      <c r="P40">
        <v>0.16400000000000001</v>
      </c>
      <c r="Q40">
        <v>0</v>
      </c>
      <c r="R40">
        <v>0.91800000000000004</v>
      </c>
    </row>
    <row r="41" spans="1:18" x14ac:dyDescent="0.25">
      <c r="A41" t="s">
        <v>43</v>
      </c>
      <c r="B41" s="1">
        <v>19897</v>
      </c>
      <c r="C41">
        <v>1.9E-2</v>
      </c>
      <c r="D41">
        <v>3.3000000000000002E-2</v>
      </c>
      <c r="E41">
        <v>0</v>
      </c>
      <c r="F41">
        <v>0.36299999999999999</v>
      </c>
      <c r="G41" t="s">
        <v>44</v>
      </c>
      <c r="H41" s="1">
        <v>10573</v>
      </c>
      <c r="I41">
        <v>0.42699999999999999</v>
      </c>
      <c r="J41">
        <v>0.19</v>
      </c>
      <c r="K41">
        <v>1E-3</v>
      </c>
      <c r="L41">
        <v>0.96899999999999997</v>
      </c>
      <c r="M41" t="s">
        <v>43</v>
      </c>
      <c r="N41" s="1">
        <v>9324</v>
      </c>
      <c r="O41">
        <v>1.9E-2</v>
      </c>
      <c r="P41">
        <v>3.5000000000000003E-2</v>
      </c>
      <c r="Q41">
        <v>0</v>
      </c>
      <c r="R41">
        <v>0.34200000000000003</v>
      </c>
    </row>
    <row r="42" spans="1:18" x14ac:dyDescent="0.25">
      <c r="A42" t="s">
        <v>44</v>
      </c>
      <c r="B42" s="1">
        <v>19897</v>
      </c>
      <c r="C42">
        <v>0.42099999999999999</v>
      </c>
      <c r="D42">
        <v>0.19500000000000001</v>
      </c>
      <c r="E42">
        <v>0</v>
      </c>
      <c r="F42">
        <v>0.96899999999999997</v>
      </c>
      <c r="G42" t="s">
        <v>45</v>
      </c>
      <c r="H42" s="1">
        <v>10573</v>
      </c>
      <c r="I42">
        <v>0.08</v>
      </c>
      <c r="J42">
        <v>9.4E-2</v>
      </c>
      <c r="K42">
        <v>0</v>
      </c>
      <c r="L42">
        <v>0.60799999999999998</v>
      </c>
      <c r="M42" t="s">
        <v>44</v>
      </c>
      <c r="N42" s="1">
        <v>9324</v>
      </c>
      <c r="O42">
        <v>0.41399999999999998</v>
      </c>
      <c r="P42">
        <v>0.20100000000000001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19897</v>
      </c>
      <c r="C43">
        <v>8.1000000000000003E-2</v>
      </c>
      <c r="D43">
        <v>0.105</v>
      </c>
      <c r="E43">
        <v>0</v>
      </c>
      <c r="F43">
        <v>0.71</v>
      </c>
      <c r="G43" t="s">
        <v>46</v>
      </c>
      <c r="H43" s="1">
        <v>10573</v>
      </c>
      <c r="I43">
        <v>0.93600000000000005</v>
      </c>
      <c r="J43">
        <v>7.3999999999999996E-2</v>
      </c>
      <c r="K43">
        <v>1.2E-2</v>
      </c>
      <c r="L43">
        <v>1</v>
      </c>
      <c r="M43" t="s">
        <v>45</v>
      </c>
      <c r="N43" s="1">
        <v>9324</v>
      </c>
      <c r="O43">
        <v>8.3000000000000004E-2</v>
      </c>
      <c r="P43">
        <v>0.115</v>
      </c>
      <c r="Q43">
        <v>0</v>
      </c>
      <c r="R43">
        <v>0.71</v>
      </c>
    </row>
    <row r="44" spans="1:18" x14ac:dyDescent="0.25">
      <c r="A44" t="s">
        <v>46</v>
      </c>
      <c r="B44" s="1">
        <v>19897</v>
      </c>
      <c r="C44">
        <v>0.93500000000000005</v>
      </c>
      <c r="D44">
        <v>8.1000000000000003E-2</v>
      </c>
      <c r="E44">
        <v>1.2E-2</v>
      </c>
      <c r="F44">
        <v>1</v>
      </c>
      <c r="G44" t="s">
        <v>47</v>
      </c>
      <c r="H44" s="1">
        <v>10573</v>
      </c>
      <c r="I44">
        <v>6.2E-2</v>
      </c>
      <c r="J44">
        <v>6.8000000000000005E-2</v>
      </c>
      <c r="K44">
        <v>0</v>
      </c>
      <c r="L44">
        <v>0.67100000000000004</v>
      </c>
      <c r="M44" t="s">
        <v>46</v>
      </c>
      <c r="N44" s="1">
        <v>9324</v>
      </c>
      <c r="O44">
        <v>0.93400000000000005</v>
      </c>
      <c r="P44">
        <v>8.8999999999999996E-2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19897</v>
      </c>
      <c r="C45">
        <v>6.3E-2</v>
      </c>
      <c r="D45">
        <v>7.5999999999999998E-2</v>
      </c>
      <c r="E45">
        <v>0</v>
      </c>
      <c r="F45">
        <v>0.69899999999999995</v>
      </c>
      <c r="G45" t="s">
        <v>48</v>
      </c>
      <c r="H45" s="1">
        <v>10573</v>
      </c>
      <c r="I45">
        <v>0.73799999999999999</v>
      </c>
      <c r="J45">
        <v>0.16300000000000001</v>
      </c>
      <c r="K45">
        <v>0</v>
      </c>
      <c r="L45">
        <v>1</v>
      </c>
      <c r="M45" t="s">
        <v>47</v>
      </c>
      <c r="N45" s="1">
        <v>9324</v>
      </c>
      <c r="O45">
        <v>6.4000000000000001E-2</v>
      </c>
      <c r="P45">
        <v>8.4000000000000005E-2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19897</v>
      </c>
      <c r="C46">
        <v>0.749</v>
      </c>
      <c r="D46">
        <v>0.16800000000000001</v>
      </c>
      <c r="E46">
        <v>0</v>
      </c>
      <c r="F46">
        <v>1</v>
      </c>
      <c r="G46" t="s">
        <v>49</v>
      </c>
      <c r="H46" s="1">
        <v>10573</v>
      </c>
      <c r="I46">
        <v>0.26</v>
      </c>
      <c r="J46">
        <v>0.16200000000000001</v>
      </c>
      <c r="K46">
        <v>0</v>
      </c>
      <c r="L46">
        <v>1</v>
      </c>
      <c r="M46" t="s">
        <v>48</v>
      </c>
      <c r="N46" s="1">
        <v>9324</v>
      </c>
      <c r="O46">
        <v>0.76100000000000001</v>
      </c>
      <c r="P46">
        <v>0.17299999999999999</v>
      </c>
      <c r="Q46">
        <v>0</v>
      </c>
      <c r="R46">
        <v>1</v>
      </c>
    </row>
    <row r="47" spans="1:18" x14ac:dyDescent="0.25">
      <c r="A47" t="s">
        <v>49</v>
      </c>
      <c r="B47" s="1">
        <v>19897</v>
      </c>
      <c r="C47">
        <v>0.249</v>
      </c>
      <c r="D47">
        <v>0.16700000000000001</v>
      </c>
      <c r="E47">
        <v>0</v>
      </c>
      <c r="F47">
        <v>1</v>
      </c>
      <c r="G47" t="s">
        <v>50</v>
      </c>
      <c r="H47" s="1">
        <v>10573</v>
      </c>
      <c r="I47">
        <v>22.664999999999999</v>
      </c>
      <c r="J47">
        <v>50.057000000000002</v>
      </c>
      <c r="K47">
        <v>0</v>
      </c>
      <c r="L47">
        <v>667</v>
      </c>
      <c r="M47" t="s">
        <v>49</v>
      </c>
      <c r="N47" s="1">
        <v>9324</v>
      </c>
      <c r="O47">
        <v>0.23799999999999999</v>
      </c>
      <c r="P47">
        <v>0.17199999999999999</v>
      </c>
      <c r="Q47">
        <v>0</v>
      </c>
      <c r="R47">
        <v>1</v>
      </c>
    </row>
    <row r="48" spans="1:18" x14ac:dyDescent="0.25">
      <c r="A48" t="s">
        <v>50</v>
      </c>
      <c r="B48" s="1">
        <v>19897</v>
      </c>
      <c r="C48">
        <v>23.509</v>
      </c>
      <c r="D48">
        <v>52.048000000000002</v>
      </c>
      <c r="E48">
        <v>0</v>
      </c>
      <c r="F48">
        <v>667</v>
      </c>
      <c r="G48" t="s">
        <v>51</v>
      </c>
      <c r="H48" s="1">
        <v>10573</v>
      </c>
      <c r="I48">
        <v>0</v>
      </c>
      <c r="J48">
        <v>0</v>
      </c>
      <c r="K48">
        <v>0</v>
      </c>
      <c r="L48">
        <v>0</v>
      </c>
      <c r="M48" t="s">
        <v>50</v>
      </c>
      <c r="N48" s="1">
        <v>9324</v>
      </c>
      <c r="O48">
        <v>24.466000000000001</v>
      </c>
      <c r="P48">
        <v>54.204000000000001</v>
      </c>
      <c r="Q48">
        <v>0</v>
      </c>
      <c r="R48">
        <v>623</v>
      </c>
    </row>
    <row r="49" spans="1:18" x14ac:dyDescent="0.25">
      <c r="A49" t="s">
        <v>51</v>
      </c>
      <c r="B49" s="1">
        <v>19897</v>
      </c>
      <c r="C49">
        <v>2.4E-2</v>
      </c>
      <c r="D49">
        <v>0.154</v>
      </c>
      <c r="E49">
        <v>0</v>
      </c>
      <c r="F49">
        <v>1</v>
      </c>
      <c r="G49" t="s">
        <v>52</v>
      </c>
      <c r="H49" s="1">
        <v>10573</v>
      </c>
      <c r="I49">
        <v>0.42099999999999999</v>
      </c>
      <c r="J49">
        <v>0.49399999999999999</v>
      </c>
      <c r="K49">
        <v>0</v>
      </c>
      <c r="L49">
        <v>1</v>
      </c>
      <c r="M49" t="s">
        <v>51</v>
      </c>
      <c r="N49" s="1">
        <v>9324</v>
      </c>
      <c r="O49">
        <v>5.1999999999999998E-2</v>
      </c>
      <c r="P49">
        <v>0.222</v>
      </c>
      <c r="Q49">
        <v>0</v>
      </c>
      <c r="R49">
        <v>1</v>
      </c>
    </row>
    <row r="50" spans="1:18" x14ac:dyDescent="0.25">
      <c r="A50" t="s">
        <v>52</v>
      </c>
      <c r="B50" s="1">
        <v>19897</v>
      </c>
      <c r="C50">
        <v>0.45400000000000001</v>
      </c>
      <c r="D50">
        <v>0.498</v>
      </c>
      <c r="E50">
        <v>0</v>
      </c>
      <c r="F50">
        <v>1</v>
      </c>
      <c r="G50" t="s">
        <v>53</v>
      </c>
      <c r="H50" s="1">
        <v>10573</v>
      </c>
      <c r="I50" s="2">
        <v>2363564</v>
      </c>
      <c r="J50" s="2">
        <v>7783.8109999999997</v>
      </c>
      <c r="K50" s="2">
        <v>2350907</v>
      </c>
      <c r="L50" s="2">
        <v>2399920</v>
      </c>
      <c r="M50" t="s">
        <v>52</v>
      </c>
      <c r="N50" s="1">
        <v>9324</v>
      </c>
      <c r="O50">
        <v>0.49199999999999999</v>
      </c>
      <c r="P50">
        <v>0.5</v>
      </c>
      <c r="Q50">
        <v>0</v>
      </c>
      <c r="R50">
        <v>1</v>
      </c>
    </row>
    <row r="51" spans="1:18" x14ac:dyDescent="0.25">
      <c r="A51" t="s">
        <v>53</v>
      </c>
      <c r="B51" s="1">
        <v>19897</v>
      </c>
      <c r="C51" s="2">
        <v>2363536</v>
      </c>
      <c r="D51" s="2">
        <v>7934.491</v>
      </c>
      <c r="E51" s="2">
        <v>2350907</v>
      </c>
      <c r="F51" s="2">
        <v>2399920</v>
      </c>
      <c r="G51" t="s">
        <v>54</v>
      </c>
      <c r="H51" s="1">
        <v>10573</v>
      </c>
      <c r="I51" s="2">
        <v>611417.9</v>
      </c>
      <c r="J51" s="2">
        <v>14570.43</v>
      </c>
      <c r="K51" s="2">
        <v>579824.19999999995</v>
      </c>
      <c r="L51" s="2">
        <v>638667.69999999995</v>
      </c>
      <c r="M51" t="s">
        <v>53</v>
      </c>
      <c r="N51" s="1">
        <v>9324</v>
      </c>
      <c r="O51" s="2">
        <v>2363504</v>
      </c>
      <c r="P51" s="2">
        <v>8102.2640000000001</v>
      </c>
      <c r="Q51" s="2">
        <v>2350907</v>
      </c>
      <c r="R51" s="2">
        <v>2399737</v>
      </c>
    </row>
    <row r="52" spans="1:18" x14ac:dyDescent="0.25">
      <c r="A52" t="s">
        <v>54</v>
      </c>
      <c r="B52" s="1">
        <v>19897</v>
      </c>
      <c r="C52" s="2">
        <v>611470.30000000005</v>
      </c>
      <c r="D52" s="2">
        <v>14767.15</v>
      </c>
      <c r="E52" s="2">
        <v>579824.19999999995</v>
      </c>
      <c r="F52" s="2">
        <v>638667.69999999995</v>
      </c>
      <c r="G52" t="s">
        <v>56</v>
      </c>
      <c r="H52" s="1">
        <v>10573</v>
      </c>
      <c r="I52" s="2">
        <v>0</v>
      </c>
      <c r="J52" s="2">
        <v>0</v>
      </c>
      <c r="K52" s="2">
        <v>0</v>
      </c>
      <c r="L52" s="2">
        <v>0</v>
      </c>
      <c r="M52" t="s">
        <v>54</v>
      </c>
      <c r="N52" s="1">
        <v>9324</v>
      </c>
      <c r="O52" s="2">
        <v>611529.6</v>
      </c>
      <c r="P52" s="2">
        <v>14987.65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19897</v>
      </c>
      <c r="C53">
        <v>0</v>
      </c>
      <c r="D53">
        <v>0</v>
      </c>
      <c r="E53">
        <v>0</v>
      </c>
      <c r="F53">
        <v>0</v>
      </c>
      <c r="G53" t="s">
        <v>57</v>
      </c>
      <c r="H53" s="1">
        <v>10573</v>
      </c>
      <c r="I53">
        <v>1</v>
      </c>
      <c r="J53">
        <v>0</v>
      </c>
      <c r="K53">
        <v>1</v>
      </c>
      <c r="L53">
        <v>1</v>
      </c>
      <c r="M53" t="s">
        <v>56</v>
      </c>
      <c r="N53" s="1">
        <v>9324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19897</v>
      </c>
      <c r="C54">
        <v>1</v>
      </c>
      <c r="D54">
        <v>0</v>
      </c>
      <c r="E54">
        <v>1</v>
      </c>
      <c r="F54">
        <v>1</v>
      </c>
      <c r="G54" t="s">
        <v>58</v>
      </c>
      <c r="H54" s="1">
        <v>10573</v>
      </c>
      <c r="I54">
        <v>0.45800000000000002</v>
      </c>
      <c r="J54">
        <v>0.498</v>
      </c>
      <c r="K54">
        <v>0</v>
      </c>
      <c r="L54">
        <v>1</v>
      </c>
      <c r="M54" t="s">
        <v>57</v>
      </c>
      <c r="N54" s="1">
        <v>9324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19897</v>
      </c>
      <c r="C55">
        <v>0.44900000000000001</v>
      </c>
      <c r="D55">
        <v>0.497</v>
      </c>
      <c r="E55">
        <v>0</v>
      </c>
      <c r="F55">
        <v>1</v>
      </c>
      <c r="G55" t="s">
        <v>59</v>
      </c>
      <c r="H55" s="1">
        <v>10573</v>
      </c>
      <c r="I55">
        <v>0.49299999999999999</v>
      </c>
      <c r="J55">
        <v>0.5</v>
      </c>
      <c r="K55">
        <v>0</v>
      </c>
      <c r="L55">
        <v>1</v>
      </c>
      <c r="M55" t="s">
        <v>58</v>
      </c>
      <c r="N55" s="1">
        <v>9324</v>
      </c>
      <c r="O55">
        <v>0.439</v>
      </c>
      <c r="P55">
        <v>0.496</v>
      </c>
      <c r="Q55">
        <v>0</v>
      </c>
      <c r="R55">
        <v>1</v>
      </c>
    </row>
    <row r="56" spans="1:18" x14ac:dyDescent="0.25">
      <c r="A56" t="s">
        <v>59</v>
      </c>
      <c r="B56" s="1">
        <v>19897</v>
      </c>
      <c r="C56">
        <v>0.499</v>
      </c>
      <c r="D56">
        <v>0.5</v>
      </c>
      <c r="E56">
        <v>0</v>
      </c>
      <c r="F56">
        <v>1</v>
      </c>
      <c r="G56" t="s">
        <v>60</v>
      </c>
      <c r="H56" s="1">
        <v>10573</v>
      </c>
      <c r="I56">
        <v>4.9000000000000002E-2</v>
      </c>
      <c r="J56">
        <v>0.215</v>
      </c>
      <c r="K56">
        <v>0</v>
      </c>
      <c r="L56">
        <v>1</v>
      </c>
      <c r="M56" t="s">
        <v>59</v>
      </c>
      <c r="N56" s="1">
        <v>9324</v>
      </c>
      <c r="O56">
        <v>0.50600000000000001</v>
      </c>
      <c r="P56">
        <v>0.5</v>
      </c>
      <c r="Q56">
        <v>0</v>
      </c>
      <c r="R56">
        <v>1</v>
      </c>
    </row>
    <row r="57" spans="1:18" x14ac:dyDescent="0.25">
      <c r="A57" t="s">
        <v>60</v>
      </c>
      <c r="B57" s="1">
        <v>19897</v>
      </c>
      <c r="C57">
        <v>5.1999999999999998E-2</v>
      </c>
      <c r="D57">
        <v>0.222</v>
      </c>
      <c r="E57">
        <v>0</v>
      </c>
      <c r="F57">
        <v>1</v>
      </c>
      <c r="G57" t="s">
        <v>61</v>
      </c>
      <c r="H57" s="1">
        <v>10573</v>
      </c>
      <c r="I57" s="2">
        <v>2017.6320000000001</v>
      </c>
      <c r="J57">
        <v>1.1870000000000001</v>
      </c>
      <c r="K57" s="1">
        <v>2016</v>
      </c>
      <c r="L57" s="1">
        <v>2020</v>
      </c>
      <c r="M57" t="s">
        <v>60</v>
      </c>
      <c r="N57" s="1">
        <v>9324</v>
      </c>
      <c r="O57">
        <v>5.6000000000000001E-2</v>
      </c>
      <c r="P57">
        <v>0.22900000000000001</v>
      </c>
      <c r="Q57">
        <v>0</v>
      </c>
      <c r="R57">
        <v>1</v>
      </c>
    </row>
    <row r="58" spans="1:18" x14ac:dyDescent="0.25">
      <c r="A58" t="s">
        <v>61</v>
      </c>
      <c r="B58" s="1">
        <v>19897</v>
      </c>
      <c r="C58" s="2">
        <v>2019.241</v>
      </c>
      <c r="D58">
        <v>2</v>
      </c>
      <c r="E58" s="1">
        <v>2016</v>
      </c>
      <c r="F58" s="1">
        <v>2023</v>
      </c>
      <c r="G58" t="s">
        <v>62</v>
      </c>
      <c r="H58" s="1">
        <v>10573</v>
      </c>
      <c r="I58" s="2">
        <v>0.88400000000000001</v>
      </c>
      <c r="J58">
        <v>0.32100000000000001</v>
      </c>
      <c r="K58" s="1">
        <v>0</v>
      </c>
      <c r="L58" s="1">
        <v>1</v>
      </c>
      <c r="M58" t="s">
        <v>61</v>
      </c>
      <c r="N58" s="1">
        <v>9324</v>
      </c>
      <c r="O58" s="2">
        <v>2021.0640000000001</v>
      </c>
      <c r="P58">
        <v>0.82299999999999995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19897</v>
      </c>
      <c r="C59">
        <v>0.88100000000000001</v>
      </c>
      <c r="D59">
        <v>0.32400000000000001</v>
      </c>
      <c r="E59">
        <v>0</v>
      </c>
      <c r="F59">
        <v>1</v>
      </c>
      <c r="G59" t="s">
        <v>63</v>
      </c>
      <c r="H59" s="1">
        <v>10573</v>
      </c>
      <c r="I59">
        <v>1.7000000000000001E-2</v>
      </c>
      <c r="J59">
        <v>0.13100000000000001</v>
      </c>
      <c r="K59">
        <v>0</v>
      </c>
      <c r="L59">
        <v>1</v>
      </c>
      <c r="M59" t="s">
        <v>62</v>
      </c>
      <c r="N59" s="1">
        <v>9324</v>
      </c>
      <c r="O59">
        <v>0.878</v>
      </c>
      <c r="P59">
        <v>0.32700000000000001</v>
      </c>
      <c r="Q59">
        <v>0</v>
      </c>
      <c r="R59">
        <v>1</v>
      </c>
    </row>
    <row r="60" spans="1:18" x14ac:dyDescent="0.25">
      <c r="A60" t="s">
        <v>63</v>
      </c>
      <c r="B60" s="1">
        <v>19897</v>
      </c>
      <c r="C60">
        <v>1.7000000000000001E-2</v>
      </c>
      <c r="D60">
        <v>0.129</v>
      </c>
      <c r="E60">
        <v>0</v>
      </c>
      <c r="F60">
        <v>1</v>
      </c>
      <c r="G60" t="s">
        <v>64</v>
      </c>
      <c r="H60" s="1">
        <v>10573</v>
      </c>
      <c r="I60">
        <v>2.0000000000000001E-4</v>
      </c>
      <c r="J60">
        <v>1.4E-2</v>
      </c>
      <c r="K60">
        <v>0</v>
      </c>
      <c r="L60">
        <v>1</v>
      </c>
      <c r="M60" t="s">
        <v>63</v>
      </c>
      <c r="N60" s="1">
        <v>9324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19897</v>
      </c>
      <c r="C61">
        <v>2.0000000000000001E-4</v>
      </c>
      <c r="D61">
        <v>1.2E-2</v>
      </c>
      <c r="E61">
        <v>0</v>
      </c>
      <c r="F61">
        <v>1</v>
      </c>
      <c r="G61" t="s">
        <v>65</v>
      </c>
      <c r="H61" s="1">
        <v>10573</v>
      </c>
      <c r="I61">
        <v>6.7000000000000004E-2</v>
      </c>
      <c r="J61">
        <v>0.251</v>
      </c>
      <c r="K61">
        <v>0</v>
      </c>
      <c r="L61">
        <v>1</v>
      </c>
      <c r="M61" t="s">
        <v>64</v>
      </c>
      <c r="N61" s="1">
        <v>9324</v>
      </c>
      <c r="O61">
        <v>1E-4</v>
      </c>
      <c r="P61">
        <v>0.01</v>
      </c>
      <c r="Q61">
        <v>0</v>
      </c>
      <c r="R61">
        <v>1</v>
      </c>
    </row>
    <row r="62" spans="1:18" x14ac:dyDescent="0.25">
      <c r="A62" t="s">
        <v>65</v>
      </c>
      <c r="B62" s="1">
        <v>19897</v>
      </c>
      <c r="C62">
        <v>6.9000000000000006E-2</v>
      </c>
      <c r="D62">
        <v>0.254</v>
      </c>
      <c r="E62">
        <v>0</v>
      </c>
      <c r="F62">
        <v>1</v>
      </c>
      <c r="G62" t="s">
        <v>66</v>
      </c>
      <c r="H62" s="1">
        <v>10573</v>
      </c>
      <c r="I62">
        <v>1.7000000000000001E-2</v>
      </c>
      <c r="J62">
        <v>0.128</v>
      </c>
      <c r="K62">
        <v>0</v>
      </c>
      <c r="L62">
        <v>1</v>
      </c>
      <c r="M62" t="s">
        <v>65</v>
      </c>
      <c r="N62" s="1">
        <v>9324</v>
      </c>
      <c r="O62">
        <v>7.0999999999999994E-2</v>
      </c>
      <c r="P62">
        <v>0.25800000000000001</v>
      </c>
      <c r="Q62">
        <v>0</v>
      </c>
      <c r="R62">
        <v>1</v>
      </c>
    </row>
    <row r="63" spans="1:18" x14ac:dyDescent="0.25">
      <c r="A63" t="s">
        <v>66</v>
      </c>
      <c r="B63" s="1">
        <v>19897</v>
      </c>
      <c r="C63">
        <v>1.7999999999999999E-2</v>
      </c>
      <c r="D63">
        <v>0.13100000000000001</v>
      </c>
      <c r="E63">
        <v>0</v>
      </c>
      <c r="F63">
        <v>1</v>
      </c>
      <c r="G63" t="s">
        <v>67</v>
      </c>
      <c r="H63" s="1">
        <v>10573</v>
      </c>
      <c r="I63">
        <v>1E-3</v>
      </c>
      <c r="J63">
        <v>2.4E-2</v>
      </c>
      <c r="K63">
        <v>0</v>
      </c>
      <c r="L63">
        <v>1</v>
      </c>
      <c r="M63" t="s">
        <v>66</v>
      </c>
      <c r="N63" s="1">
        <v>9324</v>
      </c>
      <c r="O63">
        <v>1.9E-2</v>
      </c>
      <c r="P63">
        <v>0.13500000000000001</v>
      </c>
      <c r="Q63">
        <v>0</v>
      </c>
      <c r="R63">
        <v>1</v>
      </c>
    </row>
    <row r="64" spans="1:18" x14ac:dyDescent="0.25">
      <c r="A64" t="s">
        <v>67</v>
      </c>
      <c r="B64" s="1">
        <v>19897</v>
      </c>
      <c r="C64">
        <v>1E-3</v>
      </c>
      <c r="D64">
        <v>2.1999999999999999E-2</v>
      </c>
      <c r="E64">
        <v>0</v>
      </c>
      <c r="F64">
        <v>1</v>
      </c>
      <c r="G64" t="s">
        <v>68</v>
      </c>
      <c r="H64" s="1">
        <v>10573</v>
      </c>
      <c r="I64">
        <v>1.4E-2</v>
      </c>
      <c r="J64">
        <v>0.11700000000000001</v>
      </c>
      <c r="K64">
        <v>0</v>
      </c>
      <c r="L64">
        <v>1</v>
      </c>
      <c r="M64" t="s">
        <v>67</v>
      </c>
      <c r="N64" s="1">
        <v>9324</v>
      </c>
      <c r="O64">
        <v>4.0000000000000002E-4</v>
      </c>
      <c r="P64">
        <v>2.1000000000000001E-2</v>
      </c>
      <c r="Q64">
        <v>0</v>
      </c>
      <c r="R64">
        <v>1</v>
      </c>
    </row>
    <row r="65" spans="1:18" x14ac:dyDescent="0.25">
      <c r="A65" t="s">
        <v>68</v>
      </c>
      <c r="B65" s="1">
        <v>19897</v>
      </c>
      <c r="C65">
        <v>1.4E-2</v>
      </c>
      <c r="D65">
        <v>0.11799999999999999</v>
      </c>
      <c r="E65">
        <v>0</v>
      </c>
      <c r="F65">
        <v>1</v>
      </c>
      <c r="G65" t="s">
        <v>69</v>
      </c>
      <c r="H65" s="1">
        <v>10573</v>
      </c>
      <c r="I65">
        <v>0</v>
      </c>
      <c r="J65">
        <v>0</v>
      </c>
      <c r="K65">
        <v>0</v>
      </c>
      <c r="L65">
        <v>0</v>
      </c>
      <c r="M65" t="s">
        <v>68</v>
      </c>
      <c r="N65" s="1">
        <v>9324</v>
      </c>
      <c r="O65">
        <v>1.4E-2</v>
      </c>
      <c r="P65">
        <v>0.11899999999999999</v>
      </c>
      <c r="Q65">
        <v>0</v>
      </c>
      <c r="R65">
        <v>1</v>
      </c>
    </row>
    <row r="66" spans="1:18" x14ac:dyDescent="0.25">
      <c r="A66" t="s">
        <v>69</v>
      </c>
      <c r="B66" s="1">
        <v>19897</v>
      </c>
      <c r="C66">
        <v>2.0000000000000001E-4</v>
      </c>
      <c r="D66">
        <v>1.2E-2</v>
      </c>
      <c r="E66">
        <v>0</v>
      </c>
      <c r="F66">
        <v>1</v>
      </c>
      <c r="G66" t="s">
        <v>70</v>
      </c>
      <c r="H66" s="1">
        <v>10573</v>
      </c>
      <c r="I66">
        <v>0.218</v>
      </c>
      <c r="J66">
        <v>0.41299999999999998</v>
      </c>
      <c r="K66">
        <v>0</v>
      </c>
      <c r="L66">
        <v>1</v>
      </c>
      <c r="M66" t="s">
        <v>69</v>
      </c>
      <c r="N66" s="1">
        <v>9324</v>
      </c>
      <c r="O66">
        <v>2.9999999999999997E-4</v>
      </c>
      <c r="P66">
        <v>1.7999999999999999E-2</v>
      </c>
      <c r="Q66">
        <v>0</v>
      </c>
      <c r="R66">
        <v>1</v>
      </c>
    </row>
    <row r="67" spans="1:18" x14ac:dyDescent="0.25">
      <c r="A67" t="s">
        <v>70</v>
      </c>
      <c r="B67" s="1">
        <v>19897</v>
      </c>
      <c r="C67">
        <v>0.221</v>
      </c>
      <c r="D67">
        <v>0.41499999999999998</v>
      </c>
      <c r="E67">
        <v>0</v>
      </c>
      <c r="F67">
        <v>1</v>
      </c>
      <c r="G67" t="s">
        <v>71</v>
      </c>
      <c r="H67" s="1">
        <v>10573</v>
      </c>
      <c r="I67">
        <v>0.314</v>
      </c>
      <c r="J67">
        <v>0.46400000000000002</v>
      </c>
      <c r="K67">
        <v>0</v>
      </c>
      <c r="L67">
        <v>1</v>
      </c>
      <c r="M67" t="s">
        <v>70</v>
      </c>
      <c r="N67" s="1">
        <v>9324</v>
      </c>
      <c r="O67">
        <v>0.224</v>
      </c>
      <c r="P67">
        <v>0.41699999999999998</v>
      </c>
      <c r="Q67">
        <v>0</v>
      </c>
      <c r="R67">
        <v>1</v>
      </c>
    </row>
    <row r="68" spans="1:18" x14ac:dyDescent="0.25">
      <c r="A68" t="s">
        <v>71</v>
      </c>
      <c r="B68" s="1">
        <v>19897</v>
      </c>
      <c r="C68">
        <v>0.29699999999999999</v>
      </c>
      <c r="D68">
        <v>0.45700000000000002</v>
      </c>
      <c r="E68">
        <v>0</v>
      </c>
      <c r="F68">
        <v>1</v>
      </c>
      <c r="G68" t="s">
        <v>72</v>
      </c>
      <c r="H68" s="1">
        <v>10573</v>
      </c>
      <c r="I68">
        <v>0.39300000000000002</v>
      </c>
      <c r="J68">
        <v>0.48899999999999999</v>
      </c>
      <c r="K68">
        <v>0</v>
      </c>
      <c r="L68">
        <v>1</v>
      </c>
      <c r="M68" t="s">
        <v>71</v>
      </c>
      <c r="N68" s="1">
        <v>9324</v>
      </c>
      <c r="O68">
        <v>0.27900000000000003</v>
      </c>
      <c r="P68">
        <v>0.44800000000000001</v>
      </c>
      <c r="Q68">
        <v>0</v>
      </c>
      <c r="R68">
        <v>1</v>
      </c>
    </row>
    <row r="69" spans="1:18" x14ac:dyDescent="0.25">
      <c r="A69" t="s">
        <v>72</v>
      </c>
      <c r="B69" s="1">
        <v>19897</v>
      </c>
      <c r="C69">
        <v>0.41199999999999998</v>
      </c>
      <c r="D69">
        <v>0.49199999999999999</v>
      </c>
      <c r="E69">
        <v>0</v>
      </c>
      <c r="F69">
        <v>1</v>
      </c>
      <c r="G69" t="s">
        <v>73</v>
      </c>
      <c r="H69" s="1">
        <v>10573</v>
      </c>
      <c r="I69">
        <v>7.4999999999999997E-2</v>
      </c>
      <c r="J69">
        <v>0.26300000000000001</v>
      </c>
      <c r="K69">
        <v>0</v>
      </c>
      <c r="L69">
        <v>1</v>
      </c>
      <c r="M69" t="s">
        <v>72</v>
      </c>
      <c r="N69" s="1">
        <v>9324</v>
      </c>
      <c r="O69">
        <v>0.434</v>
      </c>
      <c r="P69">
        <v>0.496</v>
      </c>
      <c r="Q69">
        <v>0</v>
      </c>
      <c r="R69">
        <v>1</v>
      </c>
    </row>
    <row r="70" spans="1:18" x14ac:dyDescent="0.25">
      <c r="A70" t="s">
        <v>73</v>
      </c>
      <c r="B70" s="1">
        <v>19897</v>
      </c>
      <c r="C70">
        <v>7.0000000000000007E-2</v>
      </c>
      <c r="D70">
        <v>0.254</v>
      </c>
      <c r="E70">
        <v>0</v>
      </c>
      <c r="F70">
        <v>1</v>
      </c>
      <c r="G70" t="s">
        <v>165</v>
      </c>
      <c r="H70" s="1">
        <v>10573</v>
      </c>
      <c r="I70">
        <v>4.0000000000000001E-3</v>
      </c>
      <c r="J70">
        <v>6.7000000000000004E-2</v>
      </c>
      <c r="K70">
        <v>0</v>
      </c>
      <c r="L70">
        <v>1</v>
      </c>
      <c r="M70" t="s">
        <v>73</v>
      </c>
      <c r="N70" s="1">
        <v>9324</v>
      </c>
      <c r="O70">
        <v>6.4000000000000001E-2</v>
      </c>
      <c r="P70">
        <v>0.245</v>
      </c>
      <c r="Q70">
        <v>0</v>
      </c>
      <c r="R70">
        <v>1</v>
      </c>
    </row>
    <row r="71" spans="1:18" x14ac:dyDescent="0.25">
      <c r="A71" t="s">
        <v>165</v>
      </c>
      <c r="B71" s="1">
        <v>19897</v>
      </c>
      <c r="C71">
        <v>4.0000000000000001E-3</v>
      </c>
      <c r="D71">
        <v>6.4000000000000001E-2</v>
      </c>
      <c r="E71">
        <v>0</v>
      </c>
      <c r="F71">
        <v>1</v>
      </c>
      <c r="G71" t="s">
        <v>166</v>
      </c>
      <c r="H71" s="1">
        <v>10573</v>
      </c>
      <c r="I71">
        <v>3.6999999999999998E-2</v>
      </c>
      <c r="J71">
        <v>0.189</v>
      </c>
      <c r="K71">
        <v>0</v>
      </c>
      <c r="L71">
        <v>1</v>
      </c>
      <c r="M71" t="s">
        <v>165</v>
      </c>
      <c r="N71" s="1">
        <v>9324</v>
      </c>
      <c r="O71">
        <v>4.0000000000000001E-3</v>
      </c>
      <c r="P71">
        <v>6.2E-2</v>
      </c>
      <c r="Q71">
        <v>0</v>
      </c>
      <c r="R71">
        <v>1</v>
      </c>
    </row>
    <row r="72" spans="1:18" x14ac:dyDescent="0.25">
      <c r="A72" t="s">
        <v>166</v>
      </c>
      <c r="B72" s="1">
        <v>19897</v>
      </c>
      <c r="C72">
        <v>3.2000000000000001E-2</v>
      </c>
      <c r="D72">
        <v>0.17599999999999999</v>
      </c>
      <c r="E72">
        <v>0</v>
      </c>
      <c r="F72">
        <v>1</v>
      </c>
      <c r="G72" t="s">
        <v>167</v>
      </c>
      <c r="H72" s="1">
        <v>10573</v>
      </c>
      <c r="I72">
        <v>0.52900000000000003</v>
      </c>
      <c r="J72">
        <v>0.499</v>
      </c>
      <c r="K72">
        <v>0</v>
      </c>
      <c r="L72">
        <v>1</v>
      </c>
      <c r="M72" t="s">
        <v>166</v>
      </c>
      <c r="N72" s="1">
        <v>9324</v>
      </c>
      <c r="O72">
        <v>2.5999999999999999E-2</v>
      </c>
      <c r="P72">
        <v>0.159</v>
      </c>
      <c r="Q72">
        <v>0</v>
      </c>
      <c r="R72">
        <v>1</v>
      </c>
    </row>
    <row r="73" spans="1:18" x14ac:dyDescent="0.25">
      <c r="A73" t="s">
        <v>167</v>
      </c>
      <c r="B73" s="1">
        <v>19897</v>
      </c>
      <c r="C73">
        <v>0.499</v>
      </c>
      <c r="D73">
        <v>0.5</v>
      </c>
      <c r="E73">
        <v>0</v>
      </c>
      <c r="F73">
        <v>1</v>
      </c>
      <c r="G73" t="s">
        <v>168</v>
      </c>
      <c r="H73" s="1">
        <v>10573</v>
      </c>
      <c r="I73">
        <v>0.11899999999999999</v>
      </c>
      <c r="J73">
        <v>0.32300000000000001</v>
      </c>
      <c r="K73">
        <v>0</v>
      </c>
      <c r="L73">
        <v>1</v>
      </c>
      <c r="M73" t="s">
        <v>167</v>
      </c>
      <c r="N73" s="1">
        <v>9324</v>
      </c>
      <c r="O73">
        <v>0.46600000000000003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19897</v>
      </c>
      <c r="C74">
        <v>0.124</v>
      </c>
      <c r="D74">
        <v>0.32900000000000001</v>
      </c>
      <c r="E74">
        <v>0</v>
      </c>
      <c r="F74">
        <v>1</v>
      </c>
      <c r="G74" t="s">
        <v>169</v>
      </c>
      <c r="H74" s="1">
        <v>10573</v>
      </c>
      <c r="I74">
        <v>0.24</v>
      </c>
      <c r="J74">
        <v>0.42699999999999999</v>
      </c>
      <c r="K74">
        <v>0</v>
      </c>
      <c r="L74">
        <v>1</v>
      </c>
      <c r="M74" t="s">
        <v>168</v>
      </c>
      <c r="N74" s="1">
        <v>9324</v>
      </c>
      <c r="O74">
        <v>0.129</v>
      </c>
      <c r="P74">
        <v>0.33600000000000002</v>
      </c>
      <c r="Q74">
        <v>0</v>
      </c>
      <c r="R74">
        <v>1</v>
      </c>
    </row>
    <row r="75" spans="1:18" x14ac:dyDescent="0.25">
      <c r="A75" t="s">
        <v>169</v>
      </c>
      <c r="B75" s="1">
        <v>19897</v>
      </c>
      <c r="C75">
        <v>0.25800000000000001</v>
      </c>
      <c r="D75">
        <v>0.438</v>
      </c>
      <c r="E75">
        <v>0</v>
      </c>
      <c r="F75">
        <v>1</v>
      </c>
      <c r="G75" t="s">
        <v>170</v>
      </c>
      <c r="H75" s="1">
        <v>10573</v>
      </c>
      <c r="I75">
        <v>7.0999999999999994E-2</v>
      </c>
      <c r="J75">
        <v>0.25600000000000001</v>
      </c>
      <c r="K75">
        <v>0</v>
      </c>
      <c r="L75">
        <v>1</v>
      </c>
      <c r="M75" t="s">
        <v>169</v>
      </c>
      <c r="N75" s="1">
        <v>9324</v>
      </c>
      <c r="O75">
        <v>0.27800000000000002</v>
      </c>
      <c r="P75">
        <v>0.44800000000000001</v>
      </c>
      <c r="Q75">
        <v>0</v>
      </c>
      <c r="R75">
        <v>1</v>
      </c>
    </row>
    <row r="76" spans="1:18" x14ac:dyDescent="0.25">
      <c r="A76" t="s">
        <v>170</v>
      </c>
      <c r="B76" s="1">
        <v>19897</v>
      </c>
      <c r="C76">
        <v>8.3000000000000004E-2</v>
      </c>
      <c r="D76">
        <v>0.27600000000000002</v>
      </c>
      <c r="E76">
        <v>0</v>
      </c>
      <c r="F76">
        <v>1</v>
      </c>
      <c r="G76" t="s">
        <v>79</v>
      </c>
      <c r="H76" s="1">
        <v>10573</v>
      </c>
      <c r="I76">
        <v>3.1E-2</v>
      </c>
      <c r="J76">
        <v>0.17199999999999999</v>
      </c>
      <c r="K76">
        <v>0</v>
      </c>
      <c r="L76">
        <v>1</v>
      </c>
      <c r="M76" t="s">
        <v>170</v>
      </c>
      <c r="N76" s="1">
        <v>9324</v>
      </c>
      <c r="O76">
        <v>9.7000000000000003E-2</v>
      </c>
      <c r="P76">
        <v>0.29499999999999998</v>
      </c>
      <c r="Q76">
        <v>0</v>
      </c>
      <c r="R76">
        <v>1</v>
      </c>
    </row>
    <row r="77" spans="1:18" x14ac:dyDescent="0.25">
      <c r="A77" t="s">
        <v>79</v>
      </c>
      <c r="B77" s="1">
        <v>19897</v>
      </c>
      <c r="C77">
        <v>3.3000000000000002E-2</v>
      </c>
      <c r="D77">
        <v>0.17799999999999999</v>
      </c>
      <c r="E77">
        <v>0</v>
      </c>
      <c r="F77">
        <v>1</v>
      </c>
      <c r="G77" t="s">
        <v>80</v>
      </c>
      <c r="H77" s="1">
        <v>10573</v>
      </c>
      <c r="I77">
        <v>1E-3</v>
      </c>
      <c r="J77">
        <v>2.4E-2</v>
      </c>
      <c r="K77">
        <v>0</v>
      </c>
      <c r="L77">
        <v>1</v>
      </c>
      <c r="M77" t="s">
        <v>79</v>
      </c>
      <c r="N77" s="1">
        <v>9324</v>
      </c>
      <c r="O77">
        <v>3.5000000000000003E-2</v>
      </c>
      <c r="P77">
        <v>0.184</v>
      </c>
      <c r="Q77">
        <v>0</v>
      </c>
      <c r="R77">
        <v>1</v>
      </c>
    </row>
    <row r="78" spans="1:18" x14ac:dyDescent="0.25">
      <c r="A78" t="s">
        <v>80</v>
      </c>
      <c r="B78" s="1">
        <v>19897</v>
      </c>
      <c r="C78">
        <v>4.0000000000000002E-4</v>
      </c>
      <c r="D78">
        <v>1.9E-2</v>
      </c>
      <c r="E78">
        <v>0</v>
      </c>
      <c r="F78">
        <v>1</v>
      </c>
      <c r="G78" t="s">
        <v>81</v>
      </c>
      <c r="H78" s="1">
        <v>10573</v>
      </c>
      <c r="I78">
        <v>3.0000000000000001E-3</v>
      </c>
      <c r="J78">
        <v>5.2999999999999999E-2</v>
      </c>
      <c r="K78">
        <v>0</v>
      </c>
      <c r="L78">
        <v>1</v>
      </c>
      <c r="M78" t="s">
        <v>80</v>
      </c>
      <c r="N78" s="1">
        <v>9324</v>
      </c>
      <c r="O78">
        <v>1E-4</v>
      </c>
      <c r="P78">
        <v>0.01</v>
      </c>
      <c r="Q78">
        <v>0</v>
      </c>
      <c r="R78">
        <v>1</v>
      </c>
    </row>
    <row r="79" spans="1:18" x14ac:dyDescent="0.25">
      <c r="A79" t="s">
        <v>81</v>
      </c>
      <c r="B79" s="1">
        <v>19897</v>
      </c>
      <c r="C79">
        <v>3.0000000000000001E-3</v>
      </c>
      <c r="D79">
        <v>5.6000000000000001E-2</v>
      </c>
      <c r="E79">
        <v>0</v>
      </c>
      <c r="F79">
        <v>1</v>
      </c>
      <c r="G79" t="s">
        <v>82</v>
      </c>
      <c r="H79" s="1">
        <v>10573</v>
      </c>
      <c r="I79">
        <v>4.0000000000000001E-3</v>
      </c>
      <c r="J79">
        <v>6.4000000000000001E-2</v>
      </c>
      <c r="K79">
        <v>0</v>
      </c>
      <c r="L79">
        <v>1</v>
      </c>
      <c r="M79" t="s">
        <v>81</v>
      </c>
      <c r="N79" s="1">
        <v>9324</v>
      </c>
      <c r="O79">
        <v>4.0000000000000001E-3</v>
      </c>
      <c r="P79">
        <v>5.8999999999999997E-2</v>
      </c>
      <c r="Q79">
        <v>0</v>
      </c>
      <c r="R79">
        <v>1</v>
      </c>
    </row>
    <row r="80" spans="1:18" x14ac:dyDescent="0.25">
      <c r="A80" t="s">
        <v>82</v>
      </c>
      <c r="B80" s="1">
        <v>19897</v>
      </c>
      <c r="C80">
        <v>4.0000000000000001E-3</v>
      </c>
      <c r="D80">
        <v>6.2E-2</v>
      </c>
      <c r="E80">
        <v>0</v>
      </c>
      <c r="F80">
        <v>1</v>
      </c>
      <c r="G80" t="s">
        <v>83</v>
      </c>
      <c r="H80" s="1">
        <v>10573</v>
      </c>
      <c r="I80">
        <v>0.54500000000000004</v>
      </c>
      <c r="J80">
        <v>0.498</v>
      </c>
      <c r="K80">
        <v>0</v>
      </c>
      <c r="L80">
        <v>1</v>
      </c>
      <c r="M80" t="s">
        <v>82</v>
      </c>
      <c r="N80" s="1">
        <v>9324</v>
      </c>
      <c r="O80">
        <v>4.0000000000000001E-3</v>
      </c>
      <c r="P80">
        <v>0.06</v>
      </c>
      <c r="Q80">
        <v>0</v>
      </c>
      <c r="R80">
        <v>1</v>
      </c>
    </row>
    <row r="81" spans="1:18" x14ac:dyDescent="0.25">
      <c r="A81" t="s">
        <v>83</v>
      </c>
      <c r="B81" s="1">
        <v>19897</v>
      </c>
      <c r="C81">
        <v>0.53800000000000003</v>
      </c>
      <c r="D81">
        <v>0.499</v>
      </c>
      <c r="E81">
        <v>0</v>
      </c>
      <c r="F81">
        <v>1</v>
      </c>
      <c r="G81" t="s">
        <v>84</v>
      </c>
      <c r="H81" s="1">
        <v>10573</v>
      </c>
      <c r="I81">
        <v>6.0000000000000001E-3</v>
      </c>
      <c r="J81">
        <v>7.8E-2</v>
      </c>
      <c r="K81">
        <v>0</v>
      </c>
      <c r="L81">
        <v>1</v>
      </c>
      <c r="M81" t="s">
        <v>83</v>
      </c>
      <c r="N81" s="1">
        <v>9324</v>
      </c>
      <c r="O81">
        <v>0.52900000000000003</v>
      </c>
      <c r="P81">
        <v>0.499</v>
      </c>
      <c r="Q81">
        <v>0</v>
      </c>
      <c r="R81">
        <v>1</v>
      </c>
    </row>
    <row r="82" spans="1:18" x14ac:dyDescent="0.25">
      <c r="A82" t="s">
        <v>84</v>
      </c>
      <c r="B82" s="1">
        <v>19897</v>
      </c>
      <c r="C82">
        <v>8.0000000000000002E-3</v>
      </c>
      <c r="D82">
        <v>8.6999999999999994E-2</v>
      </c>
      <c r="E82">
        <v>0</v>
      </c>
      <c r="F82">
        <v>1</v>
      </c>
      <c r="G82" t="s">
        <v>85</v>
      </c>
      <c r="H82" s="1">
        <v>10573</v>
      </c>
      <c r="I82">
        <v>0.41099999999999998</v>
      </c>
      <c r="J82">
        <v>0.49199999999999999</v>
      </c>
      <c r="K82">
        <v>0</v>
      </c>
      <c r="L82">
        <v>1</v>
      </c>
      <c r="M82" t="s">
        <v>84</v>
      </c>
      <c r="N82" s="1">
        <v>9324</v>
      </c>
      <c r="O82">
        <v>0.01</v>
      </c>
      <c r="P82">
        <v>9.7000000000000003E-2</v>
      </c>
      <c r="Q82">
        <v>0</v>
      </c>
      <c r="R82">
        <v>1</v>
      </c>
    </row>
    <row r="83" spans="1:18" x14ac:dyDescent="0.25">
      <c r="A83" t="s">
        <v>85</v>
      </c>
      <c r="B83" s="1">
        <v>19897</v>
      </c>
      <c r="C83">
        <v>0.41499999999999998</v>
      </c>
      <c r="D83">
        <v>0.49299999999999999</v>
      </c>
      <c r="E83">
        <v>0</v>
      </c>
      <c r="F83">
        <v>1</v>
      </c>
      <c r="G83" t="s">
        <v>6</v>
      </c>
      <c r="H83" s="1" t="s">
        <v>7</v>
      </c>
      <c r="I83" t="s">
        <v>8</v>
      </c>
      <c r="J83" t="s">
        <v>8</v>
      </c>
      <c r="K83" t="s">
        <v>8</v>
      </c>
      <c r="L83" t="s">
        <v>9</v>
      </c>
      <c r="M83" t="s">
        <v>85</v>
      </c>
      <c r="N83" s="1">
        <v>9324</v>
      </c>
      <c r="O83">
        <v>0.41899999999999998</v>
      </c>
      <c r="P83">
        <v>0.49299999999999999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t="s">
        <v>7</v>
      </c>
      <c r="I84" t="s">
        <v>8</v>
      </c>
      <c r="J84" t="s">
        <v>8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DF184-CC69-420F-B0BF-59A4DA9DAB0A}">
  <sheetPr codeName="Sheet7"/>
  <dimension ref="A1:R85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7</v>
      </c>
      <c r="O2" t="s">
        <v>8</v>
      </c>
      <c r="P2" t="s">
        <v>162</v>
      </c>
      <c r="Q2" t="s">
        <v>9</v>
      </c>
      <c r="R2" t="s">
        <v>9</v>
      </c>
    </row>
    <row r="3" spans="1:18" x14ac:dyDescent="0.25">
      <c r="A3" t="s">
        <v>10</v>
      </c>
      <c r="B3" s="1">
        <v>43225</v>
      </c>
      <c r="C3">
        <v>1.175</v>
      </c>
      <c r="D3">
        <v>0.42</v>
      </c>
      <c r="E3">
        <v>1</v>
      </c>
      <c r="F3">
        <v>5</v>
      </c>
      <c r="G3" t="s">
        <v>10</v>
      </c>
      <c r="H3" s="1">
        <v>27128</v>
      </c>
      <c r="I3">
        <v>1.248</v>
      </c>
      <c r="J3">
        <v>0.48599999999999999</v>
      </c>
      <c r="K3">
        <v>1</v>
      </c>
      <c r="L3">
        <v>5</v>
      </c>
      <c r="M3" t="s">
        <v>10</v>
      </c>
      <c r="N3" s="1">
        <v>16097</v>
      </c>
      <c r="O3">
        <v>1.05</v>
      </c>
      <c r="P3">
        <v>0.224</v>
      </c>
      <c r="Q3">
        <v>1</v>
      </c>
      <c r="R3">
        <v>4</v>
      </c>
    </row>
    <row r="4" spans="1:18" x14ac:dyDescent="0.25">
      <c r="A4" t="s">
        <v>11</v>
      </c>
      <c r="B4" s="1">
        <v>43225</v>
      </c>
      <c r="C4">
        <v>0.372</v>
      </c>
      <c r="D4">
        <v>0.48299999999999998</v>
      </c>
      <c r="E4">
        <v>0</v>
      </c>
      <c r="F4">
        <v>1</v>
      </c>
      <c r="G4" t="s">
        <v>11</v>
      </c>
      <c r="H4" s="1">
        <v>27128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16097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43225</v>
      </c>
      <c r="C5">
        <v>0.33200000000000002</v>
      </c>
      <c r="D5">
        <v>0.47099999999999997</v>
      </c>
      <c r="E5">
        <v>0</v>
      </c>
      <c r="F5">
        <v>1</v>
      </c>
      <c r="G5" t="s">
        <v>12</v>
      </c>
      <c r="H5" s="1">
        <v>27128</v>
      </c>
      <c r="I5">
        <v>1E-3</v>
      </c>
      <c r="J5">
        <v>3.6999999999999998E-2</v>
      </c>
      <c r="K5">
        <v>0</v>
      </c>
      <c r="L5">
        <v>1</v>
      </c>
      <c r="M5" t="s">
        <v>12</v>
      </c>
      <c r="N5" s="1">
        <v>16097</v>
      </c>
      <c r="O5">
        <v>0.89</v>
      </c>
      <c r="P5">
        <v>0.313</v>
      </c>
      <c r="Q5">
        <v>0</v>
      </c>
      <c r="R5">
        <v>1</v>
      </c>
    </row>
    <row r="6" spans="1:18" x14ac:dyDescent="0.25">
      <c r="A6" t="s">
        <v>36</v>
      </c>
      <c r="B6" s="1">
        <v>16097</v>
      </c>
      <c r="C6">
        <v>296.964</v>
      </c>
      <c r="D6">
        <v>555.49099999999999</v>
      </c>
      <c r="E6">
        <v>0</v>
      </c>
      <c r="F6" s="1">
        <v>4021</v>
      </c>
      <c r="H6" s="1"/>
      <c r="M6" t="s">
        <v>36</v>
      </c>
      <c r="N6" s="1">
        <v>16097</v>
      </c>
      <c r="O6">
        <v>296.964</v>
      </c>
      <c r="P6">
        <v>555.49099999999999</v>
      </c>
      <c r="Q6">
        <v>0</v>
      </c>
      <c r="R6" s="1">
        <v>4021</v>
      </c>
    </row>
    <row r="7" spans="1:18" x14ac:dyDescent="0.25">
      <c r="A7" t="s">
        <v>13</v>
      </c>
      <c r="B7" s="1">
        <v>43225</v>
      </c>
      <c r="C7">
        <v>1.9039999999999999</v>
      </c>
      <c r="D7">
        <v>0.89900000000000002</v>
      </c>
      <c r="E7">
        <v>0</v>
      </c>
      <c r="F7">
        <v>17</v>
      </c>
      <c r="G7" t="s">
        <v>13</v>
      </c>
      <c r="H7" s="1">
        <v>27128</v>
      </c>
      <c r="I7">
        <v>1.893</v>
      </c>
      <c r="J7">
        <v>0.86799999999999999</v>
      </c>
      <c r="K7">
        <v>0</v>
      </c>
      <c r="L7">
        <v>17</v>
      </c>
      <c r="M7" t="s">
        <v>13</v>
      </c>
      <c r="N7" s="1">
        <v>16097</v>
      </c>
      <c r="O7">
        <v>1.923</v>
      </c>
      <c r="P7">
        <v>0.94799999999999995</v>
      </c>
      <c r="Q7">
        <v>0</v>
      </c>
      <c r="R7">
        <v>14</v>
      </c>
    </row>
    <row r="8" spans="1:18" x14ac:dyDescent="0.25">
      <c r="A8" t="s">
        <v>14</v>
      </c>
      <c r="B8" s="1">
        <v>43225</v>
      </c>
      <c r="C8">
        <v>0.26700000000000002</v>
      </c>
      <c r="D8">
        <v>0.46500000000000002</v>
      </c>
      <c r="E8">
        <v>0</v>
      </c>
      <c r="F8">
        <v>5</v>
      </c>
      <c r="G8" t="s">
        <v>14</v>
      </c>
      <c r="H8" s="1">
        <v>27128</v>
      </c>
      <c r="I8">
        <v>0.27500000000000002</v>
      </c>
      <c r="J8">
        <v>0.46500000000000002</v>
      </c>
      <c r="K8">
        <v>0</v>
      </c>
      <c r="L8">
        <v>5</v>
      </c>
      <c r="M8" t="s">
        <v>14</v>
      </c>
      <c r="N8" s="1">
        <v>16097</v>
      </c>
      <c r="O8">
        <v>0.255</v>
      </c>
      <c r="P8">
        <v>0.46400000000000002</v>
      </c>
      <c r="Q8">
        <v>0</v>
      </c>
      <c r="R8">
        <v>5</v>
      </c>
    </row>
    <row r="9" spans="1:18" x14ac:dyDescent="0.25">
      <c r="A9" t="s">
        <v>15</v>
      </c>
      <c r="B9" s="1">
        <v>43225</v>
      </c>
      <c r="C9">
        <v>2.718</v>
      </c>
      <c r="D9">
        <v>1.484</v>
      </c>
      <c r="E9">
        <v>0</v>
      </c>
      <c r="F9">
        <v>25</v>
      </c>
      <c r="G9" t="s">
        <v>15</v>
      </c>
      <c r="H9" s="1">
        <v>27128</v>
      </c>
      <c r="I9">
        <v>2.7029999999999998</v>
      </c>
      <c r="J9">
        <v>1.4279999999999999</v>
      </c>
      <c r="K9">
        <v>0</v>
      </c>
      <c r="L9">
        <v>18</v>
      </c>
      <c r="M9" t="s">
        <v>15</v>
      </c>
      <c r="N9" s="1">
        <v>16097</v>
      </c>
      <c r="O9">
        <v>2.742</v>
      </c>
      <c r="P9">
        <v>1.5740000000000001</v>
      </c>
      <c r="Q9">
        <v>0</v>
      </c>
      <c r="R9">
        <v>25</v>
      </c>
    </row>
    <row r="10" spans="1:18" x14ac:dyDescent="0.25">
      <c r="A10" t="s">
        <v>16</v>
      </c>
      <c r="B10" s="1">
        <v>43225</v>
      </c>
      <c r="C10">
        <v>46.652999999999999</v>
      </c>
      <c r="D10">
        <v>60.567999999999998</v>
      </c>
      <c r="E10">
        <v>0</v>
      </c>
      <c r="F10" s="1">
        <v>1402</v>
      </c>
      <c r="G10" t="s">
        <v>16</v>
      </c>
      <c r="H10" s="1">
        <v>27128</v>
      </c>
      <c r="I10">
        <v>52.045000000000002</v>
      </c>
      <c r="J10">
        <v>59.8</v>
      </c>
      <c r="K10">
        <v>0</v>
      </c>
      <c r="L10" s="1">
        <v>1402</v>
      </c>
      <c r="M10" t="s">
        <v>16</v>
      </c>
      <c r="N10" s="1">
        <v>16097</v>
      </c>
      <c r="O10">
        <v>37.564999999999998</v>
      </c>
      <c r="P10">
        <v>60.77</v>
      </c>
      <c r="Q10">
        <v>0</v>
      </c>
      <c r="R10">
        <v>946</v>
      </c>
    </row>
    <row r="11" spans="1:18" x14ac:dyDescent="0.25">
      <c r="A11" t="s">
        <v>163</v>
      </c>
      <c r="B11" s="1">
        <v>43225</v>
      </c>
      <c r="C11" s="2">
        <v>1335.124</v>
      </c>
      <c r="D11">
        <v>844.83500000000004</v>
      </c>
      <c r="E11">
        <v>120</v>
      </c>
      <c r="F11" s="1">
        <v>17408</v>
      </c>
      <c r="G11" t="s">
        <v>163</v>
      </c>
      <c r="H11" s="1">
        <v>27128</v>
      </c>
      <c r="I11" s="2">
        <v>1322.9369999999999</v>
      </c>
      <c r="J11">
        <v>811.93499999999995</v>
      </c>
      <c r="K11">
        <v>160</v>
      </c>
      <c r="L11" s="1">
        <v>17408</v>
      </c>
      <c r="M11" t="s">
        <v>163</v>
      </c>
      <c r="N11" s="1">
        <v>16097</v>
      </c>
      <c r="O11" s="2">
        <v>1355.662</v>
      </c>
      <c r="P11">
        <v>897.20699999999999</v>
      </c>
      <c r="Q11">
        <v>120</v>
      </c>
      <c r="R11" s="1">
        <v>16703</v>
      </c>
    </row>
    <row r="12" spans="1:18" x14ac:dyDescent="0.25">
      <c r="A12" t="s">
        <v>17</v>
      </c>
      <c r="B12" s="1">
        <v>43225</v>
      </c>
      <c r="C12">
        <v>164.631</v>
      </c>
      <c r="D12">
        <v>231.09200000000001</v>
      </c>
      <c r="E12">
        <v>0</v>
      </c>
      <c r="F12" s="1">
        <v>5000</v>
      </c>
      <c r="G12" t="s">
        <v>17</v>
      </c>
      <c r="H12" s="1">
        <v>27128</v>
      </c>
      <c r="I12" s="2">
        <v>162.595</v>
      </c>
      <c r="J12">
        <v>230.27600000000001</v>
      </c>
      <c r="K12">
        <v>0</v>
      </c>
      <c r="L12" s="1">
        <v>5000</v>
      </c>
      <c r="M12" t="s">
        <v>17</v>
      </c>
      <c r="N12" s="1">
        <v>16097</v>
      </c>
      <c r="O12">
        <v>168.06200000000001</v>
      </c>
      <c r="P12">
        <v>232.42699999999999</v>
      </c>
      <c r="Q12">
        <v>0</v>
      </c>
      <c r="R12" s="1">
        <v>3200</v>
      </c>
    </row>
    <row r="13" spans="1:18" x14ac:dyDescent="0.25">
      <c r="A13" t="s">
        <v>19</v>
      </c>
      <c r="B13" s="1">
        <v>43225</v>
      </c>
      <c r="C13" s="2">
        <v>944368.3</v>
      </c>
      <c r="D13" s="2">
        <v>893415.9</v>
      </c>
      <c r="E13" s="2">
        <v>85418.51</v>
      </c>
      <c r="F13" s="2">
        <v>28197546</v>
      </c>
      <c r="G13" t="s">
        <v>19</v>
      </c>
      <c r="H13" s="1">
        <v>27128</v>
      </c>
      <c r="I13" s="2">
        <v>909513.2</v>
      </c>
      <c r="J13" s="2">
        <v>842127.4</v>
      </c>
      <c r="K13" s="2">
        <v>99684.44</v>
      </c>
      <c r="L13" s="1">
        <v>28197546</v>
      </c>
      <c r="M13" t="s">
        <v>19</v>
      </c>
      <c r="N13" s="1">
        <v>16097</v>
      </c>
      <c r="O13" s="2">
        <v>1003109</v>
      </c>
      <c r="P13" s="2">
        <v>970958.2</v>
      </c>
      <c r="Q13" s="2">
        <v>85418.51</v>
      </c>
      <c r="R13" s="2">
        <v>22166108</v>
      </c>
    </row>
    <row r="14" spans="1:18" x14ac:dyDescent="0.25">
      <c r="A14" t="s">
        <v>20</v>
      </c>
      <c r="B14" s="1">
        <v>43225</v>
      </c>
      <c r="C14" s="2">
        <v>931286.3</v>
      </c>
      <c r="D14" s="2">
        <v>839656.4</v>
      </c>
      <c r="E14" s="2">
        <v>85418.51</v>
      </c>
      <c r="F14" s="2">
        <v>28197546</v>
      </c>
      <c r="G14" t="s">
        <v>20</v>
      </c>
      <c r="H14" s="1">
        <v>27128</v>
      </c>
      <c r="I14" s="2">
        <v>891359.9</v>
      </c>
      <c r="J14" s="2">
        <v>788727.2</v>
      </c>
      <c r="K14" s="2">
        <v>118448.6</v>
      </c>
      <c r="L14" s="2">
        <v>28197546</v>
      </c>
      <c r="M14" t="s">
        <v>20</v>
      </c>
      <c r="N14" s="1">
        <v>16097</v>
      </c>
      <c r="O14" s="2">
        <v>998573.7</v>
      </c>
      <c r="P14" s="2">
        <v>915215.8</v>
      </c>
      <c r="Q14" s="2">
        <v>85418.51</v>
      </c>
      <c r="R14" s="2">
        <v>22166108</v>
      </c>
    </row>
    <row r="15" spans="1:18" x14ac:dyDescent="0.25">
      <c r="A15" t="s">
        <v>190</v>
      </c>
      <c r="B15" s="1">
        <v>43225</v>
      </c>
      <c r="C15" s="2">
        <v>10767.87</v>
      </c>
      <c r="D15" s="2">
        <v>92696.19</v>
      </c>
      <c r="E15" s="2">
        <v>-2010000</v>
      </c>
      <c r="F15" s="2">
        <v>6900000</v>
      </c>
      <c r="G15" t="s">
        <v>190</v>
      </c>
      <c r="H15" s="1">
        <v>27128</v>
      </c>
      <c r="I15" s="2">
        <v>14899.71</v>
      </c>
      <c r="J15" s="2">
        <v>70307.960000000006</v>
      </c>
      <c r="K15" s="2">
        <v>-1850000</v>
      </c>
      <c r="L15" s="2">
        <v>2950000</v>
      </c>
      <c r="M15" t="s">
        <v>190</v>
      </c>
      <c r="N15" s="1">
        <v>16097</v>
      </c>
      <c r="O15" s="2">
        <v>3804.5610000000001</v>
      </c>
      <c r="P15" s="2">
        <v>121104.2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43225</v>
      </c>
      <c r="C16">
        <v>1.2999999999999999E-2</v>
      </c>
      <c r="D16">
        <v>0.115</v>
      </c>
      <c r="E16">
        <v>0</v>
      </c>
      <c r="F16">
        <v>1</v>
      </c>
      <c r="G16" t="s">
        <v>21</v>
      </c>
      <c r="H16" s="1">
        <v>27128</v>
      </c>
      <c r="I16" s="2">
        <v>1.2E-2</v>
      </c>
      <c r="J16" s="2">
        <v>0.108</v>
      </c>
      <c r="K16" s="1">
        <v>0</v>
      </c>
      <c r="L16" s="1">
        <v>1</v>
      </c>
      <c r="M16" t="s">
        <v>21</v>
      </c>
      <c r="N16" s="1">
        <v>16097</v>
      </c>
      <c r="O16">
        <v>1.6E-2</v>
      </c>
      <c r="P16">
        <v>0.126</v>
      </c>
      <c r="Q16">
        <v>0</v>
      </c>
      <c r="R16">
        <v>1</v>
      </c>
    </row>
    <row r="17" spans="1:18" x14ac:dyDescent="0.25">
      <c r="A17" t="s">
        <v>22</v>
      </c>
      <c r="B17" s="1">
        <v>43225</v>
      </c>
      <c r="C17">
        <v>3.5999999999999997E-2</v>
      </c>
      <c r="D17">
        <v>0.186</v>
      </c>
      <c r="E17">
        <v>0</v>
      </c>
      <c r="F17">
        <v>1</v>
      </c>
      <c r="G17" t="s">
        <v>22</v>
      </c>
      <c r="H17" s="1">
        <v>27128</v>
      </c>
      <c r="I17">
        <v>3.5999999999999997E-2</v>
      </c>
      <c r="J17">
        <v>0.187</v>
      </c>
      <c r="K17">
        <v>0</v>
      </c>
      <c r="L17">
        <v>1</v>
      </c>
      <c r="M17" t="s">
        <v>22</v>
      </c>
      <c r="N17" s="1">
        <v>16097</v>
      </c>
      <c r="O17">
        <v>3.5000000000000003E-2</v>
      </c>
      <c r="P17">
        <v>0.184</v>
      </c>
      <c r="Q17">
        <v>0</v>
      </c>
      <c r="R17">
        <v>1</v>
      </c>
    </row>
    <row r="18" spans="1:18" x14ac:dyDescent="0.25">
      <c r="A18" t="s">
        <v>23</v>
      </c>
      <c r="B18" s="1">
        <v>43225</v>
      </c>
      <c r="C18">
        <v>7.0000000000000001E-3</v>
      </c>
      <c r="D18">
        <v>8.4000000000000005E-2</v>
      </c>
      <c r="E18">
        <v>0</v>
      </c>
      <c r="F18">
        <v>1</v>
      </c>
      <c r="G18" t="s">
        <v>23</v>
      </c>
      <c r="H18" s="1">
        <v>27128</v>
      </c>
      <c r="I18">
        <v>8.0000000000000002E-3</v>
      </c>
      <c r="J18">
        <v>8.7999999999999995E-2</v>
      </c>
      <c r="K18">
        <v>0</v>
      </c>
      <c r="L18">
        <v>1</v>
      </c>
      <c r="M18" t="s">
        <v>23</v>
      </c>
      <c r="N18" s="1">
        <v>16097</v>
      </c>
      <c r="O18">
        <v>6.0000000000000001E-3</v>
      </c>
      <c r="P18">
        <v>7.6999999999999999E-2</v>
      </c>
      <c r="Q18">
        <v>0</v>
      </c>
      <c r="R18">
        <v>1</v>
      </c>
    </row>
    <row r="19" spans="1:18" x14ac:dyDescent="0.25">
      <c r="A19" t="s">
        <v>24</v>
      </c>
      <c r="B19" s="1">
        <v>43225</v>
      </c>
      <c r="C19">
        <v>9.0999999999999998E-2</v>
      </c>
      <c r="D19">
        <v>0.28699999999999998</v>
      </c>
      <c r="E19">
        <v>0</v>
      </c>
      <c r="F19">
        <v>1</v>
      </c>
      <c r="G19" t="s">
        <v>24</v>
      </c>
      <c r="H19" s="1">
        <v>27128</v>
      </c>
      <c r="I19">
        <v>9.5000000000000001E-2</v>
      </c>
      <c r="J19">
        <v>0.29299999999999998</v>
      </c>
      <c r="K19">
        <v>0</v>
      </c>
      <c r="L19">
        <v>1</v>
      </c>
      <c r="M19" t="s">
        <v>24</v>
      </c>
      <c r="N19" s="1">
        <v>16097</v>
      </c>
      <c r="O19">
        <v>8.4000000000000005E-2</v>
      </c>
      <c r="P19">
        <v>0.27800000000000002</v>
      </c>
      <c r="Q19">
        <v>0</v>
      </c>
      <c r="R19">
        <v>1</v>
      </c>
    </row>
    <row r="20" spans="1:18" x14ac:dyDescent="0.25">
      <c r="A20" t="s">
        <v>25</v>
      </c>
      <c r="B20" s="1">
        <v>43225</v>
      </c>
      <c r="C20">
        <v>0.29099999999999998</v>
      </c>
      <c r="D20">
        <v>0.45400000000000001</v>
      </c>
      <c r="E20">
        <v>0</v>
      </c>
      <c r="F20">
        <v>1</v>
      </c>
      <c r="G20" t="s">
        <v>25</v>
      </c>
      <c r="H20" s="1">
        <v>27128</v>
      </c>
      <c r="I20">
        <v>0.27900000000000003</v>
      </c>
      <c r="J20">
        <v>0.44800000000000001</v>
      </c>
      <c r="K20">
        <v>0</v>
      </c>
      <c r="L20">
        <v>1</v>
      </c>
      <c r="M20" t="s">
        <v>25</v>
      </c>
      <c r="N20" s="1">
        <v>16097</v>
      </c>
      <c r="O20">
        <v>0.312</v>
      </c>
      <c r="P20">
        <v>0.46300000000000002</v>
      </c>
      <c r="Q20">
        <v>0</v>
      </c>
      <c r="R20">
        <v>1</v>
      </c>
    </row>
    <row r="21" spans="1:18" x14ac:dyDescent="0.25">
      <c r="A21" t="s">
        <v>26</v>
      </c>
      <c r="B21" s="1">
        <v>43225</v>
      </c>
      <c r="C21">
        <v>0.158</v>
      </c>
      <c r="D21">
        <v>0.36499999999999999</v>
      </c>
      <c r="E21">
        <v>0</v>
      </c>
      <c r="F21">
        <v>1</v>
      </c>
      <c r="G21" t="s">
        <v>26</v>
      </c>
      <c r="H21" s="1">
        <v>27128</v>
      </c>
      <c r="I21">
        <v>0.16900000000000001</v>
      </c>
      <c r="J21">
        <v>0.375</v>
      </c>
      <c r="K21">
        <v>0</v>
      </c>
      <c r="L21">
        <v>1</v>
      </c>
      <c r="M21" t="s">
        <v>26</v>
      </c>
      <c r="N21" s="1">
        <v>16097</v>
      </c>
      <c r="O21">
        <v>0.14000000000000001</v>
      </c>
      <c r="P21">
        <v>0.34699999999999998</v>
      </c>
      <c r="Q21">
        <v>0</v>
      </c>
      <c r="R21">
        <v>1</v>
      </c>
    </row>
    <row r="22" spans="1:18" x14ac:dyDescent="0.25">
      <c r="A22" t="s">
        <v>27</v>
      </c>
      <c r="B22" s="1">
        <v>43225</v>
      </c>
      <c r="C22">
        <v>3.5999999999999997E-2</v>
      </c>
      <c r="D22">
        <v>0.187</v>
      </c>
      <c r="E22">
        <v>0</v>
      </c>
      <c r="F22">
        <v>1</v>
      </c>
      <c r="G22" t="s">
        <v>27</v>
      </c>
      <c r="H22" s="1">
        <v>27128</v>
      </c>
      <c r="I22">
        <v>3.5999999999999997E-2</v>
      </c>
      <c r="J22">
        <v>0.187</v>
      </c>
      <c r="K22">
        <v>0</v>
      </c>
      <c r="L22">
        <v>1</v>
      </c>
      <c r="M22" t="s">
        <v>27</v>
      </c>
      <c r="N22" s="1">
        <v>16097</v>
      </c>
      <c r="O22">
        <v>3.6999999999999998E-2</v>
      </c>
      <c r="P22">
        <v>0.188</v>
      </c>
      <c r="Q22">
        <v>0</v>
      </c>
      <c r="R22">
        <v>1</v>
      </c>
    </row>
    <row r="23" spans="1:18" x14ac:dyDescent="0.25">
      <c r="A23" t="s">
        <v>28</v>
      </c>
      <c r="B23" s="1">
        <v>43225</v>
      </c>
      <c r="C23">
        <v>0.42499999999999999</v>
      </c>
      <c r="D23">
        <v>0.49399999999999999</v>
      </c>
      <c r="E23">
        <v>0</v>
      </c>
      <c r="F23">
        <v>1</v>
      </c>
      <c r="G23" t="s">
        <v>28</v>
      </c>
      <c r="H23" s="1">
        <v>27128</v>
      </c>
      <c r="I23">
        <v>0.42299999999999999</v>
      </c>
      <c r="J23">
        <v>0.49399999999999999</v>
      </c>
      <c r="K23">
        <v>0</v>
      </c>
      <c r="L23">
        <v>1</v>
      </c>
      <c r="M23" t="s">
        <v>28</v>
      </c>
      <c r="N23" s="1">
        <v>16097</v>
      </c>
      <c r="O23">
        <v>0.42899999999999999</v>
      </c>
      <c r="P23">
        <v>0.495</v>
      </c>
      <c r="Q23">
        <v>0</v>
      </c>
      <c r="R23">
        <v>1</v>
      </c>
    </row>
    <row r="24" spans="1:18" x14ac:dyDescent="0.25">
      <c r="A24" t="s">
        <v>29</v>
      </c>
      <c r="B24" s="1">
        <v>43225</v>
      </c>
      <c r="C24">
        <v>8.9999999999999993E-3</v>
      </c>
      <c r="D24">
        <v>9.2999999999999999E-2</v>
      </c>
      <c r="E24">
        <v>0</v>
      </c>
      <c r="F24">
        <v>1</v>
      </c>
      <c r="G24" t="s">
        <v>29</v>
      </c>
      <c r="H24" s="1">
        <v>27128</v>
      </c>
      <c r="I24">
        <v>8.9999999999999993E-3</v>
      </c>
      <c r="J24">
        <v>9.4E-2</v>
      </c>
      <c r="K24">
        <v>0</v>
      </c>
      <c r="L24">
        <v>1</v>
      </c>
      <c r="M24" t="s">
        <v>29</v>
      </c>
      <c r="N24" s="1">
        <v>16097</v>
      </c>
      <c r="O24">
        <v>8.9999999999999993E-3</v>
      </c>
      <c r="P24">
        <v>9.1999999999999998E-2</v>
      </c>
      <c r="Q24">
        <v>0</v>
      </c>
      <c r="R24">
        <v>1</v>
      </c>
    </row>
    <row r="25" spans="1:18" x14ac:dyDescent="0.25">
      <c r="A25" t="s">
        <v>30</v>
      </c>
      <c r="B25" s="1">
        <v>43225</v>
      </c>
      <c r="C25">
        <v>1.9E-2</v>
      </c>
      <c r="D25">
        <v>0.13500000000000001</v>
      </c>
      <c r="E25">
        <v>0</v>
      </c>
      <c r="F25">
        <v>1</v>
      </c>
      <c r="G25" t="s">
        <v>30</v>
      </c>
      <c r="H25" s="1">
        <v>27128</v>
      </c>
      <c r="I25">
        <v>1.6E-2</v>
      </c>
      <c r="J25">
        <v>0.125</v>
      </c>
      <c r="K25">
        <v>0</v>
      </c>
      <c r="L25">
        <v>1</v>
      </c>
      <c r="M25" t="s">
        <v>30</v>
      </c>
      <c r="N25" s="1">
        <v>16097</v>
      </c>
      <c r="O25">
        <v>2.3E-2</v>
      </c>
      <c r="P25">
        <v>0.151</v>
      </c>
      <c r="Q25">
        <v>0</v>
      </c>
      <c r="R25">
        <v>1</v>
      </c>
    </row>
    <row r="26" spans="1:18" x14ac:dyDescent="0.25">
      <c r="A26" t="s">
        <v>31</v>
      </c>
      <c r="B26" s="1">
        <v>43225</v>
      </c>
      <c r="C26">
        <v>4.3999999999999997E-2</v>
      </c>
      <c r="D26">
        <v>0.20599999999999999</v>
      </c>
      <c r="E26">
        <v>0</v>
      </c>
      <c r="F26">
        <v>1</v>
      </c>
      <c r="G26" t="s">
        <v>31</v>
      </c>
      <c r="H26" s="1">
        <v>27128</v>
      </c>
      <c r="I26">
        <v>4.5999999999999999E-2</v>
      </c>
      <c r="J26">
        <v>0.21</v>
      </c>
      <c r="K26">
        <v>0</v>
      </c>
      <c r="L26">
        <v>1</v>
      </c>
      <c r="M26" t="s">
        <v>31</v>
      </c>
      <c r="N26" s="1">
        <v>16097</v>
      </c>
      <c r="O26">
        <v>4.1000000000000002E-2</v>
      </c>
      <c r="P26">
        <v>0.19800000000000001</v>
      </c>
      <c r="Q26">
        <v>0</v>
      </c>
      <c r="R26">
        <v>1</v>
      </c>
    </row>
    <row r="27" spans="1:18" x14ac:dyDescent="0.25">
      <c r="A27" t="s">
        <v>32</v>
      </c>
      <c r="B27" s="1">
        <v>43225</v>
      </c>
      <c r="C27">
        <v>0.46100000000000002</v>
      </c>
      <c r="D27">
        <v>0.498</v>
      </c>
      <c r="E27">
        <v>0</v>
      </c>
      <c r="F27">
        <v>1</v>
      </c>
      <c r="G27" t="s">
        <v>32</v>
      </c>
      <c r="H27" s="1">
        <v>27128</v>
      </c>
      <c r="I27">
        <v>0.45900000000000002</v>
      </c>
      <c r="J27">
        <v>0.498</v>
      </c>
      <c r="K27">
        <v>0</v>
      </c>
      <c r="L27">
        <v>1</v>
      </c>
      <c r="M27" t="s">
        <v>32</v>
      </c>
      <c r="N27" s="1">
        <v>16097</v>
      </c>
      <c r="O27">
        <v>0.46300000000000002</v>
      </c>
      <c r="P27">
        <v>0.499</v>
      </c>
      <c r="Q27">
        <v>0</v>
      </c>
      <c r="R27">
        <v>1</v>
      </c>
    </row>
    <row r="28" spans="1:18" x14ac:dyDescent="0.25">
      <c r="A28" t="s">
        <v>33</v>
      </c>
      <c r="B28" s="1">
        <v>43225</v>
      </c>
      <c r="C28">
        <v>37.295999999999999</v>
      </c>
      <c r="D28">
        <v>19.75</v>
      </c>
      <c r="E28">
        <v>0</v>
      </c>
      <c r="F28">
        <v>123</v>
      </c>
      <c r="G28" t="s">
        <v>33</v>
      </c>
      <c r="H28" s="1">
        <v>27128</v>
      </c>
      <c r="I28">
        <v>35.444000000000003</v>
      </c>
      <c r="J28">
        <v>19.376000000000001</v>
      </c>
      <c r="K28">
        <v>0</v>
      </c>
      <c r="L28">
        <v>112</v>
      </c>
      <c r="M28" t="s">
        <v>33</v>
      </c>
      <c r="N28" s="1">
        <v>16097</v>
      </c>
      <c r="O28">
        <v>40.417999999999999</v>
      </c>
      <c r="P28">
        <v>19.98</v>
      </c>
      <c r="Q28">
        <v>0</v>
      </c>
      <c r="R28">
        <v>123</v>
      </c>
    </row>
    <row r="29" spans="1:18" x14ac:dyDescent="0.25">
      <c r="A29" t="s">
        <v>34</v>
      </c>
      <c r="B29" s="1">
        <v>43225</v>
      </c>
      <c r="C29">
        <v>1.7809999999999999</v>
      </c>
      <c r="D29">
        <v>1.569</v>
      </c>
      <c r="E29">
        <v>0</v>
      </c>
      <c r="F29">
        <v>15.129</v>
      </c>
      <c r="G29" t="s">
        <v>34</v>
      </c>
      <c r="H29" s="1">
        <v>27128</v>
      </c>
      <c r="I29">
        <v>1.6319999999999999</v>
      </c>
      <c r="J29">
        <v>1.484</v>
      </c>
      <c r="K29">
        <v>0</v>
      </c>
      <c r="L29">
        <v>12.544</v>
      </c>
      <c r="M29" t="s">
        <v>34</v>
      </c>
      <c r="N29" s="1">
        <v>16097</v>
      </c>
      <c r="O29">
        <v>2.0329999999999999</v>
      </c>
      <c r="P29">
        <v>1.673</v>
      </c>
      <c r="Q29">
        <v>0</v>
      </c>
      <c r="R29">
        <v>15.129</v>
      </c>
    </row>
    <row r="30" spans="1:18" x14ac:dyDescent="0.25">
      <c r="A30" t="s">
        <v>35</v>
      </c>
      <c r="B30" s="1">
        <v>43225</v>
      </c>
      <c r="C30">
        <v>3.2170000000000001</v>
      </c>
      <c r="D30">
        <v>9.6059999999999999</v>
      </c>
      <c r="E30">
        <v>0</v>
      </c>
      <c r="F30">
        <v>94</v>
      </c>
      <c r="G30" t="s">
        <v>35</v>
      </c>
      <c r="H30" s="1">
        <v>27128</v>
      </c>
      <c r="I30">
        <v>2.9140000000000001</v>
      </c>
      <c r="J30">
        <v>8.9589999999999996</v>
      </c>
      <c r="K30">
        <v>0</v>
      </c>
      <c r="L30">
        <v>88</v>
      </c>
      <c r="M30" t="s">
        <v>35</v>
      </c>
      <c r="N30" s="1">
        <v>16097</v>
      </c>
      <c r="O30">
        <v>3.7290000000000001</v>
      </c>
      <c r="P30">
        <v>10.587999999999999</v>
      </c>
      <c r="Q30">
        <v>0</v>
      </c>
      <c r="R30">
        <v>94</v>
      </c>
    </row>
    <row r="31" spans="1:18" x14ac:dyDescent="0.25">
      <c r="A31" t="s">
        <v>18</v>
      </c>
      <c r="B31" s="1">
        <v>43225</v>
      </c>
      <c r="C31" s="2">
        <v>1480.422</v>
      </c>
      <c r="D31">
        <v>999.93299999999999</v>
      </c>
      <c r="E31">
        <v>175</v>
      </c>
      <c r="F31" s="1">
        <v>23350</v>
      </c>
      <c r="G31" t="s">
        <v>18</v>
      </c>
      <c r="H31" s="1">
        <v>27128</v>
      </c>
      <c r="I31" s="2">
        <v>1464.2170000000001</v>
      </c>
      <c r="J31">
        <v>960.12300000000005</v>
      </c>
      <c r="K31">
        <v>195</v>
      </c>
      <c r="L31" s="1">
        <v>23350</v>
      </c>
      <c r="M31" t="s">
        <v>18</v>
      </c>
      <c r="N31" s="1">
        <v>16097</v>
      </c>
      <c r="O31" s="2">
        <v>1507.7329999999999</v>
      </c>
      <c r="P31" s="2">
        <v>1063.1289999999999</v>
      </c>
      <c r="Q31">
        <v>175</v>
      </c>
      <c r="R31" s="1">
        <v>18919</v>
      </c>
    </row>
    <row r="32" spans="1:18" x14ac:dyDescent="0.25">
      <c r="A32" t="s">
        <v>37</v>
      </c>
      <c r="B32" s="1">
        <v>43225</v>
      </c>
      <c r="C32">
        <v>2.9940000000000002</v>
      </c>
      <c r="D32">
        <v>5.8680000000000003</v>
      </c>
      <c r="E32">
        <v>1.4E-2</v>
      </c>
      <c r="F32">
        <v>128.91800000000001</v>
      </c>
      <c r="G32" t="s">
        <v>37</v>
      </c>
      <c r="H32" s="1">
        <v>27128</v>
      </c>
      <c r="I32" s="2">
        <v>3.073</v>
      </c>
      <c r="J32">
        <v>5.883</v>
      </c>
      <c r="K32">
        <v>1.4E-2</v>
      </c>
      <c r="L32" s="1">
        <v>128.91800000000001</v>
      </c>
      <c r="M32" t="s">
        <v>37</v>
      </c>
      <c r="N32" s="1">
        <v>16097</v>
      </c>
      <c r="O32">
        <v>2.8610000000000002</v>
      </c>
      <c r="P32">
        <v>5.8410000000000002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43225</v>
      </c>
      <c r="C33">
        <v>2.0870000000000002</v>
      </c>
      <c r="D33">
        <v>2.4420000000000002</v>
      </c>
      <c r="E33">
        <v>0</v>
      </c>
      <c r="F33">
        <v>13.552</v>
      </c>
      <c r="G33" t="s">
        <v>164</v>
      </c>
      <c r="H33" s="1">
        <v>27128</v>
      </c>
      <c r="I33">
        <v>2.1440000000000001</v>
      </c>
      <c r="J33">
        <v>2.4969999999999999</v>
      </c>
      <c r="K33">
        <v>0</v>
      </c>
      <c r="L33">
        <v>13.552</v>
      </c>
      <c r="M33" t="s">
        <v>164</v>
      </c>
      <c r="N33" s="1">
        <v>16097</v>
      </c>
      <c r="O33">
        <v>1.99</v>
      </c>
      <c r="P33">
        <v>2.3420000000000001</v>
      </c>
      <c r="Q33">
        <v>0</v>
      </c>
      <c r="R33">
        <v>13.477</v>
      </c>
    </row>
    <row r="34" spans="1:18" x14ac:dyDescent="0.25">
      <c r="A34" t="s">
        <v>39</v>
      </c>
      <c r="B34" s="1">
        <v>43225</v>
      </c>
      <c r="C34">
        <v>0.42399999999999999</v>
      </c>
      <c r="D34">
        <v>0.312</v>
      </c>
      <c r="E34">
        <v>0</v>
      </c>
      <c r="F34">
        <v>3.56</v>
      </c>
      <c r="G34" t="s">
        <v>39</v>
      </c>
      <c r="H34" s="1">
        <v>27128</v>
      </c>
      <c r="I34">
        <v>0.42399999999999999</v>
      </c>
      <c r="J34">
        <v>0.309</v>
      </c>
      <c r="K34">
        <v>0</v>
      </c>
      <c r="L34">
        <v>3.302</v>
      </c>
      <c r="M34" t="s">
        <v>39</v>
      </c>
      <c r="N34" s="1">
        <v>16097</v>
      </c>
      <c r="O34">
        <v>0.42199999999999999</v>
      </c>
      <c r="P34">
        <v>0.318</v>
      </c>
      <c r="Q34">
        <v>0</v>
      </c>
      <c r="R34">
        <v>3.56</v>
      </c>
    </row>
    <row r="35" spans="1:18" x14ac:dyDescent="0.25">
      <c r="A35" t="s">
        <v>40</v>
      </c>
      <c r="B35" s="1">
        <v>43225</v>
      </c>
      <c r="C35">
        <v>4.0519999999999996</v>
      </c>
      <c r="D35">
        <v>3.9369999999999998</v>
      </c>
      <c r="E35">
        <v>0.01</v>
      </c>
      <c r="F35">
        <v>20.997</v>
      </c>
      <c r="G35" t="s">
        <v>40</v>
      </c>
      <c r="H35" s="1">
        <v>27128</v>
      </c>
      <c r="I35">
        <v>4.07</v>
      </c>
      <c r="J35">
        <v>3.883</v>
      </c>
      <c r="K35">
        <v>0.01</v>
      </c>
      <c r="L35">
        <v>20.997</v>
      </c>
      <c r="M35" t="s">
        <v>40</v>
      </c>
      <c r="N35" s="1">
        <v>16097</v>
      </c>
      <c r="O35">
        <v>4.0220000000000002</v>
      </c>
      <c r="P35">
        <v>4.0259999999999998</v>
      </c>
      <c r="Q35">
        <v>1.4999999999999999E-2</v>
      </c>
      <c r="R35">
        <v>20.927</v>
      </c>
    </row>
    <row r="36" spans="1:18" x14ac:dyDescent="0.25">
      <c r="A36" t="s">
        <v>41</v>
      </c>
      <c r="B36" s="1">
        <v>43225</v>
      </c>
      <c r="C36">
        <v>9.1059999999999999</v>
      </c>
      <c r="D36">
        <v>5.61</v>
      </c>
      <c r="E36">
        <v>0.32300000000000001</v>
      </c>
      <c r="F36">
        <v>30.986000000000001</v>
      </c>
      <c r="G36" t="s">
        <v>41</v>
      </c>
      <c r="H36" s="1">
        <v>27128</v>
      </c>
      <c r="I36">
        <v>9.109</v>
      </c>
      <c r="J36">
        <v>5.6109999999999998</v>
      </c>
      <c r="K36">
        <v>0.32300000000000001</v>
      </c>
      <c r="L36">
        <v>30.003</v>
      </c>
      <c r="M36" t="s">
        <v>41</v>
      </c>
      <c r="N36" s="1">
        <v>16097</v>
      </c>
      <c r="O36">
        <v>9.1</v>
      </c>
      <c r="P36">
        <v>5.609</v>
      </c>
      <c r="Q36">
        <v>0.99299999999999999</v>
      </c>
      <c r="R36">
        <v>30.986000000000001</v>
      </c>
    </row>
    <row r="37" spans="1:18" x14ac:dyDescent="0.25">
      <c r="A37" t="s">
        <v>173</v>
      </c>
      <c r="B37" s="1">
        <v>43225</v>
      </c>
      <c r="C37">
        <v>1.1579999999999999</v>
      </c>
      <c r="D37">
        <v>4.585</v>
      </c>
      <c r="E37">
        <v>1.6E-2</v>
      </c>
      <c r="F37">
        <v>196.49</v>
      </c>
      <c r="G37" t="s">
        <v>173</v>
      </c>
      <c r="H37" s="1">
        <v>27128</v>
      </c>
      <c r="I37">
        <v>1.179</v>
      </c>
      <c r="J37">
        <v>4.8209999999999997</v>
      </c>
      <c r="K37">
        <v>2.5999999999999999E-2</v>
      </c>
      <c r="L37">
        <v>196.49</v>
      </c>
      <c r="M37" t="s">
        <v>173</v>
      </c>
      <c r="N37" s="1">
        <v>16097</v>
      </c>
      <c r="O37">
        <v>1.1240000000000001</v>
      </c>
      <c r="P37">
        <v>4.1580000000000004</v>
      </c>
      <c r="Q37">
        <v>1.6E-2</v>
      </c>
      <c r="R37">
        <v>196.49</v>
      </c>
    </row>
    <row r="38" spans="1:18" x14ac:dyDescent="0.25">
      <c r="A38" t="s">
        <v>174</v>
      </c>
      <c r="B38" s="1">
        <v>43225</v>
      </c>
      <c r="C38">
        <v>2.1909999999999998</v>
      </c>
      <c r="D38">
        <v>1.5940000000000001</v>
      </c>
      <c r="E38">
        <v>3.6999999999999998E-2</v>
      </c>
      <c r="F38">
        <v>17.684000000000001</v>
      </c>
      <c r="G38" t="s">
        <v>174</v>
      </c>
      <c r="H38" s="1">
        <v>27128</v>
      </c>
      <c r="I38">
        <v>2.1850000000000001</v>
      </c>
      <c r="J38">
        <v>1.583</v>
      </c>
      <c r="K38">
        <v>4.2999999999999997E-2</v>
      </c>
      <c r="L38">
        <v>17.684000000000001</v>
      </c>
      <c r="M38" t="s">
        <v>174</v>
      </c>
      <c r="N38" s="1">
        <v>16097</v>
      </c>
      <c r="O38">
        <v>2.2000000000000002</v>
      </c>
      <c r="P38">
        <v>1.6120000000000001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43225</v>
      </c>
      <c r="C39">
        <v>2.1549999999999998</v>
      </c>
      <c r="D39">
        <v>1.518</v>
      </c>
      <c r="E39">
        <v>3.4000000000000002E-2</v>
      </c>
      <c r="F39">
        <v>17.684000000000001</v>
      </c>
      <c r="G39" t="s">
        <v>175</v>
      </c>
      <c r="H39" s="1">
        <v>27128</v>
      </c>
      <c r="I39">
        <v>2.165</v>
      </c>
      <c r="J39">
        <v>1.496</v>
      </c>
      <c r="K39">
        <v>3.4000000000000002E-2</v>
      </c>
      <c r="L39">
        <v>17.684000000000001</v>
      </c>
      <c r="M39" t="s">
        <v>175</v>
      </c>
      <c r="N39" s="1">
        <v>16097</v>
      </c>
      <c r="O39">
        <v>2.14</v>
      </c>
      <c r="P39">
        <v>1.5549999999999999</v>
      </c>
      <c r="Q39">
        <v>3.4000000000000002E-2</v>
      </c>
      <c r="R39">
        <v>17.655000000000001</v>
      </c>
    </row>
    <row r="40" spans="1:18" x14ac:dyDescent="0.25">
      <c r="A40" t="s">
        <v>42</v>
      </c>
      <c r="B40" s="1">
        <v>43225</v>
      </c>
      <c r="C40">
        <v>0.249</v>
      </c>
      <c r="D40">
        <v>0.17</v>
      </c>
      <c r="E40">
        <v>0</v>
      </c>
      <c r="F40">
        <v>1</v>
      </c>
      <c r="G40" t="s">
        <v>42</v>
      </c>
      <c r="H40" s="1">
        <v>27128</v>
      </c>
      <c r="I40">
        <v>0.254</v>
      </c>
      <c r="J40">
        <v>0.16600000000000001</v>
      </c>
      <c r="K40">
        <v>0</v>
      </c>
      <c r="L40">
        <v>1</v>
      </c>
      <c r="M40" t="s">
        <v>42</v>
      </c>
      <c r="N40" s="1">
        <v>16097</v>
      </c>
      <c r="O40">
        <v>0.24099999999999999</v>
      </c>
      <c r="P40">
        <v>0.17599999999999999</v>
      </c>
      <c r="Q40">
        <v>0</v>
      </c>
      <c r="R40">
        <v>0.91800000000000004</v>
      </c>
    </row>
    <row r="41" spans="1:18" x14ac:dyDescent="0.25">
      <c r="A41" t="s">
        <v>43</v>
      </c>
      <c r="B41" s="1">
        <v>43225</v>
      </c>
      <c r="C41">
        <v>2.1000000000000001E-2</v>
      </c>
      <c r="D41">
        <v>3.4000000000000002E-2</v>
      </c>
      <c r="E41">
        <v>0</v>
      </c>
      <c r="F41">
        <v>0.77600000000000002</v>
      </c>
      <c r="G41" t="s">
        <v>43</v>
      </c>
      <c r="H41" s="1">
        <v>27128</v>
      </c>
      <c r="I41">
        <v>2.1999999999999999E-2</v>
      </c>
      <c r="J41">
        <v>3.2000000000000001E-2</v>
      </c>
      <c r="K41">
        <v>0</v>
      </c>
      <c r="L41">
        <v>0.77600000000000002</v>
      </c>
      <c r="M41" t="s">
        <v>43</v>
      </c>
      <c r="N41" s="1">
        <v>16097</v>
      </c>
      <c r="O41">
        <v>1.9E-2</v>
      </c>
      <c r="P41">
        <v>3.6999999999999998E-2</v>
      </c>
      <c r="Q41">
        <v>0</v>
      </c>
      <c r="R41">
        <v>0.77600000000000002</v>
      </c>
    </row>
    <row r="42" spans="1:18" x14ac:dyDescent="0.25">
      <c r="A42" t="s">
        <v>44</v>
      </c>
      <c r="B42" s="1">
        <v>43225</v>
      </c>
      <c r="C42">
        <v>0.43</v>
      </c>
      <c r="D42">
        <v>0.189</v>
      </c>
      <c r="E42">
        <v>0</v>
      </c>
      <c r="F42">
        <v>1</v>
      </c>
      <c r="G42" t="s">
        <v>44</v>
      </c>
      <c r="H42" s="1">
        <v>27128</v>
      </c>
      <c r="I42">
        <v>0.42399999999999999</v>
      </c>
      <c r="J42">
        <v>0.183</v>
      </c>
      <c r="K42">
        <v>0</v>
      </c>
      <c r="L42">
        <v>1</v>
      </c>
      <c r="M42" t="s">
        <v>44</v>
      </c>
      <c r="N42" s="1">
        <v>16097</v>
      </c>
      <c r="O42">
        <v>0.441</v>
      </c>
      <c r="P42">
        <v>0.19800000000000001</v>
      </c>
      <c r="Q42">
        <v>0</v>
      </c>
      <c r="R42">
        <v>1</v>
      </c>
    </row>
    <row r="43" spans="1:18" x14ac:dyDescent="0.25">
      <c r="A43" t="s">
        <v>45</v>
      </c>
      <c r="B43" s="1">
        <v>43225</v>
      </c>
      <c r="C43">
        <v>6.9000000000000006E-2</v>
      </c>
      <c r="D43">
        <v>0.09</v>
      </c>
      <c r="E43">
        <v>0</v>
      </c>
      <c r="F43">
        <v>0.71</v>
      </c>
      <c r="G43" t="s">
        <v>45</v>
      </c>
      <c r="H43" s="1">
        <v>27128</v>
      </c>
      <c r="I43">
        <v>7.0000000000000007E-2</v>
      </c>
      <c r="J43">
        <v>8.3000000000000004E-2</v>
      </c>
      <c r="K43">
        <v>0</v>
      </c>
      <c r="L43">
        <v>0.60799999999999998</v>
      </c>
      <c r="M43" t="s">
        <v>45</v>
      </c>
      <c r="N43" s="1">
        <v>16097</v>
      </c>
      <c r="O43">
        <v>6.8000000000000005E-2</v>
      </c>
      <c r="P43">
        <v>0.1</v>
      </c>
      <c r="Q43">
        <v>0</v>
      </c>
      <c r="R43">
        <v>0.71</v>
      </c>
    </row>
    <row r="44" spans="1:18" x14ac:dyDescent="0.25">
      <c r="A44" t="s">
        <v>46</v>
      </c>
      <c r="B44" s="1">
        <v>43225</v>
      </c>
      <c r="C44">
        <v>0.871</v>
      </c>
      <c r="D44">
        <v>0.16800000000000001</v>
      </c>
      <c r="E44">
        <v>1.2E-2</v>
      </c>
      <c r="F44">
        <v>1</v>
      </c>
      <c r="G44" t="s">
        <v>46</v>
      </c>
      <c r="H44" s="1">
        <v>27128</v>
      </c>
      <c r="I44">
        <v>0.87</v>
      </c>
      <c r="J44">
        <v>0.17100000000000001</v>
      </c>
      <c r="K44">
        <v>1.2E-2</v>
      </c>
      <c r="L44">
        <v>1</v>
      </c>
      <c r="M44" t="s">
        <v>46</v>
      </c>
      <c r="N44" s="1">
        <v>16097</v>
      </c>
      <c r="O44">
        <v>0.874</v>
      </c>
      <c r="P44">
        <v>0.16300000000000001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43225</v>
      </c>
      <c r="C45">
        <v>0.128</v>
      </c>
      <c r="D45">
        <v>0.16600000000000001</v>
      </c>
      <c r="E45">
        <v>0</v>
      </c>
      <c r="F45">
        <v>0.93</v>
      </c>
      <c r="G45" t="s">
        <v>47</v>
      </c>
      <c r="H45" s="1">
        <v>27128</v>
      </c>
      <c r="I45">
        <v>0.129</v>
      </c>
      <c r="J45">
        <v>0.17</v>
      </c>
      <c r="K45">
        <v>0</v>
      </c>
      <c r="L45">
        <v>0.93</v>
      </c>
      <c r="M45" t="s">
        <v>47</v>
      </c>
      <c r="N45" s="1">
        <v>16097</v>
      </c>
      <c r="O45">
        <v>0.125</v>
      </c>
      <c r="P45">
        <v>0.161</v>
      </c>
      <c r="Q45">
        <v>0</v>
      </c>
      <c r="R45">
        <v>0.92600000000000005</v>
      </c>
    </row>
    <row r="46" spans="1:18" x14ac:dyDescent="0.25">
      <c r="A46" t="s">
        <v>48</v>
      </c>
      <c r="B46" s="1">
        <v>43225</v>
      </c>
      <c r="C46">
        <v>0.63400000000000001</v>
      </c>
      <c r="D46">
        <v>0.20799999999999999</v>
      </c>
      <c r="E46">
        <v>0</v>
      </c>
      <c r="F46">
        <v>1</v>
      </c>
      <c r="G46" t="s">
        <v>48</v>
      </c>
      <c r="H46" s="1">
        <v>27128</v>
      </c>
      <c r="I46">
        <v>0.624</v>
      </c>
      <c r="J46">
        <v>0.20599999999999999</v>
      </c>
      <c r="K46">
        <v>0</v>
      </c>
      <c r="L46">
        <v>1</v>
      </c>
      <c r="M46" t="s">
        <v>48</v>
      </c>
      <c r="N46" s="1">
        <v>16097</v>
      </c>
      <c r="O46">
        <v>0.65100000000000002</v>
      </c>
      <c r="P46">
        <v>0.21199999999999999</v>
      </c>
      <c r="Q46">
        <v>0</v>
      </c>
      <c r="R46">
        <v>1</v>
      </c>
    </row>
    <row r="47" spans="1:18" x14ac:dyDescent="0.25">
      <c r="A47" t="s">
        <v>49</v>
      </c>
      <c r="B47" s="1">
        <v>43225</v>
      </c>
      <c r="C47">
        <v>0.36499999999999999</v>
      </c>
      <c r="D47">
        <v>0.20799999999999999</v>
      </c>
      <c r="E47">
        <v>0</v>
      </c>
      <c r="F47">
        <v>1</v>
      </c>
      <c r="G47" t="s">
        <v>49</v>
      </c>
      <c r="H47" s="1">
        <v>27128</v>
      </c>
      <c r="I47">
        <v>0.375</v>
      </c>
      <c r="J47">
        <v>0.20599999999999999</v>
      </c>
      <c r="K47">
        <v>0</v>
      </c>
      <c r="L47">
        <v>1</v>
      </c>
      <c r="M47" t="s">
        <v>49</v>
      </c>
      <c r="N47" s="1">
        <v>16097</v>
      </c>
      <c r="O47">
        <v>0.34699999999999998</v>
      </c>
      <c r="P47">
        <v>0.21099999999999999</v>
      </c>
      <c r="Q47">
        <v>0</v>
      </c>
      <c r="R47">
        <v>1</v>
      </c>
    </row>
    <row r="48" spans="1:18" x14ac:dyDescent="0.25">
      <c r="A48" t="s">
        <v>50</v>
      </c>
      <c r="B48" s="1">
        <v>43225</v>
      </c>
      <c r="C48">
        <v>16.757999999999999</v>
      </c>
      <c r="D48">
        <v>46.066000000000003</v>
      </c>
      <c r="E48">
        <v>0</v>
      </c>
      <c r="F48" s="1">
        <v>1000</v>
      </c>
      <c r="G48" t="s">
        <v>50</v>
      </c>
      <c r="H48" s="1">
        <v>27128</v>
      </c>
      <c r="I48">
        <v>17.472000000000001</v>
      </c>
      <c r="J48">
        <v>45.448999999999998</v>
      </c>
      <c r="K48">
        <v>0</v>
      </c>
      <c r="L48">
        <v>667</v>
      </c>
      <c r="M48" t="s">
        <v>50</v>
      </c>
      <c r="N48" s="1">
        <v>16097</v>
      </c>
      <c r="O48">
        <v>15.554</v>
      </c>
      <c r="P48">
        <v>47.064999999999998</v>
      </c>
      <c r="Q48">
        <v>0</v>
      </c>
      <c r="R48" s="1">
        <v>1000</v>
      </c>
    </row>
    <row r="49" spans="1:18" x14ac:dyDescent="0.25">
      <c r="A49" t="s">
        <v>51</v>
      </c>
      <c r="B49" s="1">
        <v>43225</v>
      </c>
      <c r="C49">
        <v>0.69899999999999995</v>
      </c>
      <c r="D49">
        <v>1.5049999999999999</v>
      </c>
      <c r="E49">
        <v>0</v>
      </c>
      <c r="F49">
        <v>36</v>
      </c>
      <c r="G49" t="s">
        <v>51</v>
      </c>
      <c r="H49" s="1">
        <v>27128</v>
      </c>
      <c r="I49">
        <v>0.66700000000000004</v>
      </c>
      <c r="J49">
        <v>1.4770000000000001</v>
      </c>
      <c r="K49">
        <v>0</v>
      </c>
      <c r="L49">
        <v>36</v>
      </c>
      <c r="M49" t="s">
        <v>51</v>
      </c>
      <c r="N49" s="1">
        <v>16097</v>
      </c>
      <c r="O49">
        <v>0.753</v>
      </c>
      <c r="P49">
        <v>1.55</v>
      </c>
      <c r="Q49">
        <v>0</v>
      </c>
      <c r="R49">
        <v>23</v>
      </c>
    </row>
    <row r="50" spans="1:18" x14ac:dyDescent="0.25">
      <c r="A50" t="s">
        <v>52</v>
      </c>
      <c r="B50" s="1">
        <v>43225</v>
      </c>
      <c r="C50">
        <v>0.38900000000000001</v>
      </c>
      <c r="D50">
        <v>0.48799999999999999</v>
      </c>
      <c r="E50">
        <v>0</v>
      </c>
      <c r="F50">
        <v>1</v>
      </c>
      <c r="G50" t="s">
        <v>52</v>
      </c>
      <c r="H50" s="1">
        <v>27128</v>
      </c>
      <c r="I50">
        <v>0.375</v>
      </c>
      <c r="J50">
        <v>0.48399999999999999</v>
      </c>
      <c r="K50">
        <v>0</v>
      </c>
      <c r="L50">
        <v>1</v>
      </c>
      <c r="M50" t="s">
        <v>52</v>
      </c>
      <c r="N50" s="1">
        <v>16097</v>
      </c>
      <c r="O50">
        <v>0.41299999999999998</v>
      </c>
      <c r="P50">
        <v>0.49199999999999999</v>
      </c>
      <c r="Q50">
        <v>0</v>
      </c>
      <c r="R50">
        <v>1</v>
      </c>
    </row>
    <row r="51" spans="1:18" x14ac:dyDescent="0.25">
      <c r="A51" t="s">
        <v>53</v>
      </c>
      <c r="B51" s="1">
        <v>43225</v>
      </c>
      <c r="C51" s="2">
        <v>2361405</v>
      </c>
      <c r="D51" s="2">
        <v>7646.3770000000004</v>
      </c>
      <c r="E51" s="2">
        <v>2350907</v>
      </c>
      <c r="F51" s="2">
        <v>2400056</v>
      </c>
      <c r="G51" t="s">
        <v>53</v>
      </c>
      <c r="H51" s="1">
        <v>27128</v>
      </c>
      <c r="I51" s="2">
        <v>2361480</v>
      </c>
      <c r="J51" s="2">
        <v>7570.8019999999997</v>
      </c>
      <c r="K51" s="2">
        <v>2350907</v>
      </c>
      <c r="L51" s="2">
        <v>2400056</v>
      </c>
      <c r="M51" t="s">
        <v>53</v>
      </c>
      <c r="N51" s="1">
        <v>16097</v>
      </c>
      <c r="O51" s="2">
        <v>2361278</v>
      </c>
      <c r="P51" s="2">
        <v>7770.6689999999999</v>
      </c>
      <c r="Q51" s="2">
        <v>2350948</v>
      </c>
      <c r="R51" s="2">
        <v>2400056</v>
      </c>
    </row>
    <row r="52" spans="1:18" x14ac:dyDescent="0.25">
      <c r="A52" t="s">
        <v>54</v>
      </c>
      <c r="B52" s="1">
        <v>43225</v>
      </c>
      <c r="C52" s="2">
        <v>613179.1</v>
      </c>
      <c r="D52" s="2">
        <v>13163.16</v>
      </c>
      <c r="E52" s="2">
        <v>579824.19999999995</v>
      </c>
      <c r="F52" s="2">
        <v>638667.69999999995</v>
      </c>
      <c r="G52" t="s">
        <v>54</v>
      </c>
      <c r="H52" s="1">
        <v>27128</v>
      </c>
      <c r="I52" s="2">
        <v>612728.80000000005</v>
      </c>
      <c r="J52" s="2">
        <v>13154.21</v>
      </c>
      <c r="K52" s="2">
        <v>579824.19999999995</v>
      </c>
      <c r="L52" s="2">
        <v>638667.69999999995</v>
      </c>
      <c r="M52" t="s">
        <v>54</v>
      </c>
      <c r="N52" s="1">
        <v>16097</v>
      </c>
      <c r="O52" s="2">
        <v>613938</v>
      </c>
      <c r="P52" s="2">
        <v>13143.78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43225</v>
      </c>
      <c r="C53">
        <v>0.54</v>
      </c>
      <c r="D53">
        <v>0.498</v>
      </c>
      <c r="E53">
        <v>0</v>
      </c>
      <c r="F53">
        <v>1</v>
      </c>
      <c r="G53" t="s">
        <v>56</v>
      </c>
      <c r="H53" s="1">
        <v>27128</v>
      </c>
      <c r="I53" s="2">
        <v>0.54100000000000004</v>
      </c>
      <c r="J53" s="2">
        <v>0.498</v>
      </c>
      <c r="K53" s="2">
        <v>0</v>
      </c>
      <c r="L53" s="2">
        <v>1</v>
      </c>
      <c r="M53" t="s">
        <v>56</v>
      </c>
      <c r="N53" s="1">
        <v>16097</v>
      </c>
      <c r="O53">
        <v>0.53700000000000003</v>
      </c>
      <c r="P53">
        <v>0.499</v>
      </c>
      <c r="Q53">
        <v>0</v>
      </c>
      <c r="R53">
        <v>1</v>
      </c>
    </row>
    <row r="54" spans="1:18" x14ac:dyDescent="0.25">
      <c r="A54" t="s">
        <v>57</v>
      </c>
      <c r="B54" s="1">
        <v>43225</v>
      </c>
      <c r="C54">
        <v>0.46</v>
      </c>
      <c r="D54">
        <v>0.498</v>
      </c>
      <c r="E54">
        <v>0</v>
      </c>
      <c r="F54">
        <v>1</v>
      </c>
      <c r="G54" t="s">
        <v>57</v>
      </c>
      <c r="H54" s="1">
        <v>27128</v>
      </c>
      <c r="I54">
        <v>0.45900000000000002</v>
      </c>
      <c r="J54">
        <v>0.498</v>
      </c>
      <c r="K54">
        <v>0</v>
      </c>
      <c r="L54">
        <v>1</v>
      </c>
      <c r="M54" t="s">
        <v>57</v>
      </c>
      <c r="N54" s="1">
        <v>16097</v>
      </c>
      <c r="O54">
        <v>0.46300000000000002</v>
      </c>
      <c r="P54">
        <v>0.499</v>
      </c>
      <c r="Q54">
        <v>0</v>
      </c>
      <c r="R54">
        <v>1</v>
      </c>
    </row>
    <row r="55" spans="1:18" x14ac:dyDescent="0.25">
      <c r="A55" t="s">
        <v>58</v>
      </c>
      <c r="B55" s="1">
        <v>43225</v>
      </c>
      <c r="C55">
        <v>0.34899999999999998</v>
      </c>
      <c r="D55">
        <v>0.47699999999999998</v>
      </c>
      <c r="E55">
        <v>0</v>
      </c>
      <c r="F55">
        <v>1</v>
      </c>
      <c r="G55" t="s">
        <v>58</v>
      </c>
      <c r="H55" s="1">
        <v>27128</v>
      </c>
      <c r="I55">
        <v>0.35099999999999998</v>
      </c>
      <c r="J55">
        <v>0.47699999999999998</v>
      </c>
      <c r="K55">
        <v>0</v>
      </c>
      <c r="L55">
        <v>1</v>
      </c>
      <c r="M55" t="s">
        <v>58</v>
      </c>
      <c r="N55" s="1">
        <v>16097</v>
      </c>
      <c r="O55">
        <v>0.34699999999999998</v>
      </c>
      <c r="P55">
        <v>0.47599999999999998</v>
      </c>
      <c r="Q55">
        <v>0</v>
      </c>
      <c r="R55">
        <v>1</v>
      </c>
    </row>
    <row r="56" spans="1:18" x14ac:dyDescent="0.25">
      <c r="A56" t="s">
        <v>59</v>
      </c>
      <c r="B56" s="1">
        <v>43225</v>
      </c>
      <c r="C56">
        <v>0.33500000000000002</v>
      </c>
      <c r="D56">
        <v>0.47199999999999998</v>
      </c>
      <c r="E56">
        <v>0</v>
      </c>
      <c r="F56">
        <v>1</v>
      </c>
      <c r="G56" t="s">
        <v>59</v>
      </c>
      <c r="H56" s="1">
        <v>27128</v>
      </c>
      <c r="I56">
        <v>0.34799999999999998</v>
      </c>
      <c r="J56">
        <v>0.47599999999999998</v>
      </c>
      <c r="K56">
        <v>0</v>
      </c>
      <c r="L56">
        <v>1</v>
      </c>
      <c r="M56" t="s">
        <v>59</v>
      </c>
      <c r="N56" s="1">
        <v>16097</v>
      </c>
      <c r="O56">
        <v>0.315</v>
      </c>
      <c r="P56">
        <v>0.46400000000000002</v>
      </c>
      <c r="Q56">
        <v>0</v>
      </c>
      <c r="R56">
        <v>1</v>
      </c>
    </row>
    <row r="57" spans="1:18" x14ac:dyDescent="0.25">
      <c r="A57" t="s">
        <v>60</v>
      </c>
      <c r="B57" s="1">
        <v>43225</v>
      </c>
      <c r="C57">
        <v>0.315</v>
      </c>
      <c r="D57">
        <v>0.46500000000000002</v>
      </c>
      <c r="E57">
        <v>0</v>
      </c>
      <c r="F57">
        <v>1</v>
      </c>
      <c r="G57" t="s">
        <v>60</v>
      </c>
      <c r="H57" s="1">
        <v>27128</v>
      </c>
      <c r="I57">
        <v>0.30099999999999999</v>
      </c>
      <c r="J57">
        <v>0.45900000000000002</v>
      </c>
      <c r="K57">
        <v>0</v>
      </c>
      <c r="L57">
        <v>1</v>
      </c>
      <c r="M57" t="s">
        <v>60</v>
      </c>
      <c r="N57" s="1">
        <v>16097</v>
      </c>
      <c r="O57">
        <v>0.33900000000000002</v>
      </c>
      <c r="P57">
        <v>0.47299999999999998</v>
      </c>
      <c r="Q57">
        <v>0</v>
      </c>
      <c r="R57">
        <v>1</v>
      </c>
    </row>
    <row r="58" spans="1:18" x14ac:dyDescent="0.25">
      <c r="A58" t="s">
        <v>61</v>
      </c>
      <c r="B58" s="1">
        <v>43225</v>
      </c>
      <c r="C58" s="2">
        <v>2018.818</v>
      </c>
      <c r="D58">
        <v>2.0009999999999999</v>
      </c>
      <c r="E58" s="1">
        <v>2016</v>
      </c>
      <c r="F58" s="1">
        <v>2023</v>
      </c>
      <c r="G58" t="s">
        <v>61</v>
      </c>
      <c r="H58" s="1">
        <v>27128</v>
      </c>
      <c r="I58" s="2">
        <v>2017.501</v>
      </c>
      <c r="J58">
        <v>1.163</v>
      </c>
      <c r="K58" s="1">
        <v>2016</v>
      </c>
      <c r="L58" s="1">
        <v>2020</v>
      </c>
      <c r="M58" t="s">
        <v>61</v>
      </c>
      <c r="N58" s="1">
        <v>16097</v>
      </c>
      <c r="O58" s="2">
        <v>2021.0360000000001</v>
      </c>
      <c r="P58">
        <v>0.78900000000000003</v>
      </c>
      <c r="Q58" s="1">
        <v>2020</v>
      </c>
      <c r="R58" s="1">
        <v>2023</v>
      </c>
    </row>
    <row r="59" spans="1:18" x14ac:dyDescent="0.25">
      <c r="A59" t="s">
        <v>62</v>
      </c>
      <c r="B59" s="1">
        <v>43225</v>
      </c>
      <c r="C59">
        <v>0.46</v>
      </c>
      <c r="D59">
        <v>0.498</v>
      </c>
      <c r="E59">
        <v>0</v>
      </c>
      <c r="F59">
        <v>1</v>
      </c>
      <c r="G59" t="s">
        <v>62</v>
      </c>
      <c r="H59" s="1">
        <v>27128</v>
      </c>
      <c r="I59" s="2">
        <v>0.46</v>
      </c>
      <c r="J59">
        <v>0.498</v>
      </c>
      <c r="K59" s="1">
        <v>0</v>
      </c>
      <c r="L59" s="1">
        <v>1</v>
      </c>
      <c r="M59" t="s">
        <v>62</v>
      </c>
      <c r="N59" s="1">
        <v>16097</v>
      </c>
      <c r="O59">
        <v>0.46</v>
      </c>
      <c r="P59">
        <v>0.498</v>
      </c>
      <c r="Q59">
        <v>0</v>
      </c>
      <c r="R59">
        <v>1</v>
      </c>
    </row>
    <row r="60" spans="1:18" x14ac:dyDescent="0.25">
      <c r="A60" t="s">
        <v>63</v>
      </c>
      <c r="B60" s="1">
        <v>43225</v>
      </c>
      <c r="C60">
        <v>8.0000000000000002E-3</v>
      </c>
      <c r="D60">
        <v>0.09</v>
      </c>
      <c r="E60">
        <v>0</v>
      </c>
      <c r="F60">
        <v>1</v>
      </c>
      <c r="G60" t="s">
        <v>63</v>
      </c>
      <c r="H60" s="1">
        <v>27128</v>
      </c>
      <c r="I60">
        <v>8.0000000000000002E-3</v>
      </c>
      <c r="J60">
        <v>0.09</v>
      </c>
      <c r="K60">
        <v>0</v>
      </c>
      <c r="L60">
        <v>1</v>
      </c>
      <c r="M60" t="s">
        <v>63</v>
      </c>
      <c r="N60" s="1">
        <v>16097</v>
      </c>
      <c r="O60">
        <v>8.0000000000000002E-3</v>
      </c>
      <c r="P60">
        <v>8.7999999999999995E-2</v>
      </c>
      <c r="Q60">
        <v>0</v>
      </c>
      <c r="R60">
        <v>1</v>
      </c>
    </row>
    <row r="61" spans="1:18" x14ac:dyDescent="0.25">
      <c r="A61" t="s">
        <v>64</v>
      </c>
      <c r="B61" s="1">
        <v>43225</v>
      </c>
      <c r="C61">
        <v>3.1E-2</v>
      </c>
      <c r="D61">
        <v>0.17199999999999999</v>
      </c>
      <c r="E61">
        <v>0</v>
      </c>
      <c r="F61">
        <v>1</v>
      </c>
      <c r="G61" t="s">
        <v>64</v>
      </c>
      <c r="H61" s="1">
        <v>27128</v>
      </c>
      <c r="I61">
        <v>2.8000000000000001E-2</v>
      </c>
      <c r="J61">
        <v>0.16600000000000001</v>
      </c>
      <c r="K61">
        <v>0</v>
      </c>
      <c r="L61">
        <v>1</v>
      </c>
      <c r="M61" t="s">
        <v>64</v>
      </c>
      <c r="N61" s="1">
        <v>16097</v>
      </c>
      <c r="O61">
        <v>3.4000000000000002E-2</v>
      </c>
      <c r="P61">
        <v>0.182</v>
      </c>
      <c r="Q61">
        <v>0</v>
      </c>
      <c r="R61">
        <v>1</v>
      </c>
    </row>
    <row r="62" spans="1:18" x14ac:dyDescent="0.25">
      <c r="A62" t="s">
        <v>65</v>
      </c>
      <c r="B62" s="1">
        <v>43225</v>
      </c>
      <c r="C62">
        <v>0.14899999999999999</v>
      </c>
      <c r="D62">
        <v>0.35599999999999998</v>
      </c>
      <c r="E62">
        <v>0</v>
      </c>
      <c r="F62">
        <v>1</v>
      </c>
      <c r="G62" t="s">
        <v>65</v>
      </c>
      <c r="H62" s="1">
        <v>27128</v>
      </c>
      <c r="I62">
        <v>0.161</v>
      </c>
      <c r="J62">
        <v>0.36699999999999999</v>
      </c>
      <c r="K62">
        <v>0</v>
      </c>
      <c r="L62">
        <v>1</v>
      </c>
      <c r="M62" t="s">
        <v>65</v>
      </c>
      <c r="N62" s="1">
        <v>16097</v>
      </c>
      <c r="O62">
        <v>0.13100000000000001</v>
      </c>
      <c r="P62">
        <v>0.33700000000000002</v>
      </c>
      <c r="Q62">
        <v>0</v>
      </c>
      <c r="R62">
        <v>1</v>
      </c>
    </row>
    <row r="63" spans="1:18" x14ac:dyDescent="0.25">
      <c r="A63" t="s">
        <v>66</v>
      </c>
      <c r="B63" s="1">
        <v>43225</v>
      </c>
      <c r="C63">
        <v>0.16600000000000001</v>
      </c>
      <c r="D63">
        <v>0.372</v>
      </c>
      <c r="E63">
        <v>0</v>
      </c>
      <c r="F63">
        <v>1</v>
      </c>
      <c r="G63" t="s">
        <v>66</v>
      </c>
      <c r="H63" s="1">
        <v>27128</v>
      </c>
      <c r="I63">
        <v>0.16</v>
      </c>
      <c r="J63">
        <v>0.36599999999999999</v>
      </c>
      <c r="K63">
        <v>0</v>
      </c>
      <c r="L63">
        <v>1</v>
      </c>
      <c r="M63" t="s">
        <v>66</v>
      </c>
      <c r="N63" s="1">
        <v>16097</v>
      </c>
      <c r="O63">
        <v>0.17499999999999999</v>
      </c>
      <c r="P63">
        <v>0.38</v>
      </c>
      <c r="Q63">
        <v>0</v>
      </c>
      <c r="R63">
        <v>1</v>
      </c>
    </row>
    <row r="64" spans="1:18" x14ac:dyDescent="0.25">
      <c r="A64" t="s">
        <v>67</v>
      </c>
      <c r="B64" s="1">
        <v>43225</v>
      </c>
      <c r="C64">
        <v>3.7999999999999999E-2</v>
      </c>
      <c r="D64">
        <v>0.192</v>
      </c>
      <c r="E64">
        <v>0</v>
      </c>
      <c r="F64">
        <v>1</v>
      </c>
      <c r="G64" t="s">
        <v>67</v>
      </c>
      <c r="H64" s="1">
        <v>27128</v>
      </c>
      <c r="I64">
        <v>3.7999999999999999E-2</v>
      </c>
      <c r="J64">
        <v>0.191</v>
      </c>
      <c r="K64">
        <v>0</v>
      </c>
      <c r="L64">
        <v>1</v>
      </c>
      <c r="M64" t="s">
        <v>67</v>
      </c>
      <c r="N64" s="1">
        <v>16097</v>
      </c>
      <c r="O64">
        <v>3.9E-2</v>
      </c>
      <c r="P64">
        <v>0.19400000000000001</v>
      </c>
      <c r="Q64">
        <v>0</v>
      </c>
      <c r="R64">
        <v>1</v>
      </c>
    </row>
    <row r="65" spans="1:18" x14ac:dyDescent="0.25">
      <c r="A65" t="s">
        <v>68</v>
      </c>
      <c r="B65" s="1">
        <v>43225</v>
      </c>
      <c r="C65">
        <v>0.11600000000000001</v>
      </c>
      <c r="D65">
        <v>0.32</v>
      </c>
      <c r="E65">
        <v>0</v>
      </c>
      <c r="F65">
        <v>1</v>
      </c>
      <c r="G65" t="s">
        <v>68</v>
      </c>
      <c r="H65" s="1">
        <v>27128</v>
      </c>
      <c r="I65">
        <v>0.111</v>
      </c>
      <c r="J65">
        <v>0.314</v>
      </c>
      <c r="K65">
        <v>0</v>
      </c>
      <c r="L65">
        <v>1</v>
      </c>
      <c r="M65" t="s">
        <v>68</v>
      </c>
      <c r="N65" s="1">
        <v>16097</v>
      </c>
      <c r="O65">
        <v>0.124</v>
      </c>
      <c r="P65">
        <v>0.33</v>
      </c>
      <c r="Q65">
        <v>0</v>
      </c>
      <c r="R65">
        <v>1</v>
      </c>
    </row>
    <row r="66" spans="1:18" x14ac:dyDescent="0.25">
      <c r="A66" t="s">
        <v>69</v>
      </c>
      <c r="B66" s="1">
        <v>43225</v>
      </c>
      <c r="C66">
        <v>3.2000000000000001E-2</v>
      </c>
      <c r="D66">
        <v>0.17499999999999999</v>
      </c>
      <c r="E66">
        <v>0</v>
      </c>
      <c r="F66">
        <v>1</v>
      </c>
      <c r="G66" t="s">
        <v>69</v>
      </c>
      <c r="H66" s="1">
        <v>27128</v>
      </c>
      <c r="I66">
        <v>3.4000000000000002E-2</v>
      </c>
      <c r="J66">
        <v>0.18099999999999999</v>
      </c>
      <c r="K66">
        <v>0</v>
      </c>
      <c r="L66">
        <v>1</v>
      </c>
      <c r="M66" t="s">
        <v>69</v>
      </c>
      <c r="N66" s="1">
        <v>16097</v>
      </c>
      <c r="O66">
        <v>2.8000000000000001E-2</v>
      </c>
      <c r="P66">
        <v>0.16400000000000001</v>
      </c>
      <c r="Q66">
        <v>0</v>
      </c>
      <c r="R66">
        <v>1</v>
      </c>
    </row>
    <row r="67" spans="1:18" x14ac:dyDescent="0.25">
      <c r="A67" t="s">
        <v>70</v>
      </c>
      <c r="B67" s="1">
        <v>43225</v>
      </c>
      <c r="C67">
        <v>0.20699999999999999</v>
      </c>
      <c r="D67">
        <v>0.40500000000000003</v>
      </c>
      <c r="E67">
        <v>0</v>
      </c>
      <c r="F67">
        <v>1</v>
      </c>
      <c r="G67" t="s">
        <v>70</v>
      </c>
      <c r="H67" s="1">
        <v>27128</v>
      </c>
      <c r="I67">
        <v>0.19800000000000001</v>
      </c>
      <c r="J67">
        <v>0.39800000000000002</v>
      </c>
      <c r="K67">
        <v>0</v>
      </c>
      <c r="L67">
        <v>1</v>
      </c>
      <c r="M67" t="s">
        <v>70</v>
      </c>
      <c r="N67" s="1">
        <v>16097</v>
      </c>
      <c r="O67">
        <v>0.223</v>
      </c>
      <c r="P67">
        <v>0.41599999999999998</v>
      </c>
      <c r="Q67">
        <v>0</v>
      </c>
      <c r="R67">
        <v>1</v>
      </c>
    </row>
    <row r="68" spans="1:18" x14ac:dyDescent="0.25">
      <c r="A68" t="s">
        <v>71</v>
      </c>
      <c r="B68" s="1">
        <v>43225</v>
      </c>
      <c r="C68">
        <v>0.32500000000000001</v>
      </c>
      <c r="D68">
        <v>0.46800000000000003</v>
      </c>
      <c r="E68">
        <v>0</v>
      </c>
      <c r="F68">
        <v>1</v>
      </c>
      <c r="G68" t="s">
        <v>71</v>
      </c>
      <c r="H68" s="1">
        <v>27128</v>
      </c>
      <c r="I68">
        <v>0.34200000000000003</v>
      </c>
      <c r="J68">
        <v>0.47399999999999998</v>
      </c>
      <c r="K68">
        <v>0</v>
      </c>
      <c r="L68">
        <v>1</v>
      </c>
      <c r="M68" t="s">
        <v>71</v>
      </c>
      <c r="N68" s="1">
        <v>16097</v>
      </c>
      <c r="O68">
        <v>0.29599999999999999</v>
      </c>
      <c r="P68">
        <v>0.45700000000000002</v>
      </c>
      <c r="Q68">
        <v>0</v>
      </c>
      <c r="R68">
        <v>1</v>
      </c>
    </row>
    <row r="69" spans="1:18" x14ac:dyDescent="0.25">
      <c r="A69" t="s">
        <v>72</v>
      </c>
      <c r="B69" s="1">
        <v>43225</v>
      </c>
      <c r="C69">
        <v>0.41399999999999998</v>
      </c>
      <c r="D69">
        <v>0.49199999999999999</v>
      </c>
      <c r="E69">
        <v>0</v>
      </c>
      <c r="F69">
        <v>1</v>
      </c>
      <c r="G69" t="s">
        <v>72</v>
      </c>
      <c r="H69" s="1">
        <v>27128</v>
      </c>
      <c r="I69">
        <v>0.40799999999999997</v>
      </c>
      <c r="J69">
        <v>0.49199999999999999</v>
      </c>
      <c r="K69">
        <v>0</v>
      </c>
      <c r="L69">
        <v>1</v>
      </c>
      <c r="M69" t="s">
        <v>72</v>
      </c>
      <c r="N69" s="1">
        <v>16097</v>
      </c>
      <c r="O69">
        <v>0.42299999999999999</v>
      </c>
      <c r="P69">
        <v>0.49399999999999999</v>
      </c>
      <c r="Q69">
        <v>0</v>
      </c>
      <c r="R69">
        <v>1</v>
      </c>
    </row>
    <row r="70" spans="1:18" x14ac:dyDescent="0.25">
      <c r="A70" t="s">
        <v>73</v>
      </c>
      <c r="B70" s="1">
        <v>43225</v>
      </c>
      <c r="C70">
        <v>5.3999999999999999E-2</v>
      </c>
      <c r="D70">
        <v>0.22600000000000001</v>
      </c>
      <c r="E70">
        <v>0</v>
      </c>
      <c r="F70">
        <v>1</v>
      </c>
      <c r="G70" t="s">
        <v>73</v>
      </c>
      <c r="H70" s="1">
        <v>27128</v>
      </c>
      <c r="I70">
        <v>5.1999999999999998E-2</v>
      </c>
      <c r="J70">
        <v>0.221</v>
      </c>
      <c r="K70">
        <v>0</v>
      </c>
      <c r="L70">
        <v>1</v>
      </c>
      <c r="M70" t="s">
        <v>73</v>
      </c>
      <c r="N70" s="1">
        <v>16097</v>
      </c>
      <c r="O70">
        <v>5.8000000000000003E-2</v>
      </c>
      <c r="P70">
        <v>0.23400000000000001</v>
      </c>
      <c r="Q70">
        <v>0</v>
      </c>
      <c r="R70">
        <v>1</v>
      </c>
    </row>
    <row r="71" spans="1:18" x14ac:dyDescent="0.25">
      <c r="A71" t="s">
        <v>165</v>
      </c>
      <c r="B71" s="1">
        <v>43225</v>
      </c>
      <c r="C71">
        <v>5.8000000000000003E-2</v>
      </c>
      <c r="D71">
        <v>0.23300000000000001</v>
      </c>
      <c r="E71">
        <v>0</v>
      </c>
      <c r="F71">
        <v>1</v>
      </c>
      <c r="G71" t="s">
        <v>165</v>
      </c>
      <c r="H71" s="1">
        <v>27128</v>
      </c>
      <c r="I71">
        <v>5.8000000000000003E-2</v>
      </c>
      <c r="J71">
        <v>0.23499999999999999</v>
      </c>
      <c r="K71">
        <v>0</v>
      </c>
      <c r="L71">
        <v>1</v>
      </c>
      <c r="M71" t="s">
        <v>165</v>
      </c>
      <c r="N71" s="1">
        <v>16097</v>
      </c>
      <c r="O71">
        <v>5.7000000000000002E-2</v>
      </c>
      <c r="P71">
        <v>0.23100000000000001</v>
      </c>
      <c r="Q71">
        <v>0</v>
      </c>
      <c r="R71">
        <v>1</v>
      </c>
    </row>
    <row r="72" spans="1:18" x14ac:dyDescent="0.25">
      <c r="A72" t="s">
        <v>166</v>
      </c>
      <c r="B72" s="1">
        <v>43225</v>
      </c>
      <c r="C72">
        <v>0.26100000000000001</v>
      </c>
      <c r="D72">
        <v>0.439</v>
      </c>
      <c r="E72">
        <v>0</v>
      </c>
      <c r="F72">
        <v>1</v>
      </c>
      <c r="G72" t="s">
        <v>166</v>
      </c>
      <c r="H72" s="1">
        <v>27128</v>
      </c>
      <c r="I72">
        <v>0.254</v>
      </c>
      <c r="J72">
        <v>0.436</v>
      </c>
      <c r="K72">
        <v>0</v>
      </c>
      <c r="L72">
        <v>1</v>
      </c>
      <c r="M72" t="s">
        <v>166</v>
      </c>
      <c r="N72" s="1">
        <v>16097</v>
      </c>
      <c r="O72">
        <v>0.27300000000000002</v>
      </c>
      <c r="P72">
        <v>0.44500000000000001</v>
      </c>
      <c r="Q72">
        <v>0</v>
      </c>
      <c r="R72">
        <v>1</v>
      </c>
    </row>
    <row r="73" spans="1:18" x14ac:dyDescent="0.25">
      <c r="A73" t="s">
        <v>167</v>
      </c>
      <c r="B73" s="1">
        <v>43225</v>
      </c>
      <c r="C73">
        <v>0.46500000000000002</v>
      </c>
      <c r="D73">
        <v>0.499</v>
      </c>
      <c r="E73">
        <v>0</v>
      </c>
      <c r="F73">
        <v>1</v>
      </c>
      <c r="G73" t="s">
        <v>167</v>
      </c>
      <c r="H73" s="1">
        <v>27128</v>
      </c>
      <c r="I73">
        <v>0.48599999999999999</v>
      </c>
      <c r="J73">
        <v>0.5</v>
      </c>
      <c r="K73">
        <v>0</v>
      </c>
      <c r="L73">
        <v>1</v>
      </c>
      <c r="M73" t="s">
        <v>167</v>
      </c>
      <c r="N73" s="1">
        <v>16097</v>
      </c>
      <c r="O73">
        <v>0.43099999999999999</v>
      </c>
      <c r="P73">
        <v>0.495</v>
      </c>
      <c r="Q73">
        <v>0</v>
      </c>
      <c r="R73">
        <v>1</v>
      </c>
    </row>
    <row r="74" spans="1:18" x14ac:dyDescent="0.25">
      <c r="A74" t="s">
        <v>168</v>
      </c>
      <c r="B74" s="1">
        <v>43225</v>
      </c>
      <c r="C74">
        <v>0.06</v>
      </c>
      <c r="D74">
        <v>0.23799999999999999</v>
      </c>
      <c r="E74">
        <v>0</v>
      </c>
      <c r="F74">
        <v>1</v>
      </c>
      <c r="G74" t="s">
        <v>168</v>
      </c>
      <c r="H74" s="1">
        <v>27128</v>
      </c>
      <c r="I74">
        <v>5.8000000000000003E-2</v>
      </c>
      <c r="J74">
        <v>0.23400000000000001</v>
      </c>
      <c r="K74">
        <v>0</v>
      </c>
      <c r="L74">
        <v>1</v>
      </c>
      <c r="M74" t="s">
        <v>168</v>
      </c>
      <c r="N74" s="1">
        <v>16097</v>
      </c>
      <c r="O74">
        <v>6.4000000000000001E-2</v>
      </c>
      <c r="P74">
        <v>0.24399999999999999</v>
      </c>
      <c r="Q74">
        <v>0</v>
      </c>
      <c r="R74">
        <v>1</v>
      </c>
    </row>
    <row r="75" spans="1:18" x14ac:dyDescent="0.25">
      <c r="A75" t="s">
        <v>169</v>
      </c>
      <c r="B75" s="1">
        <v>43225</v>
      </c>
      <c r="C75">
        <v>0.11799999999999999</v>
      </c>
      <c r="D75">
        <v>0.32200000000000001</v>
      </c>
      <c r="E75">
        <v>0</v>
      </c>
      <c r="F75">
        <v>1</v>
      </c>
      <c r="G75" t="s">
        <v>169</v>
      </c>
      <c r="H75" s="1">
        <v>27128</v>
      </c>
      <c r="I75">
        <v>0.111</v>
      </c>
      <c r="J75">
        <v>0.314</v>
      </c>
      <c r="K75">
        <v>0</v>
      </c>
      <c r="L75">
        <v>1</v>
      </c>
      <c r="M75" t="s">
        <v>169</v>
      </c>
      <c r="N75" s="1">
        <v>16097</v>
      </c>
      <c r="O75">
        <v>0.129</v>
      </c>
      <c r="P75">
        <v>0.33600000000000002</v>
      </c>
      <c r="Q75">
        <v>0</v>
      </c>
      <c r="R75">
        <v>1</v>
      </c>
    </row>
    <row r="76" spans="1:18" x14ac:dyDescent="0.25">
      <c r="A76" t="s">
        <v>170</v>
      </c>
      <c r="B76" s="1">
        <v>43225</v>
      </c>
      <c r="C76">
        <v>3.7999999999999999E-2</v>
      </c>
      <c r="D76">
        <v>0.19</v>
      </c>
      <c r="E76">
        <v>0</v>
      </c>
      <c r="F76">
        <v>1</v>
      </c>
      <c r="G76" t="s">
        <v>170</v>
      </c>
      <c r="H76" s="1">
        <v>27128</v>
      </c>
      <c r="I76">
        <v>3.2000000000000001E-2</v>
      </c>
      <c r="J76">
        <v>0.17599999999999999</v>
      </c>
      <c r="K76">
        <v>0</v>
      </c>
      <c r="L76">
        <v>1</v>
      </c>
      <c r="M76" t="s">
        <v>170</v>
      </c>
      <c r="N76" s="1">
        <v>16097</v>
      </c>
      <c r="O76">
        <v>4.7E-2</v>
      </c>
      <c r="P76">
        <v>0.21099999999999999</v>
      </c>
      <c r="Q76">
        <v>0</v>
      </c>
      <c r="R76">
        <v>1</v>
      </c>
    </row>
    <row r="77" spans="1:18" x14ac:dyDescent="0.25">
      <c r="A77" t="s">
        <v>79</v>
      </c>
      <c r="B77" s="1">
        <v>43225</v>
      </c>
      <c r="C77">
        <v>0.126</v>
      </c>
      <c r="D77">
        <v>0.33200000000000002</v>
      </c>
      <c r="E77">
        <v>0</v>
      </c>
      <c r="F77">
        <v>1</v>
      </c>
      <c r="G77" t="s">
        <v>79</v>
      </c>
      <c r="H77" s="1">
        <v>27128</v>
      </c>
      <c r="I77">
        <v>0.125</v>
      </c>
      <c r="J77">
        <v>0.33100000000000002</v>
      </c>
      <c r="K77">
        <v>0</v>
      </c>
      <c r="L77">
        <v>1</v>
      </c>
      <c r="M77" t="s">
        <v>79</v>
      </c>
      <c r="N77" s="1">
        <v>16097</v>
      </c>
      <c r="O77">
        <v>0.128</v>
      </c>
      <c r="P77">
        <v>0.33400000000000002</v>
      </c>
      <c r="Q77">
        <v>0</v>
      </c>
      <c r="R77">
        <v>1</v>
      </c>
    </row>
    <row r="78" spans="1:18" x14ac:dyDescent="0.25">
      <c r="A78" t="s">
        <v>80</v>
      </c>
      <c r="B78" s="1">
        <v>43225</v>
      </c>
      <c r="C78">
        <v>6.0000000000000001E-3</v>
      </c>
      <c r="D78">
        <v>7.8E-2</v>
      </c>
      <c r="E78">
        <v>0</v>
      </c>
      <c r="F78">
        <v>1</v>
      </c>
      <c r="G78" t="s">
        <v>80</v>
      </c>
      <c r="H78" s="1">
        <v>27128</v>
      </c>
      <c r="I78">
        <v>5.0000000000000001E-3</v>
      </c>
      <c r="J78">
        <v>7.2999999999999995E-2</v>
      </c>
      <c r="K78">
        <v>0</v>
      </c>
      <c r="L78">
        <v>1</v>
      </c>
      <c r="M78" t="s">
        <v>80</v>
      </c>
      <c r="N78" s="1">
        <v>16097</v>
      </c>
      <c r="O78">
        <v>7.0000000000000001E-3</v>
      </c>
      <c r="P78">
        <v>8.5999999999999993E-2</v>
      </c>
      <c r="Q78">
        <v>0</v>
      </c>
      <c r="R78">
        <v>1</v>
      </c>
    </row>
    <row r="79" spans="1:18" x14ac:dyDescent="0.25">
      <c r="A79" t="s">
        <v>81</v>
      </c>
      <c r="B79" s="1">
        <v>43225</v>
      </c>
      <c r="C79">
        <v>2E-3</v>
      </c>
      <c r="D79">
        <v>4.2000000000000003E-2</v>
      </c>
      <c r="E79">
        <v>0</v>
      </c>
      <c r="F79">
        <v>1</v>
      </c>
      <c r="G79" t="s">
        <v>81</v>
      </c>
      <c r="H79" s="1">
        <v>27128</v>
      </c>
      <c r="I79">
        <v>2E-3</v>
      </c>
      <c r="J79">
        <v>4.2999999999999997E-2</v>
      </c>
      <c r="K79">
        <v>0</v>
      </c>
      <c r="L79">
        <v>1</v>
      </c>
      <c r="M79" t="s">
        <v>81</v>
      </c>
      <c r="N79" s="1">
        <v>16097</v>
      </c>
      <c r="O79">
        <v>2E-3</v>
      </c>
      <c r="P79">
        <v>0.04</v>
      </c>
      <c r="Q79">
        <v>0</v>
      </c>
      <c r="R79">
        <v>1</v>
      </c>
    </row>
    <row r="80" spans="1:18" x14ac:dyDescent="0.25">
      <c r="A80" t="s">
        <v>82</v>
      </c>
      <c r="B80" s="1">
        <v>43225</v>
      </c>
      <c r="C80">
        <v>4.2999999999999997E-2</v>
      </c>
      <c r="D80">
        <v>0.20200000000000001</v>
      </c>
      <c r="E80">
        <v>0</v>
      </c>
      <c r="F80">
        <v>1</v>
      </c>
      <c r="G80" t="s">
        <v>82</v>
      </c>
      <c r="H80" s="1">
        <v>27128</v>
      </c>
      <c r="I80">
        <v>4.2999999999999997E-2</v>
      </c>
      <c r="J80">
        <v>0.20200000000000001</v>
      </c>
      <c r="K80">
        <v>0</v>
      </c>
      <c r="L80">
        <v>1</v>
      </c>
      <c r="M80" t="s">
        <v>82</v>
      </c>
      <c r="N80" s="1">
        <v>16097</v>
      </c>
      <c r="O80">
        <v>4.2999999999999997E-2</v>
      </c>
      <c r="P80">
        <v>0.20300000000000001</v>
      </c>
      <c r="Q80">
        <v>0</v>
      </c>
      <c r="R80">
        <v>1</v>
      </c>
    </row>
    <row r="81" spans="1:18" x14ac:dyDescent="0.25">
      <c r="A81" t="s">
        <v>83</v>
      </c>
      <c r="B81" s="1">
        <v>43225</v>
      </c>
      <c r="C81">
        <v>0.40300000000000002</v>
      </c>
      <c r="D81">
        <v>0.49</v>
      </c>
      <c r="E81">
        <v>0</v>
      </c>
      <c r="F81">
        <v>1</v>
      </c>
      <c r="G81" t="s">
        <v>83</v>
      </c>
      <c r="H81" s="1">
        <v>27128</v>
      </c>
      <c r="I81">
        <v>0.42</v>
      </c>
      <c r="J81">
        <v>0.49399999999999999</v>
      </c>
      <c r="K81">
        <v>0</v>
      </c>
      <c r="L81">
        <v>1</v>
      </c>
      <c r="M81" t="s">
        <v>83</v>
      </c>
      <c r="N81" s="1">
        <v>16097</v>
      </c>
      <c r="O81">
        <v>0.374</v>
      </c>
      <c r="P81">
        <v>0.48399999999999999</v>
      </c>
      <c r="Q81">
        <v>0</v>
      </c>
      <c r="R81">
        <v>1</v>
      </c>
    </row>
    <row r="82" spans="1:18" x14ac:dyDescent="0.25">
      <c r="A82" t="s">
        <v>84</v>
      </c>
      <c r="B82" s="1">
        <v>43225</v>
      </c>
      <c r="C82">
        <v>8.0000000000000002E-3</v>
      </c>
      <c r="D82">
        <v>8.8999999999999996E-2</v>
      </c>
      <c r="E82">
        <v>0</v>
      </c>
      <c r="F82">
        <v>1</v>
      </c>
      <c r="G82" t="s">
        <v>84</v>
      </c>
      <c r="H82" s="1">
        <v>27128</v>
      </c>
      <c r="I82">
        <v>7.0000000000000001E-3</v>
      </c>
      <c r="J82">
        <v>8.2000000000000003E-2</v>
      </c>
      <c r="K82">
        <v>0</v>
      </c>
      <c r="L82">
        <v>1</v>
      </c>
      <c r="M82" t="s">
        <v>84</v>
      </c>
      <c r="N82" s="1">
        <v>16097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43225</v>
      </c>
      <c r="C83">
        <v>0.41199999999999998</v>
      </c>
      <c r="D83">
        <v>0.49199999999999999</v>
      </c>
      <c r="E83">
        <v>0</v>
      </c>
      <c r="F83">
        <v>1</v>
      </c>
      <c r="G83" t="s">
        <v>85</v>
      </c>
      <c r="H83" s="1">
        <v>27128</v>
      </c>
      <c r="I83">
        <v>0.39800000000000002</v>
      </c>
      <c r="J83">
        <v>0.49</v>
      </c>
      <c r="K83">
        <v>0</v>
      </c>
      <c r="L83">
        <v>1</v>
      </c>
      <c r="M83" t="s">
        <v>85</v>
      </c>
      <c r="N83" s="1">
        <v>16097</v>
      </c>
      <c r="O83">
        <v>0.436</v>
      </c>
      <c r="P83">
        <v>0.496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7</v>
      </c>
      <c r="O84" t="s">
        <v>8</v>
      </c>
      <c r="P84" t="s">
        <v>162</v>
      </c>
      <c r="Q84" t="s">
        <v>9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B3AD-0BB9-49C9-B4CF-B1EDD454AED5}">
  <sheetPr codeName="Sheet8"/>
  <dimension ref="A1:R85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162</v>
      </c>
      <c r="E2" t="s">
        <v>8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162</v>
      </c>
      <c r="Q2" t="s">
        <v>8</v>
      </c>
      <c r="R2" t="s">
        <v>9</v>
      </c>
    </row>
    <row r="3" spans="1:18" x14ac:dyDescent="0.25">
      <c r="A3" t="s">
        <v>10</v>
      </c>
      <c r="B3" s="1">
        <v>23328</v>
      </c>
      <c r="C3">
        <v>1.18</v>
      </c>
      <c r="D3">
        <v>0.42699999999999999</v>
      </c>
      <c r="E3">
        <v>1</v>
      </c>
      <c r="F3">
        <v>5</v>
      </c>
      <c r="G3" t="s">
        <v>10</v>
      </c>
      <c r="H3" s="1">
        <v>14677</v>
      </c>
      <c r="I3">
        <v>1.2609999999999999</v>
      </c>
      <c r="J3">
        <v>0.497</v>
      </c>
      <c r="K3">
        <v>1</v>
      </c>
      <c r="L3">
        <v>5</v>
      </c>
      <c r="M3" t="s">
        <v>10</v>
      </c>
      <c r="N3" s="1">
        <v>8651</v>
      </c>
      <c r="O3">
        <v>1.0409999999999999</v>
      </c>
      <c r="P3">
        <v>0.20399999999999999</v>
      </c>
      <c r="Q3">
        <v>1</v>
      </c>
      <c r="R3">
        <v>4</v>
      </c>
    </row>
    <row r="4" spans="1:18" x14ac:dyDescent="0.25">
      <c r="A4" t="s">
        <v>11</v>
      </c>
      <c r="B4" s="1">
        <v>23328</v>
      </c>
      <c r="C4">
        <v>0.371</v>
      </c>
      <c r="D4">
        <v>0.48299999999999998</v>
      </c>
      <c r="E4">
        <v>0</v>
      </c>
      <c r="F4">
        <v>1</v>
      </c>
      <c r="G4" t="s">
        <v>11</v>
      </c>
      <c r="H4" s="1">
        <v>14677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8651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23328</v>
      </c>
      <c r="C5">
        <v>0.33600000000000002</v>
      </c>
      <c r="D5">
        <v>0.47199999999999998</v>
      </c>
      <c r="E5">
        <v>0</v>
      </c>
      <c r="F5">
        <v>1</v>
      </c>
      <c r="G5" t="s">
        <v>12</v>
      </c>
      <c r="H5" s="1">
        <v>14677</v>
      </c>
      <c r="I5">
        <v>2E-3</v>
      </c>
      <c r="J5">
        <v>0.04</v>
      </c>
      <c r="K5">
        <v>0</v>
      </c>
      <c r="L5">
        <v>1</v>
      </c>
      <c r="M5" t="s">
        <v>12</v>
      </c>
      <c r="N5" s="1">
        <v>8651</v>
      </c>
      <c r="O5">
        <v>0.90500000000000003</v>
      </c>
      <c r="P5">
        <v>0.29399999999999998</v>
      </c>
      <c r="Q5">
        <v>0</v>
      </c>
      <c r="R5">
        <v>1</v>
      </c>
    </row>
    <row r="6" spans="1:18" x14ac:dyDescent="0.25">
      <c r="A6" t="s">
        <v>36</v>
      </c>
      <c r="B6" s="1">
        <v>8651</v>
      </c>
      <c r="C6">
        <v>305.12599999999998</v>
      </c>
      <c r="D6">
        <v>566.09500000000003</v>
      </c>
      <c r="E6">
        <v>0</v>
      </c>
      <c r="F6" s="1">
        <v>4021</v>
      </c>
      <c r="H6" s="1"/>
      <c r="M6" t="s">
        <v>36</v>
      </c>
      <c r="N6" s="1">
        <v>8651</v>
      </c>
      <c r="O6">
        <v>305.12599999999998</v>
      </c>
      <c r="P6">
        <v>566.09500000000003</v>
      </c>
      <c r="Q6">
        <v>0</v>
      </c>
      <c r="R6" s="1">
        <v>4021</v>
      </c>
    </row>
    <row r="7" spans="1:18" x14ac:dyDescent="0.25">
      <c r="A7" t="s">
        <v>13</v>
      </c>
      <c r="B7" s="1">
        <v>23328</v>
      </c>
      <c r="C7">
        <v>1.4910000000000001</v>
      </c>
      <c r="D7">
        <v>0.55300000000000005</v>
      </c>
      <c r="E7">
        <v>0</v>
      </c>
      <c r="F7">
        <v>6</v>
      </c>
      <c r="G7" t="s">
        <v>13</v>
      </c>
      <c r="H7" s="1">
        <v>14677</v>
      </c>
      <c r="I7">
        <v>1.5</v>
      </c>
      <c r="J7">
        <v>0.55300000000000005</v>
      </c>
      <c r="K7">
        <v>0</v>
      </c>
      <c r="L7">
        <v>5</v>
      </c>
      <c r="M7" t="s">
        <v>13</v>
      </c>
      <c r="N7" s="1">
        <v>8651</v>
      </c>
      <c r="O7">
        <v>1.4750000000000001</v>
      </c>
      <c r="P7">
        <v>0.55300000000000005</v>
      </c>
      <c r="Q7">
        <v>1</v>
      </c>
      <c r="R7">
        <v>6</v>
      </c>
    </row>
    <row r="8" spans="1:18" x14ac:dyDescent="0.25">
      <c r="A8" t="s">
        <v>14</v>
      </c>
      <c r="B8" s="1">
        <v>23328</v>
      </c>
      <c r="C8">
        <v>0.16700000000000001</v>
      </c>
      <c r="D8">
        <v>0.379</v>
      </c>
      <c r="E8">
        <v>0</v>
      </c>
      <c r="F8">
        <v>5</v>
      </c>
      <c r="G8" t="s">
        <v>14</v>
      </c>
      <c r="H8" s="1">
        <v>14677</v>
      </c>
      <c r="I8">
        <v>0.17499999999999999</v>
      </c>
      <c r="J8">
        <v>0.38600000000000001</v>
      </c>
      <c r="K8">
        <v>0</v>
      </c>
      <c r="L8">
        <v>5</v>
      </c>
      <c r="M8" t="s">
        <v>14</v>
      </c>
      <c r="N8" s="1">
        <v>8651</v>
      </c>
      <c r="O8">
        <v>0.155</v>
      </c>
      <c r="P8">
        <v>0.36499999999999999</v>
      </c>
      <c r="Q8">
        <v>0</v>
      </c>
      <c r="R8">
        <v>2</v>
      </c>
    </row>
    <row r="9" spans="1:18" x14ac:dyDescent="0.25">
      <c r="A9" t="s">
        <v>15</v>
      </c>
      <c r="B9" s="1">
        <v>23328</v>
      </c>
      <c r="C9">
        <v>1.792</v>
      </c>
      <c r="D9">
        <v>0.91900000000000004</v>
      </c>
      <c r="E9">
        <v>0</v>
      </c>
      <c r="F9">
        <v>8</v>
      </c>
      <c r="G9" t="s">
        <v>15</v>
      </c>
      <c r="H9" s="1">
        <v>14677</v>
      </c>
      <c r="I9">
        <v>1.8180000000000001</v>
      </c>
      <c r="J9">
        <v>0.91700000000000004</v>
      </c>
      <c r="K9">
        <v>0</v>
      </c>
      <c r="L9">
        <v>5</v>
      </c>
      <c r="M9" t="s">
        <v>15</v>
      </c>
      <c r="N9" s="1">
        <v>8651</v>
      </c>
      <c r="O9">
        <v>1.7470000000000001</v>
      </c>
      <c r="P9">
        <v>0.92100000000000004</v>
      </c>
      <c r="Q9">
        <v>0</v>
      </c>
      <c r="R9">
        <v>8</v>
      </c>
    </row>
    <row r="10" spans="1:18" x14ac:dyDescent="0.25">
      <c r="A10" t="s">
        <v>16</v>
      </c>
      <c r="B10" s="1">
        <v>23328</v>
      </c>
      <c r="C10">
        <v>48.415999999999997</v>
      </c>
      <c r="D10">
        <v>62.401000000000003</v>
      </c>
      <c r="E10">
        <v>0</v>
      </c>
      <c r="F10">
        <v>946</v>
      </c>
      <c r="G10" t="s">
        <v>16</v>
      </c>
      <c r="H10" s="1">
        <v>14677</v>
      </c>
      <c r="I10">
        <v>51.749000000000002</v>
      </c>
      <c r="J10">
        <v>59.213999999999999</v>
      </c>
      <c r="K10">
        <v>0</v>
      </c>
      <c r="L10">
        <v>785</v>
      </c>
      <c r="M10" t="s">
        <v>16</v>
      </c>
      <c r="N10" s="1">
        <v>8651</v>
      </c>
      <c r="O10">
        <v>42.762</v>
      </c>
      <c r="P10">
        <v>67.088999999999999</v>
      </c>
      <c r="Q10">
        <v>0</v>
      </c>
      <c r="R10">
        <v>946</v>
      </c>
    </row>
    <row r="11" spans="1:18" x14ac:dyDescent="0.25">
      <c r="A11" t="s">
        <v>163</v>
      </c>
      <c r="B11" s="1">
        <v>23328</v>
      </c>
      <c r="C11">
        <v>874.13</v>
      </c>
      <c r="D11">
        <v>388.96199999999999</v>
      </c>
      <c r="E11">
        <v>120</v>
      </c>
      <c r="F11" s="1">
        <v>10740</v>
      </c>
      <c r="G11" t="s">
        <v>163</v>
      </c>
      <c r="H11" s="1">
        <v>14677</v>
      </c>
      <c r="I11">
        <v>881.12400000000002</v>
      </c>
      <c r="J11">
        <v>383.31900000000002</v>
      </c>
      <c r="K11">
        <v>160</v>
      </c>
      <c r="L11" s="1">
        <v>6273</v>
      </c>
      <c r="M11" t="s">
        <v>163</v>
      </c>
      <c r="N11" s="1">
        <v>8651</v>
      </c>
      <c r="O11">
        <v>862.26300000000003</v>
      </c>
      <c r="P11">
        <v>398.09399999999999</v>
      </c>
      <c r="Q11">
        <v>120</v>
      </c>
      <c r="R11" s="1">
        <v>10740</v>
      </c>
    </row>
    <row r="12" spans="1:18" x14ac:dyDescent="0.25">
      <c r="A12" t="s">
        <v>17</v>
      </c>
      <c r="B12" s="1">
        <v>23328</v>
      </c>
      <c r="C12">
        <v>22.081</v>
      </c>
      <c r="D12">
        <v>88.537000000000006</v>
      </c>
      <c r="E12">
        <v>0</v>
      </c>
      <c r="F12" s="1">
        <v>1042</v>
      </c>
      <c r="G12" t="s">
        <v>17</v>
      </c>
      <c r="H12" s="1">
        <v>14677</v>
      </c>
      <c r="I12">
        <v>20.202000000000002</v>
      </c>
      <c r="J12">
        <v>84.507999999999996</v>
      </c>
      <c r="K12">
        <v>0</v>
      </c>
      <c r="L12" s="1">
        <v>942</v>
      </c>
      <c r="M12" t="s">
        <v>17</v>
      </c>
      <c r="N12" s="1">
        <v>8651</v>
      </c>
      <c r="O12">
        <v>25.27</v>
      </c>
      <c r="P12">
        <v>94.902000000000001</v>
      </c>
      <c r="Q12">
        <v>0</v>
      </c>
      <c r="R12" s="1">
        <v>1042</v>
      </c>
    </row>
    <row r="13" spans="1:18" x14ac:dyDescent="0.25">
      <c r="A13" t="s">
        <v>19</v>
      </c>
      <c r="B13" s="1">
        <v>23328</v>
      </c>
      <c r="C13" s="2">
        <v>669215.30000000005</v>
      </c>
      <c r="D13" s="2">
        <v>623876.69999999995</v>
      </c>
      <c r="E13" s="2">
        <v>85418.51</v>
      </c>
      <c r="F13" s="2">
        <v>28197546</v>
      </c>
      <c r="G13" t="s">
        <v>19</v>
      </c>
      <c r="H13" s="1">
        <v>14677</v>
      </c>
      <c r="I13" s="2">
        <v>669144.1</v>
      </c>
      <c r="J13" s="2">
        <v>627270.6</v>
      </c>
      <c r="K13" s="2">
        <v>99684.44</v>
      </c>
      <c r="L13" s="2">
        <v>28197546</v>
      </c>
      <c r="M13" t="s">
        <v>19</v>
      </c>
      <c r="N13" s="1">
        <v>8651</v>
      </c>
      <c r="O13" s="2">
        <v>669336.19999999995</v>
      </c>
      <c r="P13" s="2">
        <v>618112.19999999995</v>
      </c>
      <c r="Q13" s="2">
        <v>85418.51</v>
      </c>
      <c r="R13" s="2">
        <v>17256276</v>
      </c>
    </row>
    <row r="14" spans="1:18" x14ac:dyDescent="0.25">
      <c r="A14" t="s">
        <v>20</v>
      </c>
      <c r="B14" s="1">
        <v>23328</v>
      </c>
      <c r="C14" s="2">
        <v>659024.19999999995</v>
      </c>
      <c r="D14" s="2">
        <v>596047.19999999995</v>
      </c>
      <c r="E14" s="2">
        <v>85418.51</v>
      </c>
      <c r="F14" s="2">
        <v>28197546</v>
      </c>
      <c r="G14" t="s">
        <v>20</v>
      </c>
      <c r="H14" s="1">
        <v>14677</v>
      </c>
      <c r="I14" s="2">
        <v>657169.30000000005</v>
      </c>
      <c r="J14" s="2">
        <v>605216.69999999995</v>
      </c>
      <c r="K14" s="2">
        <v>118448.6</v>
      </c>
      <c r="L14" s="2">
        <v>28197546</v>
      </c>
      <c r="M14" t="s">
        <v>20</v>
      </c>
      <c r="N14" s="1">
        <v>8651</v>
      </c>
      <c r="O14" s="2">
        <v>662171</v>
      </c>
      <c r="P14" s="2">
        <v>580180.1</v>
      </c>
      <c r="Q14" s="2">
        <v>85418.51</v>
      </c>
      <c r="R14" s="2">
        <v>11791788</v>
      </c>
    </row>
    <row r="15" spans="1:18" x14ac:dyDescent="0.25">
      <c r="A15" t="s">
        <v>190</v>
      </c>
      <c r="B15" s="1">
        <v>23328</v>
      </c>
      <c r="C15" s="2">
        <v>8509.3529999999992</v>
      </c>
      <c r="D15" s="2">
        <v>48083.46</v>
      </c>
      <c r="E15" s="1">
        <v>-300000</v>
      </c>
      <c r="F15" s="1">
        <v>4750000</v>
      </c>
      <c r="G15" t="s">
        <v>190</v>
      </c>
      <c r="H15" s="1">
        <v>14677</v>
      </c>
      <c r="I15" s="2">
        <v>9828.5849999999991</v>
      </c>
      <c r="J15" s="2">
        <v>32780.83</v>
      </c>
      <c r="K15" s="2">
        <v>-152000</v>
      </c>
      <c r="L15" s="2">
        <v>750000</v>
      </c>
      <c r="M15" t="s">
        <v>190</v>
      </c>
      <c r="N15" s="1">
        <v>8651</v>
      </c>
      <c r="O15" s="2">
        <v>6271.1880000000001</v>
      </c>
      <c r="P15" s="2">
        <v>66361.25</v>
      </c>
      <c r="Q15" s="1">
        <v>-300000</v>
      </c>
      <c r="R15" s="1">
        <v>4750000</v>
      </c>
    </row>
    <row r="16" spans="1:18" x14ac:dyDescent="0.25">
      <c r="A16" t="s">
        <v>21</v>
      </c>
      <c r="B16" s="1">
        <v>23328</v>
      </c>
      <c r="C16">
        <v>1E-3</v>
      </c>
      <c r="D16">
        <v>3.5999999999999997E-2</v>
      </c>
      <c r="E16">
        <v>0</v>
      </c>
      <c r="F16">
        <v>1</v>
      </c>
      <c r="G16" t="s">
        <v>21</v>
      </c>
      <c r="H16" s="1">
        <v>14677</v>
      </c>
      <c r="I16" s="2">
        <v>1E-3</v>
      </c>
      <c r="J16" s="2">
        <v>3.4000000000000002E-2</v>
      </c>
      <c r="K16" s="1">
        <v>0</v>
      </c>
      <c r="L16" s="1">
        <v>1</v>
      </c>
      <c r="M16" t="s">
        <v>21</v>
      </c>
      <c r="N16" s="1">
        <v>8651</v>
      </c>
      <c r="O16">
        <v>2E-3</v>
      </c>
      <c r="P16">
        <v>0.04</v>
      </c>
      <c r="Q16">
        <v>0</v>
      </c>
      <c r="R16">
        <v>1</v>
      </c>
    </row>
    <row r="17" spans="1:18" x14ac:dyDescent="0.25">
      <c r="A17" t="s">
        <v>22</v>
      </c>
      <c r="B17" s="1">
        <v>23328</v>
      </c>
      <c r="C17">
        <v>2.8000000000000001E-2</v>
      </c>
      <c r="D17">
        <v>0.16400000000000001</v>
      </c>
      <c r="E17">
        <v>0</v>
      </c>
      <c r="F17">
        <v>1</v>
      </c>
      <c r="G17" t="s">
        <v>22</v>
      </c>
      <c r="H17" s="1">
        <v>14677</v>
      </c>
      <c r="I17">
        <v>0.03</v>
      </c>
      <c r="J17">
        <v>0.17100000000000001</v>
      </c>
      <c r="K17">
        <v>0</v>
      </c>
      <c r="L17">
        <v>1</v>
      </c>
      <c r="M17" t="s">
        <v>22</v>
      </c>
      <c r="N17" s="1">
        <v>8651</v>
      </c>
      <c r="O17">
        <v>2.3E-2</v>
      </c>
      <c r="P17">
        <v>0.15</v>
      </c>
      <c r="Q17">
        <v>0</v>
      </c>
      <c r="R17">
        <v>1</v>
      </c>
    </row>
    <row r="18" spans="1:18" x14ac:dyDescent="0.25">
      <c r="A18" t="s">
        <v>23</v>
      </c>
      <c r="B18" s="1">
        <v>23328</v>
      </c>
      <c r="C18">
        <v>6.0000000000000001E-3</v>
      </c>
      <c r="D18">
        <v>7.5999999999999998E-2</v>
      </c>
      <c r="E18">
        <v>0</v>
      </c>
      <c r="F18">
        <v>1</v>
      </c>
      <c r="G18" t="s">
        <v>23</v>
      </c>
      <c r="H18" s="1">
        <v>14677</v>
      </c>
      <c r="I18">
        <v>7.0000000000000001E-3</v>
      </c>
      <c r="J18">
        <v>8.4000000000000005E-2</v>
      </c>
      <c r="K18">
        <v>0</v>
      </c>
      <c r="L18">
        <v>1</v>
      </c>
      <c r="M18" t="s">
        <v>23</v>
      </c>
      <c r="N18" s="1">
        <v>8651</v>
      </c>
      <c r="O18">
        <v>4.0000000000000001E-3</v>
      </c>
      <c r="P18">
        <v>6.2E-2</v>
      </c>
      <c r="Q18">
        <v>0</v>
      </c>
      <c r="R18">
        <v>1</v>
      </c>
    </row>
    <row r="19" spans="1:18" x14ac:dyDescent="0.25">
      <c r="A19" t="s">
        <v>24</v>
      </c>
      <c r="B19" s="1">
        <v>23328</v>
      </c>
      <c r="C19">
        <v>0.16800000000000001</v>
      </c>
      <c r="D19">
        <v>0.374</v>
      </c>
      <c r="E19">
        <v>0</v>
      </c>
      <c r="F19">
        <v>1</v>
      </c>
      <c r="G19" t="s">
        <v>24</v>
      </c>
      <c r="H19" s="1">
        <v>14677</v>
      </c>
      <c r="I19">
        <v>0.17499999999999999</v>
      </c>
      <c r="J19">
        <v>0.38</v>
      </c>
      <c r="K19">
        <v>0</v>
      </c>
      <c r="L19">
        <v>1</v>
      </c>
      <c r="M19" t="s">
        <v>24</v>
      </c>
      <c r="N19" s="1">
        <v>8651</v>
      </c>
      <c r="O19">
        <v>0.157</v>
      </c>
      <c r="P19">
        <v>0.36299999999999999</v>
      </c>
      <c r="Q19">
        <v>0</v>
      </c>
      <c r="R19">
        <v>1</v>
      </c>
    </row>
    <row r="20" spans="1:18" x14ac:dyDescent="0.25">
      <c r="A20" t="s">
        <v>25</v>
      </c>
      <c r="B20" s="1">
        <v>23328</v>
      </c>
      <c r="C20">
        <v>0.54</v>
      </c>
      <c r="D20">
        <v>0.498</v>
      </c>
      <c r="E20">
        <v>0</v>
      </c>
      <c r="F20">
        <v>1</v>
      </c>
      <c r="G20" t="s">
        <v>25</v>
      </c>
      <c r="H20" s="1">
        <v>14677</v>
      </c>
      <c r="I20">
        <v>0.51500000000000001</v>
      </c>
      <c r="J20">
        <v>0.5</v>
      </c>
      <c r="K20">
        <v>0</v>
      </c>
      <c r="L20">
        <v>1</v>
      </c>
      <c r="M20" t="s">
        <v>25</v>
      </c>
      <c r="N20" s="1">
        <v>8651</v>
      </c>
      <c r="O20">
        <v>0.58099999999999996</v>
      </c>
      <c r="P20">
        <v>0.49299999999999999</v>
      </c>
      <c r="Q20">
        <v>0</v>
      </c>
      <c r="R20">
        <v>1</v>
      </c>
    </row>
    <row r="21" spans="1:18" x14ac:dyDescent="0.25">
      <c r="A21" t="s">
        <v>26</v>
      </c>
      <c r="B21" s="1">
        <v>23328</v>
      </c>
      <c r="C21">
        <v>0.29299999999999998</v>
      </c>
      <c r="D21">
        <v>0.45500000000000002</v>
      </c>
      <c r="E21">
        <v>0</v>
      </c>
      <c r="F21">
        <v>1</v>
      </c>
      <c r="G21" t="s">
        <v>26</v>
      </c>
      <c r="H21" s="1">
        <v>14677</v>
      </c>
      <c r="I21">
        <v>0.312</v>
      </c>
      <c r="J21">
        <v>0.46300000000000002</v>
      </c>
      <c r="K21">
        <v>0</v>
      </c>
      <c r="L21">
        <v>1</v>
      </c>
      <c r="M21" t="s">
        <v>26</v>
      </c>
      <c r="N21" s="1">
        <v>8651</v>
      </c>
      <c r="O21">
        <v>0.26100000000000001</v>
      </c>
      <c r="P21">
        <v>0.439</v>
      </c>
      <c r="Q21">
        <v>0</v>
      </c>
      <c r="R21">
        <v>1</v>
      </c>
    </row>
    <row r="22" spans="1:18" x14ac:dyDescent="0.25">
      <c r="A22" t="s">
        <v>27</v>
      </c>
      <c r="B22" s="1">
        <v>23328</v>
      </c>
      <c r="C22">
        <v>6.7000000000000004E-2</v>
      </c>
      <c r="D22">
        <v>0.25</v>
      </c>
      <c r="E22">
        <v>0</v>
      </c>
      <c r="F22">
        <v>1</v>
      </c>
      <c r="G22" t="s">
        <v>27</v>
      </c>
      <c r="H22" s="1">
        <v>14677</v>
      </c>
      <c r="I22">
        <v>6.7000000000000004E-2</v>
      </c>
      <c r="J22">
        <v>0.25</v>
      </c>
      <c r="K22">
        <v>0</v>
      </c>
      <c r="L22">
        <v>1</v>
      </c>
      <c r="M22" t="s">
        <v>27</v>
      </c>
      <c r="N22" s="1">
        <v>8651</v>
      </c>
      <c r="O22">
        <v>6.8000000000000005E-2</v>
      </c>
      <c r="P22">
        <v>0.252</v>
      </c>
      <c r="Q22">
        <v>0</v>
      </c>
      <c r="R22">
        <v>1</v>
      </c>
    </row>
    <row r="23" spans="1:18" x14ac:dyDescent="0.25">
      <c r="A23" t="s">
        <v>28</v>
      </c>
      <c r="B23" s="1">
        <v>23328</v>
      </c>
      <c r="C23">
        <v>3.0000000000000001E-3</v>
      </c>
      <c r="D23">
        <v>5.3999999999999999E-2</v>
      </c>
      <c r="E23">
        <v>0</v>
      </c>
      <c r="F23">
        <v>1</v>
      </c>
      <c r="G23" t="s">
        <v>28</v>
      </c>
      <c r="H23" s="1">
        <v>14677</v>
      </c>
      <c r="I23">
        <v>4.0000000000000001E-3</v>
      </c>
      <c r="J23">
        <v>5.8999999999999997E-2</v>
      </c>
      <c r="K23">
        <v>0</v>
      </c>
      <c r="L23">
        <v>1</v>
      </c>
      <c r="M23" t="s">
        <v>28</v>
      </c>
      <c r="N23" s="1">
        <v>8651</v>
      </c>
      <c r="O23">
        <v>2E-3</v>
      </c>
      <c r="P23">
        <v>4.2999999999999997E-2</v>
      </c>
      <c r="Q23">
        <v>0</v>
      </c>
      <c r="R23">
        <v>1</v>
      </c>
    </row>
    <row r="24" spans="1:18" x14ac:dyDescent="0.25">
      <c r="A24" t="s">
        <v>29</v>
      </c>
      <c r="B24" s="1">
        <v>23328</v>
      </c>
      <c r="C24">
        <v>1E-4</v>
      </c>
      <c r="D24">
        <v>8.9999999999999993E-3</v>
      </c>
      <c r="E24">
        <v>0</v>
      </c>
      <c r="F24">
        <v>1</v>
      </c>
      <c r="G24" t="s">
        <v>29</v>
      </c>
      <c r="H24" s="1">
        <v>14677</v>
      </c>
      <c r="I24">
        <v>1E-4</v>
      </c>
      <c r="J24">
        <v>1.2E-2</v>
      </c>
      <c r="K24">
        <v>0</v>
      </c>
      <c r="L24">
        <v>1</v>
      </c>
      <c r="M24" t="s">
        <v>29</v>
      </c>
      <c r="N24" s="1">
        <v>8651</v>
      </c>
      <c r="O24">
        <v>0</v>
      </c>
      <c r="P24">
        <v>0</v>
      </c>
      <c r="Q24">
        <v>0</v>
      </c>
      <c r="R24">
        <v>0</v>
      </c>
    </row>
    <row r="25" spans="1:18" x14ac:dyDescent="0.25">
      <c r="A25" t="s">
        <v>30</v>
      </c>
      <c r="B25" s="1">
        <v>23328</v>
      </c>
      <c r="C25">
        <v>0</v>
      </c>
      <c r="D25">
        <v>0</v>
      </c>
      <c r="E25">
        <v>0</v>
      </c>
      <c r="F25">
        <v>0</v>
      </c>
      <c r="G25" t="s">
        <v>30</v>
      </c>
      <c r="H25" s="1">
        <v>14677</v>
      </c>
      <c r="I25">
        <v>0</v>
      </c>
      <c r="J25">
        <v>0</v>
      </c>
      <c r="K25">
        <v>0</v>
      </c>
      <c r="L25">
        <v>0</v>
      </c>
      <c r="M25" t="s">
        <v>30</v>
      </c>
      <c r="N25" s="1">
        <v>8651</v>
      </c>
      <c r="O25">
        <v>0</v>
      </c>
      <c r="P25">
        <v>0</v>
      </c>
      <c r="Q25">
        <v>0</v>
      </c>
      <c r="R25">
        <v>0</v>
      </c>
    </row>
    <row r="26" spans="1:18" x14ac:dyDescent="0.25">
      <c r="A26" t="s">
        <v>31</v>
      </c>
      <c r="B26" s="1">
        <v>23328</v>
      </c>
      <c r="C26">
        <v>8.2000000000000003E-2</v>
      </c>
      <c r="D26">
        <v>0.27400000000000002</v>
      </c>
      <c r="E26">
        <v>0</v>
      </c>
      <c r="F26">
        <v>1</v>
      </c>
      <c r="G26" t="s">
        <v>31</v>
      </c>
      <c r="H26" s="1">
        <v>14677</v>
      </c>
      <c r="I26">
        <v>8.5000000000000006E-2</v>
      </c>
      <c r="J26">
        <v>0.28000000000000003</v>
      </c>
      <c r="K26">
        <v>0</v>
      </c>
      <c r="L26">
        <v>1</v>
      </c>
      <c r="M26" t="s">
        <v>31</v>
      </c>
      <c r="N26" s="1">
        <v>8651</v>
      </c>
      <c r="O26">
        <v>7.5999999999999998E-2</v>
      </c>
      <c r="P26">
        <v>0.26500000000000001</v>
      </c>
      <c r="Q26">
        <v>0</v>
      </c>
      <c r="R26">
        <v>1</v>
      </c>
    </row>
    <row r="27" spans="1:18" x14ac:dyDescent="0.25">
      <c r="A27" t="s">
        <v>32</v>
      </c>
      <c r="B27" s="1">
        <v>23328</v>
      </c>
      <c r="C27">
        <v>1E-3</v>
      </c>
      <c r="D27">
        <v>2.4E-2</v>
      </c>
      <c r="E27">
        <v>0</v>
      </c>
      <c r="F27">
        <v>1</v>
      </c>
      <c r="G27" t="s">
        <v>32</v>
      </c>
      <c r="H27" s="1">
        <v>14677</v>
      </c>
      <c r="I27">
        <v>1E-3</v>
      </c>
      <c r="J27">
        <v>0.03</v>
      </c>
      <c r="K27">
        <v>0</v>
      </c>
      <c r="L27">
        <v>1</v>
      </c>
      <c r="M27" t="s">
        <v>32</v>
      </c>
      <c r="N27" s="1">
        <v>8651</v>
      </c>
      <c r="O27">
        <v>1E-4</v>
      </c>
      <c r="P27">
        <v>1.0999999999999999E-2</v>
      </c>
      <c r="Q27">
        <v>0</v>
      </c>
      <c r="R27">
        <v>1</v>
      </c>
    </row>
    <row r="28" spans="1:18" x14ac:dyDescent="0.25">
      <c r="A28" t="s">
        <v>33</v>
      </c>
      <c r="B28" s="1">
        <v>23328</v>
      </c>
      <c r="C28">
        <v>35.39</v>
      </c>
      <c r="D28">
        <v>16.093</v>
      </c>
      <c r="E28">
        <v>0</v>
      </c>
      <c r="F28">
        <v>90</v>
      </c>
      <c r="G28" t="s">
        <v>33</v>
      </c>
      <c r="H28" s="1">
        <v>14677</v>
      </c>
      <c r="I28">
        <v>34.170999999999999</v>
      </c>
      <c r="J28">
        <v>15.667999999999999</v>
      </c>
      <c r="K28">
        <v>0</v>
      </c>
      <c r="L28">
        <v>90</v>
      </c>
      <c r="M28" t="s">
        <v>33</v>
      </c>
      <c r="N28" s="1">
        <v>8651</v>
      </c>
      <c r="O28">
        <v>37.457999999999998</v>
      </c>
      <c r="P28">
        <v>16.588000000000001</v>
      </c>
      <c r="Q28">
        <v>0</v>
      </c>
      <c r="R28">
        <v>83</v>
      </c>
    </row>
    <row r="29" spans="1:18" x14ac:dyDescent="0.25">
      <c r="A29" t="s">
        <v>34</v>
      </c>
      <c r="B29" s="1">
        <v>23328</v>
      </c>
      <c r="C29">
        <v>1.5109999999999999</v>
      </c>
      <c r="D29">
        <v>1.0129999999999999</v>
      </c>
      <c r="E29">
        <v>0</v>
      </c>
      <c r="F29">
        <v>8.1</v>
      </c>
      <c r="G29" t="s">
        <v>34</v>
      </c>
      <c r="H29" s="1">
        <v>14677</v>
      </c>
      <c r="I29">
        <v>1.413</v>
      </c>
      <c r="J29">
        <v>0.96299999999999997</v>
      </c>
      <c r="K29">
        <v>0</v>
      </c>
      <c r="L29">
        <v>8.1</v>
      </c>
      <c r="M29" t="s">
        <v>34</v>
      </c>
      <c r="N29" s="1">
        <v>8651</v>
      </c>
      <c r="O29">
        <v>1.6779999999999999</v>
      </c>
      <c r="P29">
        <v>1.071</v>
      </c>
      <c r="Q29">
        <v>0</v>
      </c>
      <c r="R29">
        <v>6.8890000000000002</v>
      </c>
    </row>
    <row r="30" spans="1:18" x14ac:dyDescent="0.25">
      <c r="A30" t="s">
        <v>35</v>
      </c>
      <c r="B30" s="1">
        <v>23328</v>
      </c>
      <c r="C30">
        <v>1.44</v>
      </c>
      <c r="D30">
        <v>4.08</v>
      </c>
      <c r="E30">
        <v>0</v>
      </c>
      <c r="F30">
        <v>57</v>
      </c>
      <c r="G30" t="s">
        <v>35</v>
      </c>
      <c r="H30" s="1">
        <v>14677</v>
      </c>
      <c r="I30">
        <v>1.3959999999999999</v>
      </c>
      <c r="J30">
        <v>3.907</v>
      </c>
      <c r="K30">
        <v>0</v>
      </c>
      <c r="L30">
        <v>57</v>
      </c>
      <c r="M30" t="s">
        <v>35</v>
      </c>
      <c r="N30" s="1">
        <v>8651</v>
      </c>
      <c r="O30">
        <v>1.514</v>
      </c>
      <c r="P30">
        <v>4.3559999999999999</v>
      </c>
      <c r="Q30">
        <v>0</v>
      </c>
      <c r="R30">
        <v>45</v>
      </c>
    </row>
    <row r="31" spans="1:18" x14ac:dyDescent="0.25">
      <c r="A31" t="s">
        <v>18</v>
      </c>
      <c r="B31" s="1">
        <v>23328</v>
      </c>
      <c r="C31">
        <v>954.601</v>
      </c>
      <c r="D31">
        <v>439.85199999999998</v>
      </c>
      <c r="E31">
        <v>175</v>
      </c>
      <c r="F31" s="1">
        <v>11155</v>
      </c>
      <c r="G31" t="s">
        <v>18</v>
      </c>
      <c r="H31" s="1">
        <v>14677</v>
      </c>
      <c r="I31">
        <v>962.37400000000002</v>
      </c>
      <c r="J31">
        <v>436.01100000000002</v>
      </c>
      <c r="K31">
        <v>195</v>
      </c>
      <c r="L31" s="1">
        <v>7582</v>
      </c>
      <c r="M31" t="s">
        <v>18</v>
      </c>
      <c r="N31" s="1">
        <v>8651</v>
      </c>
      <c r="O31">
        <v>941.41300000000001</v>
      </c>
      <c r="P31">
        <v>446.00900000000001</v>
      </c>
      <c r="Q31">
        <v>175</v>
      </c>
      <c r="R31" s="1">
        <v>11155</v>
      </c>
    </row>
    <row r="32" spans="1:18" x14ac:dyDescent="0.25">
      <c r="A32" t="s">
        <v>37</v>
      </c>
      <c r="B32" s="1">
        <v>23328</v>
      </c>
      <c r="C32">
        <v>4.7949999999999999</v>
      </c>
      <c r="D32">
        <v>6.7949999999999999</v>
      </c>
      <c r="E32">
        <v>1.4E-2</v>
      </c>
      <c r="F32">
        <v>111.96899999999999</v>
      </c>
      <c r="G32" t="s">
        <v>37</v>
      </c>
      <c r="H32" s="1">
        <v>14677</v>
      </c>
      <c r="I32">
        <v>4.8739999999999997</v>
      </c>
      <c r="J32">
        <v>6.819</v>
      </c>
      <c r="K32">
        <v>1.4E-2</v>
      </c>
      <c r="L32" s="1">
        <v>52.774999999999999</v>
      </c>
      <c r="M32" t="s">
        <v>37</v>
      </c>
      <c r="N32" s="1">
        <v>8651</v>
      </c>
      <c r="O32">
        <v>4.6619999999999999</v>
      </c>
      <c r="P32">
        <v>6.7539999999999996</v>
      </c>
      <c r="Q32">
        <v>1.4E-2</v>
      </c>
      <c r="R32">
        <v>111.96899999999999</v>
      </c>
    </row>
    <row r="33" spans="1:18" x14ac:dyDescent="0.25">
      <c r="A33" t="s">
        <v>164</v>
      </c>
      <c r="B33" s="1">
        <v>23328</v>
      </c>
      <c r="C33">
        <v>1.71</v>
      </c>
      <c r="D33">
        <v>2.2189999999999999</v>
      </c>
      <c r="E33">
        <v>0</v>
      </c>
      <c r="F33">
        <v>12.788</v>
      </c>
      <c r="G33" t="s">
        <v>164</v>
      </c>
      <c r="H33" s="1">
        <v>14677</v>
      </c>
      <c r="I33">
        <v>1.786</v>
      </c>
      <c r="J33">
        <v>2.3140000000000001</v>
      </c>
      <c r="K33">
        <v>0</v>
      </c>
      <c r="L33">
        <v>12.788</v>
      </c>
      <c r="M33" t="s">
        <v>164</v>
      </c>
      <c r="N33" s="1">
        <v>8651</v>
      </c>
      <c r="O33">
        <v>1.581</v>
      </c>
      <c r="P33">
        <v>2.0409999999999999</v>
      </c>
      <c r="Q33">
        <v>0</v>
      </c>
      <c r="R33">
        <v>12.788</v>
      </c>
    </row>
    <row r="34" spans="1:18" x14ac:dyDescent="0.25">
      <c r="A34" t="s">
        <v>39</v>
      </c>
      <c r="B34" s="1">
        <v>23328</v>
      </c>
      <c r="C34">
        <v>0.33600000000000002</v>
      </c>
      <c r="D34">
        <v>0.26700000000000002</v>
      </c>
      <c r="E34">
        <v>0</v>
      </c>
      <c r="F34">
        <v>2.165</v>
      </c>
      <c r="G34" t="s">
        <v>39</v>
      </c>
      <c r="H34" s="1">
        <v>14677</v>
      </c>
      <c r="I34">
        <v>0.33400000000000002</v>
      </c>
      <c r="J34">
        <v>0.26400000000000001</v>
      </c>
      <c r="K34">
        <v>1.2E-2</v>
      </c>
      <c r="L34">
        <v>1.7529999999999999</v>
      </c>
      <c r="M34" t="s">
        <v>39</v>
      </c>
      <c r="N34" s="1">
        <v>8651</v>
      </c>
      <c r="O34">
        <v>0.33900000000000002</v>
      </c>
      <c r="P34">
        <v>0.27300000000000002</v>
      </c>
      <c r="Q34">
        <v>0</v>
      </c>
      <c r="R34">
        <v>2.165</v>
      </c>
    </row>
    <row r="35" spans="1:18" x14ac:dyDescent="0.25">
      <c r="A35" t="s">
        <v>40</v>
      </c>
      <c r="B35" s="1">
        <v>23328</v>
      </c>
      <c r="C35">
        <v>3.1150000000000002</v>
      </c>
      <c r="D35">
        <v>3.4460000000000002</v>
      </c>
      <c r="E35">
        <v>1.4999999999999999E-2</v>
      </c>
      <c r="F35">
        <v>20.402999999999999</v>
      </c>
      <c r="G35" t="s">
        <v>40</v>
      </c>
      <c r="H35" s="1">
        <v>14677</v>
      </c>
      <c r="I35">
        <v>3.1160000000000001</v>
      </c>
      <c r="J35">
        <v>3.3380000000000001</v>
      </c>
      <c r="K35">
        <v>1.4999999999999999E-2</v>
      </c>
      <c r="L35">
        <v>20.402999999999999</v>
      </c>
      <c r="M35" t="s">
        <v>40</v>
      </c>
      <c r="N35" s="1">
        <v>8651</v>
      </c>
      <c r="O35">
        <v>3.1120000000000001</v>
      </c>
      <c r="P35">
        <v>3.6219999999999999</v>
      </c>
      <c r="Q35">
        <v>1.4999999999999999E-2</v>
      </c>
      <c r="R35">
        <v>20.402999999999999</v>
      </c>
    </row>
    <row r="36" spans="1:18" x14ac:dyDescent="0.25">
      <c r="A36" t="s">
        <v>41</v>
      </c>
      <c r="B36" s="1">
        <v>23328</v>
      </c>
      <c r="C36">
        <v>7.5739999999999998</v>
      </c>
      <c r="D36">
        <v>5.1509999999999998</v>
      </c>
      <c r="E36">
        <v>0.99299999999999999</v>
      </c>
      <c r="F36">
        <v>25.135999999999999</v>
      </c>
      <c r="G36" t="s">
        <v>41</v>
      </c>
      <c r="H36" s="1">
        <v>14677</v>
      </c>
      <c r="I36">
        <v>7.6820000000000004</v>
      </c>
      <c r="J36">
        <v>5.2060000000000004</v>
      </c>
      <c r="K36">
        <v>0.99299999999999999</v>
      </c>
      <c r="L36">
        <v>25.135999999999999</v>
      </c>
      <c r="M36" t="s">
        <v>41</v>
      </c>
      <c r="N36" s="1">
        <v>8651</v>
      </c>
      <c r="O36">
        <v>7.391</v>
      </c>
      <c r="P36">
        <v>5.0510000000000002</v>
      </c>
      <c r="Q36">
        <v>0.99299999999999999</v>
      </c>
      <c r="R36">
        <v>25.135999999999999</v>
      </c>
    </row>
    <row r="37" spans="1:18" x14ac:dyDescent="0.25">
      <c r="A37" t="s">
        <v>173</v>
      </c>
      <c r="B37" s="1">
        <v>23328</v>
      </c>
      <c r="C37">
        <v>1.2569999999999999</v>
      </c>
      <c r="D37">
        <v>6.1950000000000003</v>
      </c>
      <c r="E37">
        <v>4.2999999999999997E-2</v>
      </c>
      <c r="F37">
        <v>196.49</v>
      </c>
      <c r="G37" t="s">
        <v>173</v>
      </c>
      <c r="H37" s="1">
        <v>14677</v>
      </c>
      <c r="I37">
        <v>1.2909999999999999</v>
      </c>
      <c r="J37">
        <v>6.51</v>
      </c>
      <c r="K37">
        <v>4.2999999999999997E-2</v>
      </c>
      <c r="L37">
        <v>196.49</v>
      </c>
      <c r="M37" t="s">
        <v>173</v>
      </c>
      <c r="N37" s="1">
        <v>8651</v>
      </c>
      <c r="O37">
        <v>1.2</v>
      </c>
      <c r="P37">
        <v>5.6180000000000003</v>
      </c>
      <c r="Q37">
        <v>4.2999999999999997E-2</v>
      </c>
      <c r="R37">
        <v>196.49</v>
      </c>
    </row>
    <row r="38" spans="1:18" x14ac:dyDescent="0.25">
      <c r="A38" t="s">
        <v>174</v>
      </c>
      <c r="B38" s="1">
        <v>23328</v>
      </c>
      <c r="C38">
        <v>1.9430000000000001</v>
      </c>
      <c r="D38">
        <v>1.319</v>
      </c>
      <c r="E38">
        <v>7.0999999999999994E-2</v>
      </c>
      <c r="F38">
        <v>7.2789999999999999</v>
      </c>
      <c r="G38" t="s">
        <v>174</v>
      </c>
      <c r="H38" s="1">
        <v>14677</v>
      </c>
      <c r="I38">
        <v>1.948</v>
      </c>
      <c r="J38">
        <v>1.331</v>
      </c>
      <c r="K38">
        <v>7.3999999999999996E-2</v>
      </c>
      <c r="L38">
        <v>7.2789999999999999</v>
      </c>
      <c r="M38" t="s">
        <v>174</v>
      </c>
      <c r="N38" s="1">
        <v>8651</v>
      </c>
      <c r="O38">
        <v>1.9339999999999999</v>
      </c>
      <c r="P38">
        <v>1.3</v>
      </c>
      <c r="Q38">
        <v>7.0999999999999994E-2</v>
      </c>
      <c r="R38">
        <v>7.2789999999999999</v>
      </c>
    </row>
    <row r="39" spans="1:18" x14ac:dyDescent="0.25">
      <c r="A39" t="s">
        <v>175</v>
      </c>
      <c r="B39" s="1">
        <v>23328</v>
      </c>
      <c r="C39">
        <v>1.8029999999999999</v>
      </c>
      <c r="D39">
        <v>1.1970000000000001</v>
      </c>
      <c r="E39">
        <v>3.4000000000000002E-2</v>
      </c>
      <c r="F39">
        <v>6.8040000000000003</v>
      </c>
      <c r="G39" t="s">
        <v>175</v>
      </c>
      <c r="H39" s="1">
        <v>14677</v>
      </c>
      <c r="I39">
        <v>1.8360000000000001</v>
      </c>
      <c r="J39">
        <v>1.206</v>
      </c>
      <c r="K39">
        <v>3.4000000000000002E-2</v>
      </c>
      <c r="L39">
        <v>6.8040000000000003</v>
      </c>
      <c r="M39" t="s">
        <v>175</v>
      </c>
      <c r="N39" s="1">
        <v>8651</v>
      </c>
      <c r="O39">
        <v>1.746</v>
      </c>
      <c r="P39">
        <v>1.1779999999999999</v>
      </c>
      <c r="Q39">
        <v>3.4000000000000002E-2</v>
      </c>
      <c r="R39">
        <v>6.508</v>
      </c>
    </row>
    <row r="40" spans="1:18" x14ac:dyDescent="0.25">
      <c r="A40" t="s">
        <v>42</v>
      </c>
      <c r="B40" s="1">
        <v>23328</v>
      </c>
      <c r="C40">
        <v>0.27600000000000002</v>
      </c>
      <c r="D40">
        <v>0.17499999999999999</v>
      </c>
      <c r="E40">
        <v>0</v>
      </c>
      <c r="F40">
        <v>1</v>
      </c>
      <c r="G40" t="s">
        <v>42</v>
      </c>
      <c r="H40" s="1">
        <v>14677</v>
      </c>
      <c r="I40">
        <v>0.28199999999999997</v>
      </c>
      <c r="J40">
        <v>0.17199999999999999</v>
      </c>
      <c r="K40">
        <v>0</v>
      </c>
      <c r="L40">
        <v>1</v>
      </c>
      <c r="M40" t="s">
        <v>42</v>
      </c>
      <c r="N40" s="1">
        <v>8651</v>
      </c>
      <c r="O40">
        <v>0.26500000000000001</v>
      </c>
      <c r="P40">
        <v>0.17899999999999999</v>
      </c>
      <c r="Q40">
        <v>0</v>
      </c>
      <c r="R40">
        <v>0.82799999999999996</v>
      </c>
    </row>
    <row r="41" spans="1:18" x14ac:dyDescent="0.25">
      <c r="A41" t="s">
        <v>43</v>
      </c>
      <c r="B41" s="1">
        <v>23328</v>
      </c>
      <c r="C41">
        <v>2.3E-2</v>
      </c>
      <c r="D41">
        <v>3.4000000000000002E-2</v>
      </c>
      <c r="E41">
        <v>0</v>
      </c>
      <c r="F41">
        <v>0.77600000000000002</v>
      </c>
      <c r="G41" t="s">
        <v>43</v>
      </c>
      <c r="H41" s="1">
        <v>14677</v>
      </c>
      <c r="I41">
        <v>2.4E-2</v>
      </c>
      <c r="J41">
        <v>3.1E-2</v>
      </c>
      <c r="K41">
        <v>0</v>
      </c>
      <c r="L41">
        <v>0.77600000000000002</v>
      </c>
      <c r="M41" t="s">
        <v>43</v>
      </c>
      <c r="N41" s="1">
        <v>8651</v>
      </c>
      <c r="O41">
        <v>2.1999999999999999E-2</v>
      </c>
      <c r="P41">
        <v>0.04</v>
      </c>
      <c r="Q41">
        <v>0</v>
      </c>
      <c r="R41">
        <v>0.77600000000000002</v>
      </c>
    </row>
    <row r="42" spans="1:18" x14ac:dyDescent="0.25">
      <c r="A42" t="s">
        <v>44</v>
      </c>
      <c r="B42" s="1">
        <v>23328</v>
      </c>
      <c r="C42">
        <v>0.439</v>
      </c>
      <c r="D42">
        <v>0.183</v>
      </c>
      <c r="E42">
        <v>0</v>
      </c>
      <c r="F42">
        <v>1</v>
      </c>
      <c r="G42" t="s">
        <v>44</v>
      </c>
      <c r="H42" s="1">
        <v>14677</v>
      </c>
      <c r="I42">
        <v>0.43</v>
      </c>
      <c r="J42">
        <v>0.17699999999999999</v>
      </c>
      <c r="K42">
        <v>0</v>
      </c>
      <c r="L42">
        <v>1</v>
      </c>
      <c r="M42" t="s">
        <v>44</v>
      </c>
      <c r="N42" s="1">
        <v>8651</v>
      </c>
      <c r="O42">
        <v>0.45500000000000002</v>
      </c>
      <c r="P42">
        <v>0.192</v>
      </c>
      <c r="Q42">
        <v>1.2999999999999999E-2</v>
      </c>
      <c r="R42">
        <v>1</v>
      </c>
    </row>
    <row r="43" spans="1:18" x14ac:dyDescent="0.25">
      <c r="A43" t="s">
        <v>45</v>
      </c>
      <c r="B43" s="1">
        <v>23328</v>
      </c>
      <c r="C43">
        <v>5.8000000000000003E-2</v>
      </c>
      <c r="D43">
        <v>7.4999999999999997E-2</v>
      </c>
      <c r="E43">
        <v>0</v>
      </c>
      <c r="F43">
        <v>0.64</v>
      </c>
      <c r="G43" t="s">
        <v>45</v>
      </c>
      <c r="H43" s="1">
        <v>14677</v>
      </c>
      <c r="I43">
        <v>5.8999999999999997E-2</v>
      </c>
      <c r="J43">
        <v>6.9000000000000006E-2</v>
      </c>
      <c r="K43">
        <v>0</v>
      </c>
      <c r="L43">
        <v>0.55700000000000005</v>
      </c>
      <c r="M43" t="s">
        <v>45</v>
      </c>
      <c r="N43" s="1">
        <v>8651</v>
      </c>
      <c r="O43">
        <v>5.7000000000000002E-2</v>
      </c>
      <c r="P43">
        <v>8.5000000000000006E-2</v>
      </c>
      <c r="Q43">
        <v>0</v>
      </c>
      <c r="R43">
        <v>0.64</v>
      </c>
    </row>
    <row r="44" spans="1:18" x14ac:dyDescent="0.25">
      <c r="A44" t="s">
        <v>46</v>
      </c>
      <c r="B44" s="1">
        <v>23328</v>
      </c>
      <c r="C44">
        <v>0.81699999999999995</v>
      </c>
      <c r="D44">
        <v>0.20100000000000001</v>
      </c>
      <c r="E44">
        <v>7.0000000000000007E-2</v>
      </c>
      <c r="F44">
        <v>1</v>
      </c>
      <c r="G44" t="s">
        <v>46</v>
      </c>
      <c r="H44" s="1">
        <v>14677</v>
      </c>
      <c r="I44">
        <v>0.81399999999999995</v>
      </c>
      <c r="J44">
        <v>0.20599999999999999</v>
      </c>
      <c r="K44">
        <v>7.0000000000000007E-2</v>
      </c>
      <c r="L44">
        <v>1</v>
      </c>
      <c r="M44" t="s">
        <v>46</v>
      </c>
      <c r="N44" s="1">
        <v>8651</v>
      </c>
      <c r="O44">
        <v>0.82399999999999995</v>
      </c>
      <c r="P44">
        <v>0.192</v>
      </c>
      <c r="Q44">
        <v>7.3999999999999996E-2</v>
      </c>
      <c r="R44">
        <v>1</v>
      </c>
    </row>
    <row r="45" spans="1:18" x14ac:dyDescent="0.25">
      <c r="A45" t="s">
        <v>47</v>
      </c>
      <c r="B45" s="1">
        <v>23328</v>
      </c>
      <c r="C45">
        <v>0.182</v>
      </c>
      <c r="D45">
        <v>0.2</v>
      </c>
      <c r="E45">
        <v>0</v>
      </c>
      <c r="F45">
        <v>0.93</v>
      </c>
      <c r="G45" t="s">
        <v>47</v>
      </c>
      <c r="H45" s="1">
        <v>14677</v>
      </c>
      <c r="I45">
        <v>0.186</v>
      </c>
      <c r="J45">
        <v>0.20599999999999999</v>
      </c>
      <c r="K45">
        <v>0</v>
      </c>
      <c r="L45">
        <v>0.93</v>
      </c>
      <c r="M45" t="s">
        <v>47</v>
      </c>
      <c r="N45" s="1">
        <v>8651</v>
      </c>
      <c r="O45">
        <v>0.17499999999999999</v>
      </c>
      <c r="P45">
        <v>0.19</v>
      </c>
      <c r="Q45">
        <v>0</v>
      </c>
      <c r="R45">
        <v>0.92600000000000005</v>
      </c>
    </row>
    <row r="46" spans="1:18" x14ac:dyDescent="0.25">
      <c r="A46" t="s">
        <v>48</v>
      </c>
      <c r="B46" s="1">
        <v>23328</v>
      </c>
      <c r="C46">
        <v>0.53900000000000003</v>
      </c>
      <c r="D46">
        <v>0.192</v>
      </c>
      <c r="E46">
        <v>0</v>
      </c>
      <c r="F46">
        <v>1</v>
      </c>
      <c r="G46" t="s">
        <v>48</v>
      </c>
      <c r="H46" s="1">
        <v>14677</v>
      </c>
      <c r="I46">
        <v>0.52700000000000002</v>
      </c>
      <c r="J46">
        <v>0.189</v>
      </c>
      <c r="K46">
        <v>0</v>
      </c>
      <c r="L46">
        <v>1</v>
      </c>
      <c r="M46" t="s">
        <v>48</v>
      </c>
      <c r="N46" s="1">
        <v>8651</v>
      </c>
      <c r="O46">
        <v>0.56000000000000005</v>
      </c>
      <c r="P46">
        <v>0.19600000000000001</v>
      </c>
      <c r="Q46">
        <v>0</v>
      </c>
      <c r="R46">
        <v>1</v>
      </c>
    </row>
    <row r="47" spans="1:18" x14ac:dyDescent="0.25">
      <c r="A47" t="s">
        <v>49</v>
      </c>
      <c r="B47" s="1">
        <v>23328</v>
      </c>
      <c r="C47">
        <v>0.46</v>
      </c>
      <c r="D47">
        <v>0.192</v>
      </c>
      <c r="E47">
        <v>0</v>
      </c>
      <c r="F47">
        <v>1</v>
      </c>
      <c r="G47" t="s">
        <v>49</v>
      </c>
      <c r="H47" s="1">
        <v>14677</v>
      </c>
      <c r="I47">
        <v>0.47199999999999998</v>
      </c>
      <c r="J47">
        <v>0.189</v>
      </c>
      <c r="K47">
        <v>0</v>
      </c>
      <c r="L47">
        <v>1</v>
      </c>
      <c r="M47" t="s">
        <v>49</v>
      </c>
      <c r="N47" s="1">
        <v>8651</v>
      </c>
      <c r="O47">
        <v>0.439</v>
      </c>
      <c r="P47">
        <v>0.19600000000000001</v>
      </c>
      <c r="Q47">
        <v>0</v>
      </c>
      <c r="R47">
        <v>1</v>
      </c>
    </row>
    <row r="48" spans="1:18" x14ac:dyDescent="0.25">
      <c r="A48" t="s">
        <v>50</v>
      </c>
      <c r="B48" s="1">
        <v>23328</v>
      </c>
      <c r="C48">
        <v>11.292</v>
      </c>
      <c r="D48">
        <v>40.398000000000003</v>
      </c>
      <c r="E48">
        <v>0</v>
      </c>
      <c r="F48" s="1">
        <v>1000</v>
      </c>
      <c r="G48" t="s">
        <v>50</v>
      </c>
      <c r="H48" s="1">
        <v>14677</v>
      </c>
      <c r="I48">
        <v>11.467000000000001</v>
      </c>
      <c r="J48">
        <v>39.097000000000001</v>
      </c>
      <c r="K48">
        <v>0</v>
      </c>
      <c r="L48">
        <v>651</v>
      </c>
      <c r="M48" t="s">
        <v>50</v>
      </c>
      <c r="N48" s="1">
        <v>8651</v>
      </c>
      <c r="O48">
        <v>10.994</v>
      </c>
      <c r="P48">
        <v>42.514000000000003</v>
      </c>
      <c r="Q48">
        <v>0</v>
      </c>
      <c r="R48" s="1">
        <v>1000</v>
      </c>
    </row>
    <row r="49" spans="1:18" x14ac:dyDescent="0.25">
      <c r="A49" t="s">
        <v>51</v>
      </c>
      <c r="B49" s="1">
        <v>23328</v>
      </c>
      <c r="C49">
        <v>1.2789999999999999</v>
      </c>
      <c r="D49">
        <v>1.8580000000000001</v>
      </c>
      <c r="E49">
        <v>0</v>
      </c>
      <c r="F49">
        <v>36</v>
      </c>
      <c r="G49" t="s">
        <v>51</v>
      </c>
      <c r="H49" s="1">
        <v>14677</v>
      </c>
      <c r="I49">
        <v>1.2330000000000001</v>
      </c>
      <c r="J49">
        <v>1.827</v>
      </c>
      <c r="K49">
        <v>0</v>
      </c>
      <c r="L49">
        <v>36</v>
      </c>
      <c r="M49" t="s">
        <v>51</v>
      </c>
      <c r="N49" s="1">
        <v>8651</v>
      </c>
      <c r="O49">
        <v>1.359</v>
      </c>
      <c r="P49">
        <v>1.907</v>
      </c>
      <c r="Q49">
        <v>0</v>
      </c>
      <c r="R49">
        <v>23</v>
      </c>
    </row>
    <row r="50" spans="1:18" x14ac:dyDescent="0.25">
      <c r="A50" t="s">
        <v>52</v>
      </c>
      <c r="B50" s="1">
        <v>23328</v>
      </c>
      <c r="C50">
        <v>0.35799999999999998</v>
      </c>
      <c r="D50">
        <v>0.47899999999999998</v>
      </c>
      <c r="E50">
        <v>0</v>
      </c>
      <c r="F50">
        <v>1</v>
      </c>
      <c r="G50" t="s">
        <v>52</v>
      </c>
      <c r="H50" s="1">
        <v>14677</v>
      </c>
      <c r="I50">
        <v>0.35599999999999998</v>
      </c>
      <c r="J50">
        <v>0.47899999999999998</v>
      </c>
      <c r="K50">
        <v>0</v>
      </c>
      <c r="L50">
        <v>1</v>
      </c>
      <c r="M50" t="s">
        <v>52</v>
      </c>
      <c r="N50" s="1">
        <v>8651</v>
      </c>
      <c r="O50">
        <v>0.36099999999999999</v>
      </c>
      <c r="P50">
        <v>0.48</v>
      </c>
      <c r="Q50">
        <v>0</v>
      </c>
      <c r="R50">
        <v>1</v>
      </c>
    </row>
    <row r="51" spans="1:18" x14ac:dyDescent="0.25">
      <c r="A51" t="s">
        <v>53</v>
      </c>
      <c r="B51" s="1">
        <v>23328</v>
      </c>
      <c r="C51" s="2">
        <v>2359587</v>
      </c>
      <c r="D51" s="2">
        <v>6889.2250000000004</v>
      </c>
      <c r="E51" s="2">
        <v>2351041</v>
      </c>
      <c r="F51" s="2">
        <v>2400056</v>
      </c>
      <c r="G51" t="s">
        <v>53</v>
      </c>
      <c r="H51" s="1">
        <v>14677</v>
      </c>
      <c r="I51" s="2">
        <v>2359782</v>
      </c>
      <c r="J51" s="2">
        <v>6978.2340000000004</v>
      </c>
      <c r="K51" s="2">
        <v>2351041</v>
      </c>
      <c r="L51" s="2">
        <v>2400056</v>
      </c>
      <c r="M51" t="s">
        <v>53</v>
      </c>
      <c r="N51" s="1">
        <v>8651</v>
      </c>
      <c r="O51" s="2">
        <v>2359257</v>
      </c>
      <c r="P51" s="2">
        <v>6723.0259999999998</v>
      </c>
      <c r="Q51" s="2">
        <v>2351215</v>
      </c>
      <c r="R51" s="2">
        <v>2400056</v>
      </c>
    </row>
    <row r="52" spans="1:18" x14ac:dyDescent="0.25">
      <c r="A52" t="s">
        <v>54</v>
      </c>
      <c r="B52" s="1">
        <v>23328</v>
      </c>
      <c r="C52" s="2">
        <v>614636.6</v>
      </c>
      <c r="D52" s="2">
        <v>11421.5</v>
      </c>
      <c r="E52" s="2">
        <v>580446.1</v>
      </c>
      <c r="F52" s="2">
        <v>637819.69999999995</v>
      </c>
      <c r="G52" t="s">
        <v>54</v>
      </c>
      <c r="H52" s="1">
        <v>14677</v>
      </c>
      <c r="I52" s="2">
        <v>614337.30000000005</v>
      </c>
      <c r="J52" s="2">
        <v>11438.99</v>
      </c>
      <c r="K52" s="2">
        <v>580446.1</v>
      </c>
      <c r="L52" s="2">
        <v>637819.69999999995</v>
      </c>
      <c r="M52" t="s">
        <v>54</v>
      </c>
      <c r="N52" s="1">
        <v>8651</v>
      </c>
      <c r="O52" s="2">
        <v>615144.4</v>
      </c>
      <c r="P52" s="2">
        <v>11374.42</v>
      </c>
      <c r="Q52" s="2">
        <v>580446.1</v>
      </c>
      <c r="R52" s="2">
        <v>637819.69999999995</v>
      </c>
    </row>
    <row r="53" spans="1:18" x14ac:dyDescent="0.25">
      <c r="A53" t="s">
        <v>56</v>
      </c>
      <c r="B53" s="1">
        <v>23328</v>
      </c>
      <c r="C53">
        <v>1</v>
      </c>
      <c r="D53">
        <v>0</v>
      </c>
      <c r="E53">
        <v>1</v>
      </c>
      <c r="F53">
        <v>1</v>
      </c>
      <c r="G53" t="s">
        <v>56</v>
      </c>
      <c r="H53" s="1">
        <v>14677</v>
      </c>
      <c r="I53" s="2">
        <v>1</v>
      </c>
      <c r="J53" s="2">
        <v>0</v>
      </c>
      <c r="K53" s="2">
        <v>1</v>
      </c>
      <c r="L53" s="2">
        <v>1</v>
      </c>
      <c r="M53" t="s">
        <v>56</v>
      </c>
      <c r="N53" s="1">
        <v>8651</v>
      </c>
      <c r="O53">
        <v>1</v>
      </c>
      <c r="P53">
        <v>0</v>
      </c>
      <c r="Q53">
        <v>1</v>
      </c>
      <c r="R53">
        <v>1</v>
      </c>
    </row>
    <row r="54" spans="1:18" x14ac:dyDescent="0.25">
      <c r="A54" t="s">
        <v>57</v>
      </c>
      <c r="B54" s="1">
        <v>23328</v>
      </c>
      <c r="C54">
        <v>0</v>
      </c>
      <c r="D54">
        <v>0</v>
      </c>
      <c r="E54">
        <v>0</v>
      </c>
      <c r="F54">
        <v>0</v>
      </c>
      <c r="G54" t="s">
        <v>57</v>
      </c>
      <c r="H54" s="1">
        <v>14677</v>
      </c>
      <c r="I54">
        <v>0</v>
      </c>
      <c r="J54">
        <v>0</v>
      </c>
      <c r="K54">
        <v>0</v>
      </c>
      <c r="L54">
        <v>0</v>
      </c>
      <c r="M54" t="s">
        <v>57</v>
      </c>
      <c r="N54" s="1">
        <v>8651</v>
      </c>
      <c r="O54">
        <v>0</v>
      </c>
      <c r="P54">
        <v>0</v>
      </c>
      <c r="Q54">
        <v>0</v>
      </c>
      <c r="R54">
        <v>0</v>
      </c>
    </row>
    <row r="55" spans="1:18" x14ac:dyDescent="0.25">
      <c r="A55" t="s">
        <v>58</v>
      </c>
      <c r="B55" s="1">
        <v>23328</v>
      </c>
      <c r="C55">
        <v>0.26300000000000001</v>
      </c>
      <c r="D55">
        <v>0.44</v>
      </c>
      <c r="E55">
        <v>0</v>
      </c>
      <c r="F55">
        <v>1</v>
      </c>
      <c r="G55" t="s">
        <v>58</v>
      </c>
      <c r="H55" s="1">
        <v>14677</v>
      </c>
      <c r="I55">
        <v>0.27600000000000002</v>
      </c>
      <c r="J55">
        <v>0.44700000000000001</v>
      </c>
      <c r="K55">
        <v>0</v>
      </c>
      <c r="L55">
        <v>1</v>
      </c>
      <c r="M55" t="s">
        <v>58</v>
      </c>
      <c r="N55" s="1">
        <v>8651</v>
      </c>
      <c r="O55">
        <v>0.24199999999999999</v>
      </c>
      <c r="P55">
        <v>0.42799999999999999</v>
      </c>
      <c r="Q55">
        <v>0</v>
      </c>
      <c r="R55">
        <v>1</v>
      </c>
    </row>
    <row r="56" spans="1:18" x14ac:dyDescent="0.25">
      <c r="A56" t="s">
        <v>59</v>
      </c>
      <c r="B56" s="1">
        <v>23328</v>
      </c>
      <c r="C56">
        <v>0.19700000000000001</v>
      </c>
      <c r="D56">
        <v>0.39800000000000002</v>
      </c>
      <c r="E56">
        <v>0</v>
      </c>
      <c r="F56">
        <v>1</v>
      </c>
      <c r="G56" t="s">
        <v>59</v>
      </c>
      <c r="H56" s="1">
        <v>14677</v>
      </c>
      <c r="I56">
        <v>0.20899999999999999</v>
      </c>
      <c r="J56">
        <v>0.40600000000000003</v>
      </c>
      <c r="K56">
        <v>0</v>
      </c>
      <c r="L56">
        <v>1</v>
      </c>
      <c r="M56" t="s">
        <v>59</v>
      </c>
      <c r="N56" s="1">
        <v>8651</v>
      </c>
      <c r="O56">
        <v>0.17799999999999999</v>
      </c>
      <c r="P56">
        <v>0.38200000000000001</v>
      </c>
      <c r="Q56">
        <v>0</v>
      </c>
      <c r="R56">
        <v>1</v>
      </c>
    </row>
    <row r="57" spans="1:18" x14ac:dyDescent="0.25">
      <c r="A57" t="s">
        <v>60</v>
      </c>
      <c r="B57" s="1">
        <v>23328</v>
      </c>
      <c r="C57">
        <v>0.54</v>
      </c>
      <c r="D57">
        <v>0.498</v>
      </c>
      <c r="E57">
        <v>0</v>
      </c>
      <c r="F57">
        <v>1</v>
      </c>
      <c r="G57" t="s">
        <v>60</v>
      </c>
      <c r="H57" s="1">
        <v>14677</v>
      </c>
      <c r="I57">
        <v>0.51600000000000001</v>
      </c>
      <c r="J57">
        <v>0.5</v>
      </c>
      <c r="K57">
        <v>0</v>
      </c>
      <c r="L57">
        <v>1</v>
      </c>
      <c r="M57" t="s">
        <v>60</v>
      </c>
      <c r="N57" s="1">
        <v>8651</v>
      </c>
      <c r="O57">
        <v>0.57999999999999996</v>
      </c>
      <c r="P57">
        <v>0.49399999999999999</v>
      </c>
      <c r="Q57">
        <v>0</v>
      </c>
      <c r="R57">
        <v>1</v>
      </c>
    </row>
    <row r="58" spans="1:18" x14ac:dyDescent="0.25">
      <c r="A58" t="s">
        <v>61</v>
      </c>
      <c r="B58" s="1">
        <v>23328</v>
      </c>
      <c r="C58" s="2">
        <v>2018.8150000000001</v>
      </c>
      <c r="D58">
        <v>2.0009999999999999</v>
      </c>
      <c r="E58" s="1">
        <v>2016</v>
      </c>
      <c r="F58" s="1">
        <v>2023</v>
      </c>
      <c r="G58" t="s">
        <v>61</v>
      </c>
      <c r="H58" s="1">
        <v>14677</v>
      </c>
      <c r="I58" s="2">
        <v>2017.4970000000001</v>
      </c>
      <c r="J58">
        <v>1.1579999999999999</v>
      </c>
      <c r="K58" s="1">
        <v>2016</v>
      </c>
      <c r="L58" s="1">
        <v>2020</v>
      </c>
      <c r="M58" t="s">
        <v>61</v>
      </c>
      <c r="N58" s="1">
        <v>8651</v>
      </c>
      <c r="O58" s="2">
        <v>2021.0519999999999</v>
      </c>
      <c r="P58">
        <v>0.75600000000000001</v>
      </c>
      <c r="Q58" s="1">
        <v>2020</v>
      </c>
      <c r="R58" s="1">
        <v>2023</v>
      </c>
    </row>
    <row r="59" spans="1:18" x14ac:dyDescent="0.25">
      <c r="A59" t="s">
        <v>62</v>
      </c>
      <c r="B59" s="1">
        <v>23328</v>
      </c>
      <c r="C59">
        <v>0.10100000000000001</v>
      </c>
      <c r="D59">
        <v>0.30099999999999999</v>
      </c>
      <c r="E59">
        <v>0</v>
      </c>
      <c r="F59">
        <v>1</v>
      </c>
      <c r="G59" t="s">
        <v>62</v>
      </c>
      <c r="H59" s="1">
        <v>14677</v>
      </c>
      <c r="I59" s="2">
        <v>0.11</v>
      </c>
      <c r="J59">
        <v>0.313</v>
      </c>
      <c r="K59" s="1">
        <v>0</v>
      </c>
      <c r="L59" s="1">
        <v>1</v>
      </c>
      <c r="M59" t="s">
        <v>62</v>
      </c>
      <c r="N59" s="1">
        <v>8651</v>
      </c>
      <c r="O59">
        <v>8.5999999999999993E-2</v>
      </c>
      <c r="P59">
        <v>0.28000000000000003</v>
      </c>
      <c r="Q59">
        <v>0</v>
      </c>
      <c r="R59">
        <v>1</v>
      </c>
    </row>
    <row r="60" spans="1:18" x14ac:dyDescent="0.25">
      <c r="A60" t="s">
        <v>63</v>
      </c>
      <c r="B60" s="1">
        <v>23328</v>
      </c>
      <c r="C60">
        <v>4.0000000000000002E-4</v>
      </c>
      <c r="D60">
        <v>2.1000000000000001E-2</v>
      </c>
      <c r="E60">
        <v>0</v>
      </c>
      <c r="F60">
        <v>1</v>
      </c>
      <c r="G60" t="s">
        <v>63</v>
      </c>
      <c r="H60" s="1">
        <v>14677</v>
      </c>
      <c r="I60">
        <v>2.9999999999999997E-4</v>
      </c>
      <c r="J60">
        <v>1.7999999999999999E-2</v>
      </c>
      <c r="K60">
        <v>0</v>
      </c>
      <c r="L60">
        <v>1</v>
      </c>
      <c r="M60" t="s">
        <v>63</v>
      </c>
      <c r="N60" s="1">
        <v>8651</v>
      </c>
      <c r="O60">
        <v>1E-3</v>
      </c>
      <c r="P60">
        <v>2.4E-2</v>
      </c>
      <c r="Q60">
        <v>0</v>
      </c>
      <c r="R60">
        <v>1</v>
      </c>
    </row>
    <row r="61" spans="1:18" x14ac:dyDescent="0.25">
      <c r="A61" t="s">
        <v>64</v>
      </c>
      <c r="B61" s="1">
        <v>23328</v>
      </c>
      <c r="C61">
        <v>5.7000000000000002E-2</v>
      </c>
      <c r="D61">
        <v>0.23100000000000001</v>
      </c>
      <c r="E61">
        <v>0</v>
      </c>
      <c r="F61">
        <v>1</v>
      </c>
      <c r="G61" t="s">
        <v>64</v>
      </c>
      <c r="H61" s="1">
        <v>14677</v>
      </c>
      <c r="I61">
        <v>5.1999999999999998E-2</v>
      </c>
      <c r="J61">
        <v>0.223</v>
      </c>
      <c r="K61">
        <v>0</v>
      </c>
      <c r="L61">
        <v>1</v>
      </c>
      <c r="M61" t="s">
        <v>64</v>
      </c>
      <c r="N61" s="1">
        <v>8651</v>
      </c>
      <c r="O61">
        <v>6.4000000000000001E-2</v>
      </c>
      <c r="P61">
        <v>0.24399999999999999</v>
      </c>
      <c r="Q61">
        <v>0</v>
      </c>
      <c r="R61">
        <v>1</v>
      </c>
    </row>
    <row r="62" spans="1:18" x14ac:dyDescent="0.25">
      <c r="A62" t="s">
        <v>65</v>
      </c>
      <c r="B62" s="1">
        <v>23328</v>
      </c>
      <c r="C62">
        <v>0.218</v>
      </c>
      <c r="D62">
        <v>0.41299999999999998</v>
      </c>
      <c r="E62">
        <v>0</v>
      </c>
      <c r="F62">
        <v>1</v>
      </c>
      <c r="G62" t="s">
        <v>65</v>
      </c>
      <c r="H62" s="1">
        <v>14677</v>
      </c>
      <c r="I62">
        <v>0.23</v>
      </c>
      <c r="J62">
        <v>0.42099999999999999</v>
      </c>
      <c r="K62">
        <v>0</v>
      </c>
      <c r="L62">
        <v>1</v>
      </c>
      <c r="M62" t="s">
        <v>65</v>
      </c>
      <c r="N62" s="1">
        <v>8651</v>
      </c>
      <c r="O62">
        <v>0.19600000000000001</v>
      </c>
      <c r="P62">
        <v>0.39700000000000002</v>
      </c>
      <c r="Q62">
        <v>0</v>
      </c>
      <c r="R62">
        <v>1</v>
      </c>
    </row>
    <row r="63" spans="1:18" x14ac:dyDescent="0.25">
      <c r="A63" t="s">
        <v>66</v>
      </c>
      <c r="B63" s="1">
        <v>23328</v>
      </c>
      <c r="C63">
        <v>0.29199999999999998</v>
      </c>
      <c r="D63">
        <v>0.45500000000000002</v>
      </c>
      <c r="E63">
        <v>0</v>
      </c>
      <c r="F63">
        <v>1</v>
      </c>
      <c r="G63" t="s">
        <v>66</v>
      </c>
      <c r="H63" s="1">
        <v>14677</v>
      </c>
      <c r="I63">
        <v>0.28100000000000003</v>
      </c>
      <c r="J63">
        <v>0.44900000000000001</v>
      </c>
      <c r="K63">
        <v>0</v>
      </c>
      <c r="L63">
        <v>1</v>
      </c>
      <c r="M63" t="s">
        <v>66</v>
      </c>
      <c r="N63" s="1">
        <v>8651</v>
      </c>
      <c r="O63">
        <v>0.312</v>
      </c>
      <c r="P63">
        <v>0.46300000000000002</v>
      </c>
      <c r="Q63">
        <v>0</v>
      </c>
      <c r="R63">
        <v>1</v>
      </c>
    </row>
    <row r="64" spans="1:18" x14ac:dyDescent="0.25">
      <c r="A64" t="s">
        <v>67</v>
      </c>
      <c r="B64" s="1">
        <v>23328</v>
      </c>
      <c r="C64">
        <v>7.0999999999999994E-2</v>
      </c>
      <c r="D64">
        <v>0.25600000000000001</v>
      </c>
      <c r="E64">
        <v>0</v>
      </c>
      <c r="F64">
        <v>1</v>
      </c>
      <c r="G64" t="s">
        <v>67</v>
      </c>
      <c r="H64" s="1">
        <v>14677</v>
      </c>
      <c r="I64">
        <v>6.9000000000000006E-2</v>
      </c>
      <c r="J64">
        <v>0.254</v>
      </c>
      <c r="K64">
        <v>0</v>
      </c>
      <c r="L64">
        <v>1</v>
      </c>
      <c r="M64" t="s">
        <v>67</v>
      </c>
      <c r="N64" s="1">
        <v>8651</v>
      </c>
      <c r="O64">
        <v>7.1999999999999995E-2</v>
      </c>
      <c r="P64">
        <v>0.25900000000000001</v>
      </c>
      <c r="Q64">
        <v>0</v>
      </c>
      <c r="R64">
        <v>1</v>
      </c>
    </row>
    <row r="65" spans="1:18" x14ac:dyDescent="0.25">
      <c r="A65" t="s">
        <v>68</v>
      </c>
      <c r="B65" s="1">
        <v>23328</v>
      </c>
      <c r="C65">
        <v>0.20300000000000001</v>
      </c>
      <c r="D65">
        <v>0.40200000000000002</v>
      </c>
      <c r="E65">
        <v>0</v>
      </c>
      <c r="F65">
        <v>1</v>
      </c>
      <c r="G65" t="s">
        <v>68</v>
      </c>
      <c r="H65" s="1">
        <v>14677</v>
      </c>
      <c r="I65">
        <v>0.19400000000000001</v>
      </c>
      <c r="J65">
        <v>0.39500000000000002</v>
      </c>
      <c r="K65">
        <v>0</v>
      </c>
      <c r="L65">
        <v>1</v>
      </c>
      <c r="M65" t="s">
        <v>68</v>
      </c>
      <c r="N65" s="1">
        <v>8651</v>
      </c>
      <c r="O65">
        <v>0.219</v>
      </c>
      <c r="P65">
        <v>0.41299999999999998</v>
      </c>
      <c r="Q65">
        <v>0</v>
      </c>
      <c r="R65">
        <v>1</v>
      </c>
    </row>
    <row r="66" spans="1:18" x14ac:dyDescent="0.25">
      <c r="A66" t="s">
        <v>69</v>
      </c>
      <c r="B66" s="1">
        <v>23328</v>
      </c>
      <c r="C66">
        <v>5.8999999999999997E-2</v>
      </c>
      <c r="D66">
        <v>0.23499999999999999</v>
      </c>
      <c r="E66">
        <v>0</v>
      </c>
      <c r="F66">
        <v>1</v>
      </c>
      <c r="G66" t="s">
        <v>69</v>
      </c>
      <c r="H66" s="1">
        <v>14677</v>
      </c>
      <c r="I66">
        <v>6.3E-2</v>
      </c>
      <c r="J66">
        <v>0.24299999999999999</v>
      </c>
      <c r="K66">
        <v>0</v>
      </c>
      <c r="L66">
        <v>1</v>
      </c>
      <c r="M66" t="s">
        <v>69</v>
      </c>
      <c r="N66" s="1">
        <v>8651</v>
      </c>
      <c r="O66">
        <v>5.0999999999999997E-2</v>
      </c>
      <c r="P66">
        <v>0.221</v>
      </c>
      <c r="Q66">
        <v>0</v>
      </c>
      <c r="R66">
        <v>1</v>
      </c>
    </row>
    <row r="67" spans="1:18" x14ac:dyDescent="0.25">
      <c r="A67" t="s">
        <v>70</v>
      </c>
      <c r="B67" s="1">
        <v>23328</v>
      </c>
      <c r="C67">
        <v>0.185</v>
      </c>
      <c r="D67">
        <v>0.38800000000000001</v>
      </c>
      <c r="E67">
        <v>0</v>
      </c>
      <c r="F67">
        <v>1</v>
      </c>
      <c r="G67" t="s">
        <v>70</v>
      </c>
      <c r="H67" s="1">
        <v>14677</v>
      </c>
      <c r="I67">
        <v>0.18</v>
      </c>
      <c r="J67">
        <v>0.38400000000000001</v>
      </c>
      <c r="K67">
        <v>0</v>
      </c>
      <c r="L67">
        <v>1</v>
      </c>
      <c r="M67" t="s">
        <v>70</v>
      </c>
      <c r="N67" s="1">
        <v>8651</v>
      </c>
      <c r="O67">
        <v>0.193</v>
      </c>
      <c r="P67">
        <v>0.39500000000000002</v>
      </c>
      <c r="Q67">
        <v>0</v>
      </c>
      <c r="R67">
        <v>1</v>
      </c>
    </row>
    <row r="68" spans="1:18" x14ac:dyDescent="0.25">
      <c r="A68" t="s">
        <v>71</v>
      </c>
      <c r="B68" s="1">
        <v>23328</v>
      </c>
      <c r="C68">
        <v>0.35699999999999998</v>
      </c>
      <c r="D68">
        <v>0.47899999999999998</v>
      </c>
      <c r="E68">
        <v>0</v>
      </c>
      <c r="F68">
        <v>1</v>
      </c>
      <c r="G68" t="s">
        <v>71</v>
      </c>
      <c r="H68" s="1">
        <v>14677</v>
      </c>
      <c r="I68">
        <v>0.371</v>
      </c>
      <c r="J68">
        <v>0.48299999999999998</v>
      </c>
      <c r="K68">
        <v>0</v>
      </c>
      <c r="L68">
        <v>1</v>
      </c>
      <c r="M68" t="s">
        <v>71</v>
      </c>
      <c r="N68" s="1">
        <v>8651</v>
      </c>
      <c r="O68">
        <v>0.33400000000000002</v>
      </c>
      <c r="P68">
        <v>0.47199999999999998</v>
      </c>
      <c r="Q68">
        <v>0</v>
      </c>
      <c r="R68">
        <v>1</v>
      </c>
    </row>
    <row r="69" spans="1:18" x14ac:dyDescent="0.25">
      <c r="A69" t="s">
        <v>72</v>
      </c>
      <c r="B69" s="1">
        <v>23328</v>
      </c>
      <c r="C69">
        <v>0.42899999999999999</v>
      </c>
      <c r="D69">
        <v>0.495</v>
      </c>
      <c r="E69">
        <v>0</v>
      </c>
      <c r="F69">
        <v>1</v>
      </c>
      <c r="G69" t="s">
        <v>72</v>
      </c>
      <c r="H69" s="1">
        <v>14677</v>
      </c>
      <c r="I69">
        <v>0.42199999999999999</v>
      </c>
      <c r="J69">
        <v>0.49399999999999999</v>
      </c>
      <c r="K69">
        <v>0</v>
      </c>
      <c r="L69">
        <v>1</v>
      </c>
      <c r="M69" t="s">
        <v>72</v>
      </c>
      <c r="N69" s="1">
        <v>8651</v>
      </c>
      <c r="O69">
        <v>0.442</v>
      </c>
      <c r="P69">
        <v>0.497</v>
      </c>
      <c r="Q69">
        <v>0</v>
      </c>
      <c r="R69">
        <v>1</v>
      </c>
    </row>
    <row r="70" spans="1:18" x14ac:dyDescent="0.25">
      <c r="A70" t="s">
        <v>73</v>
      </c>
      <c r="B70" s="1">
        <v>23328</v>
      </c>
      <c r="C70">
        <v>2.9000000000000001E-2</v>
      </c>
      <c r="D70">
        <v>0.16700000000000001</v>
      </c>
      <c r="E70">
        <v>0</v>
      </c>
      <c r="F70">
        <v>1</v>
      </c>
      <c r="G70" t="s">
        <v>73</v>
      </c>
      <c r="H70" s="1">
        <v>14677</v>
      </c>
      <c r="I70">
        <v>2.7E-2</v>
      </c>
      <c r="J70">
        <v>0.16200000000000001</v>
      </c>
      <c r="K70">
        <v>0</v>
      </c>
      <c r="L70">
        <v>1</v>
      </c>
      <c r="M70" t="s">
        <v>73</v>
      </c>
      <c r="N70" s="1">
        <v>8651</v>
      </c>
      <c r="O70">
        <v>3.1E-2</v>
      </c>
      <c r="P70">
        <v>0.17399999999999999</v>
      </c>
      <c r="Q70">
        <v>0</v>
      </c>
      <c r="R70">
        <v>1</v>
      </c>
    </row>
    <row r="71" spans="1:18" x14ac:dyDescent="0.25">
      <c r="A71" t="s">
        <v>165</v>
      </c>
      <c r="B71" s="1">
        <v>23328</v>
      </c>
      <c r="C71">
        <v>0.10299999999999999</v>
      </c>
      <c r="D71">
        <v>0.30399999999999999</v>
      </c>
      <c r="E71">
        <v>0</v>
      </c>
      <c r="F71">
        <v>1</v>
      </c>
      <c r="G71" t="s">
        <v>165</v>
      </c>
      <c r="H71" s="1">
        <v>14677</v>
      </c>
      <c r="I71">
        <v>0.104</v>
      </c>
      <c r="J71">
        <v>0.30599999999999999</v>
      </c>
      <c r="K71">
        <v>0</v>
      </c>
      <c r="L71">
        <v>1</v>
      </c>
      <c r="M71" t="s">
        <v>165</v>
      </c>
      <c r="N71" s="1">
        <v>8651</v>
      </c>
      <c r="O71">
        <v>0.10199999999999999</v>
      </c>
      <c r="P71">
        <v>0.30299999999999999</v>
      </c>
      <c r="Q71">
        <v>0</v>
      </c>
      <c r="R71">
        <v>1</v>
      </c>
    </row>
    <row r="72" spans="1:18" x14ac:dyDescent="0.25">
      <c r="A72" t="s">
        <v>166</v>
      </c>
      <c r="B72" s="1">
        <v>23328</v>
      </c>
      <c r="C72">
        <v>0.45500000000000002</v>
      </c>
      <c r="D72">
        <v>0.498</v>
      </c>
      <c r="E72">
        <v>0</v>
      </c>
      <c r="F72">
        <v>1</v>
      </c>
      <c r="G72" t="s">
        <v>166</v>
      </c>
      <c r="H72" s="1">
        <v>14677</v>
      </c>
      <c r="I72">
        <v>0.439</v>
      </c>
      <c r="J72">
        <v>0.496</v>
      </c>
      <c r="K72">
        <v>0</v>
      </c>
      <c r="L72">
        <v>1</v>
      </c>
      <c r="M72" t="s">
        <v>166</v>
      </c>
      <c r="N72" s="1">
        <v>8651</v>
      </c>
      <c r="O72">
        <v>0.48199999999999998</v>
      </c>
      <c r="P72">
        <v>0.5</v>
      </c>
      <c r="Q72">
        <v>0</v>
      </c>
      <c r="R72">
        <v>1</v>
      </c>
    </row>
    <row r="73" spans="1:18" x14ac:dyDescent="0.25">
      <c r="A73" t="s">
        <v>167</v>
      </c>
      <c r="B73" s="1">
        <v>23328</v>
      </c>
      <c r="C73">
        <v>0.42299999999999999</v>
      </c>
      <c r="D73">
        <v>0.49399999999999999</v>
      </c>
      <c r="E73">
        <v>0</v>
      </c>
      <c r="F73">
        <v>1</v>
      </c>
      <c r="G73" t="s">
        <v>167</v>
      </c>
      <c r="H73" s="1">
        <v>14677</v>
      </c>
      <c r="I73">
        <v>0.438</v>
      </c>
      <c r="J73">
        <v>0.496</v>
      </c>
      <c r="K73">
        <v>0</v>
      </c>
      <c r="L73">
        <v>1</v>
      </c>
      <c r="M73" t="s">
        <v>167</v>
      </c>
      <c r="N73" s="1">
        <v>8651</v>
      </c>
      <c r="O73">
        <v>0.39700000000000002</v>
      </c>
      <c r="P73">
        <v>0.48899999999999999</v>
      </c>
      <c r="Q73">
        <v>0</v>
      </c>
      <c r="R73">
        <v>1</v>
      </c>
    </row>
    <row r="74" spans="1:18" x14ac:dyDescent="0.25">
      <c r="A74" t="s">
        <v>168</v>
      </c>
      <c r="B74" s="1">
        <v>23328</v>
      </c>
      <c r="C74">
        <v>8.9999999999999993E-3</v>
      </c>
      <c r="D74">
        <v>9.5000000000000001E-2</v>
      </c>
      <c r="E74">
        <v>0</v>
      </c>
      <c r="F74">
        <v>1</v>
      </c>
      <c r="G74" t="s">
        <v>168</v>
      </c>
      <c r="H74" s="1">
        <v>14677</v>
      </c>
      <c r="I74">
        <v>8.9999999999999993E-3</v>
      </c>
      <c r="J74">
        <v>9.2999999999999999E-2</v>
      </c>
      <c r="K74">
        <v>0</v>
      </c>
      <c r="L74">
        <v>1</v>
      </c>
      <c r="M74" t="s">
        <v>168</v>
      </c>
      <c r="N74" s="1">
        <v>8651</v>
      </c>
      <c r="O74">
        <v>8.9999999999999993E-3</v>
      </c>
      <c r="P74">
        <v>9.7000000000000003E-2</v>
      </c>
      <c r="Q74">
        <v>0</v>
      </c>
      <c r="R74">
        <v>1</v>
      </c>
    </row>
    <row r="75" spans="1:18" x14ac:dyDescent="0.25">
      <c r="A75" t="s">
        <v>169</v>
      </c>
      <c r="B75" s="1">
        <v>23328</v>
      </c>
      <c r="C75">
        <v>8.0000000000000002E-3</v>
      </c>
      <c r="D75">
        <v>0.09</v>
      </c>
      <c r="E75">
        <v>0</v>
      </c>
      <c r="F75">
        <v>1</v>
      </c>
      <c r="G75" t="s">
        <v>169</v>
      </c>
      <c r="H75" s="1">
        <v>14677</v>
      </c>
      <c r="I75">
        <v>8.0000000000000002E-3</v>
      </c>
      <c r="J75">
        <v>8.8999999999999996E-2</v>
      </c>
      <c r="K75">
        <v>0</v>
      </c>
      <c r="L75">
        <v>1</v>
      </c>
      <c r="M75" t="s">
        <v>169</v>
      </c>
      <c r="N75" s="1">
        <v>8651</v>
      </c>
      <c r="O75">
        <v>8.0000000000000002E-3</v>
      </c>
      <c r="P75">
        <v>9.0999999999999998E-2</v>
      </c>
      <c r="Q75">
        <v>0</v>
      </c>
      <c r="R75">
        <v>1</v>
      </c>
    </row>
    <row r="76" spans="1:18" x14ac:dyDescent="0.25">
      <c r="A76" t="s">
        <v>170</v>
      </c>
      <c r="B76" s="1">
        <v>23328</v>
      </c>
      <c r="C76">
        <v>1E-3</v>
      </c>
      <c r="D76">
        <v>3.5000000000000003E-2</v>
      </c>
      <c r="E76">
        <v>0</v>
      </c>
      <c r="F76">
        <v>1</v>
      </c>
      <c r="G76" t="s">
        <v>170</v>
      </c>
      <c r="H76" s="1">
        <v>14677</v>
      </c>
      <c r="I76">
        <v>1E-3</v>
      </c>
      <c r="J76">
        <v>3.4000000000000002E-2</v>
      </c>
      <c r="K76">
        <v>0</v>
      </c>
      <c r="L76">
        <v>1</v>
      </c>
      <c r="M76" t="s">
        <v>170</v>
      </c>
      <c r="N76" s="1">
        <v>8651</v>
      </c>
      <c r="O76">
        <v>1E-3</v>
      </c>
      <c r="P76">
        <v>3.6999999999999998E-2</v>
      </c>
      <c r="Q76">
        <v>0</v>
      </c>
      <c r="R76">
        <v>1</v>
      </c>
    </row>
    <row r="77" spans="1:18" x14ac:dyDescent="0.25">
      <c r="A77" t="s">
        <v>79</v>
      </c>
      <c r="B77" s="1">
        <v>23328</v>
      </c>
      <c r="C77">
        <v>0.20599999999999999</v>
      </c>
      <c r="D77">
        <v>0.40400000000000003</v>
      </c>
      <c r="E77">
        <v>0</v>
      </c>
      <c r="F77">
        <v>1</v>
      </c>
      <c r="G77" t="s">
        <v>79</v>
      </c>
      <c r="H77" s="1">
        <v>14677</v>
      </c>
      <c r="I77">
        <v>0.20499999999999999</v>
      </c>
      <c r="J77">
        <v>0.40400000000000003</v>
      </c>
      <c r="K77">
        <v>0</v>
      </c>
      <c r="L77">
        <v>1</v>
      </c>
      <c r="M77" t="s">
        <v>79</v>
      </c>
      <c r="N77" s="1">
        <v>8651</v>
      </c>
      <c r="O77">
        <v>0.20599999999999999</v>
      </c>
      <c r="P77">
        <v>0.40500000000000003</v>
      </c>
      <c r="Q77">
        <v>0</v>
      </c>
      <c r="R77">
        <v>1</v>
      </c>
    </row>
    <row r="78" spans="1:18" x14ac:dyDescent="0.25">
      <c r="A78" t="s">
        <v>80</v>
      </c>
      <c r="B78" s="1">
        <v>23328</v>
      </c>
      <c r="C78">
        <v>1.0999999999999999E-2</v>
      </c>
      <c r="D78">
        <v>0.105</v>
      </c>
      <c r="E78">
        <v>0</v>
      </c>
      <c r="F78">
        <v>1</v>
      </c>
      <c r="G78" t="s">
        <v>80</v>
      </c>
      <c r="H78" s="1">
        <v>14677</v>
      </c>
      <c r="I78">
        <v>8.9999999999999993E-3</v>
      </c>
      <c r="J78">
        <v>9.7000000000000003E-2</v>
      </c>
      <c r="K78">
        <v>0</v>
      </c>
      <c r="L78">
        <v>1</v>
      </c>
      <c r="M78" t="s">
        <v>80</v>
      </c>
      <c r="N78" s="1">
        <v>8651</v>
      </c>
      <c r="O78">
        <v>1.4E-2</v>
      </c>
      <c r="P78">
        <v>0.11600000000000001</v>
      </c>
      <c r="Q78">
        <v>0</v>
      </c>
      <c r="R78">
        <v>1</v>
      </c>
    </row>
    <row r="79" spans="1:18" x14ac:dyDescent="0.25">
      <c r="A79" t="s">
        <v>81</v>
      </c>
      <c r="B79" s="1">
        <v>23328</v>
      </c>
      <c r="C79">
        <v>1E-3</v>
      </c>
      <c r="D79">
        <v>2.4E-2</v>
      </c>
      <c r="E79">
        <v>0</v>
      </c>
      <c r="F79">
        <v>1</v>
      </c>
      <c r="G79" t="s">
        <v>81</v>
      </c>
      <c r="H79" s="1">
        <v>14677</v>
      </c>
      <c r="I79">
        <v>1E-3</v>
      </c>
      <c r="J79">
        <v>2.5000000000000001E-2</v>
      </c>
      <c r="K79">
        <v>0</v>
      </c>
      <c r="L79">
        <v>1</v>
      </c>
      <c r="M79" t="s">
        <v>81</v>
      </c>
      <c r="N79" s="1">
        <v>8651</v>
      </c>
      <c r="O79">
        <v>1E-3</v>
      </c>
      <c r="P79">
        <v>2.4E-2</v>
      </c>
      <c r="Q79">
        <v>0</v>
      </c>
      <c r="R79">
        <v>1</v>
      </c>
    </row>
    <row r="80" spans="1:18" x14ac:dyDescent="0.25">
      <c r="A80" t="s">
        <v>82</v>
      </c>
      <c r="B80" s="1">
        <v>23328</v>
      </c>
      <c r="C80">
        <v>7.5999999999999998E-2</v>
      </c>
      <c r="D80">
        <v>0.26500000000000001</v>
      </c>
      <c r="E80">
        <v>0</v>
      </c>
      <c r="F80">
        <v>1</v>
      </c>
      <c r="G80" t="s">
        <v>82</v>
      </c>
      <c r="H80" s="1">
        <v>14677</v>
      </c>
      <c r="I80">
        <v>7.5999999999999998E-2</v>
      </c>
      <c r="J80">
        <v>0.26400000000000001</v>
      </c>
      <c r="K80">
        <v>0</v>
      </c>
      <c r="L80">
        <v>1</v>
      </c>
      <c r="M80" t="s">
        <v>82</v>
      </c>
      <c r="N80" s="1">
        <v>8651</v>
      </c>
      <c r="O80">
        <v>7.6999999999999999E-2</v>
      </c>
      <c r="P80">
        <v>0.26600000000000001</v>
      </c>
      <c r="Q80">
        <v>0</v>
      </c>
      <c r="R80">
        <v>1</v>
      </c>
    </row>
    <row r="81" spans="1:18" x14ac:dyDescent="0.25">
      <c r="A81" t="s">
        <v>83</v>
      </c>
      <c r="B81" s="1">
        <v>23328</v>
      </c>
      <c r="C81">
        <v>0.28799999999999998</v>
      </c>
      <c r="D81">
        <v>0.45300000000000001</v>
      </c>
      <c r="E81">
        <v>0</v>
      </c>
      <c r="F81">
        <v>1</v>
      </c>
      <c r="G81" t="s">
        <v>83</v>
      </c>
      <c r="H81" s="1">
        <v>14677</v>
      </c>
      <c r="I81">
        <v>0.30199999999999999</v>
      </c>
      <c r="J81">
        <v>0.45900000000000002</v>
      </c>
      <c r="K81">
        <v>0</v>
      </c>
      <c r="L81">
        <v>1</v>
      </c>
      <c r="M81" t="s">
        <v>83</v>
      </c>
      <c r="N81" s="1">
        <v>8651</v>
      </c>
      <c r="O81">
        <v>0.26400000000000001</v>
      </c>
      <c r="P81">
        <v>0.441</v>
      </c>
      <c r="Q81">
        <v>0</v>
      </c>
      <c r="R81">
        <v>1</v>
      </c>
    </row>
    <row r="82" spans="1:18" x14ac:dyDescent="0.25">
      <c r="A82" t="s">
        <v>84</v>
      </c>
      <c r="B82" s="1">
        <v>23328</v>
      </c>
      <c r="C82">
        <v>8.0000000000000002E-3</v>
      </c>
      <c r="D82">
        <v>0.09</v>
      </c>
      <c r="E82">
        <v>0</v>
      </c>
      <c r="F82">
        <v>1</v>
      </c>
      <c r="G82" t="s">
        <v>84</v>
      </c>
      <c r="H82" s="1">
        <v>14677</v>
      </c>
      <c r="I82">
        <v>7.0000000000000001E-3</v>
      </c>
      <c r="J82">
        <v>8.5000000000000006E-2</v>
      </c>
      <c r="K82">
        <v>0</v>
      </c>
      <c r="L82">
        <v>1</v>
      </c>
      <c r="M82" t="s">
        <v>84</v>
      </c>
      <c r="N82" s="1">
        <v>8651</v>
      </c>
      <c r="O82">
        <v>0.01</v>
      </c>
      <c r="P82">
        <v>9.9000000000000005E-2</v>
      </c>
      <c r="Q82">
        <v>0</v>
      </c>
      <c r="R82">
        <v>1</v>
      </c>
    </row>
    <row r="83" spans="1:18" x14ac:dyDescent="0.25">
      <c r="A83" t="s">
        <v>85</v>
      </c>
      <c r="B83" s="1">
        <v>23328</v>
      </c>
      <c r="C83">
        <v>0.41</v>
      </c>
      <c r="D83">
        <v>0.49199999999999999</v>
      </c>
      <c r="E83">
        <v>0</v>
      </c>
      <c r="F83">
        <v>1</v>
      </c>
      <c r="G83" t="s">
        <v>85</v>
      </c>
      <c r="H83" s="1">
        <v>14677</v>
      </c>
      <c r="I83">
        <v>0.4</v>
      </c>
      <c r="J83">
        <v>0.49</v>
      </c>
      <c r="K83">
        <v>0</v>
      </c>
      <c r="L83">
        <v>1</v>
      </c>
      <c r="M83" t="s">
        <v>85</v>
      </c>
      <c r="N83" s="1">
        <v>8651</v>
      </c>
      <c r="O83">
        <v>0.42899999999999999</v>
      </c>
      <c r="P83">
        <v>0.495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162</v>
      </c>
      <c r="E84" t="s">
        <v>8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162</v>
      </c>
      <c r="Q84" t="s">
        <v>8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49C9-FB3B-4E53-8F09-613CE49C1E96}">
  <sheetPr codeName="Sheet9"/>
  <dimension ref="A1:R85"/>
  <sheetViews>
    <sheetView workbookViewId="0">
      <selection activeCell="M1" sqref="M1:M84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  <c r="M1" t="s">
        <v>0</v>
      </c>
      <c r="N1" t="s">
        <v>1</v>
      </c>
      <c r="O1" t="s">
        <v>2</v>
      </c>
      <c r="P1" t="s">
        <v>3</v>
      </c>
      <c r="Q1" t="s">
        <v>4</v>
      </c>
      <c r="R1" t="s">
        <v>5</v>
      </c>
    </row>
    <row r="2" spans="1:18" x14ac:dyDescent="0.25">
      <c r="A2" t="s">
        <v>6</v>
      </c>
      <c r="B2" t="s">
        <v>7</v>
      </c>
      <c r="C2" t="s">
        <v>8</v>
      </c>
      <c r="D2" t="s">
        <v>8</v>
      </c>
      <c r="E2" t="s">
        <v>9</v>
      </c>
      <c r="F2" t="s">
        <v>9</v>
      </c>
      <c r="G2" t="s">
        <v>6</v>
      </c>
      <c r="H2" t="s">
        <v>7</v>
      </c>
      <c r="I2" t="s">
        <v>8</v>
      </c>
      <c r="J2" t="s">
        <v>162</v>
      </c>
      <c r="K2" t="s">
        <v>8</v>
      </c>
      <c r="L2" t="s">
        <v>9</v>
      </c>
      <c r="M2" t="s">
        <v>6</v>
      </c>
      <c r="N2" t="s">
        <v>171</v>
      </c>
      <c r="O2" t="s">
        <v>8</v>
      </c>
      <c r="P2" t="s">
        <v>8</v>
      </c>
      <c r="Q2" t="s">
        <v>9</v>
      </c>
      <c r="R2" t="s">
        <v>9</v>
      </c>
    </row>
    <row r="3" spans="1:18" x14ac:dyDescent="0.25">
      <c r="A3" t="s">
        <v>10</v>
      </c>
      <c r="B3" s="1">
        <v>19897</v>
      </c>
      <c r="C3">
        <v>1.169</v>
      </c>
      <c r="D3">
        <v>0.41199999999999998</v>
      </c>
      <c r="E3">
        <v>1</v>
      </c>
      <c r="F3">
        <v>4</v>
      </c>
      <c r="G3" t="s">
        <v>10</v>
      </c>
      <c r="H3" s="1">
        <v>12451</v>
      </c>
      <c r="I3">
        <v>1.2330000000000001</v>
      </c>
      <c r="J3">
        <v>0.47299999999999998</v>
      </c>
      <c r="K3">
        <v>1</v>
      </c>
      <c r="L3">
        <v>4</v>
      </c>
      <c r="M3" t="s">
        <v>10</v>
      </c>
      <c r="N3" s="1">
        <v>7446</v>
      </c>
      <c r="O3">
        <v>1.0609999999999999</v>
      </c>
      <c r="P3">
        <v>0.245</v>
      </c>
      <c r="Q3">
        <v>1</v>
      </c>
      <c r="R3">
        <v>3</v>
      </c>
    </row>
    <row r="4" spans="1:18" x14ac:dyDescent="0.25">
      <c r="A4" t="s">
        <v>11</v>
      </c>
      <c r="B4" s="1">
        <v>19897</v>
      </c>
      <c r="C4">
        <v>0.374</v>
      </c>
      <c r="D4">
        <v>0.48399999999999999</v>
      </c>
      <c r="E4">
        <v>0</v>
      </c>
      <c r="F4">
        <v>1</v>
      </c>
      <c r="G4" t="s">
        <v>11</v>
      </c>
      <c r="H4" s="1">
        <v>12451</v>
      </c>
      <c r="I4">
        <v>0</v>
      </c>
      <c r="J4">
        <v>0</v>
      </c>
      <c r="K4">
        <v>0</v>
      </c>
      <c r="L4">
        <v>0</v>
      </c>
      <c r="M4" t="s">
        <v>11</v>
      </c>
      <c r="N4" s="1">
        <v>7446</v>
      </c>
      <c r="O4">
        <v>1</v>
      </c>
      <c r="P4">
        <v>0</v>
      </c>
      <c r="Q4">
        <v>1</v>
      </c>
      <c r="R4">
        <v>1</v>
      </c>
    </row>
    <row r="5" spans="1:18" x14ac:dyDescent="0.25">
      <c r="A5" t="s">
        <v>12</v>
      </c>
      <c r="B5" s="1">
        <v>19897</v>
      </c>
      <c r="C5">
        <v>0.32700000000000001</v>
      </c>
      <c r="D5">
        <v>0.46899999999999997</v>
      </c>
      <c r="E5">
        <v>0</v>
      </c>
      <c r="F5">
        <v>1</v>
      </c>
      <c r="G5" t="s">
        <v>12</v>
      </c>
      <c r="H5" s="1">
        <v>12451</v>
      </c>
      <c r="I5">
        <v>1E-3</v>
      </c>
      <c r="J5">
        <v>3.4000000000000002E-2</v>
      </c>
      <c r="K5">
        <v>0</v>
      </c>
      <c r="L5">
        <v>1</v>
      </c>
      <c r="M5" t="s">
        <v>12</v>
      </c>
      <c r="N5" s="1">
        <v>7446</v>
      </c>
      <c r="O5">
        <v>0.872</v>
      </c>
      <c r="P5">
        <v>0.33400000000000002</v>
      </c>
      <c r="Q5">
        <v>0</v>
      </c>
      <c r="R5">
        <v>1</v>
      </c>
    </row>
    <row r="6" spans="1:18" x14ac:dyDescent="0.25">
      <c r="A6" t="s">
        <v>36</v>
      </c>
      <c r="B6" s="1">
        <v>7446</v>
      </c>
      <c r="C6">
        <v>287.48099999999999</v>
      </c>
      <c r="D6">
        <v>542.79499999999996</v>
      </c>
      <c r="E6">
        <v>0</v>
      </c>
      <c r="F6" s="1">
        <v>4021</v>
      </c>
      <c r="H6" s="1"/>
      <c r="M6" t="s">
        <v>36</v>
      </c>
      <c r="N6" s="1">
        <v>7446</v>
      </c>
      <c r="O6">
        <v>287.48099999999999</v>
      </c>
      <c r="P6">
        <v>542.79499999999996</v>
      </c>
      <c r="Q6">
        <v>0</v>
      </c>
      <c r="R6" s="1">
        <v>4021</v>
      </c>
    </row>
    <row r="7" spans="1:18" x14ac:dyDescent="0.25">
      <c r="A7" t="s">
        <v>13</v>
      </c>
      <c r="B7" s="1">
        <v>19897</v>
      </c>
      <c r="C7">
        <v>2.3879999999999999</v>
      </c>
      <c r="D7">
        <v>0.98</v>
      </c>
      <c r="E7">
        <v>0</v>
      </c>
      <c r="F7">
        <v>17</v>
      </c>
      <c r="G7" t="s">
        <v>13</v>
      </c>
      <c r="H7" s="1">
        <v>12451</v>
      </c>
      <c r="I7">
        <v>2.355</v>
      </c>
      <c r="J7">
        <v>0.94099999999999995</v>
      </c>
      <c r="K7">
        <v>0</v>
      </c>
      <c r="L7">
        <v>17</v>
      </c>
      <c r="M7" t="s">
        <v>13</v>
      </c>
      <c r="N7" s="1">
        <v>7446</v>
      </c>
      <c r="O7">
        <v>2.4449999999999998</v>
      </c>
      <c r="P7">
        <v>1.04</v>
      </c>
      <c r="Q7">
        <v>0</v>
      </c>
      <c r="R7">
        <v>14</v>
      </c>
    </row>
    <row r="8" spans="1:18" x14ac:dyDescent="0.25">
      <c r="A8" t="s">
        <v>14</v>
      </c>
      <c r="B8" s="1">
        <v>19897</v>
      </c>
      <c r="C8">
        <v>0.38500000000000001</v>
      </c>
      <c r="D8">
        <v>0.52500000000000002</v>
      </c>
      <c r="E8">
        <v>0</v>
      </c>
      <c r="F8">
        <v>5</v>
      </c>
      <c r="G8" t="s">
        <v>14</v>
      </c>
      <c r="H8" s="1">
        <v>12451</v>
      </c>
      <c r="I8">
        <v>0.39300000000000002</v>
      </c>
      <c r="J8">
        <v>0.52</v>
      </c>
      <c r="K8">
        <v>0</v>
      </c>
      <c r="L8">
        <v>5</v>
      </c>
      <c r="M8" t="s">
        <v>14</v>
      </c>
      <c r="N8" s="1">
        <v>7446</v>
      </c>
      <c r="O8">
        <v>0.371</v>
      </c>
      <c r="P8">
        <v>0.53500000000000003</v>
      </c>
      <c r="Q8">
        <v>0</v>
      </c>
      <c r="R8">
        <v>5</v>
      </c>
    </row>
    <row r="9" spans="1:18" x14ac:dyDescent="0.25">
      <c r="A9" t="s">
        <v>15</v>
      </c>
      <c r="B9" s="1">
        <v>19897</v>
      </c>
      <c r="C9">
        <v>3.8029999999999999</v>
      </c>
      <c r="D9">
        <v>1.2689999999999999</v>
      </c>
      <c r="E9">
        <v>0</v>
      </c>
      <c r="F9">
        <v>25</v>
      </c>
      <c r="G9" t="s">
        <v>15</v>
      </c>
      <c r="H9" s="1">
        <v>12451</v>
      </c>
      <c r="I9">
        <v>3.746</v>
      </c>
      <c r="J9">
        <v>1.2</v>
      </c>
      <c r="K9">
        <v>0</v>
      </c>
      <c r="L9">
        <v>18</v>
      </c>
      <c r="M9" t="s">
        <v>15</v>
      </c>
      <c r="N9" s="1">
        <v>7446</v>
      </c>
      <c r="O9">
        <v>3.8980000000000001</v>
      </c>
      <c r="P9">
        <v>1.3720000000000001</v>
      </c>
      <c r="Q9">
        <v>0</v>
      </c>
      <c r="R9">
        <v>25</v>
      </c>
    </row>
    <row r="10" spans="1:18" x14ac:dyDescent="0.25">
      <c r="A10" t="s">
        <v>16</v>
      </c>
      <c r="B10" s="1">
        <v>19897</v>
      </c>
      <c r="C10">
        <v>44.585000000000001</v>
      </c>
      <c r="D10">
        <v>58.28</v>
      </c>
      <c r="E10">
        <v>0</v>
      </c>
      <c r="F10" s="1">
        <v>1402</v>
      </c>
      <c r="G10" t="s">
        <v>16</v>
      </c>
      <c r="H10" s="1">
        <v>12451</v>
      </c>
      <c r="I10">
        <v>52.393999999999998</v>
      </c>
      <c r="J10">
        <v>60.484000000000002</v>
      </c>
      <c r="K10">
        <v>0</v>
      </c>
      <c r="L10" s="1">
        <v>1402</v>
      </c>
      <c r="M10" t="s">
        <v>16</v>
      </c>
      <c r="N10" s="1">
        <v>7446</v>
      </c>
      <c r="O10">
        <v>31.526</v>
      </c>
      <c r="P10">
        <v>51.835000000000001</v>
      </c>
      <c r="Q10">
        <v>0</v>
      </c>
      <c r="R10">
        <v>593</v>
      </c>
    </row>
    <row r="11" spans="1:18" x14ac:dyDescent="0.25">
      <c r="A11" t="s">
        <v>163</v>
      </c>
      <c r="B11" s="1">
        <v>19897</v>
      </c>
      <c r="C11" s="2">
        <v>1875.6110000000001</v>
      </c>
      <c r="D11">
        <v>912.09400000000005</v>
      </c>
      <c r="E11">
        <v>220</v>
      </c>
      <c r="F11" s="1">
        <v>17408</v>
      </c>
      <c r="G11" t="s">
        <v>163</v>
      </c>
      <c r="H11" s="1">
        <v>12451</v>
      </c>
      <c r="I11" s="2">
        <v>1843.7370000000001</v>
      </c>
      <c r="J11">
        <v>872.82500000000005</v>
      </c>
      <c r="K11">
        <v>420</v>
      </c>
      <c r="L11" s="1">
        <v>17408</v>
      </c>
      <c r="M11" t="s">
        <v>163</v>
      </c>
      <c r="N11" s="1">
        <v>7446</v>
      </c>
      <c r="O11" s="2">
        <v>1928.9079999999999</v>
      </c>
      <c r="P11">
        <v>971.95600000000002</v>
      </c>
      <c r="Q11">
        <v>220</v>
      </c>
      <c r="R11" s="1">
        <v>16703</v>
      </c>
    </row>
    <row r="12" spans="1:18" x14ac:dyDescent="0.25">
      <c r="A12" t="s">
        <v>17</v>
      </c>
      <c r="B12" s="1">
        <v>19897</v>
      </c>
      <c r="C12">
        <v>331.762</v>
      </c>
      <c r="D12">
        <v>234.667</v>
      </c>
      <c r="E12">
        <v>0</v>
      </c>
      <c r="F12" s="1">
        <v>5000</v>
      </c>
      <c r="G12" t="s">
        <v>17</v>
      </c>
      <c r="H12" s="1">
        <v>12451</v>
      </c>
      <c r="I12" s="2">
        <v>330.44499999999999</v>
      </c>
      <c r="J12">
        <v>234.61199999999999</v>
      </c>
      <c r="K12">
        <v>0</v>
      </c>
      <c r="L12" s="1">
        <v>5000</v>
      </c>
      <c r="M12" t="s">
        <v>17</v>
      </c>
      <c r="N12" s="1">
        <v>7446</v>
      </c>
      <c r="O12">
        <v>333.96300000000002</v>
      </c>
      <c r="P12">
        <v>234.76</v>
      </c>
      <c r="Q12">
        <v>0</v>
      </c>
      <c r="R12" s="1">
        <v>3200</v>
      </c>
    </row>
    <row r="13" spans="1:18" x14ac:dyDescent="0.25">
      <c r="A13" t="s">
        <v>19</v>
      </c>
      <c r="B13" s="1">
        <v>19897</v>
      </c>
      <c r="C13" s="2">
        <v>1266968</v>
      </c>
      <c r="D13" s="2">
        <v>1041577</v>
      </c>
      <c r="E13" s="2">
        <v>168375.1</v>
      </c>
      <c r="F13" s="2">
        <v>23293838</v>
      </c>
      <c r="G13" t="s">
        <v>19</v>
      </c>
      <c r="H13" s="1">
        <v>12451</v>
      </c>
      <c r="I13" s="2">
        <v>1192856</v>
      </c>
      <c r="J13" s="2">
        <v>965914.8</v>
      </c>
      <c r="K13" s="2">
        <v>168375.1</v>
      </c>
      <c r="L13" s="1">
        <v>23293838</v>
      </c>
      <c r="M13" t="s">
        <v>19</v>
      </c>
      <c r="N13" s="1">
        <v>7446</v>
      </c>
      <c r="O13" s="2">
        <v>1390897</v>
      </c>
      <c r="P13" s="2">
        <v>1146510</v>
      </c>
      <c r="Q13" s="2">
        <v>283576.7</v>
      </c>
      <c r="R13" s="2">
        <v>22166108</v>
      </c>
    </row>
    <row r="14" spans="1:18" x14ac:dyDescent="0.25">
      <c r="A14" t="s">
        <v>20</v>
      </c>
      <c r="B14" s="1">
        <v>19897</v>
      </c>
      <c r="C14" s="2">
        <v>1250497</v>
      </c>
      <c r="D14" s="2">
        <v>962449.2</v>
      </c>
      <c r="E14" s="2">
        <v>180401.9</v>
      </c>
      <c r="F14" s="2">
        <v>22166108</v>
      </c>
      <c r="G14" t="s">
        <v>20</v>
      </c>
      <c r="H14" s="1">
        <v>12451</v>
      </c>
      <c r="I14" s="2">
        <v>1167419</v>
      </c>
      <c r="J14" s="2">
        <v>884765.4</v>
      </c>
      <c r="K14" s="2">
        <v>180401.9</v>
      </c>
      <c r="L14" s="2">
        <v>21058570</v>
      </c>
      <c r="M14" t="s">
        <v>20</v>
      </c>
      <c r="N14" s="1">
        <v>7446</v>
      </c>
      <c r="O14" s="2">
        <v>1389417</v>
      </c>
      <c r="P14" s="2">
        <v>1065625</v>
      </c>
      <c r="Q14" s="2">
        <v>254640.3</v>
      </c>
      <c r="R14" s="2">
        <v>22166108</v>
      </c>
    </row>
    <row r="15" spans="1:18" x14ac:dyDescent="0.25">
      <c r="A15" t="s">
        <v>190</v>
      </c>
      <c r="B15" s="1">
        <v>19897</v>
      </c>
      <c r="C15" s="2">
        <v>13415.85</v>
      </c>
      <c r="D15" s="2">
        <v>126268.2</v>
      </c>
      <c r="E15" s="2">
        <v>-2010000</v>
      </c>
      <c r="F15" s="2">
        <v>6900000</v>
      </c>
      <c r="G15" t="s">
        <v>190</v>
      </c>
      <c r="H15" s="1">
        <v>12451</v>
      </c>
      <c r="I15" s="2">
        <v>20877.46</v>
      </c>
      <c r="J15" s="2">
        <v>97148.72</v>
      </c>
      <c r="K15" s="2">
        <v>-1850000</v>
      </c>
      <c r="L15" s="2">
        <v>2950000</v>
      </c>
      <c r="M15" t="s">
        <v>190</v>
      </c>
      <c r="N15" s="1">
        <v>7446</v>
      </c>
      <c r="O15">
        <v>938.755</v>
      </c>
      <c r="P15" s="2">
        <v>163022.6</v>
      </c>
      <c r="Q15" s="2">
        <v>-2010000</v>
      </c>
      <c r="R15" s="2">
        <v>6900000</v>
      </c>
    </row>
    <row r="16" spans="1:18" x14ac:dyDescent="0.25">
      <c r="A16" t="s">
        <v>21</v>
      </c>
      <c r="B16" s="1">
        <v>19897</v>
      </c>
      <c r="C16">
        <v>2.7E-2</v>
      </c>
      <c r="D16">
        <v>0.16400000000000001</v>
      </c>
      <c r="E16">
        <v>0</v>
      </c>
      <c r="F16">
        <v>1</v>
      </c>
      <c r="G16" t="s">
        <v>21</v>
      </c>
      <c r="H16" s="1">
        <v>12451</v>
      </c>
      <c r="I16" s="2">
        <v>2.4E-2</v>
      </c>
      <c r="J16" s="2">
        <v>0.154</v>
      </c>
      <c r="K16" s="1">
        <v>0</v>
      </c>
      <c r="L16" s="1">
        <v>1</v>
      </c>
      <c r="M16" t="s">
        <v>21</v>
      </c>
      <c r="N16" s="1">
        <v>7446</v>
      </c>
      <c r="O16">
        <v>3.3000000000000002E-2</v>
      </c>
      <c r="P16">
        <v>0.17799999999999999</v>
      </c>
      <c r="Q16">
        <v>0</v>
      </c>
      <c r="R16">
        <v>1</v>
      </c>
    </row>
    <row r="17" spans="1:18" x14ac:dyDescent="0.25">
      <c r="A17" t="s">
        <v>22</v>
      </c>
      <c r="B17" s="1">
        <v>19897</v>
      </c>
      <c r="C17">
        <v>4.5999999999999999E-2</v>
      </c>
      <c r="D17">
        <v>0.20899999999999999</v>
      </c>
      <c r="E17">
        <v>0</v>
      </c>
      <c r="F17">
        <v>1</v>
      </c>
      <c r="G17" t="s">
        <v>22</v>
      </c>
      <c r="H17" s="1">
        <v>12451</v>
      </c>
      <c r="I17">
        <v>4.3999999999999997E-2</v>
      </c>
      <c r="J17">
        <v>0.20399999999999999</v>
      </c>
      <c r="K17">
        <v>0</v>
      </c>
      <c r="L17">
        <v>1</v>
      </c>
      <c r="M17" t="s">
        <v>22</v>
      </c>
      <c r="N17" s="1">
        <v>7446</v>
      </c>
      <c r="O17">
        <v>4.9000000000000002E-2</v>
      </c>
      <c r="P17">
        <v>0.216</v>
      </c>
      <c r="Q17">
        <v>0</v>
      </c>
      <c r="R17">
        <v>1</v>
      </c>
    </row>
    <row r="18" spans="1:18" x14ac:dyDescent="0.25">
      <c r="A18" t="s">
        <v>23</v>
      </c>
      <c r="B18" s="1">
        <v>19897</v>
      </c>
      <c r="C18">
        <v>8.9999999999999993E-3</v>
      </c>
      <c r="D18">
        <v>9.1999999999999998E-2</v>
      </c>
      <c r="E18">
        <v>0</v>
      </c>
      <c r="F18">
        <v>1</v>
      </c>
      <c r="G18" t="s">
        <v>23</v>
      </c>
      <c r="H18" s="1">
        <v>12451</v>
      </c>
      <c r="I18">
        <v>8.9999999999999993E-3</v>
      </c>
      <c r="J18">
        <v>9.1999999999999998E-2</v>
      </c>
      <c r="K18">
        <v>0</v>
      </c>
      <c r="L18">
        <v>1</v>
      </c>
      <c r="M18" t="s">
        <v>23</v>
      </c>
      <c r="N18" s="1">
        <v>7446</v>
      </c>
      <c r="O18">
        <v>8.9999999999999993E-3</v>
      </c>
      <c r="P18">
        <v>9.1999999999999998E-2</v>
      </c>
      <c r="Q18">
        <v>0</v>
      </c>
      <c r="R18">
        <v>1</v>
      </c>
    </row>
    <row r="19" spans="1:18" x14ac:dyDescent="0.25">
      <c r="A19" t="s">
        <v>24</v>
      </c>
      <c r="B19" s="1">
        <v>19897</v>
      </c>
      <c r="C19">
        <v>0</v>
      </c>
      <c r="D19">
        <v>0</v>
      </c>
      <c r="E19">
        <v>0</v>
      </c>
      <c r="F19">
        <v>0</v>
      </c>
      <c r="G19" t="s">
        <v>24</v>
      </c>
      <c r="H19" s="1">
        <v>12451</v>
      </c>
      <c r="I19">
        <v>0</v>
      </c>
      <c r="J19">
        <v>0</v>
      </c>
      <c r="K19">
        <v>0</v>
      </c>
      <c r="L19">
        <v>0</v>
      </c>
      <c r="M19" t="s">
        <v>24</v>
      </c>
      <c r="N19" s="1">
        <v>7446</v>
      </c>
      <c r="O19">
        <v>0</v>
      </c>
      <c r="P19">
        <v>0</v>
      </c>
      <c r="Q19">
        <v>0</v>
      </c>
      <c r="R19">
        <v>0</v>
      </c>
    </row>
    <row r="20" spans="1:18" x14ac:dyDescent="0.25">
      <c r="A20" t="s">
        <v>25</v>
      </c>
      <c r="B20" s="1">
        <v>19897</v>
      </c>
      <c r="C20">
        <v>0</v>
      </c>
      <c r="D20">
        <v>0</v>
      </c>
      <c r="E20">
        <v>0</v>
      </c>
      <c r="F20">
        <v>0</v>
      </c>
      <c r="G20" t="s">
        <v>25</v>
      </c>
      <c r="H20" s="1">
        <v>12451</v>
      </c>
      <c r="I20">
        <v>0</v>
      </c>
      <c r="J20">
        <v>0</v>
      </c>
      <c r="K20">
        <v>0</v>
      </c>
      <c r="L20">
        <v>0</v>
      </c>
      <c r="M20" t="s">
        <v>25</v>
      </c>
      <c r="N20" s="1">
        <v>7446</v>
      </c>
      <c r="O20">
        <v>0</v>
      </c>
      <c r="P20">
        <v>0</v>
      </c>
      <c r="Q20">
        <v>0</v>
      </c>
      <c r="R20">
        <v>0</v>
      </c>
    </row>
    <row r="21" spans="1:18" x14ac:dyDescent="0.25">
      <c r="A21" t="s">
        <v>26</v>
      </c>
      <c r="B21" s="1">
        <v>19897</v>
      </c>
      <c r="C21">
        <v>2.0000000000000001E-4</v>
      </c>
      <c r="D21">
        <v>1.4E-2</v>
      </c>
      <c r="E21">
        <v>0</v>
      </c>
      <c r="F21">
        <v>1</v>
      </c>
      <c r="G21" t="s">
        <v>26</v>
      </c>
      <c r="H21" s="1">
        <v>12451</v>
      </c>
      <c r="I21">
        <v>2.0000000000000001E-4</v>
      </c>
      <c r="J21">
        <v>1.6E-2</v>
      </c>
      <c r="K21">
        <v>0</v>
      </c>
      <c r="L21">
        <v>1</v>
      </c>
      <c r="M21" t="s">
        <v>26</v>
      </c>
      <c r="N21" s="1">
        <v>7446</v>
      </c>
      <c r="O21">
        <v>1E-4</v>
      </c>
      <c r="P21">
        <v>1.2E-2</v>
      </c>
      <c r="Q21">
        <v>0</v>
      </c>
      <c r="R21">
        <v>1</v>
      </c>
    </row>
    <row r="22" spans="1:18" x14ac:dyDescent="0.25">
      <c r="A22" t="s">
        <v>27</v>
      </c>
      <c r="B22" s="1">
        <v>19897</v>
      </c>
      <c r="C22">
        <v>0</v>
      </c>
      <c r="D22">
        <v>0</v>
      </c>
      <c r="E22">
        <v>0</v>
      </c>
      <c r="F22">
        <v>0</v>
      </c>
      <c r="G22" t="s">
        <v>27</v>
      </c>
      <c r="H22" s="1">
        <v>12451</v>
      </c>
      <c r="I22">
        <v>0</v>
      </c>
      <c r="J22">
        <v>0</v>
      </c>
      <c r="K22">
        <v>0</v>
      </c>
      <c r="L22">
        <v>0</v>
      </c>
      <c r="M22" t="s">
        <v>27</v>
      </c>
      <c r="N22" s="1">
        <v>7446</v>
      </c>
      <c r="O22">
        <v>0</v>
      </c>
      <c r="P22">
        <v>0</v>
      </c>
      <c r="Q22">
        <v>0</v>
      </c>
      <c r="R22">
        <v>0</v>
      </c>
    </row>
    <row r="23" spans="1:18" x14ac:dyDescent="0.25">
      <c r="A23" t="s">
        <v>28</v>
      </c>
      <c r="B23" s="1">
        <v>19897</v>
      </c>
      <c r="C23">
        <v>0.92100000000000004</v>
      </c>
      <c r="D23">
        <v>0.27</v>
      </c>
      <c r="E23">
        <v>0</v>
      </c>
      <c r="F23">
        <v>1</v>
      </c>
      <c r="G23" t="s">
        <v>28</v>
      </c>
      <c r="H23" s="1">
        <v>12451</v>
      </c>
      <c r="I23">
        <v>0.91800000000000004</v>
      </c>
      <c r="J23">
        <v>0.27500000000000002</v>
      </c>
      <c r="K23">
        <v>0</v>
      </c>
      <c r="L23">
        <v>1</v>
      </c>
      <c r="M23" t="s">
        <v>28</v>
      </c>
      <c r="N23" s="1">
        <v>7446</v>
      </c>
      <c r="O23">
        <v>0.92600000000000005</v>
      </c>
      <c r="P23">
        <v>0.26200000000000001</v>
      </c>
      <c r="Q23">
        <v>0</v>
      </c>
      <c r="R23">
        <v>1</v>
      </c>
    </row>
    <row r="24" spans="1:18" x14ac:dyDescent="0.25">
      <c r="A24" t="s">
        <v>29</v>
      </c>
      <c r="B24" s="1">
        <v>19897</v>
      </c>
      <c r="C24">
        <v>1.9E-2</v>
      </c>
      <c r="D24">
        <v>0.13600000000000001</v>
      </c>
      <c r="E24">
        <v>0</v>
      </c>
      <c r="F24">
        <v>1</v>
      </c>
      <c r="G24" t="s">
        <v>29</v>
      </c>
      <c r="H24" s="1">
        <v>12451</v>
      </c>
      <c r="I24">
        <v>1.9E-2</v>
      </c>
      <c r="J24">
        <v>0.13700000000000001</v>
      </c>
      <c r="K24">
        <v>0</v>
      </c>
      <c r="L24">
        <v>1</v>
      </c>
      <c r="M24" t="s">
        <v>29</v>
      </c>
      <c r="N24" s="1">
        <v>7446</v>
      </c>
      <c r="O24">
        <v>1.9E-2</v>
      </c>
      <c r="P24">
        <v>0.13500000000000001</v>
      </c>
      <c r="Q24">
        <v>0</v>
      </c>
      <c r="R24">
        <v>1</v>
      </c>
    </row>
    <row r="25" spans="1:18" x14ac:dyDescent="0.25">
      <c r="A25" t="s">
        <v>30</v>
      </c>
      <c r="B25" s="1">
        <v>19897</v>
      </c>
      <c r="C25">
        <v>4.1000000000000002E-2</v>
      </c>
      <c r="D25">
        <v>0.19700000000000001</v>
      </c>
      <c r="E25">
        <v>0</v>
      </c>
      <c r="F25">
        <v>1</v>
      </c>
      <c r="G25" t="s">
        <v>30</v>
      </c>
      <c r="H25" s="1">
        <v>12451</v>
      </c>
      <c r="I25">
        <v>3.4000000000000002E-2</v>
      </c>
      <c r="J25">
        <v>0.182</v>
      </c>
      <c r="K25">
        <v>0</v>
      </c>
      <c r="L25">
        <v>1</v>
      </c>
      <c r="M25" t="s">
        <v>30</v>
      </c>
      <c r="N25" s="1">
        <v>7446</v>
      </c>
      <c r="O25">
        <v>5.0999999999999997E-2</v>
      </c>
      <c r="P25">
        <v>0.22</v>
      </c>
      <c r="Q25">
        <v>0</v>
      </c>
      <c r="R25">
        <v>1</v>
      </c>
    </row>
    <row r="26" spans="1:18" x14ac:dyDescent="0.25">
      <c r="A26" t="s">
        <v>31</v>
      </c>
      <c r="B26" s="1">
        <v>19897</v>
      </c>
      <c r="C26">
        <v>0</v>
      </c>
      <c r="D26">
        <v>0</v>
      </c>
      <c r="E26">
        <v>0</v>
      </c>
      <c r="F26">
        <v>0</v>
      </c>
      <c r="G26" t="s">
        <v>31</v>
      </c>
      <c r="H26" s="1">
        <v>12451</v>
      </c>
      <c r="I26">
        <v>0</v>
      </c>
      <c r="J26">
        <v>0</v>
      </c>
      <c r="K26">
        <v>0</v>
      </c>
      <c r="L26">
        <v>0</v>
      </c>
      <c r="M26" t="s">
        <v>31</v>
      </c>
      <c r="N26" s="1">
        <v>7446</v>
      </c>
      <c r="O26">
        <v>0</v>
      </c>
      <c r="P26">
        <v>0</v>
      </c>
      <c r="Q26">
        <v>0</v>
      </c>
      <c r="R26">
        <v>0</v>
      </c>
    </row>
    <row r="27" spans="1:18" x14ac:dyDescent="0.25">
      <c r="A27" t="s">
        <v>32</v>
      </c>
      <c r="B27" s="1">
        <v>19897</v>
      </c>
      <c r="C27">
        <v>1</v>
      </c>
      <c r="D27">
        <v>1.6E-2</v>
      </c>
      <c r="E27">
        <v>0</v>
      </c>
      <c r="F27">
        <v>1</v>
      </c>
      <c r="G27" t="s">
        <v>32</v>
      </c>
      <c r="H27" s="1">
        <v>12451</v>
      </c>
      <c r="I27">
        <v>1</v>
      </c>
      <c r="J27">
        <v>1.7999999999999999E-2</v>
      </c>
      <c r="K27">
        <v>0</v>
      </c>
      <c r="L27">
        <v>1</v>
      </c>
      <c r="M27" t="s">
        <v>32</v>
      </c>
      <c r="N27" s="1">
        <v>7446</v>
      </c>
      <c r="O27">
        <v>1</v>
      </c>
      <c r="P27">
        <v>1.2E-2</v>
      </c>
      <c r="Q27">
        <v>0</v>
      </c>
      <c r="R27">
        <v>1</v>
      </c>
    </row>
    <row r="28" spans="1:18" x14ac:dyDescent="0.25">
      <c r="A28" t="s">
        <v>33</v>
      </c>
      <c r="B28" s="1">
        <v>19897</v>
      </c>
      <c r="C28">
        <v>39.530999999999999</v>
      </c>
      <c r="D28">
        <v>23.119</v>
      </c>
      <c r="E28">
        <v>0</v>
      </c>
      <c r="F28">
        <v>123</v>
      </c>
      <c r="G28" t="s">
        <v>33</v>
      </c>
      <c r="H28" s="1">
        <v>12451</v>
      </c>
      <c r="I28">
        <v>36.944000000000003</v>
      </c>
      <c r="J28">
        <v>22.902000000000001</v>
      </c>
      <c r="K28">
        <v>0</v>
      </c>
      <c r="L28">
        <v>112</v>
      </c>
      <c r="M28" t="s">
        <v>33</v>
      </c>
      <c r="N28" s="1">
        <v>7446</v>
      </c>
      <c r="O28">
        <v>43.856999999999999</v>
      </c>
      <c r="P28">
        <v>22.832999999999998</v>
      </c>
      <c r="Q28">
        <v>0</v>
      </c>
      <c r="R28">
        <v>123</v>
      </c>
    </row>
    <row r="29" spans="1:18" x14ac:dyDescent="0.25">
      <c r="A29" t="s">
        <v>34</v>
      </c>
      <c r="B29" s="1">
        <v>19897</v>
      </c>
      <c r="C29">
        <v>2.097</v>
      </c>
      <c r="D29">
        <v>1.99</v>
      </c>
      <c r="E29">
        <v>0</v>
      </c>
      <c r="F29">
        <v>15.129</v>
      </c>
      <c r="G29" t="s">
        <v>34</v>
      </c>
      <c r="H29" s="1">
        <v>12451</v>
      </c>
      <c r="I29">
        <v>1.889</v>
      </c>
      <c r="J29">
        <v>1.893</v>
      </c>
      <c r="K29">
        <v>0</v>
      </c>
      <c r="L29">
        <v>12.544</v>
      </c>
      <c r="M29" t="s">
        <v>34</v>
      </c>
      <c r="N29" s="1">
        <v>7446</v>
      </c>
      <c r="O29">
        <v>2.4449999999999998</v>
      </c>
      <c r="P29">
        <v>2.0990000000000002</v>
      </c>
      <c r="Q29">
        <v>0</v>
      </c>
      <c r="R29">
        <v>15.129</v>
      </c>
    </row>
    <row r="30" spans="1:18" x14ac:dyDescent="0.25">
      <c r="A30" t="s">
        <v>35</v>
      </c>
      <c r="B30" s="1">
        <v>19897</v>
      </c>
      <c r="C30">
        <v>5.3010000000000002</v>
      </c>
      <c r="D30">
        <v>13.148999999999999</v>
      </c>
      <c r="E30">
        <v>0</v>
      </c>
      <c r="F30">
        <v>94</v>
      </c>
      <c r="G30" t="s">
        <v>35</v>
      </c>
      <c r="H30" s="1">
        <v>12451</v>
      </c>
      <c r="I30">
        <v>4.702</v>
      </c>
      <c r="J30">
        <v>12.287000000000001</v>
      </c>
      <c r="K30">
        <v>0</v>
      </c>
      <c r="L30">
        <v>88</v>
      </c>
      <c r="M30" t="s">
        <v>35</v>
      </c>
      <c r="N30" s="1">
        <v>7446</v>
      </c>
      <c r="O30">
        <v>6.3019999999999996</v>
      </c>
      <c r="P30">
        <v>14.422000000000001</v>
      </c>
      <c r="Q30">
        <v>0</v>
      </c>
      <c r="R30">
        <v>94</v>
      </c>
    </row>
    <row r="31" spans="1:18" x14ac:dyDescent="0.25">
      <c r="A31" t="s">
        <v>18</v>
      </c>
      <c r="B31" s="1">
        <v>19897</v>
      </c>
      <c r="C31" s="2">
        <v>2096.915</v>
      </c>
      <c r="D31" s="2">
        <v>1114.049</v>
      </c>
      <c r="E31">
        <v>220</v>
      </c>
      <c r="F31" s="1">
        <v>23350</v>
      </c>
      <c r="G31" t="s">
        <v>18</v>
      </c>
      <c r="H31" s="1">
        <v>12451</v>
      </c>
      <c r="I31" s="2">
        <v>2055.7800000000002</v>
      </c>
      <c r="J31" s="2">
        <v>1066.5830000000001</v>
      </c>
      <c r="K31">
        <v>455</v>
      </c>
      <c r="L31" s="1">
        <v>23350</v>
      </c>
      <c r="M31" t="s">
        <v>18</v>
      </c>
      <c r="N31" s="1">
        <v>7446</v>
      </c>
      <c r="O31" s="2">
        <v>2165.701</v>
      </c>
      <c r="P31" s="2">
        <v>1186.086</v>
      </c>
      <c r="Q31">
        <v>220</v>
      </c>
      <c r="R31" s="1">
        <v>18919</v>
      </c>
    </row>
    <row r="32" spans="1:18" x14ac:dyDescent="0.25">
      <c r="A32" t="s">
        <v>37</v>
      </c>
      <c r="B32" s="1">
        <v>19897</v>
      </c>
      <c r="C32">
        <v>0.88300000000000001</v>
      </c>
      <c r="D32">
        <v>3.5219999999999998</v>
      </c>
      <c r="E32">
        <v>2.1000000000000001E-2</v>
      </c>
      <c r="F32">
        <v>128.91800000000001</v>
      </c>
      <c r="G32" t="s">
        <v>37</v>
      </c>
      <c r="H32" s="1">
        <v>12451</v>
      </c>
      <c r="I32" s="2">
        <v>0.95099999999999996</v>
      </c>
      <c r="J32" s="2">
        <v>3.5019999999999998</v>
      </c>
      <c r="K32">
        <v>2.1000000000000001E-2</v>
      </c>
      <c r="L32" s="1">
        <v>128.91800000000001</v>
      </c>
      <c r="M32" t="s">
        <v>37</v>
      </c>
      <c r="N32" s="1">
        <v>7446</v>
      </c>
      <c r="O32">
        <v>0.76900000000000002</v>
      </c>
      <c r="P32">
        <v>3.5529999999999999</v>
      </c>
      <c r="Q32">
        <v>0.03</v>
      </c>
      <c r="R32">
        <v>103.124</v>
      </c>
    </row>
    <row r="33" spans="1:18" x14ac:dyDescent="0.25">
      <c r="A33" t="s">
        <v>164</v>
      </c>
      <c r="B33" s="1">
        <v>19897</v>
      </c>
      <c r="C33">
        <v>2.528</v>
      </c>
      <c r="D33">
        <v>2.6110000000000002</v>
      </c>
      <c r="E33">
        <v>0</v>
      </c>
      <c r="F33">
        <v>13.552</v>
      </c>
      <c r="G33" t="s">
        <v>164</v>
      </c>
      <c r="H33" s="1">
        <v>12451</v>
      </c>
      <c r="I33">
        <v>2.5659999999999998</v>
      </c>
      <c r="J33">
        <v>2.6349999999999998</v>
      </c>
      <c r="K33">
        <v>0</v>
      </c>
      <c r="L33">
        <v>13.552</v>
      </c>
      <c r="M33" t="s">
        <v>164</v>
      </c>
      <c r="N33" s="1">
        <v>7446</v>
      </c>
      <c r="O33">
        <v>2.4649999999999999</v>
      </c>
      <c r="P33">
        <v>2.57</v>
      </c>
      <c r="Q33">
        <v>0</v>
      </c>
      <c r="R33">
        <v>13.477</v>
      </c>
    </row>
    <row r="34" spans="1:18" x14ac:dyDescent="0.25">
      <c r="A34" t="s">
        <v>39</v>
      </c>
      <c r="B34" s="1">
        <v>19897</v>
      </c>
      <c r="C34">
        <v>0.52700000000000002</v>
      </c>
      <c r="D34">
        <v>0.33</v>
      </c>
      <c r="E34">
        <v>0</v>
      </c>
      <c r="F34">
        <v>3.56</v>
      </c>
      <c r="G34" t="s">
        <v>39</v>
      </c>
      <c r="H34" s="1">
        <v>12451</v>
      </c>
      <c r="I34">
        <v>0.53100000000000003</v>
      </c>
      <c r="J34">
        <v>0.32500000000000001</v>
      </c>
      <c r="K34">
        <v>0</v>
      </c>
      <c r="L34">
        <v>3.302</v>
      </c>
      <c r="M34" t="s">
        <v>39</v>
      </c>
      <c r="N34" s="1">
        <v>7446</v>
      </c>
      <c r="O34">
        <v>0.52</v>
      </c>
      <c r="P34">
        <v>0.33800000000000002</v>
      </c>
      <c r="Q34">
        <v>0</v>
      </c>
      <c r="R34">
        <v>3.56</v>
      </c>
    </row>
    <row r="35" spans="1:18" x14ac:dyDescent="0.25">
      <c r="A35" t="s">
        <v>40</v>
      </c>
      <c r="B35" s="1">
        <v>19897</v>
      </c>
      <c r="C35">
        <v>5.1509999999999998</v>
      </c>
      <c r="D35">
        <v>4.1849999999999996</v>
      </c>
      <c r="E35">
        <v>0.01</v>
      </c>
      <c r="F35">
        <v>20.997</v>
      </c>
      <c r="G35" t="s">
        <v>40</v>
      </c>
      <c r="H35" s="1">
        <v>12451</v>
      </c>
      <c r="I35">
        <v>5.194</v>
      </c>
      <c r="J35">
        <v>4.17</v>
      </c>
      <c r="K35">
        <v>0.01</v>
      </c>
      <c r="L35">
        <v>20.997</v>
      </c>
      <c r="M35" t="s">
        <v>40</v>
      </c>
      <c r="N35" s="1">
        <v>7446</v>
      </c>
      <c r="O35">
        <v>5.0780000000000003</v>
      </c>
      <c r="P35">
        <v>4.21</v>
      </c>
      <c r="Q35">
        <v>5.7000000000000002E-2</v>
      </c>
      <c r="R35">
        <v>20.927</v>
      </c>
    </row>
    <row r="36" spans="1:18" x14ac:dyDescent="0.25">
      <c r="A36" t="s">
        <v>41</v>
      </c>
      <c r="B36" s="1">
        <v>19897</v>
      </c>
      <c r="C36">
        <v>10.901999999999999</v>
      </c>
      <c r="D36">
        <v>5.5949999999999998</v>
      </c>
      <c r="E36">
        <v>0.32300000000000001</v>
      </c>
      <c r="F36">
        <v>30.986000000000001</v>
      </c>
      <c r="G36" t="s">
        <v>41</v>
      </c>
      <c r="H36" s="1">
        <v>12451</v>
      </c>
      <c r="I36">
        <v>10.791</v>
      </c>
      <c r="J36">
        <v>5.6070000000000002</v>
      </c>
      <c r="K36">
        <v>0.32300000000000001</v>
      </c>
      <c r="L36">
        <v>30.003</v>
      </c>
      <c r="M36" t="s">
        <v>41</v>
      </c>
      <c r="N36" s="1">
        <v>7446</v>
      </c>
      <c r="O36">
        <v>11.087</v>
      </c>
      <c r="P36">
        <v>5.57</v>
      </c>
      <c r="Q36">
        <v>1.3220000000000001</v>
      </c>
      <c r="R36">
        <v>30.986000000000001</v>
      </c>
    </row>
    <row r="37" spans="1:18" x14ac:dyDescent="0.25">
      <c r="A37" t="s">
        <v>173</v>
      </c>
      <c r="B37" s="1">
        <v>19897</v>
      </c>
      <c r="C37">
        <v>1.042</v>
      </c>
      <c r="D37">
        <v>0.81</v>
      </c>
      <c r="E37">
        <v>1.6E-2</v>
      </c>
      <c r="F37">
        <v>7.8339999999999996</v>
      </c>
      <c r="G37" t="s">
        <v>173</v>
      </c>
      <c r="H37" s="1">
        <v>12451</v>
      </c>
      <c r="I37">
        <v>1.046</v>
      </c>
      <c r="J37">
        <v>0.79800000000000004</v>
      </c>
      <c r="K37">
        <v>2.5999999999999999E-2</v>
      </c>
      <c r="L37">
        <v>7.8339999999999996</v>
      </c>
      <c r="M37" t="s">
        <v>173</v>
      </c>
      <c r="N37" s="1">
        <v>7446</v>
      </c>
      <c r="O37">
        <v>1.0349999999999999</v>
      </c>
      <c r="P37">
        <v>0.82899999999999996</v>
      </c>
      <c r="Q37">
        <v>1.6E-2</v>
      </c>
      <c r="R37">
        <v>7.4530000000000003</v>
      </c>
    </row>
    <row r="38" spans="1:18" x14ac:dyDescent="0.25">
      <c r="A38" t="s">
        <v>174</v>
      </c>
      <c r="B38" s="1">
        <v>19897</v>
      </c>
      <c r="C38">
        <v>2.4809999999999999</v>
      </c>
      <c r="D38">
        <v>1.823</v>
      </c>
      <c r="E38">
        <v>3.6999999999999998E-2</v>
      </c>
      <c r="F38">
        <v>17.684000000000001</v>
      </c>
      <c r="G38" t="s">
        <v>174</v>
      </c>
      <c r="H38" s="1">
        <v>12451</v>
      </c>
      <c r="I38">
        <v>2.4649999999999999</v>
      </c>
      <c r="J38">
        <v>1.7969999999999999</v>
      </c>
      <c r="K38">
        <v>4.2999999999999997E-2</v>
      </c>
      <c r="L38">
        <v>17.684000000000001</v>
      </c>
      <c r="M38" t="s">
        <v>174</v>
      </c>
      <c r="N38" s="1">
        <v>7446</v>
      </c>
      <c r="O38">
        <v>2.508</v>
      </c>
      <c r="P38">
        <v>1.865</v>
      </c>
      <c r="Q38">
        <v>3.6999999999999998E-2</v>
      </c>
      <c r="R38">
        <v>17.655000000000001</v>
      </c>
    </row>
    <row r="39" spans="1:18" x14ac:dyDescent="0.25">
      <c r="A39" t="s">
        <v>175</v>
      </c>
      <c r="B39" s="1">
        <v>19897</v>
      </c>
      <c r="C39">
        <v>2.5680000000000001</v>
      </c>
      <c r="D39">
        <v>1.736</v>
      </c>
      <c r="E39">
        <v>3.6999999999999998E-2</v>
      </c>
      <c r="F39">
        <v>17.684000000000001</v>
      </c>
      <c r="G39" t="s">
        <v>175</v>
      </c>
      <c r="H39" s="1">
        <v>12451</v>
      </c>
      <c r="I39">
        <v>2.5510000000000002</v>
      </c>
      <c r="J39">
        <v>1.6990000000000001</v>
      </c>
      <c r="K39">
        <v>4.8000000000000001E-2</v>
      </c>
      <c r="L39">
        <v>17.684000000000001</v>
      </c>
      <c r="M39" t="s">
        <v>175</v>
      </c>
      <c r="N39" s="1">
        <v>7446</v>
      </c>
      <c r="O39">
        <v>2.5960000000000001</v>
      </c>
      <c r="P39">
        <v>1.796</v>
      </c>
      <c r="Q39">
        <v>3.6999999999999998E-2</v>
      </c>
      <c r="R39">
        <v>17.655000000000001</v>
      </c>
    </row>
    <row r="40" spans="1:18" x14ac:dyDescent="0.25">
      <c r="A40" t="s">
        <v>42</v>
      </c>
      <c r="B40" s="1">
        <v>19897</v>
      </c>
      <c r="C40">
        <v>0.218</v>
      </c>
      <c r="D40">
        <v>0.159</v>
      </c>
      <c r="E40">
        <v>0</v>
      </c>
      <c r="F40">
        <v>0.91800000000000004</v>
      </c>
      <c r="G40" t="s">
        <v>42</v>
      </c>
      <c r="H40" s="1">
        <v>12451</v>
      </c>
      <c r="I40">
        <v>0.221</v>
      </c>
      <c r="J40">
        <v>0.153</v>
      </c>
      <c r="K40">
        <v>0</v>
      </c>
      <c r="L40">
        <v>0.85599999999999998</v>
      </c>
      <c r="M40" t="s">
        <v>42</v>
      </c>
      <c r="N40" s="1">
        <v>7446</v>
      </c>
      <c r="O40">
        <v>0.214</v>
      </c>
      <c r="P40">
        <v>0.16800000000000001</v>
      </c>
      <c r="Q40">
        <v>0</v>
      </c>
      <c r="R40">
        <v>0.91800000000000004</v>
      </c>
    </row>
    <row r="41" spans="1:18" x14ac:dyDescent="0.25">
      <c r="A41" t="s">
        <v>43</v>
      </c>
      <c r="B41" s="1">
        <v>19897</v>
      </c>
      <c r="C41">
        <v>1.9E-2</v>
      </c>
      <c r="D41">
        <v>3.3000000000000002E-2</v>
      </c>
      <c r="E41">
        <v>0</v>
      </c>
      <c r="F41">
        <v>0.36299999999999999</v>
      </c>
      <c r="G41" t="s">
        <v>43</v>
      </c>
      <c r="H41" s="1">
        <v>12451</v>
      </c>
      <c r="I41">
        <v>0.02</v>
      </c>
      <c r="J41">
        <v>3.3000000000000002E-2</v>
      </c>
      <c r="K41">
        <v>0</v>
      </c>
      <c r="L41">
        <v>0.36299999999999999</v>
      </c>
      <c r="M41" t="s">
        <v>43</v>
      </c>
      <c r="N41" s="1">
        <v>7446</v>
      </c>
      <c r="O41">
        <v>1.7000000000000001E-2</v>
      </c>
      <c r="P41">
        <v>3.4000000000000002E-2</v>
      </c>
      <c r="Q41">
        <v>0</v>
      </c>
      <c r="R41">
        <v>0.34200000000000003</v>
      </c>
    </row>
    <row r="42" spans="1:18" x14ac:dyDescent="0.25">
      <c r="A42" t="s">
        <v>44</v>
      </c>
      <c r="B42" s="1">
        <v>19897</v>
      </c>
      <c r="C42">
        <v>0.42</v>
      </c>
      <c r="D42">
        <v>0.19400000000000001</v>
      </c>
      <c r="E42">
        <v>0</v>
      </c>
      <c r="F42">
        <v>0.96899999999999997</v>
      </c>
      <c r="G42" t="s">
        <v>44</v>
      </c>
      <c r="H42" s="1">
        <v>12451</v>
      </c>
      <c r="I42">
        <v>0.41699999999999998</v>
      </c>
      <c r="J42">
        <v>0.189</v>
      </c>
      <c r="K42">
        <v>1E-3</v>
      </c>
      <c r="L42">
        <v>0.96899999999999997</v>
      </c>
      <c r="M42" t="s">
        <v>44</v>
      </c>
      <c r="N42" s="1">
        <v>7446</v>
      </c>
      <c r="O42">
        <v>0.42399999999999999</v>
      </c>
      <c r="P42">
        <v>0.20399999999999999</v>
      </c>
      <c r="Q42">
        <v>0</v>
      </c>
      <c r="R42">
        <v>0.95699999999999996</v>
      </c>
    </row>
    <row r="43" spans="1:18" x14ac:dyDescent="0.25">
      <c r="A43" t="s">
        <v>45</v>
      </c>
      <c r="B43" s="1">
        <v>19897</v>
      </c>
      <c r="C43">
        <v>8.1000000000000003E-2</v>
      </c>
      <c r="D43">
        <v>0.10299999999999999</v>
      </c>
      <c r="E43">
        <v>0</v>
      </c>
      <c r="F43">
        <v>0.71</v>
      </c>
      <c r="G43" t="s">
        <v>45</v>
      </c>
      <c r="H43" s="1">
        <v>12451</v>
      </c>
      <c r="I43">
        <v>8.1000000000000003E-2</v>
      </c>
      <c r="J43">
        <v>9.6000000000000002E-2</v>
      </c>
      <c r="K43">
        <v>0</v>
      </c>
      <c r="L43">
        <v>0.60799999999999998</v>
      </c>
      <c r="M43" t="s">
        <v>45</v>
      </c>
      <c r="N43" s="1">
        <v>7446</v>
      </c>
      <c r="O43">
        <v>8.1000000000000003E-2</v>
      </c>
      <c r="P43">
        <v>0.112</v>
      </c>
      <c r="Q43">
        <v>0</v>
      </c>
      <c r="R43">
        <v>0.71</v>
      </c>
    </row>
    <row r="44" spans="1:18" x14ac:dyDescent="0.25">
      <c r="A44" t="s">
        <v>46</v>
      </c>
      <c r="B44" s="1">
        <v>19897</v>
      </c>
      <c r="C44">
        <v>0.93400000000000005</v>
      </c>
      <c r="D44">
        <v>8.1000000000000003E-2</v>
      </c>
      <c r="E44">
        <v>1.2E-2</v>
      </c>
      <c r="F44">
        <v>1</v>
      </c>
      <c r="G44" t="s">
        <v>46</v>
      </c>
      <c r="H44" s="1">
        <v>12451</v>
      </c>
      <c r="I44">
        <v>0.93600000000000005</v>
      </c>
      <c r="J44">
        <v>7.3999999999999996E-2</v>
      </c>
      <c r="K44">
        <v>1.2E-2</v>
      </c>
      <c r="L44">
        <v>1</v>
      </c>
      <c r="M44" t="s">
        <v>46</v>
      </c>
      <c r="N44" s="1">
        <v>7446</v>
      </c>
      <c r="O44">
        <v>0.93200000000000005</v>
      </c>
      <c r="P44">
        <v>9.0999999999999998E-2</v>
      </c>
      <c r="Q44">
        <v>0.13700000000000001</v>
      </c>
      <c r="R44">
        <v>1</v>
      </c>
    </row>
    <row r="45" spans="1:18" x14ac:dyDescent="0.25">
      <c r="A45" t="s">
        <v>47</v>
      </c>
      <c r="B45" s="1">
        <v>19897</v>
      </c>
      <c r="C45">
        <v>6.4000000000000001E-2</v>
      </c>
      <c r="D45">
        <v>7.4999999999999997E-2</v>
      </c>
      <c r="E45">
        <v>0</v>
      </c>
      <c r="F45">
        <v>0.69899999999999995</v>
      </c>
      <c r="G45" t="s">
        <v>47</v>
      </c>
      <c r="H45" s="1">
        <v>12451</v>
      </c>
      <c r="I45">
        <v>6.3E-2</v>
      </c>
      <c r="J45">
        <v>6.8000000000000005E-2</v>
      </c>
      <c r="K45">
        <v>0</v>
      </c>
      <c r="L45">
        <v>0.67100000000000004</v>
      </c>
      <c r="M45" t="s">
        <v>47</v>
      </c>
      <c r="N45" s="1">
        <v>7446</v>
      </c>
      <c r="O45">
        <v>6.6000000000000003E-2</v>
      </c>
      <c r="P45">
        <v>8.5000000000000006E-2</v>
      </c>
      <c r="Q45">
        <v>0</v>
      </c>
      <c r="R45">
        <v>0.69899999999999995</v>
      </c>
    </row>
    <row r="46" spans="1:18" x14ac:dyDescent="0.25">
      <c r="A46" t="s">
        <v>48</v>
      </c>
      <c r="B46" s="1">
        <v>19897</v>
      </c>
      <c r="C46">
        <v>0.745</v>
      </c>
      <c r="D46">
        <v>0.16700000000000001</v>
      </c>
      <c r="E46">
        <v>0</v>
      </c>
      <c r="F46">
        <v>1</v>
      </c>
      <c r="G46" t="s">
        <v>48</v>
      </c>
      <c r="H46" s="1">
        <v>12451</v>
      </c>
      <c r="I46">
        <v>0.73799999999999999</v>
      </c>
      <c r="J46">
        <v>0.161</v>
      </c>
      <c r="K46">
        <v>0</v>
      </c>
      <c r="L46">
        <v>1</v>
      </c>
      <c r="M46" t="s">
        <v>48</v>
      </c>
      <c r="N46" s="1">
        <v>7446</v>
      </c>
      <c r="O46">
        <v>0.75800000000000001</v>
      </c>
      <c r="P46">
        <v>0.17599999999999999</v>
      </c>
      <c r="Q46">
        <v>0</v>
      </c>
      <c r="R46">
        <v>1</v>
      </c>
    </row>
    <row r="47" spans="1:18" x14ac:dyDescent="0.25">
      <c r="A47" t="s">
        <v>49</v>
      </c>
      <c r="B47" s="1">
        <v>19897</v>
      </c>
      <c r="C47">
        <v>0.253</v>
      </c>
      <c r="D47">
        <v>0.16600000000000001</v>
      </c>
      <c r="E47">
        <v>0</v>
      </c>
      <c r="F47">
        <v>1</v>
      </c>
      <c r="G47" t="s">
        <v>49</v>
      </c>
      <c r="H47" s="1">
        <v>12451</v>
      </c>
      <c r="I47">
        <v>0.26</v>
      </c>
      <c r="J47">
        <v>0.16</v>
      </c>
      <c r="K47">
        <v>0</v>
      </c>
      <c r="L47">
        <v>1</v>
      </c>
      <c r="M47" t="s">
        <v>49</v>
      </c>
      <c r="N47" s="1">
        <v>7446</v>
      </c>
      <c r="O47">
        <v>0.24099999999999999</v>
      </c>
      <c r="P47">
        <v>0.17499999999999999</v>
      </c>
      <c r="Q47">
        <v>0</v>
      </c>
      <c r="R47">
        <v>1</v>
      </c>
    </row>
    <row r="48" spans="1:18" x14ac:dyDescent="0.25">
      <c r="A48" t="s">
        <v>50</v>
      </c>
      <c r="B48" s="1">
        <v>19897</v>
      </c>
      <c r="C48">
        <v>23.166</v>
      </c>
      <c r="D48">
        <v>51.192</v>
      </c>
      <c r="E48">
        <v>0</v>
      </c>
      <c r="F48">
        <v>667</v>
      </c>
      <c r="G48" t="s">
        <v>50</v>
      </c>
      <c r="H48" s="1">
        <v>12451</v>
      </c>
      <c r="I48">
        <v>24.55</v>
      </c>
      <c r="J48">
        <v>51.05</v>
      </c>
      <c r="K48">
        <v>0</v>
      </c>
      <c r="L48">
        <v>667</v>
      </c>
      <c r="M48" t="s">
        <v>50</v>
      </c>
      <c r="N48" s="1">
        <v>7446</v>
      </c>
      <c r="O48">
        <v>20.850999999999999</v>
      </c>
      <c r="P48">
        <v>51.35</v>
      </c>
      <c r="Q48">
        <v>0</v>
      </c>
      <c r="R48">
        <v>550</v>
      </c>
    </row>
    <row r="49" spans="1:18" x14ac:dyDescent="0.25">
      <c r="A49" t="s">
        <v>51</v>
      </c>
      <c r="B49" s="1">
        <v>19897</v>
      </c>
      <c r="C49">
        <v>1.7999999999999999E-2</v>
      </c>
      <c r="D49">
        <v>0.13500000000000001</v>
      </c>
      <c r="E49">
        <v>0</v>
      </c>
      <c r="F49">
        <v>1</v>
      </c>
      <c r="G49" t="s">
        <v>51</v>
      </c>
      <c r="H49" s="1">
        <v>12451</v>
      </c>
      <c r="I49">
        <v>0</v>
      </c>
      <c r="J49">
        <v>0</v>
      </c>
      <c r="K49">
        <v>0</v>
      </c>
      <c r="L49">
        <v>0</v>
      </c>
      <c r="M49" t="s">
        <v>51</v>
      </c>
      <c r="N49" s="1">
        <v>7446</v>
      </c>
      <c r="O49">
        <v>4.9000000000000002E-2</v>
      </c>
      <c r="P49">
        <v>0.217</v>
      </c>
      <c r="Q49">
        <v>0</v>
      </c>
      <c r="R49">
        <v>1</v>
      </c>
    </row>
    <row r="50" spans="1:18" x14ac:dyDescent="0.25">
      <c r="A50" t="s">
        <v>52</v>
      </c>
      <c r="B50" s="1">
        <v>19897</v>
      </c>
      <c r="C50">
        <v>0.42599999999999999</v>
      </c>
      <c r="D50">
        <v>0.49399999999999999</v>
      </c>
      <c r="E50">
        <v>0</v>
      </c>
      <c r="F50">
        <v>1</v>
      </c>
      <c r="G50" t="s">
        <v>52</v>
      </c>
      <c r="H50" s="1">
        <v>12451</v>
      </c>
      <c r="I50">
        <v>0.39700000000000002</v>
      </c>
      <c r="J50">
        <v>0.48899999999999999</v>
      </c>
      <c r="K50">
        <v>0</v>
      </c>
      <c r="L50">
        <v>1</v>
      </c>
      <c r="M50" t="s">
        <v>52</v>
      </c>
      <c r="N50" s="1">
        <v>7446</v>
      </c>
      <c r="O50">
        <v>0.47299999999999998</v>
      </c>
      <c r="P50">
        <v>0.499</v>
      </c>
      <c r="Q50">
        <v>0</v>
      </c>
      <c r="R50">
        <v>1</v>
      </c>
    </row>
    <row r="51" spans="1:18" x14ac:dyDescent="0.25">
      <c r="A51" t="s">
        <v>53</v>
      </c>
      <c r="B51" s="1">
        <v>19897</v>
      </c>
      <c r="C51" s="2">
        <v>2363536</v>
      </c>
      <c r="D51" s="2">
        <v>7934.491</v>
      </c>
      <c r="E51" s="2">
        <v>2350907</v>
      </c>
      <c r="F51" s="2">
        <v>2399920</v>
      </c>
      <c r="G51" t="s">
        <v>53</v>
      </c>
      <c r="H51" s="1">
        <v>12451</v>
      </c>
      <c r="I51" s="2">
        <v>2363482</v>
      </c>
      <c r="J51" s="2">
        <v>7750.8890000000001</v>
      </c>
      <c r="K51" s="2">
        <v>2350907</v>
      </c>
      <c r="L51" s="2">
        <v>2399920</v>
      </c>
      <c r="M51" t="s">
        <v>53</v>
      </c>
      <c r="N51" s="1">
        <v>7446</v>
      </c>
      <c r="O51" s="2">
        <v>2363627</v>
      </c>
      <c r="P51" s="2">
        <v>8232.0930000000008</v>
      </c>
      <c r="Q51" s="2">
        <v>2350948</v>
      </c>
      <c r="R51" s="2">
        <v>2399530</v>
      </c>
    </row>
    <row r="52" spans="1:18" x14ac:dyDescent="0.25">
      <c r="A52" t="s">
        <v>54</v>
      </c>
      <c r="B52" s="1">
        <v>19897</v>
      </c>
      <c r="C52" s="2">
        <v>611470.30000000005</v>
      </c>
      <c r="D52" s="2">
        <v>14767.15</v>
      </c>
      <c r="E52" s="2">
        <v>579824.19999999995</v>
      </c>
      <c r="F52" s="2">
        <v>638667.69999999995</v>
      </c>
      <c r="G52" t="s">
        <v>54</v>
      </c>
      <c r="H52" s="1">
        <v>12451</v>
      </c>
      <c r="I52" s="2">
        <v>610832.69999999995</v>
      </c>
      <c r="J52" s="2">
        <v>14701.23</v>
      </c>
      <c r="K52" s="2">
        <v>579824.19999999995</v>
      </c>
      <c r="L52" s="2">
        <v>638667.69999999995</v>
      </c>
      <c r="M52" t="s">
        <v>54</v>
      </c>
      <c r="N52" s="1">
        <v>7446</v>
      </c>
      <c r="O52" s="2">
        <v>612536.4</v>
      </c>
      <c r="P52" s="2">
        <v>14816.53</v>
      </c>
      <c r="Q52" s="2">
        <v>579905.6</v>
      </c>
      <c r="R52" s="2">
        <v>638597.19999999995</v>
      </c>
    </row>
    <row r="53" spans="1:18" x14ac:dyDescent="0.25">
      <c r="A53" t="s">
        <v>56</v>
      </c>
      <c r="B53" s="1">
        <v>19897</v>
      </c>
      <c r="C53">
        <v>0</v>
      </c>
      <c r="D53">
        <v>0</v>
      </c>
      <c r="E53">
        <v>0</v>
      </c>
      <c r="F53">
        <v>0</v>
      </c>
      <c r="G53" t="s">
        <v>56</v>
      </c>
      <c r="H53" s="1">
        <v>12451</v>
      </c>
      <c r="I53" s="2">
        <v>0</v>
      </c>
      <c r="J53" s="2">
        <v>0</v>
      </c>
      <c r="K53" s="2">
        <v>0</v>
      </c>
      <c r="L53" s="2">
        <v>0</v>
      </c>
      <c r="M53" t="s">
        <v>56</v>
      </c>
      <c r="N53" s="1">
        <v>7446</v>
      </c>
      <c r="O53">
        <v>0</v>
      </c>
      <c r="P53">
        <v>0</v>
      </c>
      <c r="Q53">
        <v>0</v>
      </c>
      <c r="R53">
        <v>0</v>
      </c>
    </row>
    <row r="54" spans="1:18" x14ac:dyDescent="0.25">
      <c r="A54" t="s">
        <v>57</v>
      </c>
      <c r="B54" s="1">
        <v>19897</v>
      </c>
      <c r="C54">
        <v>1</v>
      </c>
      <c r="D54">
        <v>0</v>
      </c>
      <c r="E54">
        <v>1</v>
      </c>
      <c r="F54">
        <v>1</v>
      </c>
      <c r="G54" t="s">
        <v>57</v>
      </c>
      <c r="H54" s="1">
        <v>12451</v>
      </c>
      <c r="I54">
        <v>1</v>
      </c>
      <c r="J54">
        <v>0</v>
      </c>
      <c r="K54">
        <v>1</v>
      </c>
      <c r="L54">
        <v>1</v>
      </c>
      <c r="M54" t="s">
        <v>57</v>
      </c>
      <c r="N54" s="1">
        <v>7446</v>
      </c>
      <c r="O54">
        <v>1</v>
      </c>
      <c r="P54">
        <v>0</v>
      </c>
      <c r="Q54">
        <v>1</v>
      </c>
      <c r="R54">
        <v>1</v>
      </c>
    </row>
    <row r="55" spans="1:18" x14ac:dyDescent="0.25">
      <c r="A55" t="s">
        <v>58</v>
      </c>
      <c r="B55" s="1">
        <v>19897</v>
      </c>
      <c r="C55">
        <v>0.45</v>
      </c>
      <c r="D55">
        <v>0.498</v>
      </c>
      <c r="E55">
        <v>0</v>
      </c>
      <c r="F55">
        <v>1</v>
      </c>
      <c r="G55" t="s">
        <v>58</v>
      </c>
      <c r="H55" s="1">
        <v>12451</v>
      </c>
      <c r="I55">
        <v>0.439</v>
      </c>
      <c r="J55">
        <v>0.496</v>
      </c>
      <c r="K55">
        <v>0</v>
      </c>
      <c r="L55">
        <v>1</v>
      </c>
      <c r="M55" t="s">
        <v>58</v>
      </c>
      <c r="N55" s="1">
        <v>7446</v>
      </c>
      <c r="O55">
        <v>0.46899999999999997</v>
      </c>
      <c r="P55">
        <v>0.499</v>
      </c>
      <c r="Q55">
        <v>0</v>
      </c>
      <c r="R55">
        <v>1</v>
      </c>
    </row>
    <row r="56" spans="1:18" x14ac:dyDescent="0.25">
      <c r="A56" t="s">
        <v>59</v>
      </c>
      <c r="B56" s="1">
        <v>19897</v>
      </c>
      <c r="C56">
        <v>0.497</v>
      </c>
      <c r="D56">
        <v>0.5</v>
      </c>
      <c r="E56">
        <v>0</v>
      </c>
      <c r="F56">
        <v>1</v>
      </c>
      <c r="G56" t="s">
        <v>59</v>
      </c>
      <c r="H56" s="1">
        <v>12451</v>
      </c>
      <c r="I56">
        <v>0.51200000000000001</v>
      </c>
      <c r="J56">
        <v>0.5</v>
      </c>
      <c r="K56">
        <v>0</v>
      </c>
      <c r="L56">
        <v>1</v>
      </c>
      <c r="M56" t="s">
        <v>59</v>
      </c>
      <c r="N56" s="1">
        <v>7446</v>
      </c>
      <c r="O56">
        <v>0.47299999999999998</v>
      </c>
      <c r="P56">
        <v>0.499</v>
      </c>
      <c r="Q56">
        <v>0</v>
      </c>
      <c r="R56">
        <v>1</v>
      </c>
    </row>
    <row r="57" spans="1:18" x14ac:dyDescent="0.25">
      <c r="A57" t="s">
        <v>60</v>
      </c>
      <c r="B57" s="1">
        <v>19897</v>
      </c>
      <c r="C57">
        <v>5.1999999999999998E-2</v>
      </c>
      <c r="D57">
        <v>0.223</v>
      </c>
      <c r="E57">
        <v>0</v>
      </c>
      <c r="F57">
        <v>1</v>
      </c>
      <c r="G57" t="s">
        <v>60</v>
      </c>
      <c r="H57" s="1">
        <v>12451</v>
      </c>
      <c r="I57">
        <v>4.9000000000000002E-2</v>
      </c>
      <c r="J57">
        <v>0.216</v>
      </c>
      <c r="K57">
        <v>0</v>
      </c>
      <c r="L57">
        <v>1</v>
      </c>
      <c r="M57" t="s">
        <v>60</v>
      </c>
      <c r="N57" s="1">
        <v>7446</v>
      </c>
      <c r="O57">
        <v>5.8000000000000003E-2</v>
      </c>
      <c r="P57">
        <v>0.23400000000000001</v>
      </c>
      <c r="Q57">
        <v>0</v>
      </c>
      <c r="R57">
        <v>1</v>
      </c>
    </row>
    <row r="58" spans="1:18" x14ac:dyDescent="0.25">
      <c r="A58" t="s">
        <v>61</v>
      </c>
      <c r="B58" s="1">
        <v>19897</v>
      </c>
      <c r="C58" s="2">
        <v>2018.82</v>
      </c>
      <c r="D58">
        <v>2</v>
      </c>
      <c r="E58" s="1">
        <v>2016</v>
      </c>
      <c r="F58" s="1">
        <v>2023</v>
      </c>
      <c r="G58" t="s">
        <v>61</v>
      </c>
      <c r="H58" s="1">
        <v>12451</v>
      </c>
      <c r="I58" s="2">
        <v>2017.5060000000001</v>
      </c>
      <c r="J58">
        <v>1.169</v>
      </c>
      <c r="K58" s="1">
        <v>2016</v>
      </c>
      <c r="L58" s="1">
        <v>2020</v>
      </c>
      <c r="M58" t="s">
        <v>61</v>
      </c>
      <c r="N58" s="1">
        <v>7446</v>
      </c>
      <c r="O58" s="2">
        <v>2021.018</v>
      </c>
      <c r="P58">
        <v>0.82599999999999996</v>
      </c>
      <c r="Q58" s="1">
        <v>2020</v>
      </c>
      <c r="R58" s="1">
        <v>2023</v>
      </c>
    </row>
    <row r="59" spans="1:18" x14ac:dyDescent="0.25">
      <c r="A59" t="s">
        <v>62</v>
      </c>
      <c r="B59" s="1">
        <v>19897</v>
      </c>
      <c r="C59">
        <v>0.88100000000000001</v>
      </c>
      <c r="D59">
        <v>0.32400000000000001</v>
      </c>
      <c r="E59">
        <v>0</v>
      </c>
      <c r="F59">
        <v>1</v>
      </c>
      <c r="G59" t="s">
        <v>62</v>
      </c>
      <c r="H59" s="1">
        <v>12451</v>
      </c>
      <c r="I59" s="2">
        <v>0.872</v>
      </c>
      <c r="J59">
        <v>0.33400000000000002</v>
      </c>
      <c r="K59" s="1">
        <v>0</v>
      </c>
      <c r="L59" s="1">
        <v>1</v>
      </c>
      <c r="M59" t="s">
        <v>62</v>
      </c>
      <c r="N59" s="1">
        <v>7446</v>
      </c>
      <c r="O59">
        <v>0.89500000000000002</v>
      </c>
      <c r="P59">
        <v>0.30599999999999999</v>
      </c>
      <c r="Q59">
        <v>0</v>
      </c>
      <c r="R59">
        <v>1</v>
      </c>
    </row>
    <row r="60" spans="1:18" x14ac:dyDescent="0.25">
      <c r="A60" t="s">
        <v>63</v>
      </c>
      <c r="B60" s="1">
        <v>19897</v>
      </c>
      <c r="C60">
        <v>1.7000000000000001E-2</v>
      </c>
      <c r="D60">
        <v>0.13</v>
      </c>
      <c r="E60">
        <v>0</v>
      </c>
      <c r="F60">
        <v>1</v>
      </c>
      <c r="G60" t="s">
        <v>63</v>
      </c>
      <c r="H60" s="1">
        <v>12451</v>
      </c>
      <c r="I60">
        <v>1.7999999999999999E-2</v>
      </c>
      <c r="J60">
        <v>0.13100000000000001</v>
      </c>
      <c r="K60">
        <v>0</v>
      </c>
      <c r="L60">
        <v>1</v>
      </c>
      <c r="M60" t="s">
        <v>63</v>
      </c>
      <c r="N60" s="1">
        <v>7446</v>
      </c>
      <c r="O60">
        <v>1.6E-2</v>
      </c>
      <c r="P60">
        <v>0.127</v>
      </c>
      <c r="Q60">
        <v>0</v>
      </c>
      <c r="R60">
        <v>1</v>
      </c>
    </row>
    <row r="61" spans="1:18" x14ac:dyDescent="0.25">
      <c r="A61" t="s">
        <v>64</v>
      </c>
      <c r="B61" s="1">
        <v>19897</v>
      </c>
      <c r="C61">
        <v>2.0000000000000001E-4</v>
      </c>
      <c r="D61">
        <v>1.2E-2</v>
      </c>
      <c r="E61">
        <v>0</v>
      </c>
      <c r="F61">
        <v>1</v>
      </c>
      <c r="G61" t="s">
        <v>64</v>
      </c>
      <c r="H61" s="1">
        <v>12451</v>
      </c>
      <c r="I61">
        <v>2.0000000000000001E-4</v>
      </c>
      <c r="J61">
        <v>1.2999999999999999E-2</v>
      </c>
      <c r="K61">
        <v>0</v>
      </c>
      <c r="L61">
        <v>1</v>
      </c>
      <c r="M61" t="s">
        <v>64</v>
      </c>
      <c r="N61" s="1">
        <v>7446</v>
      </c>
      <c r="O61">
        <v>1E-4</v>
      </c>
      <c r="P61">
        <v>1.2E-2</v>
      </c>
      <c r="Q61">
        <v>0</v>
      </c>
      <c r="R61">
        <v>1</v>
      </c>
    </row>
    <row r="62" spans="1:18" x14ac:dyDescent="0.25">
      <c r="A62" t="s">
        <v>65</v>
      </c>
      <c r="B62" s="1">
        <v>19897</v>
      </c>
      <c r="C62">
        <v>6.9000000000000006E-2</v>
      </c>
      <c r="D62">
        <v>0.254</v>
      </c>
      <c r="E62">
        <v>0</v>
      </c>
      <c r="F62">
        <v>1</v>
      </c>
      <c r="G62" t="s">
        <v>65</v>
      </c>
      <c r="H62" s="1">
        <v>12451</v>
      </c>
      <c r="I62">
        <v>7.8E-2</v>
      </c>
      <c r="J62">
        <v>0.26900000000000002</v>
      </c>
      <c r="K62">
        <v>0</v>
      </c>
      <c r="L62">
        <v>1</v>
      </c>
      <c r="M62" t="s">
        <v>65</v>
      </c>
      <c r="N62" s="1">
        <v>7446</v>
      </c>
      <c r="O62">
        <v>5.5E-2</v>
      </c>
      <c r="P62">
        <v>0.22700000000000001</v>
      </c>
      <c r="Q62">
        <v>0</v>
      </c>
      <c r="R62">
        <v>1</v>
      </c>
    </row>
    <row r="63" spans="1:18" x14ac:dyDescent="0.25">
      <c r="A63" t="s">
        <v>66</v>
      </c>
      <c r="B63" s="1">
        <v>19897</v>
      </c>
      <c r="C63">
        <v>1.7999999999999999E-2</v>
      </c>
      <c r="D63">
        <v>0.13100000000000001</v>
      </c>
      <c r="E63">
        <v>0</v>
      </c>
      <c r="F63">
        <v>1</v>
      </c>
      <c r="G63" t="s">
        <v>66</v>
      </c>
      <c r="H63" s="1">
        <v>12451</v>
      </c>
      <c r="I63">
        <v>1.7999999999999999E-2</v>
      </c>
      <c r="J63">
        <v>0.13100000000000001</v>
      </c>
      <c r="K63">
        <v>0</v>
      </c>
      <c r="L63">
        <v>1</v>
      </c>
      <c r="M63" t="s">
        <v>66</v>
      </c>
      <c r="N63" s="1">
        <v>7446</v>
      </c>
      <c r="O63">
        <v>1.7000000000000001E-2</v>
      </c>
      <c r="P63">
        <v>0.13100000000000001</v>
      </c>
      <c r="Q63">
        <v>0</v>
      </c>
      <c r="R63">
        <v>1</v>
      </c>
    </row>
    <row r="64" spans="1:18" x14ac:dyDescent="0.25">
      <c r="A64" t="s">
        <v>67</v>
      </c>
      <c r="B64" s="1">
        <v>19897</v>
      </c>
      <c r="C64">
        <v>1E-3</v>
      </c>
      <c r="D64">
        <v>2.1999999999999999E-2</v>
      </c>
      <c r="E64">
        <v>0</v>
      </c>
      <c r="F64">
        <v>1</v>
      </c>
      <c r="G64" t="s">
        <v>67</v>
      </c>
      <c r="H64" s="1">
        <v>12451</v>
      </c>
      <c r="I64">
        <v>5.0000000000000001E-4</v>
      </c>
      <c r="J64">
        <v>2.1999999999999999E-2</v>
      </c>
      <c r="K64">
        <v>0</v>
      </c>
      <c r="L64">
        <v>1</v>
      </c>
      <c r="M64" t="s">
        <v>67</v>
      </c>
      <c r="N64" s="1">
        <v>7446</v>
      </c>
      <c r="O64">
        <v>1E-3</v>
      </c>
      <c r="P64">
        <v>2.3E-2</v>
      </c>
      <c r="Q64">
        <v>0</v>
      </c>
      <c r="R64">
        <v>1</v>
      </c>
    </row>
    <row r="65" spans="1:18" x14ac:dyDescent="0.25">
      <c r="A65" t="s">
        <v>68</v>
      </c>
      <c r="B65" s="1">
        <v>19897</v>
      </c>
      <c r="C65">
        <v>1.4E-2</v>
      </c>
      <c r="D65">
        <v>0.11799999999999999</v>
      </c>
      <c r="E65">
        <v>0</v>
      </c>
      <c r="F65">
        <v>1</v>
      </c>
      <c r="G65" t="s">
        <v>68</v>
      </c>
      <c r="H65" s="1">
        <v>12451</v>
      </c>
      <c r="I65">
        <v>1.4E-2</v>
      </c>
      <c r="J65">
        <v>0.11600000000000001</v>
      </c>
      <c r="K65">
        <v>0</v>
      </c>
      <c r="L65">
        <v>1</v>
      </c>
      <c r="M65" t="s">
        <v>68</v>
      </c>
      <c r="N65" s="1">
        <v>7446</v>
      </c>
      <c r="O65">
        <v>1.4999999999999999E-2</v>
      </c>
      <c r="P65">
        <v>0.122</v>
      </c>
      <c r="Q65">
        <v>0</v>
      </c>
      <c r="R65">
        <v>1</v>
      </c>
    </row>
    <row r="66" spans="1:18" x14ac:dyDescent="0.25">
      <c r="A66" t="s">
        <v>69</v>
      </c>
      <c r="B66" s="1">
        <v>19897</v>
      </c>
      <c r="C66">
        <v>2.0000000000000001E-4</v>
      </c>
      <c r="D66">
        <v>1.2E-2</v>
      </c>
      <c r="E66">
        <v>0</v>
      </c>
      <c r="F66">
        <v>1</v>
      </c>
      <c r="G66" t="s">
        <v>69</v>
      </c>
      <c r="H66" s="1">
        <v>12451</v>
      </c>
      <c r="I66">
        <v>0</v>
      </c>
      <c r="J66">
        <v>0</v>
      </c>
      <c r="K66">
        <v>0</v>
      </c>
      <c r="L66">
        <v>0</v>
      </c>
      <c r="M66" t="s">
        <v>69</v>
      </c>
      <c r="N66" s="1">
        <v>7446</v>
      </c>
      <c r="O66">
        <v>4.0000000000000002E-4</v>
      </c>
      <c r="P66">
        <v>0.02</v>
      </c>
      <c r="Q66">
        <v>0</v>
      </c>
      <c r="R66">
        <v>1</v>
      </c>
    </row>
    <row r="67" spans="1:18" x14ac:dyDescent="0.25">
      <c r="A67" t="s">
        <v>70</v>
      </c>
      <c r="B67" s="1">
        <v>19897</v>
      </c>
      <c r="C67">
        <v>0.23300000000000001</v>
      </c>
      <c r="D67">
        <v>0.42299999999999999</v>
      </c>
      <c r="E67">
        <v>0</v>
      </c>
      <c r="F67">
        <v>1</v>
      </c>
      <c r="G67" t="s">
        <v>70</v>
      </c>
      <c r="H67" s="1">
        <v>12451</v>
      </c>
      <c r="I67">
        <v>0.219</v>
      </c>
      <c r="J67">
        <v>0.41399999999999998</v>
      </c>
      <c r="K67">
        <v>0</v>
      </c>
      <c r="L67">
        <v>1</v>
      </c>
      <c r="M67" t="s">
        <v>70</v>
      </c>
      <c r="N67" s="1">
        <v>7446</v>
      </c>
      <c r="O67">
        <v>0.25700000000000001</v>
      </c>
      <c r="P67">
        <v>0.437</v>
      </c>
      <c r="Q67">
        <v>0</v>
      </c>
      <c r="R67">
        <v>1</v>
      </c>
    </row>
    <row r="68" spans="1:18" x14ac:dyDescent="0.25">
      <c r="A68" t="s">
        <v>71</v>
      </c>
      <c r="B68" s="1">
        <v>19897</v>
      </c>
      <c r="C68">
        <v>0.28699999999999998</v>
      </c>
      <c r="D68">
        <v>0.45300000000000001</v>
      </c>
      <c r="E68">
        <v>0</v>
      </c>
      <c r="F68">
        <v>1</v>
      </c>
      <c r="G68" t="s">
        <v>71</v>
      </c>
      <c r="H68" s="1">
        <v>12451</v>
      </c>
      <c r="I68">
        <v>0.308</v>
      </c>
      <c r="J68">
        <v>0.46200000000000002</v>
      </c>
      <c r="K68">
        <v>0</v>
      </c>
      <c r="L68">
        <v>1</v>
      </c>
      <c r="M68" t="s">
        <v>71</v>
      </c>
      <c r="N68" s="1">
        <v>7446</v>
      </c>
      <c r="O68">
        <v>0.253</v>
      </c>
      <c r="P68">
        <v>0.435</v>
      </c>
      <c r="Q68">
        <v>0</v>
      </c>
      <c r="R68">
        <v>1</v>
      </c>
    </row>
    <row r="69" spans="1:18" x14ac:dyDescent="0.25">
      <c r="A69" t="s">
        <v>72</v>
      </c>
      <c r="B69" s="1">
        <v>19897</v>
      </c>
      <c r="C69">
        <v>0.39500000000000002</v>
      </c>
      <c r="D69">
        <v>0.48899999999999999</v>
      </c>
      <c r="E69">
        <v>0</v>
      </c>
      <c r="F69">
        <v>1</v>
      </c>
      <c r="G69" t="s">
        <v>72</v>
      </c>
      <c r="H69" s="1">
        <v>12451</v>
      </c>
      <c r="I69">
        <v>0.39200000000000002</v>
      </c>
      <c r="J69">
        <v>0.48799999999999999</v>
      </c>
      <c r="K69">
        <v>0</v>
      </c>
      <c r="L69">
        <v>1</v>
      </c>
      <c r="M69" t="s">
        <v>72</v>
      </c>
      <c r="N69" s="1">
        <v>7446</v>
      </c>
      <c r="O69">
        <v>0.4</v>
      </c>
      <c r="P69">
        <v>0.49</v>
      </c>
      <c r="Q69">
        <v>0</v>
      </c>
      <c r="R69">
        <v>1</v>
      </c>
    </row>
    <row r="70" spans="1:18" x14ac:dyDescent="0.25">
      <c r="A70" t="s">
        <v>73</v>
      </c>
      <c r="B70" s="1">
        <v>19897</v>
      </c>
      <c r="C70">
        <v>8.4000000000000005E-2</v>
      </c>
      <c r="D70">
        <v>0.27700000000000002</v>
      </c>
      <c r="E70">
        <v>0</v>
      </c>
      <c r="F70">
        <v>1</v>
      </c>
      <c r="G70" t="s">
        <v>73</v>
      </c>
      <c r="H70" s="1">
        <v>12451</v>
      </c>
      <c r="I70">
        <v>0.08</v>
      </c>
      <c r="J70">
        <v>0.27200000000000002</v>
      </c>
      <c r="K70">
        <v>0</v>
      </c>
      <c r="L70">
        <v>1</v>
      </c>
      <c r="M70" t="s">
        <v>73</v>
      </c>
      <c r="N70" s="1">
        <v>7446</v>
      </c>
      <c r="O70">
        <v>0.09</v>
      </c>
      <c r="P70">
        <v>0.28599999999999998</v>
      </c>
      <c r="Q70">
        <v>0</v>
      </c>
      <c r="R70">
        <v>1</v>
      </c>
    </row>
    <row r="71" spans="1:18" x14ac:dyDescent="0.25">
      <c r="A71" t="s">
        <v>165</v>
      </c>
      <c r="B71" s="1">
        <v>19897</v>
      </c>
      <c r="C71">
        <v>4.0000000000000001E-3</v>
      </c>
      <c r="D71">
        <v>6.6000000000000003E-2</v>
      </c>
      <c r="E71">
        <v>0</v>
      </c>
      <c r="F71">
        <v>1</v>
      </c>
      <c r="G71" t="s">
        <v>165</v>
      </c>
      <c r="H71" s="1">
        <v>12451</v>
      </c>
      <c r="I71">
        <v>4.0000000000000001E-3</v>
      </c>
      <c r="J71">
        <v>6.7000000000000004E-2</v>
      </c>
      <c r="K71">
        <v>0</v>
      </c>
      <c r="L71">
        <v>1</v>
      </c>
      <c r="M71" t="s">
        <v>165</v>
      </c>
      <c r="N71" s="1">
        <v>7446</v>
      </c>
      <c r="O71">
        <v>4.0000000000000001E-3</v>
      </c>
      <c r="P71">
        <v>6.3E-2</v>
      </c>
      <c r="Q71">
        <v>0</v>
      </c>
      <c r="R71">
        <v>1</v>
      </c>
    </row>
    <row r="72" spans="1:18" x14ac:dyDescent="0.25">
      <c r="A72" t="s">
        <v>166</v>
      </c>
      <c r="B72" s="1">
        <v>19897</v>
      </c>
      <c r="C72">
        <v>3.4000000000000002E-2</v>
      </c>
      <c r="D72">
        <v>0.18099999999999999</v>
      </c>
      <c r="E72">
        <v>0</v>
      </c>
      <c r="F72">
        <v>1</v>
      </c>
      <c r="G72" t="s">
        <v>166</v>
      </c>
      <c r="H72" s="1">
        <v>12451</v>
      </c>
      <c r="I72">
        <v>3.6999999999999998E-2</v>
      </c>
      <c r="J72">
        <v>0.188</v>
      </c>
      <c r="K72">
        <v>0</v>
      </c>
      <c r="L72">
        <v>1</v>
      </c>
      <c r="M72" t="s">
        <v>166</v>
      </c>
      <c r="N72" s="1">
        <v>7446</v>
      </c>
      <c r="O72">
        <v>0.03</v>
      </c>
      <c r="P72">
        <v>0.17</v>
      </c>
      <c r="Q72">
        <v>0</v>
      </c>
      <c r="R72">
        <v>1</v>
      </c>
    </row>
    <row r="73" spans="1:18" x14ac:dyDescent="0.25">
      <c r="A73" t="s">
        <v>167</v>
      </c>
      <c r="B73" s="1">
        <v>19897</v>
      </c>
      <c r="C73">
        <v>0.51500000000000001</v>
      </c>
      <c r="D73">
        <v>0.5</v>
      </c>
      <c r="E73">
        <v>0</v>
      </c>
      <c r="F73">
        <v>1</v>
      </c>
      <c r="G73" t="s">
        <v>167</v>
      </c>
      <c r="H73" s="1">
        <v>12451</v>
      </c>
      <c r="I73">
        <v>0.54200000000000004</v>
      </c>
      <c r="J73">
        <v>0.498</v>
      </c>
      <c r="K73">
        <v>0</v>
      </c>
      <c r="L73">
        <v>1</v>
      </c>
      <c r="M73" t="s">
        <v>167</v>
      </c>
      <c r="N73" s="1">
        <v>7446</v>
      </c>
      <c r="O73">
        <v>0.47099999999999997</v>
      </c>
      <c r="P73">
        <v>0.499</v>
      </c>
      <c r="Q73">
        <v>0</v>
      </c>
      <c r="R73">
        <v>1</v>
      </c>
    </row>
    <row r="74" spans="1:18" x14ac:dyDescent="0.25">
      <c r="A74" t="s">
        <v>168</v>
      </c>
      <c r="B74" s="1">
        <v>19897</v>
      </c>
      <c r="C74">
        <v>0.12</v>
      </c>
      <c r="D74">
        <v>0.32500000000000001</v>
      </c>
      <c r="E74">
        <v>0</v>
      </c>
      <c r="F74">
        <v>1</v>
      </c>
      <c r="G74" t="s">
        <v>168</v>
      </c>
      <c r="H74" s="1">
        <v>12451</v>
      </c>
      <c r="I74">
        <v>0.11700000000000001</v>
      </c>
      <c r="J74">
        <v>0.32100000000000001</v>
      </c>
      <c r="K74">
        <v>0</v>
      </c>
      <c r="L74">
        <v>1</v>
      </c>
      <c r="M74" t="s">
        <v>168</v>
      </c>
      <c r="N74" s="1">
        <v>7446</v>
      </c>
      <c r="O74">
        <v>0.126</v>
      </c>
      <c r="P74">
        <v>0.33200000000000002</v>
      </c>
      <c r="Q74">
        <v>0</v>
      </c>
      <c r="R74">
        <v>1</v>
      </c>
    </row>
    <row r="75" spans="1:18" x14ac:dyDescent="0.25">
      <c r="A75" t="s">
        <v>169</v>
      </c>
      <c r="B75" s="1">
        <v>19897</v>
      </c>
      <c r="C75">
        <v>0.246</v>
      </c>
      <c r="D75">
        <v>0.43099999999999999</v>
      </c>
      <c r="E75">
        <v>0</v>
      </c>
      <c r="F75">
        <v>1</v>
      </c>
      <c r="G75" t="s">
        <v>169</v>
      </c>
      <c r="H75" s="1">
        <v>12451</v>
      </c>
      <c r="I75">
        <v>0.23200000000000001</v>
      </c>
      <c r="J75">
        <v>0.42199999999999999</v>
      </c>
      <c r="K75">
        <v>0</v>
      </c>
      <c r="L75">
        <v>1</v>
      </c>
      <c r="M75" t="s">
        <v>169</v>
      </c>
      <c r="N75" s="1">
        <v>7446</v>
      </c>
      <c r="O75">
        <v>0.27</v>
      </c>
      <c r="P75">
        <v>0.44400000000000001</v>
      </c>
      <c r="Q75">
        <v>0</v>
      </c>
      <c r="R75">
        <v>1</v>
      </c>
    </row>
    <row r="76" spans="1:18" x14ac:dyDescent="0.25">
      <c r="A76" t="s">
        <v>170</v>
      </c>
      <c r="B76" s="1">
        <v>19897</v>
      </c>
      <c r="C76">
        <v>0.08</v>
      </c>
      <c r="D76">
        <v>0.27100000000000002</v>
      </c>
      <c r="E76">
        <v>0</v>
      </c>
      <c r="F76">
        <v>1</v>
      </c>
      <c r="G76" t="s">
        <v>170</v>
      </c>
      <c r="H76" s="1">
        <v>12451</v>
      </c>
      <c r="I76">
        <v>6.9000000000000006E-2</v>
      </c>
      <c r="J76">
        <v>0.253</v>
      </c>
      <c r="K76">
        <v>0</v>
      </c>
      <c r="L76">
        <v>1</v>
      </c>
      <c r="M76" t="s">
        <v>170</v>
      </c>
      <c r="N76" s="1">
        <v>7446</v>
      </c>
      <c r="O76">
        <v>9.9000000000000005E-2</v>
      </c>
      <c r="P76">
        <v>0.29899999999999999</v>
      </c>
      <c r="Q76">
        <v>0</v>
      </c>
      <c r="R76">
        <v>1</v>
      </c>
    </row>
    <row r="77" spans="1:18" x14ac:dyDescent="0.25">
      <c r="A77" t="s">
        <v>79</v>
      </c>
      <c r="B77" s="1">
        <v>19897</v>
      </c>
      <c r="C77">
        <v>3.3000000000000002E-2</v>
      </c>
      <c r="D77">
        <v>0.17799999999999999</v>
      </c>
      <c r="E77">
        <v>0</v>
      </c>
      <c r="F77">
        <v>1</v>
      </c>
      <c r="G77" t="s">
        <v>79</v>
      </c>
      <c r="H77" s="1">
        <v>12451</v>
      </c>
      <c r="I77">
        <v>0.03</v>
      </c>
      <c r="J77">
        <v>0.17199999999999999</v>
      </c>
      <c r="K77">
        <v>0</v>
      </c>
      <c r="L77">
        <v>1</v>
      </c>
      <c r="M77" t="s">
        <v>79</v>
      </c>
      <c r="N77" s="1">
        <v>7446</v>
      </c>
      <c r="O77">
        <v>3.5999999999999997E-2</v>
      </c>
      <c r="P77">
        <v>0.187</v>
      </c>
      <c r="Q77">
        <v>0</v>
      </c>
      <c r="R77">
        <v>1</v>
      </c>
    </row>
    <row r="78" spans="1:18" x14ac:dyDescent="0.25">
      <c r="A78" t="s">
        <v>80</v>
      </c>
      <c r="B78" s="1">
        <v>19897</v>
      </c>
      <c r="C78">
        <v>4.0000000000000002E-4</v>
      </c>
      <c r="D78">
        <v>1.9E-2</v>
      </c>
      <c r="E78">
        <v>0</v>
      </c>
      <c r="F78">
        <v>1</v>
      </c>
      <c r="G78" t="s">
        <v>80</v>
      </c>
      <c r="H78" s="1">
        <v>12451</v>
      </c>
      <c r="I78">
        <v>5.0000000000000001E-4</v>
      </c>
      <c r="J78">
        <v>2.1999999999999999E-2</v>
      </c>
      <c r="K78">
        <v>0</v>
      </c>
      <c r="L78">
        <v>1</v>
      </c>
      <c r="M78" t="s">
        <v>80</v>
      </c>
      <c r="N78" s="1">
        <v>7446</v>
      </c>
      <c r="O78">
        <v>1E-4</v>
      </c>
      <c r="P78">
        <v>1.2E-2</v>
      </c>
      <c r="Q78">
        <v>0</v>
      </c>
      <c r="R78">
        <v>1</v>
      </c>
    </row>
    <row r="79" spans="1:18" x14ac:dyDescent="0.25">
      <c r="A79" t="s">
        <v>81</v>
      </c>
      <c r="B79" s="1">
        <v>19897</v>
      </c>
      <c r="C79">
        <v>3.0000000000000001E-3</v>
      </c>
      <c r="D79">
        <v>5.6000000000000001E-2</v>
      </c>
      <c r="E79">
        <v>0</v>
      </c>
      <c r="F79">
        <v>1</v>
      </c>
      <c r="G79" t="s">
        <v>81</v>
      </c>
      <c r="H79" s="1">
        <v>12451</v>
      </c>
      <c r="I79">
        <v>3.0000000000000001E-3</v>
      </c>
      <c r="J79">
        <v>5.8000000000000003E-2</v>
      </c>
      <c r="K79">
        <v>0</v>
      </c>
      <c r="L79">
        <v>1</v>
      </c>
      <c r="M79" t="s">
        <v>81</v>
      </c>
      <c r="N79" s="1">
        <v>7446</v>
      </c>
      <c r="O79">
        <v>3.0000000000000001E-3</v>
      </c>
      <c r="P79">
        <v>5.2999999999999999E-2</v>
      </c>
      <c r="Q79">
        <v>0</v>
      </c>
      <c r="R79">
        <v>1</v>
      </c>
    </row>
    <row r="80" spans="1:18" x14ac:dyDescent="0.25">
      <c r="A80" t="s">
        <v>82</v>
      </c>
      <c r="B80" s="1">
        <v>19897</v>
      </c>
      <c r="C80">
        <v>4.0000000000000001E-3</v>
      </c>
      <c r="D80">
        <v>6.2E-2</v>
      </c>
      <c r="E80">
        <v>0</v>
      </c>
      <c r="F80">
        <v>1</v>
      </c>
      <c r="G80" t="s">
        <v>82</v>
      </c>
      <c r="H80" s="1">
        <v>12451</v>
      </c>
      <c r="I80">
        <v>4.0000000000000001E-3</v>
      </c>
      <c r="J80">
        <v>6.3E-2</v>
      </c>
      <c r="K80">
        <v>0</v>
      </c>
      <c r="L80">
        <v>1</v>
      </c>
      <c r="M80" t="s">
        <v>82</v>
      </c>
      <c r="N80" s="1">
        <v>7446</v>
      </c>
      <c r="O80">
        <v>4.0000000000000001E-3</v>
      </c>
      <c r="P80">
        <v>6.2E-2</v>
      </c>
      <c r="Q80">
        <v>0</v>
      </c>
      <c r="R80">
        <v>1</v>
      </c>
    </row>
    <row r="81" spans="1:18" x14ac:dyDescent="0.25">
      <c r="A81" t="s">
        <v>83</v>
      </c>
      <c r="B81" s="1">
        <v>19897</v>
      </c>
      <c r="C81">
        <v>0.53800000000000003</v>
      </c>
      <c r="D81">
        <v>0.499</v>
      </c>
      <c r="E81">
        <v>0</v>
      </c>
      <c r="F81">
        <v>1</v>
      </c>
      <c r="G81" t="s">
        <v>83</v>
      </c>
      <c r="H81" s="1">
        <v>12451</v>
      </c>
      <c r="I81">
        <v>0.55900000000000005</v>
      </c>
      <c r="J81">
        <v>0.497</v>
      </c>
      <c r="K81">
        <v>0</v>
      </c>
      <c r="L81">
        <v>1</v>
      </c>
      <c r="M81" t="s">
        <v>83</v>
      </c>
      <c r="N81" s="1">
        <v>7446</v>
      </c>
      <c r="O81">
        <v>0.502</v>
      </c>
      <c r="P81">
        <v>0.5</v>
      </c>
      <c r="Q81">
        <v>0</v>
      </c>
      <c r="R81">
        <v>1</v>
      </c>
    </row>
    <row r="82" spans="1:18" x14ac:dyDescent="0.25">
      <c r="A82" t="s">
        <v>84</v>
      </c>
      <c r="B82" s="1">
        <v>19897</v>
      </c>
      <c r="C82">
        <v>8.0000000000000002E-3</v>
      </c>
      <c r="D82">
        <v>8.6999999999999994E-2</v>
      </c>
      <c r="E82">
        <v>0</v>
      </c>
      <c r="F82">
        <v>1</v>
      </c>
      <c r="G82" t="s">
        <v>84</v>
      </c>
      <c r="H82" s="1">
        <v>12451</v>
      </c>
      <c r="I82">
        <v>6.0000000000000001E-3</v>
      </c>
      <c r="J82">
        <v>7.9000000000000001E-2</v>
      </c>
      <c r="K82">
        <v>0</v>
      </c>
      <c r="L82">
        <v>1</v>
      </c>
      <c r="M82" t="s">
        <v>84</v>
      </c>
      <c r="N82" s="1">
        <v>7446</v>
      </c>
      <c r="O82">
        <v>0.01</v>
      </c>
      <c r="P82">
        <v>0.1</v>
      </c>
      <c r="Q82">
        <v>0</v>
      </c>
      <c r="R82">
        <v>1</v>
      </c>
    </row>
    <row r="83" spans="1:18" x14ac:dyDescent="0.25">
      <c r="A83" t="s">
        <v>85</v>
      </c>
      <c r="B83" s="1">
        <v>19897</v>
      </c>
      <c r="C83">
        <v>0.41499999999999998</v>
      </c>
      <c r="D83">
        <v>0.49299999999999999</v>
      </c>
      <c r="E83">
        <v>0</v>
      </c>
      <c r="F83">
        <v>1</v>
      </c>
      <c r="G83" t="s">
        <v>85</v>
      </c>
      <c r="H83" s="1">
        <v>12451</v>
      </c>
      <c r="I83">
        <v>0.39600000000000002</v>
      </c>
      <c r="J83">
        <v>0.48899999999999999</v>
      </c>
      <c r="K83">
        <v>0</v>
      </c>
      <c r="L83">
        <v>1</v>
      </c>
      <c r="M83" t="s">
        <v>85</v>
      </c>
      <c r="N83" s="1">
        <v>7446</v>
      </c>
      <c r="O83">
        <v>0.44500000000000001</v>
      </c>
      <c r="P83">
        <v>0.497</v>
      </c>
      <c r="Q83">
        <v>0</v>
      </c>
      <c r="R83">
        <v>1</v>
      </c>
    </row>
    <row r="84" spans="1:18" x14ac:dyDescent="0.25">
      <c r="A84" t="s">
        <v>6</v>
      </c>
      <c r="B84" t="s">
        <v>7</v>
      </c>
      <c r="C84" t="s">
        <v>8</v>
      </c>
      <c r="D84" t="s">
        <v>8</v>
      </c>
      <c r="E84" t="s">
        <v>9</v>
      </c>
      <c r="F84" t="s">
        <v>9</v>
      </c>
      <c r="G84" t="s">
        <v>6</v>
      </c>
      <c r="H84" s="1" t="s">
        <v>7</v>
      </c>
      <c r="I84" t="s">
        <v>8</v>
      </c>
      <c r="J84" t="s">
        <v>162</v>
      </c>
      <c r="K84" t="s">
        <v>8</v>
      </c>
      <c r="L84" t="s">
        <v>9</v>
      </c>
      <c r="M84" t="s">
        <v>6</v>
      </c>
      <c r="N84" t="s">
        <v>171</v>
      </c>
      <c r="O84" t="s">
        <v>8</v>
      </c>
      <c r="P84" t="s">
        <v>8</v>
      </c>
      <c r="Q84" t="s">
        <v>9</v>
      </c>
      <c r="R84" t="s">
        <v>9</v>
      </c>
    </row>
    <row r="85" spans="1:18" x14ac:dyDescent="0.25">
      <c r="G85" t="s">
        <v>6</v>
      </c>
      <c r="H85" t="s">
        <v>7</v>
      </c>
      <c r="I85" t="s">
        <v>8</v>
      </c>
      <c r="J85" t="s">
        <v>162</v>
      </c>
      <c r="K85" t="s">
        <v>8</v>
      </c>
      <c r="L85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AA770-7EE7-416B-B796-64D8C5745098}">
  <sheetPr codeName="Sheet10">
    <pageSetUpPr fitToPage="1"/>
  </sheetPr>
  <dimension ref="A1:AN92"/>
  <sheetViews>
    <sheetView topLeftCell="A53" workbookViewId="0">
      <selection activeCell="B67" sqref="B67:AB74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2.7109375" style="3" customWidth="1"/>
    <col min="5" max="5" width="11.7109375" style="3" hidden="1" customWidth="1"/>
    <col min="6" max="6" width="12.7109375" style="3" hidden="1" customWidth="1"/>
    <col min="7" max="8" width="8.7109375" style="3" hidden="1" customWidth="1"/>
    <col min="9" max="9" width="11.7109375" style="3" hidden="1" customWidth="1"/>
    <col min="10" max="10" width="12.7109375" style="3" hidden="1" customWidth="1"/>
    <col min="11" max="12" width="8.7109375" style="3" hidden="1" customWidth="1"/>
    <col min="13" max="13" width="11.7109375" style="3" hidden="1" customWidth="1"/>
    <col min="14" max="14" width="12.7109375" style="3" hidden="1" customWidth="1"/>
    <col min="15" max="16" width="12.7109375" customWidth="1"/>
    <col min="17" max="17" width="11.7109375" hidden="1" customWidth="1"/>
    <col min="18" max="18" width="12.7109375" hidden="1" customWidth="1"/>
    <col min="19" max="20" width="8.7109375" hidden="1" customWidth="1"/>
    <col min="21" max="21" width="11.7109375" hidden="1" customWidth="1"/>
    <col min="22" max="22" width="12.7109375" hidden="1" customWidth="1"/>
    <col min="23" max="24" width="8.7109375" hidden="1" customWidth="1"/>
    <col min="25" max="25" width="11.7109375" hidden="1" customWidth="1"/>
    <col min="26" max="26" width="12.7109375" hidden="1" customWidth="1"/>
    <col min="27" max="28" width="12.7109375" customWidth="1"/>
    <col min="29" max="29" width="12.42578125" hidden="1" customWidth="1"/>
    <col min="30" max="30" width="12.7109375" hidden="1" customWidth="1"/>
    <col min="31" max="32" width="8.7109375" hidden="1" customWidth="1"/>
    <col min="33" max="33" width="12.42578125" hidden="1" customWidth="1"/>
    <col min="34" max="34" width="12.7109375" hidden="1" customWidth="1"/>
    <col min="35" max="36" width="8.7109375" hidden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1" t="s">
        <v>188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1:40" ht="23.25" x14ac:dyDescent="0.35">
      <c r="A3" s="32" t="s">
        <v>332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40" ht="29.25" customHeight="1" x14ac:dyDescent="0.25">
      <c r="C4" s="33" t="s">
        <v>92</v>
      </c>
      <c r="D4" s="34"/>
      <c r="E4" s="34"/>
      <c r="F4" s="34"/>
      <c r="G4" s="34"/>
      <c r="H4" s="34"/>
      <c r="I4" s="34"/>
      <c r="J4" s="34"/>
      <c r="K4" s="34"/>
      <c r="L4" s="34"/>
      <c r="M4" s="21"/>
      <c r="N4" s="22"/>
      <c r="O4" s="33" t="s">
        <v>327</v>
      </c>
      <c r="P4" s="34"/>
      <c r="Q4" s="34"/>
      <c r="R4" s="34"/>
      <c r="S4" s="34"/>
      <c r="T4" s="34"/>
      <c r="U4" s="34"/>
      <c r="V4" s="34"/>
      <c r="W4" s="34"/>
      <c r="X4" s="34"/>
      <c r="Y4" s="24"/>
      <c r="Z4" s="24"/>
      <c r="AA4" s="33" t="s">
        <v>328</v>
      </c>
      <c r="AB4" s="34"/>
      <c r="AC4" s="34"/>
      <c r="AD4" s="34"/>
      <c r="AE4" s="34"/>
      <c r="AF4" s="34"/>
      <c r="AG4" s="34"/>
      <c r="AH4" s="34"/>
      <c r="AI4" s="34"/>
      <c r="AJ4" s="34"/>
    </row>
    <row r="5" spans="1:40" x14ac:dyDescent="0.25">
      <c r="A5" s="5"/>
      <c r="B5" s="5"/>
      <c r="C5" s="33" t="s">
        <v>92</v>
      </c>
      <c r="D5" s="34"/>
      <c r="E5" s="34"/>
      <c r="F5" s="34"/>
      <c r="G5" s="35" t="s">
        <v>325</v>
      </c>
      <c r="H5" s="36"/>
      <c r="I5" s="36"/>
      <c r="J5" s="37"/>
      <c r="K5" s="33" t="s">
        <v>326</v>
      </c>
      <c r="L5" s="34"/>
      <c r="M5" s="34"/>
      <c r="N5" s="38"/>
      <c r="O5" s="33" t="s">
        <v>92</v>
      </c>
      <c r="P5" s="34"/>
      <c r="Q5" s="34"/>
      <c r="R5" s="34"/>
      <c r="S5" s="35" t="s">
        <v>325</v>
      </c>
      <c r="T5" s="36"/>
      <c r="U5" s="36"/>
      <c r="V5" s="37"/>
      <c r="W5" s="33" t="s">
        <v>326</v>
      </c>
      <c r="X5" s="34"/>
      <c r="Y5" s="34"/>
      <c r="Z5" s="38"/>
      <c r="AA5" s="33" t="s">
        <v>92</v>
      </c>
      <c r="AB5" s="34"/>
      <c r="AC5" s="34"/>
      <c r="AD5" s="34"/>
      <c r="AE5" s="35" t="s">
        <v>325</v>
      </c>
      <c r="AF5" s="36"/>
      <c r="AG5" s="36"/>
      <c r="AH5" s="37"/>
      <c r="AI5" s="33" t="s">
        <v>326</v>
      </c>
      <c r="AJ5" s="34"/>
      <c r="AK5" s="34"/>
      <c r="AL5" s="38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323</v>
      </c>
      <c r="C7" s="9" t="str">
        <f>FIXED(VLOOKUP($A7,'Full Sample-No Sub'!$A:$R,C$1,0)/100000,2)</f>
        <v>9.28</v>
      </c>
      <c r="D7" s="3" t="str">
        <f>FIXED(VLOOKUP($A7,'Full Sample-No Sub'!$A:$R,D$1,0)/100000,2)</f>
        <v>8.28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8.87</v>
      </c>
      <c r="H7" s="3" t="str">
        <f>FIXED(VLOOKUP($A7,'Full Sample-No Sub'!$A:$R,H$1,0)/100000,2)</f>
        <v>7.90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9.84</v>
      </c>
      <c r="L7" s="3" t="str">
        <f>FIXED(VLOOKUP($A7,'Full Sample-No Sub'!$A:$R,L$1,0)/100000,2)</f>
        <v>8.74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6.57</v>
      </c>
      <c r="P7" s="3" t="str">
        <f>FIXED(VLOOKUP($A7,'Full Sample-Townhouse'!$A:$R,P$1,0)/100000,2)</f>
        <v>5.72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6.54</v>
      </c>
      <c r="T7" s="3" t="str">
        <f>FIXED(VLOOKUP($A7,'Full Sample-Townhouse'!$A:$R,T$1,0)/100000,2)</f>
        <v>5.91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6.60</v>
      </c>
      <c r="X7" s="3" t="str">
        <f>FIXED(VLOOKUP($A7,'Full Sample-Townhouse'!$A:$R,X$1,0)/100000,2)</f>
        <v>5.46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12.53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9.00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10.22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AA7*0.039*100000</f>
        <v>48867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0.56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1.30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1.29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0.42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0.38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44.36</v>
      </c>
      <c r="D11" s="3" t="str">
        <f>FIXED(VLOOKUP($A11,'Full Sample-No Sub'!$A:$R,D$1,0),2)</f>
        <v>58.83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51.11</v>
      </c>
      <c r="H11" s="3" t="str">
        <f>FIXED(VLOOKUP($A11,'Full Sample-No Sub'!$A:$R,H$1,0),2)</f>
        <v>59.04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57.28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46.08</v>
      </c>
      <c r="P11" s="3" t="str">
        <f>FIXED(VLOOKUP($A11,'Full Sample-Townhouse'!$A:$R,P$1,0),2)</f>
        <v>60.64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50.72</v>
      </c>
      <c r="T11" s="3" t="str">
        <f>FIXED(VLOOKUP($A11,'Full Sample-Townhouse'!$A:$R,T$1,0),2)</f>
        <v>58.35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39.79</v>
      </c>
      <c r="X11" s="3" t="str">
        <f>FIXED(VLOOKUP($A11,'Full Sample-Townhouse'!$A:$R,X$1,0),2)</f>
        <v>63.08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42.31</v>
      </c>
      <c r="AB11" s="3" t="str">
        <f>FIXED(VLOOKUP($A11,'Full Sample-Single Family'!$A:$R,AB$1,0),2)</f>
        <v>56.52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51.58</v>
      </c>
      <c r="AF11" s="3" t="str">
        <f>FIXED(VLOOKUP($A11,'Full Sample-Single Family'!$A:$R,AF$1,0),2)</f>
        <v>59.84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29.64</v>
      </c>
      <c r="AJ11" s="3" t="str">
        <f>FIXED(VLOOKUP($A11,'Full Sample-Single Family'!$A:$R,AJ$1,0),2)</f>
        <v>48.86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1.51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0.55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0.98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2.72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2.70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1.31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0.28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0.22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0.52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0.51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0.21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324</v>
      </c>
      <c r="C18" s="9" t="str">
        <f>FIXED(VLOOKUP($A18,'Full Sample-No Sub'!$A:$R,C$1,0),2)</f>
        <v>1,473.58</v>
      </c>
      <c r="D18" s="3" t="str">
        <f>FIXED(VLOOKUP($A18,'Full Sample-No Sub'!$A:$R,D$1,0),2)</f>
        <v>982.60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1,459.58</v>
      </c>
      <c r="H18" s="3" t="str">
        <f>FIXED(VLOOKUP($A18,'Full Sample-No Sub'!$A:$R,H$1,0),2)</f>
        <v>951.47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1,492.63</v>
      </c>
      <c r="L18" s="3" t="str">
        <f>FIXED(VLOOKUP($A18,'Full Sample-No Sub'!$A:$R,L$1,0),2)</f>
        <v>1,023.15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963.24</v>
      </c>
      <c r="P18" s="3" t="str">
        <f>FIXED(VLOOKUP($A18,'Full Sample-Townhouse'!$A:$R,P$1,0),2)</f>
        <v>437.59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965.70</v>
      </c>
      <c r="T18" s="3" t="str">
        <f>FIXED(VLOOKUP($A18,'Full Sample-Townhouse'!$A:$R,T$1,0),2)</f>
        <v>434.99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959.90</v>
      </c>
      <c r="X18" s="3" t="str">
        <f>FIXED(VLOOKUP($A18,'Full Sample-Townhouse'!$A:$R,X$1,0),2)</f>
        <v>441.09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2,082.42</v>
      </c>
      <c r="AB18" s="3" t="str">
        <f>FIXED(VLOOKUP($A18,'Full Sample-Single Family'!$A:$R,AB$1,0),2)</f>
        <v>1,098.87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2,046.71</v>
      </c>
      <c r="AF18" s="3" t="str">
        <f>FIXED(VLOOKUP($A18,'Full Sample-Single Family'!$A:$R,AF$1,0),2)</f>
        <v>1,059.20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2,131.25</v>
      </c>
      <c r="AJ18" s="3" t="str">
        <f>FIXED(VLOOKUP($A18,'Full Sample-Single Family'!$A:$R,AJ$1,0),2)</f>
        <v>1,149.15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36.90</v>
      </c>
      <c r="D19" s="3" t="str">
        <f>FIXED(VLOOKUP($A19,'Full Sample-No Sub'!$A:$R,D$1,0),2)</f>
        <v>19.66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35.24</v>
      </c>
      <c r="H19" s="3" t="str">
        <f>FIXED(VLOOKUP($A19,'Full Sample-No Sub'!$A:$R,H$1,0),2)</f>
        <v>19.33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39.16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35.36</v>
      </c>
      <c r="P19" s="3" t="str">
        <f>FIXED(VLOOKUP($A19,'Full Sample-Townhouse'!$A:$R,P$1,0),2)</f>
        <v>15.99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34.10</v>
      </c>
      <c r="T19" s="3" t="str">
        <f>FIXED(VLOOKUP($A19,'Full Sample-Townhouse'!$A:$R,T$1,0),2)</f>
        <v>15.63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37.07</v>
      </c>
      <c r="X19" s="3" t="str">
        <f>FIXED(VLOOKUP($A19,'Full Sample-Townhouse'!$A:$R,X$1,0),2)</f>
        <v>16.31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38.74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36.60</v>
      </c>
      <c r="AF19" s="3" t="str">
        <f>FIXED(VLOOKUP($A19,'Full Sample-Single Family'!$A:$R,AF$1,0),2)</f>
        <v>22.89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41.66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1.75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1.62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1.51</v>
      </c>
      <c r="P20" s="3" t="str">
        <f>FIXED(VLOOKUP($A20,'Full Sample-Townhouse'!$A:$R,P$1,0),2)</f>
        <v>1.01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1.41</v>
      </c>
      <c r="T20" s="3" t="str">
        <f>FIXED(VLOOKUP($A20,'Full Sample-Townhouse'!$A:$R,T$1,0),2)</f>
        <v>0.96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1.06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71</v>
      </c>
      <c r="B22" s="4" t="s">
        <v>147</v>
      </c>
      <c r="C22" s="9" t="str">
        <f>FIXED(VLOOKUP($A22,'Full Sample-No Sub'!$A:$R,C$1,0),2)</f>
        <v>0.33</v>
      </c>
      <c r="D22" s="3" t="str">
        <f>FIXED(VLOOKUP($A22,'Full Sample-No Sub'!$A:$R,D$1,0),2)</f>
        <v>0.47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0.35</v>
      </c>
      <c r="H22" s="3" t="str">
        <f>FIXED(VLOOKUP($A22,'Full Sample-No Sub'!$A:$R,H$1,0),2)</f>
        <v>0.48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0.31</v>
      </c>
      <c r="L22" s="3" t="str">
        <f>FIXED(VLOOKUP($A22,'Full Sample-No Sub'!$A:$R,L$1,0),2)</f>
        <v>0.46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0.36</v>
      </c>
      <c r="P22" s="3" t="str">
        <f>FIXED(VLOOKUP($A22,'Full Sample-Townhouse'!$A:$R,P$1,0),2)</f>
        <v>0.48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0.38</v>
      </c>
      <c r="T22" s="3" t="str">
        <f>FIXED(VLOOKUP($A22,'Full Sample-Townhouse'!$A:$R,T$1,0),2)</f>
        <v>0.48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0.34</v>
      </c>
      <c r="X22" s="3" t="str">
        <f>FIXED(VLOOKUP($A22,'Full Sample-Townhouse'!$A:$R,X$1,0),2)</f>
        <v>0.47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0.30</v>
      </c>
      <c r="AB22" s="3" t="str">
        <f>FIXED(VLOOKUP($A22,'Full Sample-Single Family'!$A:$R,AB$1,0),2)</f>
        <v>0.46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0.32</v>
      </c>
      <c r="AF22" s="3" t="str">
        <f>FIXED(VLOOKUP($A22,'Full Sample-Single Family'!$A:$R,AF$1,0),2)</f>
        <v>0.47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0.28</v>
      </c>
      <c r="AJ22" s="3" t="str">
        <f>FIXED(VLOOKUP($A22,'Full Sample-Single Family'!$A:$R,AJ$1,0),2)</f>
        <v>0.45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72</v>
      </c>
      <c r="B23" s="4" t="s">
        <v>148</v>
      </c>
      <c r="C23" s="9" t="str">
        <f>FIXED(VLOOKUP($A23,'Full Sample-No Sub'!$A:$R,C$1,0),2)</f>
        <v>0.43</v>
      </c>
      <c r="D23" s="3" t="str">
        <f>FIXED(VLOOKUP($A23,'Full Sample-No Sub'!$A:$R,D$1,0),2)</f>
        <v>0.50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0.41</v>
      </c>
      <c r="H23" s="3" t="str">
        <f>FIXED(VLOOKUP($A23,'Full Sample-No Sub'!$A:$R,H$1,0),2)</f>
        <v>0.49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0.45</v>
      </c>
      <c r="L23" s="3" t="str">
        <f>FIXED(VLOOKUP($A23,'Full Sample-No Sub'!$A:$R,L$1,0),2)</f>
        <v>0.50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0.44</v>
      </c>
      <c r="P23" s="3" t="str">
        <f>FIXED(VLOOKUP($A23,'Full Sample-Townhouse'!$A:$R,P$1,0),2)</f>
        <v>0.50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0.43</v>
      </c>
      <c r="T23" s="3" t="str">
        <f>FIXED(VLOOKUP($A23,'Full Sample-Townhouse'!$A:$R,T$1,0),2)</f>
        <v>0.49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0.46</v>
      </c>
      <c r="X23" s="3" t="str">
        <f>FIXED(VLOOKUP($A23,'Full Sample-Townhouse'!$A:$R,X$1,0),2)</f>
        <v>0.50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0.41</v>
      </c>
      <c r="AB23" s="3" t="str">
        <f>FIXED(VLOOKUP($A23,'Full Sample-Single Family'!$A:$R,AB$1,0),2)</f>
        <v>0.49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0.40</v>
      </c>
      <c r="AF23" s="3" t="str">
        <f>FIXED(VLOOKUP($A23,'Full Sample-Single Family'!$A:$R,AF$1,0),2)</f>
        <v>0.49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0.43</v>
      </c>
      <c r="AJ23" s="3" t="str">
        <f>FIXED(VLOOKUP($A23,'Full Sample-Single Family'!$A:$R,AJ$1,0),2)</f>
        <v>0.50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70</v>
      </c>
      <c r="B24" s="4" t="s">
        <v>146</v>
      </c>
      <c r="C24" s="9" t="str">
        <f>FIXED(VLOOKUP($A24,'Full Sample-No Sub'!$A:$R,C$1,0),2)</f>
        <v>0.19</v>
      </c>
      <c r="D24" s="3" t="str">
        <f>FIXED(VLOOKUP($A24,'Full Sample-No Sub'!$A:$R,D$1,0),2)</f>
        <v>0.40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0.19</v>
      </c>
      <c r="H24" s="3" t="str">
        <f>FIXED(VLOOKUP($A24,'Full Sample-No Sub'!$A:$R,H$1,0),2)</f>
        <v>0.39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0.20</v>
      </c>
      <c r="L24" s="3" t="str">
        <f>FIXED(VLOOKUP($A24,'Full Sample-No Sub'!$A:$R,L$1,0),2)</f>
        <v>0.40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0.17</v>
      </c>
      <c r="P24" s="3" t="str">
        <f>FIXED(VLOOKUP($A24,'Full Sample-Townhouse'!$A:$R,P$1,0),2)</f>
        <v>0.38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0.17</v>
      </c>
      <c r="T24" s="3" t="str">
        <f>FIXED(VLOOKUP($A24,'Full Sample-Townhouse'!$A:$R,T$1,0),2)</f>
        <v>0.38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0.18</v>
      </c>
      <c r="X24" s="3" t="str">
        <f>FIXED(VLOOKUP($A24,'Full Sample-Townhouse'!$A:$R,X$1,0),2)</f>
        <v>0.38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0.22</v>
      </c>
      <c r="AB24" s="3" t="str">
        <f>FIXED(VLOOKUP($A24,'Full Sample-Single Family'!$A:$R,AB$1,0),2)</f>
        <v>0.41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0.21</v>
      </c>
      <c r="AF24" s="3" t="str">
        <f>FIXED(VLOOKUP($A24,'Full Sample-Single Family'!$A:$R,AF$1,0),2)</f>
        <v>0.41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0.22</v>
      </c>
      <c r="AJ24" s="3" t="str">
        <f>FIXED(VLOOKUP($A24,'Full Sample-Single Family'!$A:$R,AJ$1,0),2)</f>
        <v>0.42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0.22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0.09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0.10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0.10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0.38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0.18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">
        <v>321</v>
      </c>
      <c r="AB28" s="3" t="s">
        <v>321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0.28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0.27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0.50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0.53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">
        <v>321</v>
      </c>
      <c r="AB29" s="3" t="s">
        <v>321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0.31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">
        <v>321</v>
      </c>
      <c r="AB30" s="3" t="s">
        <v>321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1.00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0.02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1.00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0.01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0.07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">
        <v>321</v>
      </c>
      <c r="AB31" s="3" t="s">
        <v>321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0.06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0.06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0.27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321</v>
      </c>
      <c r="P33" s="3" t="s">
        <v>321</v>
      </c>
      <c r="Q33" s="3" t="str">
        <f>FIXED(VLOOKUP($A33,'Full Sample-Townhouse'!$A:$R,Q$1,0),2)</f>
        <v>0.00</v>
      </c>
      <c r="R33" s="3" t="str">
        <f>FIXED(VLOOKUP($A33,'Full Sample-Townhouse'!$A:$R,R$1,0),2)</f>
        <v>1.00</v>
      </c>
      <c r="S33" s="9" t="str">
        <f>FIXED(VLOOKUP($A33,'Full Sample-Townhouse'!$A:$R,S$1,0),2)</f>
        <v>0.00</v>
      </c>
      <c r="T33" s="3" t="str">
        <f>FIXED(VLOOKUP($A33,'Full Sample-Townhouse'!$A:$R,T$1,0),2)</f>
        <v>0.01</v>
      </c>
      <c r="U33" s="3" t="str">
        <f>FIXED(VLOOKUP($A33,'Full Sample-Townhouse'!$A:$R,U$1,0),2)</f>
        <v>0.00</v>
      </c>
      <c r="V33" s="13" t="str">
        <f>FIXED(VLOOKUP($A33,'Full Sample-Townhouse'!$A:$R,V$1,0),2)</f>
        <v>1.00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321</v>
      </c>
      <c r="P34" s="3" t="s">
        <v>321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0.28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0.09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">
        <v>321</v>
      </c>
      <c r="AB35" s="3" t="s">
        <v>321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0.23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0.24</v>
      </c>
      <c r="T39" s="3" t="str">
        <f>FIXED(VLOOKUP($A39,'Full Sample-Townhouse'!$A:$R,T$1,0),2)</f>
        <v>0.43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0.27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0.37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0.29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0.28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0.07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0.11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0.11</v>
      </c>
      <c r="H42" s="3" t="str">
        <f>FIXED(VLOOKUP($A42,'Full Sample-No Sub'!$A:$R,H$1,0),2)</f>
        <v>0.31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0.20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0.19</v>
      </c>
      <c r="T42" s="3" t="str">
        <f>FIXED(VLOOKUP($A42,'Full Sample-Townhouse'!$A:$R,T$1,0),2)</f>
        <v>0.39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18.11</v>
      </c>
      <c r="D44" s="3" t="str">
        <f>FIXED(VLOOKUP($A44,'Full Sample-No Sub'!$A:$R,D$1,0),2)</f>
        <v>47.44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17.92</v>
      </c>
      <c r="H44" s="3" t="str">
        <f>FIXED(VLOOKUP($A44,'Full Sample-No Sub'!$A:$R,H$1,0),2)</f>
        <v>45.74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18.36</v>
      </c>
      <c r="L44" s="3" t="str">
        <f>FIXED(VLOOKUP($A44,'Full Sample-No Sub'!$A:$R,L$1,0),2)</f>
        <v>49.66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12.49</v>
      </c>
      <c r="P44" s="3" t="str">
        <f>FIXED(VLOOKUP($A44,'Full Sample-Townhouse'!$A:$R,P$1,0),2)</f>
        <v>42.00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12.01</v>
      </c>
      <c r="T44" s="3" t="str">
        <f>FIXED(VLOOKUP($A44,'Full Sample-Townhouse'!$A:$R,T$1,0),2)</f>
        <v>39.95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13.14</v>
      </c>
      <c r="X44" s="3" t="str">
        <f>FIXED(VLOOKUP($A44,'Full Sample-Townhouse'!$A:$R,X$1,0),2)</f>
        <v>44.63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52.43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50.92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24.62</v>
      </c>
      <c r="AJ44" s="3" t="str">
        <f>FIXED(VLOOKUP($A44,'Full Sample-Single Family'!$A:$R,AJ$1,0),2)</f>
        <v>54.44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0.31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0.25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0.43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0.25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0.33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0.32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0.18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0.67</v>
      </c>
      <c r="D52" s="3" t="str">
        <f>FIXED(VLOOKUP($A52,'Full Sample-No Sub'!$A:$R,D$1,0),2)</f>
        <v>1.48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0.65</v>
      </c>
      <c r="H52" s="3" t="str">
        <f>FIXED(VLOOKUP($A52,'Full Sample-No Sub'!$A:$R,H$1,0),2)</f>
        <v>1.47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1.22</v>
      </c>
      <c r="P52" s="3" t="str">
        <f>FIXED(VLOOKUP($A52,'Full Sample-Townhouse'!$A:$R,P$1,0),2)</f>
        <v>1.82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1.21</v>
      </c>
      <c r="T52" s="3" t="str">
        <f>FIXED(VLOOKUP($A52,'Full Sample-Townhouse'!$A:$R,T$1,0),2)</f>
        <v>1.81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2.10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2.15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1.77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1.81</v>
      </c>
      <c r="T53" s="3" t="str">
        <f>FIXED(VLOOKUP($A53,'Full Sample-Townhouse'!$A:$R,T$1,0),2)</f>
        <v>2.32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2.56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4.15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4.12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3.21</v>
      </c>
      <c r="P55" s="3" t="str">
        <f>FIXED(VLOOKUP($A55,'Full Sample-Townhouse'!$A:$R,P$1,0),2)</f>
        <v>3.47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3.17</v>
      </c>
      <c r="T55" s="3" t="str">
        <f>FIXED(VLOOKUP($A55,'Full Sample-Townhouse'!$A:$R,T$1,0),2)</f>
        <v>3.35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3.27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4.24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9.10</v>
      </c>
      <c r="D56" s="3" t="str">
        <f>FIXED(VLOOKUP($A56,'Full Sample-No Sub'!$A:$R,D$1,0),2)</f>
        <v>5.60</v>
      </c>
      <c r="E56" s="3" t="str">
        <f>FIXED(VLOOKUP($A56,'Full Sample-No Sub'!$A:$R,E$1,0),2)</f>
        <v>0.32</v>
      </c>
      <c r="F56" s="3" t="str">
        <f>FIXED(VLOOKUP($A56,'Full Sample-No Sub'!$A:$R,F$1,0),2)</f>
        <v>30.99</v>
      </c>
      <c r="G56" s="9" t="str">
        <f>FIXED(VLOOKUP($A56,'Full Sample-No Sub'!$A:$R,G$1,0),2)</f>
        <v>9.10</v>
      </c>
      <c r="H56" s="3" t="str">
        <f>FIXED(VLOOKUP($A56,'Full Sample-No Sub'!$A:$R,H$1,0),2)</f>
        <v>5.60</v>
      </c>
      <c r="I56" s="3" t="str">
        <f>FIXED(VLOOKUP($A56,'Full Sample-No Sub'!$A:$R,I$1,0),2)</f>
        <v>0.32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7.66</v>
      </c>
      <c r="P56" s="3" t="str">
        <f>FIXED(VLOOKUP($A56,'Full Sample-Townhouse'!$A:$R,P$1,0),2)</f>
        <v>5.18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7.71</v>
      </c>
      <c r="T56" s="3" t="str">
        <f>FIXED(VLOOKUP($A56,'Full Sample-Townhouse'!$A:$R,T$1,0),2)</f>
        <v>5.20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5.15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0.32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10.76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0.32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10.92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4.52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4.67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6.08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6.29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1.24</v>
      </c>
      <c r="X57" s="3" t="str">
        <f>FIXED(VLOOKUP($A57,'Full Sample-Townhouse'!$A:$R,X$1,0),2)</f>
        <v>5.79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7.83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7.83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1.60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1.59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1.34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1.97</v>
      </c>
      <c r="T58" s="3" t="str">
        <f>FIXED(VLOOKUP($A58,'Full Sample-Townhouse'!$A:$R,T$1,0),2)</f>
        <v>1.35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2.18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2.18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1.84</v>
      </c>
      <c r="P59" s="3" t="str">
        <f>FIXED(VLOOKUP($A59,'Full Sample-Townhouse'!$A:$R,P$1,0),2)</f>
        <v>1.21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1.86</v>
      </c>
      <c r="T59" s="3" t="str">
        <f>FIXED(VLOOKUP($A59,'Full Sample-Townhouse'!$A:$R,T$1,0),2)</f>
        <v>1.22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1.82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0.12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0.12</v>
      </c>
      <c r="H60" s="3" t="str">
        <f>FIXED(VLOOKUP($A60,'Full Sample-No Sub'!$A:$R,H$1,0),2)</f>
        <v>0.33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0.20</v>
      </c>
      <c r="P60" s="3" t="str">
        <f>FIXED(VLOOKUP($A60,'Full Sample-Townhouse'!$A:$R,P$1,0),2)</f>
        <v>0.40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0.20</v>
      </c>
      <c r="T60" s="3" t="str">
        <f>FIXED(VLOOKUP($A60,'Full Sample-Townhouse'!$A:$R,T$1,0),2)</f>
        <v>0.40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0.10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0.08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0.43</v>
      </c>
      <c r="H64" s="3" t="str">
        <f>FIXED(VLOOKUP($A64,'Full Sample-No Sub'!$A:$R,H$1,0),2)</f>
        <v>0.50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0.40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0.17</v>
      </c>
      <c r="E67" s="3" t="str">
        <f>FIXED(VLOOKUP($A67,'Full Sample-No Sub'!$A:$R,E$1,0),2)</f>
        <v>0.00</v>
      </c>
      <c r="F67" s="3" t="str">
        <f>FIXED(VLOOKUP($A67,'Full Sample-No Sub'!$A:$R,F$1,0),2)</f>
        <v>1.00</v>
      </c>
      <c r="G67" s="9" t="str">
        <f>FIXED(VLOOKUP($A67,'Full Sample-No Sub'!$A:$R,G$1,0),2)</f>
        <v>0.26</v>
      </c>
      <c r="H67" s="3" t="str">
        <f>FIXED(VLOOKUP($A67,'Full Sample-No Sub'!$A:$R,H$1,0),2)</f>
        <v>0.17</v>
      </c>
      <c r="I67" s="3" t="str">
        <f>FIXED(VLOOKUP($A67,'Full Sample-No Sub'!$A:$R,I$1,0),2)</f>
        <v>0.00</v>
      </c>
      <c r="J67" s="13" t="str">
        <f>FIXED(VLOOKUP($A67,'Full Sample-No Sub'!$A:$R,J$1,0),2)</f>
        <v>1.00</v>
      </c>
      <c r="K67" s="9" t="str">
        <f>FIXED(VLOOKUP($A67,'Full Sample-No Sub'!$A:$R,K$1,0),2)</f>
        <v>0.24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0.92</v>
      </c>
      <c r="O67" s="9" t="str">
        <f>FIXED(VLOOKUP($A67,'Full Sample-Townhouse'!$A:$R,O$1,0),2)</f>
        <v>0.28</v>
      </c>
      <c r="P67" s="3" t="str">
        <f>FIXED(VLOOKUP($A67,'Full Sample-Townhouse'!$A:$R,P$1,0),2)</f>
        <v>0.17</v>
      </c>
      <c r="Q67" s="3" t="str">
        <f>FIXED(VLOOKUP($A67,'Full Sample-Townhouse'!$A:$R,Q$1,0),2)</f>
        <v>0.00</v>
      </c>
      <c r="R67" s="3" t="str">
        <f>FIXED(VLOOKUP($A67,'Full Sample-Townhouse'!$A:$R,R$1,0),2)</f>
        <v>1.00</v>
      </c>
      <c r="S67" s="9" t="str">
        <f>FIXED(VLOOKUP($A67,'Full Sample-Townhouse'!$A:$R,S$1,0),2)</f>
        <v>0.28</v>
      </c>
      <c r="T67" s="3" t="str">
        <f>FIXED(VLOOKUP($A67,'Full Sample-Townhouse'!$A:$R,T$1,0),2)</f>
        <v>0.17</v>
      </c>
      <c r="U67" s="3" t="str">
        <f>FIXED(VLOOKUP($A67,'Full Sample-Townhouse'!$A:$R,U$1,0),2)</f>
        <v>0.00</v>
      </c>
      <c r="V67" s="13" t="str">
        <f>FIXED(VLOOKUP($A67,'Full Sample-Townhouse'!$A:$R,V$1,0),2)</f>
        <v>1.00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0.22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0.92</v>
      </c>
      <c r="AE67" s="9" t="str">
        <f>FIXED(VLOOKUP($A67,'Full Sample-Single Family'!$A:$R,AE$1,0),2)</f>
        <v>0.22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0.86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0.04</v>
      </c>
      <c r="E68" s="3" t="str">
        <f>FIXED(VLOOKUP($A68,'Full Sample-No Sub'!$A:$R,E$1,0),2)</f>
        <v>0.00</v>
      </c>
      <c r="F68" s="3" t="str">
        <f>FIXED(VLOOKUP($A68,'Full Sample-No Sub'!$A:$R,F$1,0),2)</f>
        <v>0.78</v>
      </c>
      <c r="G68" s="9" t="str">
        <f>FIXED(VLOOKUP($A68,'Full Sample-No Sub'!$A:$R,G$1,0),2)</f>
        <v>0.02</v>
      </c>
      <c r="H68" s="3" t="str">
        <f>FIXED(VLOOKUP($A68,'Full Sample-No Sub'!$A:$R,H$1,0),2)</f>
        <v>0.03</v>
      </c>
      <c r="I68" s="3" t="str">
        <f>FIXED(VLOOKUP($A68,'Full Sample-No Sub'!$A:$R,I$1,0),2)</f>
        <v>0.00</v>
      </c>
      <c r="J68" s="13" t="str">
        <f>FIXED(VLOOKUP($A68,'Full Sample-No Sub'!$A:$R,J$1,0),2)</f>
        <v>0.78</v>
      </c>
      <c r="K68" s="9" t="str">
        <f>FIXED(VLOOKUP($A68,'Full Sample-No Sub'!$A:$R,K$1,0),2)</f>
        <v>0.02</v>
      </c>
      <c r="L68" s="3" t="str">
        <f>FIXED(VLOOKUP($A68,'Full Sample-No Sub'!$A:$R,L$1,0),2)</f>
        <v>0.04</v>
      </c>
      <c r="M68" s="3" t="str">
        <f>FIXED(VLOOKUP($A68,'Full Sample-No Sub'!$A:$R,M$1,0),2)</f>
        <v>0.00</v>
      </c>
      <c r="N68" s="13" t="str">
        <f>FIXED(VLOOKUP($A68,'Full Sample-No Sub'!$A:$R,N$1,0),2)</f>
        <v>0.78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0.78</v>
      </c>
      <c r="S68" s="9" t="str">
        <f>FIXED(VLOOKUP($A68,'Full Sample-Townhouse'!$A:$R,S$1,0),2)</f>
        <v>0.02</v>
      </c>
      <c r="T68" s="3" t="str">
        <f>FIXED(VLOOKUP($A68,'Full Sample-Townhouse'!$A:$R,T$1,0),2)</f>
        <v>0.03</v>
      </c>
      <c r="U68" s="3" t="str">
        <f>FIXED(VLOOKUP($A68,'Full Sample-Townhouse'!$A:$R,U$1,0),2)</f>
        <v>0.00</v>
      </c>
      <c r="V68" s="13" t="str">
        <f>FIXED(VLOOKUP($A68,'Full Sample-Townhouse'!$A:$R,V$1,0),2)</f>
        <v>0.78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0.78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0.36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0.36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0.04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0.19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0.42</v>
      </c>
      <c r="H69" s="3" t="str">
        <f>FIXED(VLOOKUP($A69,'Full Sample-No Sub'!$A:$R,H$1,0),2)</f>
        <v>0.18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0.43</v>
      </c>
      <c r="P69" s="3" t="str">
        <f>FIXED(VLOOKUP($A69,'Full Sample-Townhouse'!$A:$R,P$1,0),2)</f>
        <v>0.18</v>
      </c>
      <c r="Q69" s="3" t="str">
        <f>FIXED(VLOOKUP($A69,'Full Sample-Townhouse'!$A:$R,Q$1,0),2)</f>
        <v>0.00</v>
      </c>
      <c r="R69" s="3" t="str">
        <f>FIXED(VLOOKUP($A69,'Full Sample-Townhouse'!$A:$R,R$1,0),2)</f>
        <v>1.00</v>
      </c>
      <c r="S69" s="9" t="str">
        <f>FIXED(VLOOKUP($A69,'Full Sample-Townhouse'!$A:$R,S$1,0),2)</f>
        <v>0.43</v>
      </c>
      <c r="T69" s="3" t="str">
        <f>FIXED(VLOOKUP($A69,'Full Sample-Townhouse'!$A:$R,T$1,0),2)</f>
        <v>0.18</v>
      </c>
      <c r="U69" s="3" t="str">
        <f>FIXED(VLOOKUP($A69,'Full Sample-Townhouse'!$A:$R,U$1,0),2)</f>
        <v>0.00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0.41</v>
      </c>
      <c r="AB69" s="3" t="str">
        <f>FIXED(VLOOKUP($A69,'Full Sample-Single Family'!$A:$R,AB$1,0),2)</f>
        <v>0.19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0.97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0.19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0.97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0.09</v>
      </c>
      <c r="E70" s="3" t="str">
        <f>FIXED(VLOOKUP($A70,'Full Sample-No Sub'!$A:$R,E$1,0),2)</f>
        <v>0.00</v>
      </c>
      <c r="F70" s="3" t="str">
        <f>FIXED(VLOOKUP($A70,'Full Sample-No Sub'!$A:$R,F$1,0),2)</f>
        <v>0.71</v>
      </c>
      <c r="G70" s="9" t="str">
        <f>FIXED(VLOOKUP($A70,'Full Sample-No Sub'!$A:$R,G$1,0),2)</f>
        <v>0.07</v>
      </c>
      <c r="H70" s="3" t="str">
        <f>FIXED(VLOOKUP($A70,'Full Sample-No Sub'!$A:$R,H$1,0),2)</f>
        <v>0.08</v>
      </c>
      <c r="I70" s="3" t="str">
        <f>FIXED(VLOOKUP($A70,'Full Sample-No Sub'!$A:$R,I$1,0),2)</f>
        <v>0.00</v>
      </c>
      <c r="J70" s="13" t="str">
        <f>FIXED(VLOOKUP($A70,'Full Sample-No Sub'!$A:$R,J$1,0),2)</f>
        <v>0.61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0.71</v>
      </c>
      <c r="O70" s="9" t="str">
        <f>FIXED(VLOOKUP($A70,'Full Sample-Townhouse'!$A:$R,O$1,0),2)</f>
        <v>0.06</v>
      </c>
      <c r="P70" s="3" t="str">
        <f>FIXED(VLOOKUP($A70,'Full Sample-Townhouse'!$A:$R,P$1,0),2)</f>
        <v>0.08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0.07</v>
      </c>
      <c r="U70" s="3" t="str">
        <f>FIXED(VLOOKUP($A70,'Full Sample-Townhouse'!$A:$R,U$1,0),2)</f>
        <v>0.00</v>
      </c>
      <c r="V70" s="13" t="str">
        <f>FIXED(VLOOKUP($A70,'Full Sample-Townhouse'!$A:$R,V$1,0),2)</f>
        <v>0.56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0.11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0.71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0.10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0.61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46</v>
      </c>
      <c r="B71" t="s">
        <v>126</v>
      </c>
      <c r="C71" s="9" t="str">
        <f>FIXED(VLOOKUP($A71,'Full Sample-No Sub'!$A:$R,C$1,0),2)</f>
        <v>0.87</v>
      </c>
      <c r="D71" s="3" t="str">
        <f>FIXED(VLOOKUP($A71,'Full Sample-No Sub'!$A:$R,D$1,0),2)</f>
        <v>0.17</v>
      </c>
      <c r="E71" s="3" t="str">
        <f>FIXED(VLOOKUP($A71,'Full Sample-No Sub'!$A:$R,E$1,0),2)</f>
        <v>0.01</v>
      </c>
      <c r="F71" s="3" t="str">
        <f>FIXED(VLOOKUP($A71,'Full Sample-No Sub'!$A:$R,F$1,0),2)</f>
        <v>1.00</v>
      </c>
      <c r="G71" s="9" t="str">
        <f>FIXED(VLOOKUP($A71,'Full Sample-No Sub'!$A:$R,G$1,0),2)</f>
        <v>0.87</v>
      </c>
      <c r="H71" s="3" t="str">
        <f>FIXED(VLOOKUP($A71,'Full Sample-No Sub'!$A:$R,H$1,0),2)</f>
        <v>0.17</v>
      </c>
      <c r="I71" s="3" t="str">
        <f>FIXED(VLOOKUP($A71,'Full Sample-No Sub'!$A:$R,I$1,0),2)</f>
        <v>0.01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0.07</v>
      </c>
      <c r="N71" s="13" t="str">
        <f>FIXED(VLOOKUP($A71,'Full Sample-No Sub'!$A:$R,N$1,0),2)</f>
        <v>1.00</v>
      </c>
      <c r="O71" s="9" t="str">
        <f>FIXED(VLOOKUP($A71,'Full Sample-Townhouse'!$A:$R,O$1,0),2)</f>
        <v>0.82</v>
      </c>
      <c r="P71" s="3" t="str">
        <f>FIXED(VLOOKUP($A71,'Full Sample-Townhouse'!$A:$R,P$1,0),2)</f>
        <v>0.20</v>
      </c>
      <c r="Q71" s="3" t="str">
        <f>FIXED(VLOOKUP($A71,'Full Sample-Townhouse'!$A:$R,Q$1,0),2)</f>
        <v>0.07</v>
      </c>
      <c r="R71" s="3" t="str">
        <f>FIXED(VLOOKUP($A71,'Full Sample-Townhouse'!$A:$R,R$1,0),2)</f>
        <v>1.00</v>
      </c>
      <c r="S71" s="9" t="str">
        <f>FIXED(VLOOKUP($A71,'Full Sample-Townhouse'!$A:$R,S$1,0),2)</f>
        <v>0.82</v>
      </c>
      <c r="T71" s="3" t="str">
        <f>FIXED(VLOOKUP($A71,'Full Sample-Townhouse'!$A:$R,T$1,0),2)</f>
        <v>0.21</v>
      </c>
      <c r="U71" s="3" t="str">
        <f>FIXED(VLOOKUP($A71,'Full Sample-Townhouse'!$A:$R,U$1,0),2)</f>
        <v>0.07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0.07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0.08</v>
      </c>
      <c r="AC71" s="3" t="str">
        <f>FIXED(VLOOKUP($A71,'Full Sample-Single Family'!$A:$R,AC$1,0),2)</f>
        <v>0.01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0.07</v>
      </c>
      <c r="AG71" s="3" t="str">
        <f>FIXED(VLOOKUP($A71,'Full Sample-Single Family'!$A:$R,AG$1,0),2)</f>
        <v>0.01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47</v>
      </c>
      <c r="B72" t="s">
        <v>127</v>
      </c>
      <c r="C72" s="9" t="str">
        <f>FIXED(VLOOKUP($A72,'Full Sample-No Sub'!$A:$R,C$1,0),2)</f>
        <v>0.13</v>
      </c>
      <c r="D72" s="3" t="str">
        <f>FIXED(VLOOKUP($A72,'Full Sample-No Sub'!$A:$R,D$1,0),2)</f>
        <v>0.17</v>
      </c>
      <c r="E72" s="3" t="str">
        <f>FIXED(VLOOKUP($A72,'Full Sample-No Sub'!$A:$R,E$1,0),2)</f>
        <v>0.00</v>
      </c>
      <c r="F72" s="3" t="str">
        <f>FIXED(VLOOKUP($A72,'Full Sample-No Sub'!$A:$R,F$1,0),2)</f>
        <v>0.93</v>
      </c>
      <c r="G72" s="9" t="str">
        <f>FIXED(VLOOKUP($A72,'Full Sample-No Sub'!$A:$R,G$1,0),2)</f>
        <v>0.13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0.93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0.93</v>
      </c>
      <c r="O72" s="9" t="str">
        <f>FIXED(VLOOKUP($A72,'Full Sample-Townhouse'!$A:$R,O$1,0),2)</f>
        <v>0.18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0.93</v>
      </c>
      <c r="S72" s="9" t="str">
        <f>FIXED(VLOOKUP($A72,'Full Sample-Townhouse'!$A:$R,S$1,0),2)</f>
        <v>0.18</v>
      </c>
      <c r="T72" s="3" t="str">
        <f>FIXED(VLOOKUP($A72,'Full Sample-Townhouse'!$A:$R,T$1,0),2)</f>
        <v>0.21</v>
      </c>
      <c r="U72" s="3" t="str">
        <f>FIXED(VLOOKUP($A72,'Full Sample-Townhouse'!$A:$R,U$1,0),2)</f>
        <v>0.00</v>
      </c>
      <c r="V72" s="13" t="str">
        <f>FIXED(VLOOKUP($A72,'Full Sample-Townhouse'!$A:$R,V$1,0),2)</f>
        <v>0.93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0.93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0.07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48</v>
      </c>
      <c r="B73" t="s">
        <v>128</v>
      </c>
      <c r="C73" s="9" t="str">
        <f>FIXED(VLOOKUP($A73,'Full Sample-No Sub'!$A:$R,C$1,0),2)</f>
        <v>0.64</v>
      </c>
      <c r="D73" s="3" t="str">
        <f>FIXED(VLOOKUP($A73,'Full Sample-No Sub'!$A:$R,D$1,0),2)</f>
        <v>0.21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0.63</v>
      </c>
      <c r="H73" s="3" t="str">
        <f>FIXED(VLOOKUP($A73,'Full Sample-No Sub'!$A:$R,H$1,0),2)</f>
        <v>0.21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0.55</v>
      </c>
      <c r="P73" s="3" t="str">
        <f>FIXED(VLOOKUP($A73,'Full Sample-Townhouse'!$A:$R,P$1,0),2)</f>
        <v>0.19</v>
      </c>
      <c r="Q73" s="3" t="str">
        <f>FIXED(VLOOKUP($A73,'Full Sample-Townhouse'!$A:$R,Q$1,0),2)</f>
        <v>0.00</v>
      </c>
      <c r="R73" s="3" t="str">
        <f>FIXED(VLOOKUP($A73,'Full Sample-Townhouse'!$A:$R,R$1,0),2)</f>
        <v>1.00</v>
      </c>
      <c r="S73" s="9" t="str">
        <f>FIXED(VLOOKUP($A73,'Full Sample-Townhouse'!$A:$R,S$1,0),2)</f>
        <v>0.53</v>
      </c>
      <c r="T73" s="3" t="str">
        <f>FIXED(VLOOKUP($A73,'Full Sample-Townhouse'!$A:$R,T$1,0),2)</f>
        <v>0.19</v>
      </c>
      <c r="U73" s="3" t="str">
        <f>FIXED(VLOOKUP($A73,'Full Sample-Townhouse'!$A:$R,U$1,0),2)</f>
        <v>0.00</v>
      </c>
      <c r="V73" s="13" t="str">
        <f>FIXED(VLOOKUP($A73,'Full Sample-Townhouse'!$A:$R,V$1,0),2)</f>
        <v>1.00</v>
      </c>
      <c r="W73" s="9" t="str">
        <f>FIXED(VLOOKUP($A73,'Full Sample-Townhouse'!$A:$R,W$1,0),2)</f>
        <v>0.57</v>
      </c>
      <c r="X73" s="3" t="str">
        <f>FIXED(VLOOKUP($A73,'Full Sample-Townhouse'!$A:$R,X$1,0),2)</f>
        <v>0.20</v>
      </c>
      <c r="Y73" s="3" t="str">
        <f>FIXED(VLOOKUP($A73,'Full Sample-Townhouse'!$A:$R,Y$1,0),2)</f>
        <v>0.00</v>
      </c>
      <c r="Z73" s="3" t="str">
        <f>FIXED(VLOOKUP($A73,'Full Sample-Townhouse'!$A:$R,Z$1,0),2)</f>
        <v>1.00</v>
      </c>
      <c r="AA73" s="9" t="str">
        <f>FIXED(VLOOKUP($A73,'Full Sample-Single Family'!$A:$R,AA$1,0),2)</f>
        <v>0.75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0.74</v>
      </c>
      <c r="AF73" s="3" t="str">
        <f>FIXED(VLOOKUP($A73,'Full Sample-Single Family'!$A:$R,AF$1,0),2)</f>
        <v>0.16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49</v>
      </c>
      <c r="B74" t="s">
        <v>129</v>
      </c>
      <c r="C74" s="9" t="str">
        <f>FIXED(VLOOKUP($A74,'Full Sample-No Sub'!$A:$R,C$1,0),2)</f>
        <v>0.36</v>
      </c>
      <c r="D74" s="3" t="str">
        <f>FIXED(VLOOKUP($A74,'Full Sample-No Sub'!$A:$R,D$1,0),2)</f>
        <v>0.21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0.37</v>
      </c>
      <c r="H74" s="3" t="str">
        <f>FIXED(VLOOKUP($A74,'Full Sample-No Sub'!$A:$R,H$1,0),2)</f>
        <v>0.21</v>
      </c>
      <c r="I74" s="3" t="str">
        <f>FIXED(VLOOKUP($A74,'Full Sample-No Sub'!$A:$R,I$1,0),2)</f>
        <v>0.00</v>
      </c>
      <c r="J74" s="13" t="str">
        <f>FIXED(VLOOKUP($A74,'Full Sample-No Sub'!$A:$R,J$1,0),2)</f>
        <v>1.00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0.45</v>
      </c>
      <c r="P74" s="3" t="str">
        <f>FIXED(VLOOKUP($A74,'Full Sample-Townhouse'!$A:$R,P$1,0),2)</f>
        <v>0.19</v>
      </c>
      <c r="Q74" s="3" t="str">
        <f>FIXED(VLOOKUP($A74,'Full Sample-Townhouse'!$A:$R,Q$1,0),2)</f>
        <v>0.00</v>
      </c>
      <c r="R74" s="3" t="str">
        <f>FIXED(VLOOKUP($A74,'Full Sample-Townhouse'!$A:$R,R$1,0),2)</f>
        <v>1.00</v>
      </c>
      <c r="S74" s="9" t="str">
        <f>FIXED(VLOOKUP($A74,'Full Sample-Townhouse'!$A:$R,S$1,0),2)</f>
        <v>0.47</v>
      </c>
      <c r="T74" s="3" t="str">
        <f>FIXED(VLOOKUP($A74,'Full Sample-Townhouse'!$A:$R,T$1,0),2)</f>
        <v>0.19</v>
      </c>
      <c r="U74" s="3" t="str">
        <f>FIXED(VLOOKUP($A74,'Full Sample-Townhouse'!$A:$R,U$1,0),2)</f>
        <v>0.00</v>
      </c>
      <c r="V74" s="13" t="str">
        <f>FIXED(VLOOKUP($A74,'Full Sample-Townhouse'!$A:$R,V$1,0),2)</f>
        <v>1.00</v>
      </c>
      <c r="W74" s="9" t="str">
        <f>FIXED(VLOOKUP($A74,'Full Sample-Townhouse'!$A:$R,W$1,0),2)</f>
        <v>0.43</v>
      </c>
      <c r="X74" s="3" t="str">
        <f>FIXED(VLOOKUP($A74,'Full Sample-Townhouse'!$A:$R,X$1,0),2)</f>
        <v>0.20</v>
      </c>
      <c r="Y74" s="3" t="str">
        <f>FIXED(VLOOKUP($A74,'Full Sample-Townhouse'!$A:$R,Y$1,0),2)</f>
        <v>0.00</v>
      </c>
      <c r="Z74" s="3" t="str">
        <f>FIXED(VLOOKUP($A74,'Full Sample-Townhouse'!$A:$R,Z$1,0),2)</f>
        <v>1.00</v>
      </c>
      <c r="AA74" s="9" t="str">
        <f>FIXED(VLOOKUP($A74,'Full Sample-Single Family'!$A:$R,AA$1,0),2)</f>
        <v>0.25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0.26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1.00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38" x14ac:dyDescent="0.25">
      <c r="A76" t="s">
        <v>186</v>
      </c>
      <c r="B76" t="s">
        <v>187</v>
      </c>
      <c r="C76" s="28">
        <f>'Full Sample-No Sub'!B3</f>
        <v>50356</v>
      </c>
      <c r="D76" s="29"/>
      <c r="E76" s="29"/>
      <c r="F76" s="29"/>
      <c r="G76" s="28">
        <f>'Full Sample-No Sub'!H3</f>
        <v>29028</v>
      </c>
      <c r="H76" s="29"/>
      <c r="I76" s="29"/>
      <c r="J76" s="30"/>
      <c r="K76" s="28">
        <f>'Full Sample-No Sub'!N3</f>
        <v>21328</v>
      </c>
      <c r="L76" s="29"/>
      <c r="M76" s="29"/>
      <c r="N76" s="30"/>
      <c r="O76" s="28">
        <f>'Full Sample-Townhouse'!B3</f>
        <v>27394</v>
      </c>
      <c r="P76" s="29"/>
      <c r="Q76" s="29"/>
      <c r="R76" s="29"/>
      <c r="S76" s="28">
        <f>'Full Sample-Townhouse'!H3</f>
        <v>15766</v>
      </c>
      <c r="T76" s="29"/>
      <c r="U76" s="29"/>
      <c r="V76" s="30"/>
      <c r="W76" s="28">
        <f>'Full Sample-Townhouse'!N3</f>
        <v>11628</v>
      </c>
      <c r="X76" s="29"/>
      <c r="Y76" s="29"/>
      <c r="Z76" s="29"/>
      <c r="AA76" s="28">
        <f>'Full Sample-Single Family'!B3</f>
        <v>22962</v>
      </c>
      <c r="AB76" s="29"/>
      <c r="AC76" s="29"/>
      <c r="AD76" s="29"/>
      <c r="AE76" s="28">
        <f>'Full Sample-Single Family'!H3</f>
        <v>13262</v>
      </c>
      <c r="AF76" s="29"/>
      <c r="AG76" s="29"/>
      <c r="AH76" s="30"/>
      <c r="AI76" s="28">
        <f>'Full Sample-Single Family'!N3</f>
        <v>9700</v>
      </c>
      <c r="AJ76" s="29"/>
      <c r="AK76" s="29"/>
      <c r="AL76" s="29"/>
    </row>
    <row r="77" spans="1:38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t="s">
        <v>17</v>
      </c>
      <c r="B80" t="s">
        <v>101</v>
      </c>
      <c r="C80" s="3" t="str">
        <f>FIXED(VLOOKUP($A80,'Full Sample-No Sub'!$A:$R,C$1,0),2)</f>
        <v>164.86</v>
      </c>
      <c r="D80" s="3" t="str">
        <f>FIXED(VLOOKUP($A80,'Full Sample-No Sub'!$A:$R,D$1,0),2)</f>
        <v>229.84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162.65</v>
      </c>
      <c r="H80" s="3" t="str">
        <f>FIXED(VLOOKUP($A80,'Full Sample-No Sub'!$A:$R,H$1,0),2)</f>
        <v>229.69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167.88</v>
      </c>
      <c r="L80" s="3" t="str">
        <f>FIXED(VLOOKUP($A80,'Full Sample-No Sub'!$A:$R,L$1,0),2)</f>
        <v>230.02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26.55</v>
      </c>
      <c r="P80" s="3" t="str">
        <f>FIXED(VLOOKUP($A80,'Full Sample-Townhouse'!$A:$R,P$1,0),2)</f>
        <v>96.92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22.54</v>
      </c>
      <c r="T80" s="3" t="str">
        <f>FIXED(VLOOKUP($A80,'Full Sample-Townhouse'!$A:$R,T$1,0),2)</f>
        <v>89.25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31.99</v>
      </c>
      <c r="X80" s="3" t="str">
        <f>FIXED(VLOOKUP($A80,'Full Sample-Townhouse'!$A:$R,X$1,0),2)</f>
        <v>106.21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329.87</v>
      </c>
      <c r="AB80" s="3" t="str">
        <f>FIXED(VLOOKUP($A80,'Full Sample-Single Family'!$A:$R,AB$1,0),2)</f>
        <v>233.66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329.21</v>
      </c>
      <c r="AF80" s="3" t="str">
        <f>FIXED(VLOOKUP($A80,'Full Sample-Single Family'!$A:$R,AF$1,0),2)</f>
        <v>234.37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330.77</v>
      </c>
      <c r="AJ80" s="3" t="str">
        <f>FIXED(VLOOKUP($A80,'Full Sample-Single Family'!$A:$R,AJ$1,0),2)</f>
        <v>232.69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0.46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0.46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0.04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0.04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0.04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0.02</v>
      </c>
      <c r="AC81" s="3" t="str">
        <f>FIXED(VLOOKUP($A81,'Full Sample-Single Family'!$A:$R,AC$1,0),2)</f>
        <v>0.00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0.02</v>
      </c>
      <c r="AG81" s="3" t="str">
        <f>FIXED(VLOOKUP($A81,'Full Sample-Single Family'!$A:$R,AG$1,0),2)</f>
        <v>0.00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0.01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3.04</v>
      </c>
      <c r="D82" s="3" t="str">
        <f>FIXED(VLOOKUP($A82,'Full Sample-No Sub'!$A:$R,D$1,0),2)</f>
        <v>9.19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2.82</v>
      </c>
      <c r="H82" s="3" t="str">
        <f>FIXED(VLOOKUP($A82,'Full Sample-No Sub'!$A:$R,H$1,0),2)</f>
        <v>8.78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9.70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1.44</v>
      </c>
      <c r="P82" s="3" t="str">
        <f>FIXED(VLOOKUP($A82,'Full Sample-Townhouse'!$A:$R,P$1,0),2)</f>
        <v>4.04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1.37</v>
      </c>
      <c r="T82" s="3" t="str">
        <f>FIXED(VLOOKUP($A82,'Full Sample-Townhouse'!$A:$R,T$1,0),2)</f>
        <v>3.87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4.25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12.61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5.49</v>
      </c>
      <c r="AJ82" s="3" t="str">
        <f>FIXED(VLOOKUP($A82,'Full Sample-Single Family'!$A:$R,AJ$1,0),2)</f>
        <v>13.30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3.14</v>
      </c>
      <c r="D83" s="3" t="str">
        <f>FIXED(VLOOKUP($A83,'Full Sample-No Sub'!$A:$R,D$1,0),2)</f>
        <v>5.99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3.14</v>
      </c>
      <c r="H83" s="3" t="str">
        <f>FIXED(VLOOKUP($A83,'Full Sample-No Sub'!$A:$R,H$1,0),2)</f>
        <v>5.92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6.07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4.97</v>
      </c>
      <c r="P83" s="3" t="str">
        <f>FIXED(VLOOKUP($A83,'Full Sample-Townhouse'!$A:$R,P$1,0),2)</f>
        <v>6.91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4.95</v>
      </c>
      <c r="T83" s="3" t="str">
        <f>FIXED(VLOOKUP($A83,'Full Sample-Townhouse'!$A:$R,T$1,0),2)</f>
        <v>6.86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6.99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0.95</v>
      </c>
      <c r="AB83" s="3" t="str">
        <f>FIXED(VLOOKUP($A83,'Full Sample-Single Family'!$A:$R,AB$1,0),2)</f>
        <v>3.57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0.97</v>
      </c>
      <c r="AF83" s="3" t="str">
        <f>FIXED(VLOOKUP($A83,'Full Sample-Single Family'!$A:$R,AF$1,0),2)</f>
        <v>3.51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0.92</v>
      </c>
      <c r="AJ83" s="3" t="str">
        <f>FIXED(VLOOKUP($A83,'Full Sample-Single Family'!$A:$R,AJ$1,0),2)</f>
        <v>3.66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301.75</v>
      </c>
      <c r="D84" s="3" t="str">
        <f>FIXED(VLOOKUP($A84,'Full Sample-No Sub'!$A:$R,D$1,0),2)</f>
        <v>558.99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301.75</v>
      </c>
      <c r="L84" s="3" t="str">
        <f>FIXED(VLOOKUP($A84,'Full Sample-No Sub'!$A:$R,L$1,0),2)</f>
        <v>558.99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311.77</v>
      </c>
      <c r="P84" s="3" t="str">
        <f>FIXED(VLOOKUP($A84,'Full Sample-Townhouse'!$A:$R,P$1,0),2)</f>
        <v>571.95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311.77</v>
      </c>
      <c r="X84" s="3" t="str">
        <f>FIXED(VLOOKUP($A84,'Full Sample-Townhouse'!$A:$R,X$1,0),2)</f>
        <v>571.95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289.73</v>
      </c>
      <c r="AB84" s="3" t="str">
        <f>FIXED(VLOOKUP($A84,'Full Sample-Single Family'!$A:$R,AB$1,0),2)</f>
        <v>542.82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289.73</v>
      </c>
      <c r="AJ84" s="3" t="str">
        <f>FIXED(VLOOKUP($A84,'Full Sample-Single Family'!$A:$R,AJ$1,0),2)</f>
        <v>542.82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0.54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0.54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0.55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0.46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0.46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0.46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2,361,461.00</v>
      </c>
      <c r="D88" s="3" t="str">
        <f>FIXED(VLOOKUP($A88,'Full Sample-No Sub'!$A:$R,D$1,0),2)</f>
        <v>7,599.49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2,361,502.00</v>
      </c>
      <c r="H88" s="3" t="str">
        <f>FIXED(VLOOKUP($A88,'Full Sample-No Sub'!$A:$R,H$1,0),2)</f>
        <v>7,544.91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2,361,405.00</v>
      </c>
      <c r="L88" s="3" t="str">
        <f>FIXED(VLOOKUP($A88,'Full Sample-No Sub'!$A:$R,L$1,0),2)</f>
        <v>7,672.97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2,359,781.00</v>
      </c>
      <c r="P88" s="3" t="str">
        <f>FIXED(VLOOKUP($A88,'Full Sample-Townhouse'!$A:$R,P$1,0),2)</f>
        <v>6,929.19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2,359,859.00</v>
      </c>
      <c r="T88" s="3" t="str">
        <f>FIXED(VLOOKUP($A88,'Full Sample-Townhouse'!$A:$R,T$1,0),2)</f>
        <v>6,988.36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2,359,674.00</v>
      </c>
      <c r="X88" s="3" t="str">
        <f>FIXED(VLOOKUP($A88,'Full Sample-Townhouse'!$A:$R,X$1,0),2)</f>
        <v>6,847.01</v>
      </c>
      <c r="Y88" s="3" t="str">
        <f>FIXED(VLOOKUP($A88,'Full Sample-Townhouse'!$A:$R,Y$1,0),2)</f>
        <v>2,351,041.00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2,363,465.00</v>
      </c>
      <c r="AB88" s="3" t="str">
        <f>FIXED(VLOOKUP($A88,'Full Sample-Single Family'!$A:$R,AB$1,0),2)</f>
        <v>7,873.16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2,363,456.00</v>
      </c>
      <c r="AF88" s="3" t="str">
        <f>FIXED(VLOOKUP($A88,'Full Sample-Single Family'!$A:$R,AF$1,0),2)</f>
        <v>7,714.92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2,363,479.00</v>
      </c>
      <c r="AJ88" s="3" t="str">
        <f>FIXED(VLOOKUP($A88,'Full Sample-Single Family'!$A:$R,AJ$1,0),2)</f>
        <v>8,084.88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612,697.30</v>
      </c>
      <c r="D89" s="3" t="str">
        <f>FIXED(VLOOKUP($A89,'Full Sample-No Sub'!$A:$R,D$1,0),2)</f>
        <v>13,315.95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612,481.20</v>
      </c>
      <c r="H89" s="3" t="str">
        <f>FIXED(VLOOKUP($A89,'Full Sample-No Sub'!$A:$R,H$1,0),2)</f>
        <v>13,221.91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612,991.50</v>
      </c>
      <c r="L89" s="3" t="str">
        <f>FIXED(VLOOKUP($A89,'Full Sample-No Sub'!$A:$R,L$1,0),2)</f>
        <v>13,437.62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614,132.10</v>
      </c>
      <c r="P89" s="3" t="str">
        <f>FIXED(VLOOKUP($A89,'Full Sample-Townhouse'!$A:$R,P$1,0),2)</f>
        <v>11,659.79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614,074.90</v>
      </c>
      <c r="T89" s="3" t="str">
        <f>FIXED(VLOOKUP($A89,'Full Sample-Townhouse'!$A:$R,T$1,0),2)</f>
        <v>11,554.02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614,209.70</v>
      </c>
      <c r="X89" s="3" t="str">
        <f>FIXED(VLOOKUP($A89,'Full Sample-Townhouse'!$A:$R,X$1,0),2)</f>
        <v>11,801.75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610,985.60</v>
      </c>
      <c r="AB89" s="3" t="str">
        <f>FIXED(VLOOKUP($A89,'Full Sample-Single Family'!$A:$R,AB$1,0),2)</f>
        <v>14,875.62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610,586.60</v>
      </c>
      <c r="AF89" s="3" t="str">
        <f>FIXED(VLOOKUP($A89,'Full Sample-Single Family'!$A:$R,AF$1,0),2)</f>
        <v>14,742.77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611,531.10</v>
      </c>
      <c r="AJ89" s="3" t="str">
        <f>FIXED(VLOOKUP($A89,'Full Sample-Single Family'!$A:$R,AJ$1,0),2)</f>
        <v>15,039.02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320</v>
      </c>
      <c r="C90" s="9" t="str">
        <f>FIXED(VLOOKUP($A90,'Full Sample-No Sub'!$A:$R,C$1,0),2)</f>
        <v>2,019.05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2,017.57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2,019.06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2,017.57</v>
      </c>
      <c r="T90" s="3" t="str">
        <f>FIXED(VLOOKUP($A90,'Full Sample-Townhouse'!$A:$R,T$1,0),2)</f>
        <v>1.17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8,954.73</v>
      </c>
      <c r="D91" s="3" t="str">
        <f>FIXED(VLOOKUP($A91,'Full Sample-No Sub'!$A:$R,D$1,0),2)</f>
        <v>89,060.98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14,558.51</v>
      </c>
      <c r="H91" s="3" t="str">
        <f>FIXED(VLOOKUP($A91,'Full Sample-No Sub'!$A:$R,H$1,0),2)</f>
        <v>68,477.86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1,327.82</v>
      </c>
      <c r="L91" s="3" t="str">
        <f>FIXED(VLOOKUP($A91,'Full Sample-No Sub'!$A:$R,L$1,0),2)</f>
        <v>110,655.80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7,330.84</v>
      </c>
      <c r="P91" s="3" t="str">
        <f>FIXED(VLOOKUP($A91,'Full Sample-Townhouse'!$A:$R,P$1,0),2)</f>
        <v>47,483.40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9,604.61</v>
      </c>
      <c r="T91" s="3" t="str">
        <f>FIXED(VLOOKUP($A91,'Full Sample-Townhouse'!$A:$R,T$1,0),2)</f>
        <v>32,040.51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4,247.90</v>
      </c>
      <c r="X91" s="3" t="str">
        <f>FIXED(VLOOKUP($A91,'Full Sample-Townhouse'!$A:$R,X$1,0),2)</f>
        <v>62,477.98</v>
      </c>
      <c r="Y91" s="3"/>
      <c r="Z91" s="3"/>
      <c r="AA91" s="9" t="str">
        <f>FIXED(VLOOKUP($A91,'Full Sample-Single Family'!$A:$R,AA$1,0),2)</f>
        <v>10,892.06</v>
      </c>
      <c r="AB91" s="3" t="str">
        <f>FIXED(VLOOKUP($A91,'Full Sample-Single Family'!$A:$R,AB$1,0),2)</f>
        <v>121,236.60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20,447.76</v>
      </c>
      <c r="AF91" s="3" t="str">
        <f>FIXED(VLOOKUP($A91,'Full Sample-Single Family'!$A:$R,AF$1,0),2)</f>
        <v>94,762.45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-2,172.66</v>
      </c>
      <c r="AJ91" s="3" t="str">
        <f>FIXED(VLOOKUP($A91,'Full Sample-Single Family'!$A:$R,AJ$1,0),2)</f>
        <v>149,073.00</v>
      </c>
      <c r="AK91" s="3"/>
      <c r="AL91" s="3"/>
    </row>
    <row r="92" spans="1:40" x14ac:dyDescent="0.25">
      <c r="A92" t="s">
        <v>19</v>
      </c>
      <c r="B92" t="s">
        <v>322</v>
      </c>
      <c r="C92" s="9" t="str">
        <f>FIXED(VLOOKUP($A92,'Full Sample-No Sub'!$A:$R,C$1,0)/100000,2)</f>
        <v>9.39</v>
      </c>
      <c r="D92" s="3" t="str">
        <f>FIXED(VLOOKUP($A92,'Full Sample-No Sub'!$A:$R,D$1,0),2)</f>
        <v>877,392.00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905,079.70</v>
      </c>
      <c r="H92" s="3" t="str">
        <f>FIXED(VLOOKUP($A92,'Full Sample-No Sub'!$A:$R,H$1,0),2)</f>
        <v>841,412.60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986,255.60</v>
      </c>
      <c r="L92" s="3" t="str">
        <f>FIXED(VLOOKUP($A92,'Full Sample-No Sub'!$A:$R,L$1,0),2)</f>
        <v>922,075.50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665,521.00</v>
      </c>
      <c r="P92" s="3" t="str">
        <f>FIXED(VLOOKUP($A92,'Full Sample-Townhouse'!$A:$R,P$1,0),2)</f>
        <v>598,934.10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665,932.90</v>
      </c>
      <c r="T92" s="3" t="str">
        <f>FIXED(VLOOKUP($A92,'Full Sample-Townhouse'!$A:$R,T$1,0),2)</f>
        <v>612,313.30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664,962.60</v>
      </c>
      <c r="X92" s="3" t="str">
        <f>FIXED(VLOOKUP($A92,'Full Sample-Townhouse'!$A:$R,X$1,0),2)</f>
        <v>580,327.00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1,266,276.00</v>
      </c>
      <c r="AB92" s="3" t="str">
        <f>FIXED(VLOOKUP($A92,'Full Sample-Single Family'!$A:$R,AB$1,0),2)</f>
        <v>1,031,480.00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1,189,380.00</v>
      </c>
      <c r="AF92" s="3" t="str">
        <f>FIXED(VLOOKUP($A92,'Full Sample-Single Family'!$A:$R,AF$1,0),2)</f>
        <v>977,310.80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1,371,410.00</v>
      </c>
      <c r="AJ92" s="3" t="str">
        <f>FIXED(VLOOKUP($A92,'Full Sample-Single Family'!$A:$R,AJ$1,0),2)</f>
        <v>1,092,566.00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308</v>
      </c>
    </row>
  </sheetData>
  <mergeCells count="23">
    <mergeCell ref="A2:AJ2"/>
    <mergeCell ref="A3:AJ3"/>
    <mergeCell ref="C4:L4"/>
    <mergeCell ref="O4:X4"/>
    <mergeCell ref="O5:R5"/>
    <mergeCell ref="S5:V5"/>
    <mergeCell ref="W5:Z5"/>
    <mergeCell ref="AA4:AJ4"/>
    <mergeCell ref="AA5:AD5"/>
    <mergeCell ref="AE5:AH5"/>
    <mergeCell ref="AI5:AL5"/>
    <mergeCell ref="C5:F5"/>
    <mergeCell ref="G5:J5"/>
    <mergeCell ref="K5:N5"/>
    <mergeCell ref="AI76:AL76"/>
    <mergeCell ref="O76:R76"/>
    <mergeCell ref="S76:V76"/>
    <mergeCell ref="W76:Z76"/>
    <mergeCell ref="C76:F76"/>
    <mergeCell ref="G76:J76"/>
    <mergeCell ref="K76:N76"/>
    <mergeCell ref="AA76:AD76"/>
    <mergeCell ref="AE76:AH76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3FA7-75C5-45A3-9457-834403A4289D}">
  <sheetPr codeName="Sheet27">
    <pageSetUpPr fitToPage="1"/>
  </sheetPr>
  <dimension ref="A1:AN92"/>
  <sheetViews>
    <sheetView workbookViewId="0">
      <selection activeCell="AN9" sqref="AN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8.85546875" style="3" hidden="1" customWidth="1"/>
    <col min="4" max="4" width="10.140625" style="3" hidden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hidden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1" t="s">
        <v>276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1:40" ht="23.25" x14ac:dyDescent="0.35">
      <c r="A3" s="32" t="s">
        <v>331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40" x14ac:dyDescent="0.25">
      <c r="C4" s="39" t="s">
        <v>92</v>
      </c>
      <c r="D4" s="40"/>
      <c r="E4" s="40"/>
      <c r="F4" s="40"/>
      <c r="G4" s="40"/>
      <c r="H4" s="40"/>
      <c r="I4" s="40"/>
      <c r="J4" s="40"/>
      <c r="K4" s="40"/>
      <c r="L4" s="40"/>
      <c r="M4" s="10"/>
      <c r="N4" s="11"/>
      <c r="O4" s="39" t="s">
        <v>329</v>
      </c>
      <c r="P4" s="40"/>
      <c r="Q4" s="40"/>
      <c r="R4" s="40"/>
      <c r="S4" s="40"/>
      <c r="T4" s="40"/>
      <c r="U4" s="40"/>
      <c r="V4" s="40"/>
      <c r="W4" s="40"/>
      <c r="X4" s="40"/>
      <c r="AA4" s="39" t="s">
        <v>330</v>
      </c>
      <c r="AB4" s="40"/>
      <c r="AC4" s="40"/>
      <c r="AD4" s="40"/>
      <c r="AE4" s="40"/>
      <c r="AF4" s="40"/>
      <c r="AG4" s="40"/>
      <c r="AH4" s="40"/>
      <c r="AI4" s="40"/>
      <c r="AJ4" s="40"/>
    </row>
    <row r="5" spans="1:40" x14ac:dyDescent="0.25">
      <c r="A5" s="5"/>
      <c r="B5" s="5"/>
      <c r="C5" s="33" t="s">
        <v>92</v>
      </c>
      <c r="D5" s="34"/>
      <c r="E5" s="34"/>
      <c r="F5" s="34"/>
      <c r="G5" s="35" t="s">
        <v>325</v>
      </c>
      <c r="H5" s="36"/>
      <c r="I5" s="36"/>
      <c r="J5" s="37"/>
      <c r="K5" s="33" t="s">
        <v>326</v>
      </c>
      <c r="L5" s="34"/>
      <c r="M5" s="34"/>
      <c r="N5" s="38"/>
      <c r="O5" s="33" t="s">
        <v>92</v>
      </c>
      <c r="P5" s="34"/>
      <c r="Q5" s="34"/>
      <c r="R5" s="34"/>
      <c r="S5" s="35" t="s">
        <v>325</v>
      </c>
      <c r="T5" s="36"/>
      <c r="U5" s="36"/>
      <c r="V5" s="37"/>
      <c r="W5" s="33" t="s">
        <v>326</v>
      </c>
      <c r="X5" s="34"/>
      <c r="Y5" s="34"/>
      <c r="Z5" s="38"/>
      <c r="AA5" s="33" t="s">
        <v>92</v>
      </c>
      <c r="AB5" s="34"/>
      <c r="AC5" s="34"/>
      <c r="AD5" s="34"/>
      <c r="AE5" s="35" t="s">
        <v>325</v>
      </c>
      <c r="AF5" s="36"/>
      <c r="AG5" s="36"/>
      <c r="AH5" s="37"/>
      <c r="AI5" s="33" t="s">
        <v>326</v>
      </c>
      <c r="AJ5" s="34"/>
      <c r="AK5" s="34"/>
      <c r="AL5" s="38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20</v>
      </c>
      <c r="B7" t="s">
        <v>323</v>
      </c>
      <c r="C7" s="9" t="str">
        <f>FIXED(VLOOKUP($A7,'Full Sample-No Sub'!$A:$R,C$1,0)/100000,2)</f>
        <v>9.28</v>
      </c>
      <c r="D7" s="3" t="str">
        <f>FIXED(VLOOKUP($A7,'Full Sample-No Sub'!$A:$R,D$1,0)/100000,2)</f>
        <v>8.28</v>
      </c>
      <c r="E7" s="3" t="str">
        <f>FIXED(VLOOKUP($A7,'Full Sample-No Sub'!$A:$R,E$1,0),2)</f>
        <v>85,418.51</v>
      </c>
      <c r="F7" s="3" t="str">
        <f>FIXED(VLOOKUP($A7,'Full Sample-No Sub'!$A:$R,F$1,0),2)</f>
        <v>28,197,546.00</v>
      </c>
      <c r="G7" s="9" t="str">
        <f>FIXED(VLOOKUP($A7,'Full Sample-No Sub'!$A:$R,G$1,0)/100000,2)</f>
        <v>8.87</v>
      </c>
      <c r="H7" s="3" t="str">
        <f>FIXED(VLOOKUP($A7,'Full Sample-No Sub'!$A:$R,H$1,0)/100000,2)</f>
        <v>7.90</v>
      </c>
      <c r="I7" s="3" t="str">
        <f>FIXED(VLOOKUP($A7,'Full Sample-No Sub'!$A:$R,I$1,0),2)</f>
        <v>118,448.60</v>
      </c>
      <c r="J7" s="13" t="str">
        <f>FIXED(VLOOKUP($A7,'Full Sample-No Sub'!$A:$R,J$1,0),2)</f>
        <v>28,197,546.00</v>
      </c>
      <c r="K7" s="9" t="str">
        <f>FIXED(VLOOKUP($A7,'Full Sample-No Sub'!$A:$R,K$1,0)/100000,2)</f>
        <v>9.84</v>
      </c>
      <c r="L7" s="3" t="str">
        <f>FIXED(VLOOKUP($A7,'Full Sample-No Sub'!$A:$R,L$1,0)/100000,2)</f>
        <v>8.74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FIXED(VLOOKUP($A7,'Full Sample-Townhouse'!$A:$R,O$1,0)/100000,2)</f>
        <v>6.57</v>
      </c>
      <c r="P7" s="3" t="str">
        <f>FIXED(VLOOKUP($A7,'Full Sample-Townhouse'!$A:$R,P$1,0)/100000,2)</f>
        <v>5.72</v>
      </c>
      <c r="Q7" s="3" t="str">
        <f>FIXED(VLOOKUP($A7,'Full Sample-Townhouse'!$A:$R,Q$1,0),2)</f>
        <v>85,418.51</v>
      </c>
      <c r="R7" s="3" t="str">
        <f>FIXED(VLOOKUP($A7,'Full Sample-Townhouse'!$A:$R,R$1,0),2)</f>
        <v>28,197,546.00</v>
      </c>
      <c r="S7" s="9" t="str">
        <f>FIXED(VLOOKUP($A7,'Full Sample-Townhouse'!$A:$R,S$1,0)/100000,2)</f>
        <v>6.54</v>
      </c>
      <c r="T7" s="3" t="str">
        <f>FIXED(VLOOKUP($A7,'Full Sample-Townhouse'!$A:$R,T$1,0)/100000,2)</f>
        <v>5.91</v>
      </c>
      <c r="U7" s="3" t="str">
        <f>FIXED(VLOOKUP($A7,'Full Sample-Townhouse'!$A:$R,U$1,0),2)</f>
        <v>118,448.60</v>
      </c>
      <c r="V7" s="13" t="str">
        <f>FIXED(VLOOKUP($A7,'Full Sample-Townhouse'!$A:$R,V$1,0),2)</f>
        <v>28,197,546.00</v>
      </c>
      <c r="W7" s="9" t="str">
        <f>FIXED(VLOOKUP($A7,'Full Sample-Townhouse'!$A:$R,W$1,0)/100000,2)</f>
        <v>6.60</v>
      </c>
      <c r="X7" s="3" t="str">
        <f>FIXED(VLOOKUP($A7,'Full Sample-Townhouse'!$A:$R,X$1,0)/100000,2)</f>
        <v>5.46</v>
      </c>
      <c r="Y7" s="3" t="str">
        <f>FIXED(VLOOKUP($A7,'Full Sample-Townhouse'!$A:$R,Y$1,0),2)</f>
        <v>85,418.51</v>
      </c>
      <c r="Z7" s="3" t="str">
        <f>FIXED(VLOOKUP($A7,'Full Sample-Townhouse'!$A:$R,Z$1,0),2)</f>
        <v>12,768,128.00</v>
      </c>
      <c r="AA7" s="9" t="str">
        <f>FIXED(VLOOKUP($A7,'Full Sample-Single Family'!$A:$R,AA$1,0)/100000,2)</f>
        <v>12.53</v>
      </c>
      <c r="AB7" s="3" t="str">
        <f>FIXED(VLOOKUP($A7,'Full Sample-Single Family'!$A:$R,AB$1,0)/100000,2)</f>
        <v>9.59</v>
      </c>
      <c r="AC7" s="3" t="str">
        <f>FIXED(VLOOKUP($A7,'Full Sample-Single Family'!$A:$R,AC$1,0),2)</f>
        <v>180,401.90</v>
      </c>
      <c r="AD7" s="3" t="str">
        <f>FIXED(VLOOKUP($A7,'Full Sample-Single Family'!$A:$R,AD$1,0),2)</f>
        <v>22,166,108.00</v>
      </c>
      <c r="AE7" s="9" t="str">
        <f>FIXED(VLOOKUP($A7,'Full Sample-Single Family'!$A:$R,AE$1,0)/100000,2)</f>
        <v>11.64</v>
      </c>
      <c r="AF7" s="3" t="str">
        <f>FIXED(VLOOKUP($A7,'Full Sample-Single Family'!$A:$R,AF$1,0)/100000,2)</f>
        <v>9.00</v>
      </c>
      <c r="AG7" s="3" t="str">
        <f>FIXED(VLOOKUP($A7,'Full Sample-Single Family'!$A:$R,AG$1,0),2)</f>
        <v>180,401.90</v>
      </c>
      <c r="AH7" s="13" t="str">
        <f>FIXED(VLOOKUP($A7,'Full Sample-Single Family'!$A:$R,AH$1,0),2)</f>
        <v>21,058,570.00</v>
      </c>
      <c r="AI7" s="9" t="str">
        <f>FIXED(VLOOKUP($A7,'Full Sample-Single Family'!$A:$R,AI$1,0)/100000,2)</f>
        <v>13.73</v>
      </c>
      <c r="AJ7" s="3" t="str">
        <f>FIXED(VLOOKUP($A7,'Full Sample-Single Family'!$A:$R,AJ$1,0)/100000,2)</f>
        <v>10.22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>
        <f>(AI7-AE7)/(SQRT(((AF7^2)/AE76)+((AJ7^2)/AI76)))</f>
        <v>16.088564196644189</v>
      </c>
    </row>
    <row r="8" spans="1:40" x14ac:dyDescent="0.25">
      <c r="A8" t="s">
        <v>10</v>
      </c>
      <c r="B8" t="s">
        <v>86</v>
      </c>
      <c r="C8" s="9" t="str">
        <f>FIXED(VLOOKUP($A8,'Full Sample-No Sub'!$A:$R,C$1,0),2)</f>
        <v>1.32</v>
      </c>
      <c r="D8" s="3" t="str">
        <f>FIXED(VLOOKUP($A8,'Full Sample-No Sub'!$A:$R,D$1,0),2)</f>
        <v>0.55</v>
      </c>
      <c r="E8" s="3" t="str">
        <f>FIXED(VLOOKUP($A8,'Full Sample-No Sub'!$A:$R,E$1,0),2)</f>
        <v>1.00</v>
      </c>
      <c r="F8" s="3" t="str">
        <f>FIXED(VLOOKUP($A8,'Full Sample-No Sub'!$A:$R,F$1,0),2)</f>
        <v>5.00</v>
      </c>
      <c r="G8" s="9" t="str">
        <f>FIXED(VLOOKUP($A8,'Full Sample-No Sub'!$A:$R,G$1,0),2)</f>
        <v>1.32</v>
      </c>
      <c r="H8" s="3" t="str">
        <f>FIXED(VLOOKUP($A8,'Full Sample-No Sub'!$A:$R,H$1,0),2)</f>
        <v>0.55</v>
      </c>
      <c r="I8" s="3" t="str">
        <f>FIXED(VLOOKUP($A8,'Full Sample-No Sub'!$A:$R,I$1,0),2)</f>
        <v>1.00</v>
      </c>
      <c r="J8" s="13" t="str">
        <f>FIXED(VLOOKUP($A8,'Full Sample-No Sub'!$A:$R,J$1,0),2)</f>
        <v>5.00</v>
      </c>
      <c r="K8" s="9" t="str">
        <f>FIXED(VLOOKUP($A8,'Full Sample-No Sub'!$A:$R,K$1,0),2)</f>
        <v>1.32</v>
      </c>
      <c r="L8" s="3" t="str">
        <f>FIXED(VLOOKUP($A8,'Full Sample-No Sub'!$A:$R,L$1,0),2)</f>
        <v>0.55</v>
      </c>
      <c r="M8" s="3" t="str">
        <f>FIXED(VLOOKUP($A8,'Full Sample-No Sub'!$A:$R,M$1,0),2)</f>
        <v>1.00</v>
      </c>
      <c r="N8" s="13" t="str">
        <f>FIXED(VLOOKUP($A8,'Full Sample-No Sub'!$A:$R,N$1,0),2)</f>
        <v>5.00</v>
      </c>
      <c r="O8" s="9" t="str">
        <f>FIXED(VLOOKUP($A8,'Full Sample-Townhouse'!$A:$R,O$1,0),2)</f>
        <v>1.33</v>
      </c>
      <c r="P8" s="3" t="str">
        <f>FIXED(VLOOKUP($A8,'Full Sample-Townhouse'!$A:$R,P$1,0),2)</f>
        <v>0.56</v>
      </c>
      <c r="Q8" s="3" t="str">
        <f>FIXED(VLOOKUP($A8,'Full Sample-Townhouse'!$A:$R,Q$1,0),2)</f>
        <v>1.00</v>
      </c>
      <c r="R8" s="3" t="str">
        <f>FIXED(VLOOKUP($A8,'Full Sample-Townhouse'!$A:$R,R$1,0),2)</f>
        <v>5.00</v>
      </c>
      <c r="S8" s="9" t="str">
        <f>FIXED(VLOOKUP($A8,'Full Sample-Townhouse'!$A:$R,S$1,0),2)</f>
        <v>1.33</v>
      </c>
      <c r="T8" s="3" t="str">
        <f>FIXED(VLOOKUP($A8,'Full Sample-Townhouse'!$A:$R,T$1,0),2)</f>
        <v>0.56</v>
      </c>
      <c r="U8" s="3" t="str">
        <f>FIXED(VLOOKUP($A8,'Full Sample-Townhouse'!$A:$R,U$1,0),2)</f>
        <v>1.00</v>
      </c>
      <c r="V8" s="13" t="str">
        <f>FIXED(VLOOKUP($A8,'Full Sample-Townhouse'!$A:$R,V$1,0),2)</f>
        <v>5.00</v>
      </c>
      <c r="W8" s="9" t="str">
        <f>FIXED(VLOOKUP($A8,'Full Sample-Townhouse'!$A:$R,W$1,0),2)</f>
        <v>1.33</v>
      </c>
      <c r="X8" s="3" t="str">
        <f>FIXED(VLOOKUP($A8,'Full Sample-Townhouse'!$A:$R,X$1,0),2)</f>
        <v>0.55</v>
      </c>
      <c r="Y8" s="3" t="str">
        <f>FIXED(VLOOKUP($A8,'Full Sample-Townhouse'!$A:$R,Y$1,0),2)</f>
        <v>1.00</v>
      </c>
      <c r="Z8" s="3" t="str">
        <f>FIXED(VLOOKUP($A8,'Full Sample-Townhouse'!$A:$R,Z$1,0),2)</f>
        <v>5.00</v>
      </c>
      <c r="AA8" s="9" t="str">
        <f>FIXED(VLOOKUP($A8,'Full Sample-Single Family'!$A:$R,AA$1,0),2)</f>
        <v>1.30</v>
      </c>
      <c r="AB8" s="3" t="str">
        <f>FIXED(VLOOKUP($A8,'Full Sample-Single Family'!$A:$R,AB$1,0),2)</f>
        <v>0.54</v>
      </c>
      <c r="AC8" s="3" t="str">
        <f>FIXED(VLOOKUP($A8,'Full Sample-Single Family'!$A:$R,AC$1,0),2)</f>
        <v>1.00</v>
      </c>
      <c r="AD8" s="3" t="str">
        <f>FIXED(VLOOKUP($A8,'Full Sample-Single Family'!$A:$R,AD$1,0),2)</f>
        <v>4.00</v>
      </c>
      <c r="AE8" s="9" t="str">
        <f>FIXED(VLOOKUP($A8,'Full Sample-Single Family'!$A:$R,AE$1,0),2)</f>
        <v>1.29</v>
      </c>
      <c r="AF8" s="3" t="str">
        <f>FIXED(VLOOKUP($A8,'Full Sample-Single Family'!$A:$R,AF$1,0),2)</f>
        <v>0.53</v>
      </c>
      <c r="AG8" s="3" t="str">
        <f>FIXED(VLOOKUP($A8,'Full Sample-Single Family'!$A:$R,AG$1,0),2)</f>
        <v>1.00</v>
      </c>
      <c r="AH8" s="13" t="str">
        <f>FIXED(VLOOKUP($A8,'Full Sample-Single Family'!$A:$R,AH$1,0),2)</f>
        <v>4.00</v>
      </c>
      <c r="AI8" s="9" t="str">
        <f>FIXED(VLOOKUP($A8,'Full Sample-Single Family'!$A:$R,AI$1,0),2)</f>
        <v>1.32</v>
      </c>
      <c r="AJ8" s="3" t="str">
        <f>FIXED(VLOOKUP($A8,'Full Sample-Single Family'!$A:$R,AJ$1,0),2)</f>
        <v>0.55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(W7-S7)/(SQRT(((T7^2)/S76)+((X7^2)/W76)))</f>
        <v>0.86790939613110796</v>
      </c>
    </row>
    <row r="9" spans="1:40" x14ac:dyDescent="0.25">
      <c r="A9" t="s">
        <v>11</v>
      </c>
      <c r="B9" s="4" t="s">
        <v>95</v>
      </c>
      <c r="C9" s="9" t="str">
        <f>FIXED(VLOOKUP($A9,'Full Sample-No Sub'!$A:$R,C$1,0),2)</f>
        <v>0.42</v>
      </c>
      <c r="D9" s="3" t="str">
        <f>FIXED(VLOOKUP($A9,'Full Sample-No Sub'!$A:$R,D$1,0),2)</f>
        <v>0.49</v>
      </c>
      <c r="E9" s="3" t="str">
        <f>FIXED(VLOOKUP($A9,'Full Sample-No Sub'!$A:$R,E$1,0),2)</f>
        <v>0.00</v>
      </c>
      <c r="F9" s="3" t="str">
        <f>FIXED(VLOOKUP($A9,'Full Sample-No Sub'!$A:$R,F$1,0),2)</f>
        <v>1.00</v>
      </c>
      <c r="G9" s="9" t="str">
        <f>FIXED(VLOOKUP($A9,'Full Sample-No Sub'!$A:$R,G$1,0),2)</f>
        <v>0.00</v>
      </c>
      <c r="H9" s="3" t="str">
        <f>FIXED(VLOOKUP($A9,'Full Sample-No Sub'!$A:$R,H$1,0),2)</f>
        <v>0.00</v>
      </c>
      <c r="I9" s="3" t="str">
        <f>FIXED(VLOOKUP($A9,'Full Sample-No Sub'!$A:$R,I$1,0),2)</f>
        <v>0.00</v>
      </c>
      <c r="J9" s="13" t="str">
        <f>FIXED(VLOOKUP($A9,'Full Sample-No Sub'!$A:$R,J$1,0),2)</f>
        <v>0.00</v>
      </c>
      <c r="K9" s="9" t="str">
        <f>FIXED(VLOOKUP($A9,'Full Sample-No Sub'!$A:$R,K$1,0),2)</f>
        <v>1.00</v>
      </c>
      <c r="L9" s="3" t="str">
        <f>FIXED(VLOOKUP($A9,'Full Sample-No Sub'!$A:$R,L$1,0),2)</f>
        <v>0.00</v>
      </c>
      <c r="M9" s="3" t="str">
        <f>FIXED(VLOOKUP($A9,'Full Sample-No Sub'!$A:$R,M$1,0),2)</f>
        <v>1.00</v>
      </c>
      <c r="N9" s="13" t="str">
        <f>FIXED(VLOOKUP($A9,'Full Sample-No Sub'!$A:$R,N$1,0),2)</f>
        <v>1.00</v>
      </c>
      <c r="O9" s="9" t="str">
        <f>FIXED(VLOOKUP($A9,'Full Sample-Townhouse'!$A:$R,O$1,0),2)</f>
        <v>0.42</v>
      </c>
      <c r="P9" s="3" t="str">
        <f>FIXED(VLOOKUP($A9,'Full Sample-Townhouse'!$A:$R,P$1,0),2)</f>
        <v>0.49</v>
      </c>
      <c r="Q9" s="3" t="str">
        <f>FIXED(VLOOKUP($A9,'Full Sample-Townhouse'!$A:$R,Q$1,0),2)</f>
        <v>0.00</v>
      </c>
      <c r="R9" s="3" t="str">
        <f>FIXED(VLOOKUP($A9,'Full Sample-Townhouse'!$A:$R,R$1,0),2)</f>
        <v>1.00</v>
      </c>
      <c r="S9" s="9" t="str">
        <f>FIXED(VLOOKUP($A9,'Full Sample-Townhouse'!$A:$R,S$1,0),2)</f>
        <v>0.00</v>
      </c>
      <c r="T9" s="3" t="str">
        <f>FIXED(VLOOKUP($A9,'Full Sample-Townhouse'!$A:$R,T$1,0),2)</f>
        <v>0.00</v>
      </c>
      <c r="U9" s="3" t="str">
        <f>FIXED(VLOOKUP($A9,'Full Sample-Townhouse'!$A:$R,U$1,0),2)</f>
        <v>0.00</v>
      </c>
      <c r="V9" s="13" t="str">
        <f>FIXED(VLOOKUP($A9,'Full Sample-Townhouse'!$A:$R,V$1,0),2)</f>
        <v>0.00</v>
      </c>
      <c r="W9" s="9" t="str">
        <f>FIXED(VLOOKUP($A9,'Full Sample-Townhouse'!$A:$R,W$1,0),2)</f>
        <v>1.00</v>
      </c>
      <c r="X9" s="3" t="str">
        <f>FIXED(VLOOKUP($A9,'Full Sample-Townhouse'!$A:$R,X$1,0),2)</f>
        <v>0.00</v>
      </c>
      <c r="Y9" s="3" t="str">
        <f>FIXED(VLOOKUP($A9,'Full Sample-Townhouse'!$A:$R,Y$1,0),2)</f>
        <v>1.00</v>
      </c>
      <c r="Z9" s="3" t="str">
        <f>FIXED(VLOOKUP($A9,'Full Sample-Townhouse'!$A:$R,Z$1,0),2)</f>
        <v>1.00</v>
      </c>
      <c r="AA9" s="9" t="str">
        <f>FIXED(VLOOKUP($A9,'Full Sample-Single Family'!$A:$R,AA$1,0),2)</f>
        <v>0.42</v>
      </c>
      <c r="AB9" s="3" t="str">
        <f>FIXED(VLOOKUP($A9,'Full Sample-Single Family'!$A:$R,AB$1,0),2)</f>
        <v>0.49</v>
      </c>
      <c r="AC9" s="3" t="str">
        <f>FIXED(VLOOKUP($A9,'Full Sample-Single Family'!$A:$R,AC$1,0),2)</f>
        <v>0.00</v>
      </c>
      <c r="AD9" s="3" t="str">
        <f>FIXED(VLOOKUP($A9,'Full Sample-Single Family'!$A:$R,AD$1,0),2)</f>
        <v>1.00</v>
      </c>
      <c r="AE9" s="9" t="str">
        <f>FIXED(VLOOKUP($A9,'Full Sample-Single Family'!$A:$R,AE$1,0),2)</f>
        <v>0.00</v>
      </c>
      <c r="AF9" s="3" t="str">
        <f>FIXED(VLOOKUP($A9,'Full Sample-Single Family'!$A:$R,AF$1,0),2)</f>
        <v>0.00</v>
      </c>
      <c r="AG9" s="3" t="str">
        <f>FIXED(VLOOKUP($A9,'Full Sample-Single Family'!$A:$R,AG$1,0),2)</f>
        <v>0.00</v>
      </c>
      <c r="AH9" s="13" t="str">
        <f>FIXED(VLOOKUP($A9,'Full Sample-Single Family'!$A:$R,AH$1,0),2)</f>
        <v>0.00</v>
      </c>
      <c r="AI9" s="9" t="str">
        <f>FIXED(VLOOKUP($A9,'Full Sample-Single Family'!$A:$R,AI$1,0),2)</f>
        <v>1.00</v>
      </c>
      <c r="AJ9" s="3" t="str">
        <f>FIXED(VLOOKUP($A9,'Full Sample-Single Family'!$A:$R,AJ$1,0),2)</f>
        <v>0.00</v>
      </c>
      <c r="AK9" s="3" t="e" vm="1">
        <f>FIXED(VLOOKUP($A9,'Full Sample-Townhouse'!$A:$R,AK$1,0),2)</f>
        <v>#VALUE!</v>
      </c>
      <c r="AL9" s="3" t="e" vm="1">
        <f>FIXED(VLOOKUP($A9,'Full Sample-Townhouse'!$A:$R,AL$1,0),2)</f>
        <v>#VALUE!</v>
      </c>
    </row>
    <row r="10" spans="1:40" hidden="1" x14ac:dyDescent="0.25">
      <c r="A10" t="s">
        <v>12</v>
      </c>
      <c r="B10" s="4" t="s">
        <v>96</v>
      </c>
      <c r="C10" s="9" t="str">
        <f>FIXED(VLOOKUP($A10,'Full Sample-No Sub'!$A:$R,C$1,0),2)</f>
        <v>0.38</v>
      </c>
      <c r="D10" s="3" t="str">
        <f>FIXED(VLOOKUP($A10,'Full Sample-No Sub'!$A:$R,D$1,0),2)</f>
        <v>0.48</v>
      </c>
      <c r="E10" s="3" t="str">
        <f>FIXED(VLOOKUP($A10,'Full Sample-No Sub'!$A:$R,E$1,0),2)</f>
        <v>0.00</v>
      </c>
      <c r="F10" s="3" t="str">
        <f>FIXED(VLOOKUP($A10,'Full Sample-No Sub'!$A:$R,F$1,0),2)</f>
        <v>1.00</v>
      </c>
      <c r="G10" s="9" t="str">
        <f>FIXED(VLOOKUP($A10,'Full Sample-No Sub'!$A:$R,G$1,0),2)</f>
        <v>0.00</v>
      </c>
      <c r="H10" s="3" t="str">
        <f>FIXED(VLOOKUP($A10,'Full Sample-No Sub'!$A:$R,H$1,0),2)</f>
        <v>0.04</v>
      </c>
      <c r="I10" s="3" t="str">
        <f>FIXED(VLOOKUP($A10,'Full Sample-No Sub'!$A:$R,I$1,0),2)</f>
        <v>0.00</v>
      </c>
      <c r="J10" s="13" t="str">
        <f>FIXED(VLOOKUP($A10,'Full Sample-No Sub'!$A:$R,J$1,0),2)</f>
        <v>1.00</v>
      </c>
      <c r="K10" s="9" t="str">
        <f>FIXED(VLOOKUP($A10,'Full Sample-No Sub'!$A:$R,K$1,0),2)</f>
        <v>0.88</v>
      </c>
      <c r="L10" s="3" t="str">
        <f>FIXED(VLOOKUP($A10,'Full Sample-No Sub'!$A:$R,L$1,0),2)</f>
        <v>0.32</v>
      </c>
      <c r="M10" s="3" t="str">
        <f>FIXED(VLOOKUP($A10,'Full Sample-No Sub'!$A:$R,M$1,0),2)</f>
        <v>0.00</v>
      </c>
      <c r="N10" s="13" t="str">
        <f>FIXED(VLOOKUP($A10,'Full Sample-No Sub'!$A:$R,N$1,0),2)</f>
        <v>1.00</v>
      </c>
      <c r="O10" s="9" t="str">
        <f>FIXED(VLOOKUP($A10,'Full Sample-Townhouse'!$A:$R,O$1,0),2)</f>
        <v>0.38</v>
      </c>
      <c r="P10" s="3" t="str">
        <f>FIXED(VLOOKUP($A10,'Full Sample-Townhouse'!$A:$R,P$1,0),2)</f>
        <v>0.49</v>
      </c>
      <c r="Q10" s="3" t="str">
        <f>FIXED(VLOOKUP($A10,'Full Sample-Townhouse'!$A:$R,Q$1,0),2)</f>
        <v>0.00</v>
      </c>
      <c r="R10" s="3" t="str">
        <f>FIXED(VLOOKUP($A10,'Full Sample-Townhouse'!$A:$R,R$1,0),2)</f>
        <v>1.00</v>
      </c>
      <c r="S10" s="9" t="str">
        <f>FIXED(VLOOKUP($A10,'Full Sample-Townhouse'!$A:$R,S$1,0),2)</f>
        <v>0.00</v>
      </c>
      <c r="T10" s="3" t="str">
        <f>FIXED(VLOOKUP($A10,'Full Sample-Townhouse'!$A:$R,T$1,0),2)</f>
        <v>0.04</v>
      </c>
      <c r="U10" s="3" t="str">
        <f>FIXED(VLOOKUP($A10,'Full Sample-Townhouse'!$A:$R,U$1,0),2)</f>
        <v>0.00</v>
      </c>
      <c r="V10" s="13" t="str">
        <f>FIXED(VLOOKUP($A10,'Full Sample-Townhouse'!$A:$R,V$1,0),2)</f>
        <v>1.00</v>
      </c>
      <c r="W10" s="9" t="str">
        <f>FIXED(VLOOKUP($A10,'Full Sample-Townhouse'!$A:$R,W$1,0),2)</f>
        <v>0.90</v>
      </c>
      <c r="X10" s="3" t="str">
        <f>FIXED(VLOOKUP($A10,'Full Sample-Townhouse'!$A:$R,X$1,0),2)</f>
        <v>0.30</v>
      </c>
      <c r="Y10" s="3" t="str">
        <f>FIXED(VLOOKUP($A10,'Full Sample-Townhouse'!$A:$R,Y$1,0),2)</f>
        <v>0.00</v>
      </c>
      <c r="Z10" s="3" t="str">
        <f>FIXED(VLOOKUP($A10,'Full Sample-Townhouse'!$A:$R,Z$1,0),2)</f>
        <v>1.00</v>
      </c>
      <c r="AA10" s="9" t="str">
        <f>FIXED(VLOOKUP($A10,'Full Sample-Single Family'!$A:$R,AA$1,0),2)</f>
        <v>0.37</v>
      </c>
      <c r="AB10" s="3" t="str">
        <f>FIXED(VLOOKUP($A10,'Full Sample-Single Family'!$A:$R,AB$1,0),2)</f>
        <v>0.48</v>
      </c>
      <c r="AC10" s="3" t="str">
        <f>FIXED(VLOOKUP($A10,'Full Sample-Single Family'!$A:$R,AC$1,0),2)</f>
        <v>0.00</v>
      </c>
      <c r="AD10" s="3" t="str">
        <f>FIXED(VLOOKUP($A10,'Full Sample-Single Family'!$A:$R,AD$1,0),2)</f>
        <v>1.00</v>
      </c>
      <c r="AE10" s="9" t="str">
        <f>FIXED(VLOOKUP($A10,'Full Sample-Single Family'!$A:$R,AE$1,0),2)</f>
        <v>0.00</v>
      </c>
      <c r="AF10" s="3" t="str">
        <f>FIXED(VLOOKUP($A10,'Full Sample-Single Family'!$A:$R,AF$1,0),2)</f>
        <v>0.04</v>
      </c>
      <c r="AG10" s="3" t="str">
        <f>FIXED(VLOOKUP($A10,'Full Sample-Single Family'!$A:$R,AG$1,0),2)</f>
        <v>0.00</v>
      </c>
      <c r="AH10" s="13" t="str">
        <f>FIXED(VLOOKUP($A10,'Full Sample-Single Family'!$A:$R,AH$1,0),2)</f>
        <v>1.00</v>
      </c>
      <c r="AI10" s="9" t="str">
        <f>FIXED(VLOOKUP($A10,'Full Sample-Single Family'!$A:$R,AI$1,0),2)</f>
        <v>0.87</v>
      </c>
      <c r="AJ10" s="3" t="str">
        <f>FIXED(VLOOKUP($A10,'Full Sample-Single Family'!$A:$R,AJ$1,0),2)</f>
        <v>0.34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16</v>
      </c>
      <c r="B11" t="s">
        <v>100</v>
      </c>
      <c r="C11" s="9" t="str">
        <f>FIXED(VLOOKUP($A11,'Full Sample-No Sub'!$A:$R,C$1,0),2)</f>
        <v>44.36</v>
      </c>
      <c r="D11" s="3" t="str">
        <f>FIXED(VLOOKUP($A11,'Full Sample-No Sub'!$A:$R,D$1,0),2)</f>
        <v>58.83</v>
      </c>
      <c r="E11" s="3" t="str">
        <f>FIXED(VLOOKUP($A11,'Full Sample-No Sub'!$A:$R,E$1,0),2)</f>
        <v>0.00</v>
      </c>
      <c r="F11" s="3" t="str">
        <f>FIXED(VLOOKUP($A11,'Full Sample-No Sub'!$A:$R,F$1,0),2)</f>
        <v>1,402.00</v>
      </c>
      <c r="G11" s="9" t="str">
        <f>FIXED(VLOOKUP($A11,'Full Sample-No Sub'!$A:$R,G$1,0),2)</f>
        <v>51.11</v>
      </c>
      <c r="H11" s="3" t="str">
        <f>FIXED(VLOOKUP($A11,'Full Sample-No Sub'!$A:$R,H$1,0),2)</f>
        <v>59.04</v>
      </c>
      <c r="I11" s="3" t="str">
        <f>FIXED(VLOOKUP($A11,'Full Sample-No Sub'!$A:$R,I$1,0),2)</f>
        <v>0.00</v>
      </c>
      <c r="J11" s="13" t="str">
        <f>FIXED(VLOOKUP($A11,'Full Sample-No Sub'!$A:$R,J$1,0),2)</f>
        <v>1,402.00</v>
      </c>
      <c r="K11" s="9" t="str">
        <f>FIXED(VLOOKUP($A11,'Full Sample-No Sub'!$A:$R,K$1,0),2)</f>
        <v>35.17</v>
      </c>
      <c r="L11" s="3" t="str">
        <f>FIXED(VLOOKUP($A11,'Full Sample-No Sub'!$A:$R,L$1,0),2)</f>
        <v>57.28</v>
      </c>
      <c r="M11" s="3" t="str">
        <f>FIXED(VLOOKUP($A11,'Full Sample-No Sub'!$A:$R,M$1,0),2)</f>
        <v>0.00</v>
      </c>
      <c r="N11" s="13" t="str">
        <f>FIXED(VLOOKUP($A11,'Full Sample-No Sub'!$A:$R,N$1,0),2)</f>
        <v>946.00</v>
      </c>
      <c r="O11" s="9" t="str">
        <f>FIXED(VLOOKUP($A11,'Full Sample-Townhouse'!$A:$R,O$1,0),2)</f>
        <v>46.08</v>
      </c>
      <c r="P11" s="3" t="str">
        <f>FIXED(VLOOKUP($A11,'Full Sample-Townhouse'!$A:$R,P$1,0),2)</f>
        <v>60.64</v>
      </c>
      <c r="Q11" s="3" t="str">
        <f>FIXED(VLOOKUP($A11,'Full Sample-Townhouse'!$A:$R,Q$1,0),2)</f>
        <v>0.00</v>
      </c>
      <c r="R11" s="3" t="str">
        <f>FIXED(VLOOKUP($A11,'Full Sample-Townhouse'!$A:$R,R$1,0),2)</f>
        <v>946.00</v>
      </c>
      <c r="S11" s="9" t="str">
        <f>FIXED(VLOOKUP($A11,'Full Sample-Townhouse'!$A:$R,S$1,0),2)</f>
        <v>50.72</v>
      </c>
      <c r="T11" s="3" t="str">
        <f>FIXED(VLOOKUP($A11,'Full Sample-Townhouse'!$A:$R,T$1,0),2)</f>
        <v>58.35</v>
      </c>
      <c r="U11" s="3" t="str">
        <f>FIXED(VLOOKUP($A11,'Full Sample-Townhouse'!$A:$R,U$1,0),2)</f>
        <v>0.00</v>
      </c>
      <c r="V11" s="13" t="str">
        <f>FIXED(VLOOKUP($A11,'Full Sample-Townhouse'!$A:$R,V$1,0),2)</f>
        <v>785.00</v>
      </c>
      <c r="W11" s="9" t="str">
        <f>FIXED(VLOOKUP($A11,'Full Sample-Townhouse'!$A:$R,W$1,0),2)</f>
        <v>39.79</v>
      </c>
      <c r="X11" s="3" t="str">
        <f>FIXED(VLOOKUP($A11,'Full Sample-Townhouse'!$A:$R,X$1,0),2)</f>
        <v>63.08</v>
      </c>
      <c r="Y11" s="3" t="str">
        <f>FIXED(VLOOKUP($A11,'Full Sample-Townhouse'!$A:$R,Y$1,0),2)</f>
        <v>0.00</v>
      </c>
      <c r="Z11" s="3" t="str">
        <f>FIXED(VLOOKUP($A11,'Full Sample-Townhouse'!$A:$R,Z$1,0),2)</f>
        <v>946.00</v>
      </c>
      <c r="AA11" s="9" t="str">
        <f>FIXED(VLOOKUP($A11,'Full Sample-Single Family'!$A:$R,AA$1,0),2)</f>
        <v>42.31</v>
      </c>
      <c r="AB11" s="3" t="str">
        <f>FIXED(VLOOKUP($A11,'Full Sample-Single Family'!$A:$R,AB$1,0),2)</f>
        <v>56.52</v>
      </c>
      <c r="AC11" s="3" t="str">
        <f>FIXED(VLOOKUP($A11,'Full Sample-Single Family'!$A:$R,AC$1,0),2)</f>
        <v>0.00</v>
      </c>
      <c r="AD11" s="3" t="str">
        <f>FIXED(VLOOKUP($A11,'Full Sample-Single Family'!$A:$R,AD$1,0),2)</f>
        <v>1,402.00</v>
      </c>
      <c r="AE11" s="9" t="str">
        <f>FIXED(VLOOKUP($A11,'Full Sample-Single Family'!$A:$R,AE$1,0),2)</f>
        <v>51.58</v>
      </c>
      <c r="AF11" s="3" t="str">
        <f>FIXED(VLOOKUP($A11,'Full Sample-Single Family'!$A:$R,AF$1,0),2)</f>
        <v>59.84</v>
      </c>
      <c r="AG11" s="3" t="str">
        <f>FIXED(VLOOKUP($A11,'Full Sample-Single Family'!$A:$R,AG$1,0),2)</f>
        <v>0.00</v>
      </c>
      <c r="AH11" s="13" t="str">
        <f>FIXED(VLOOKUP($A11,'Full Sample-Single Family'!$A:$R,AH$1,0),2)</f>
        <v>1,402.00</v>
      </c>
      <c r="AI11" s="9" t="str">
        <f>FIXED(VLOOKUP($A11,'Full Sample-Single Family'!$A:$R,AI$1,0),2)</f>
        <v>29.64</v>
      </c>
      <c r="AJ11" s="3" t="str">
        <f>FIXED(VLOOKUP($A11,'Full Sample-Single Family'!$A:$R,AJ$1,0),2)</f>
        <v>48.86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13</v>
      </c>
      <c r="B12" t="s">
        <v>97</v>
      </c>
      <c r="C12" s="9" t="str">
        <f>FIXED(VLOOKUP($A12,'Full Sample-No Sub'!$A:$R,C$1,0),2)</f>
        <v>1.91</v>
      </c>
      <c r="D12" s="3" t="str">
        <f>FIXED(VLOOKUP($A12,'Full Sample-No Sub'!$A:$R,D$1,0),2)</f>
        <v>0.89</v>
      </c>
      <c r="E12" s="3" t="str">
        <f>FIXED(VLOOKUP($A12,'Full Sample-No Sub'!$A:$R,E$1,0),2)</f>
        <v>0.00</v>
      </c>
      <c r="F12" s="3" t="str">
        <f>FIXED(VLOOKUP($A12,'Full Sample-No Sub'!$A:$R,F$1,0),2)</f>
        <v>17.00</v>
      </c>
      <c r="G12" s="9" t="str">
        <f>FIXED(VLOOKUP($A12,'Full Sample-No Sub'!$A:$R,G$1,0),2)</f>
        <v>1.89</v>
      </c>
      <c r="H12" s="3" t="str">
        <f>FIXED(VLOOKUP($A12,'Full Sample-No Sub'!$A:$R,H$1,0),2)</f>
        <v>0.87</v>
      </c>
      <c r="I12" s="3" t="str">
        <f>FIXED(VLOOKUP($A12,'Full Sample-No Sub'!$A:$R,I$1,0),2)</f>
        <v>0.00</v>
      </c>
      <c r="J12" s="13" t="str">
        <f>FIXED(VLOOKUP($A12,'Full Sample-No Sub'!$A:$R,J$1,0),2)</f>
        <v>17.00</v>
      </c>
      <c r="K12" s="9" t="str">
        <f>FIXED(VLOOKUP($A12,'Full Sample-No Sub'!$A:$R,K$1,0),2)</f>
        <v>1.93</v>
      </c>
      <c r="L12" s="3" t="str">
        <f>FIXED(VLOOKUP($A12,'Full Sample-No Sub'!$A:$R,L$1,0),2)</f>
        <v>0.93</v>
      </c>
      <c r="M12" s="3" t="str">
        <f>FIXED(VLOOKUP($A12,'Full Sample-No Sub'!$A:$R,M$1,0),2)</f>
        <v>0.00</v>
      </c>
      <c r="N12" s="13" t="str">
        <f>FIXED(VLOOKUP($A12,'Full Sample-No Sub'!$A:$R,N$1,0),2)</f>
        <v>15.00</v>
      </c>
      <c r="O12" s="9" t="str">
        <f>FIXED(VLOOKUP($A12,'Full Sample-Townhouse'!$A:$R,O$1,0),2)</f>
        <v>1.51</v>
      </c>
      <c r="P12" s="3" t="str">
        <f>FIXED(VLOOKUP($A12,'Full Sample-Townhouse'!$A:$R,P$1,0),2)</f>
        <v>0.56</v>
      </c>
      <c r="Q12" s="3" t="str">
        <f>FIXED(VLOOKUP($A12,'Full Sample-Townhouse'!$A:$R,Q$1,0),2)</f>
        <v>0.00</v>
      </c>
      <c r="R12" s="3" t="str">
        <f>FIXED(VLOOKUP($A12,'Full Sample-Townhouse'!$A:$R,R$1,0),2)</f>
        <v>6.00</v>
      </c>
      <c r="S12" s="9" t="str">
        <f>FIXED(VLOOKUP($A12,'Full Sample-Townhouse'!$A:$R,S$1,0),2)</f>
        <v>1.51</v>
      </c>
      <c r="T12" s="3" t="str">
        <f>FIXED(VLOOKUP($A12,'Full Sample-Townhouse'!$A:$R,T$1,0),2)</f>
        <v>0.55</v>
      </c>
      <c r="U12" s="3" t="str">
        <f>FIXED(VLOOKUP($A12,'Full Sample-Townhouse'!$A:$R,U$1,0),2)</f>
        <v>0.00</v>
      </c>
      <c r="V12" s="13" t="str">
        <f>FIXED(VLOOKUP($A12,'Full Sample-Townhouse'!$A:$R,V$1,0),2)</f>
        <v>5.00</v>
      </c>
      <c r="W12" s="9" t="str">
        <f>FIXED(VLOOKUP($A12,'Full Sample-Townhouse'!$A:$R,W$1,0),2)</f>
        <v>1.50</v>
      </c>
      <c r="X12" s="3" t="str">
        <f>FIXED(VLOOKUP($A12,'Full Sample-Townhouse'!$A:$R,X$1,0),2)</f>
        <v>0.56</v>
      </c>
      <c r="Y12" s="3" t="str">
        <f>FIXED(VLOOKUP($A12,'Full Sample-Townhouse'!$A:$R,Y$1,0),2)</f>
        <v>0.00</v>
      </c>
      <c r="Z12" s="3" t="str">
        <f>FIXED(VLOOKUP($A12,'Full Sample-Townhouse'!$A:$R,Z$1,0),2)</f>
        <v>6.00</v>
      </c>
      <c r="AA12" s="9" t="str">
        <f>FIXED(VLOOKUP($A12,'Full Sample-Single Family'!$A:$R,AA$1,0),2)</f>
        <v>2.39</v>
      </c>
      <c r="AB12" s="3" t="str">
        <f>FIXED(VLOOKUP($A12,'Full Sample-Single Family'!$A:$R,AB$1,0),2)</f>
        <v>0.98</v>
      </c>
      <c r="AC12" s="3" t="str">
        <f>FIXED(VLOOKUP($A12,'Full Sample-Single Family'!$A:$R,AC$1,0),2)</f>
        <v>0.00</v>
      </c>
      <c r="AD12" s="3" t="str">
        <f>FIXED(VLOOKUP($A12,'Full Sample-Single Family'!$A:$R,AD$1,0),2)</f>
        <v>17.00</v>
      </c>
      <c r="AE12" s="9" t="str">
        <f>FIXED(VLOOKUP($A12,'Full Sample-Single Family'!$A:$R,AE$1,0),2)</f>
        <v>2.35</v>
      </c>
      <c r="AF12" s="3" t="str">
        <f>FIXED(VLOOKUP($A12,'Full Sample-Single Family'!$A:$R,AF$1,0),2)</f>
        <v>0.94</v>
      </c>
      <c r="AG12" s="3" t="str">
        <f>FIXED(VLOOKUP($A12,'Full Sample-Single Family'!$A:$R,AG$1,0),2)</f>
        <v>0.00</v>
      </c>
      <c r="AH12" s="13" t="str">
        <f>FIXED(VLOOKUP($A12,'Full Sample-Single Family'!$A:$R,AH$1,0),2)</f>
        <v>17.00</v>
      </c>
      <c r="AI12" s="9" t="str">
        <f>FIXED(VLOOKUP($A12,'Full Sample-Single Family'!$A:$R,AI$1,0),2)</f>
        <v>2.44</v>
      </c>
      <c r="AJ12" s="3" t="str">
        <f>FIXED(VLOOKUP($A12,'Full Sample-Single Family'!$A:$R,AJ$1,0),2)</f>
        <v>1.02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14</v>
      </c>
      <c r="B13" t="s">
        <v>98</v>
      </c>
      <c r="C13" s="9" t="str">
        <f>FIXED(VLOOKUP($A13,'Full Sample-No Sub'!$A:$R,C$1,0),2)</f>
        <v>0.28</v>
      </c>
      <c r="D13" s="3" t="str">
        <f>FIXED(VLOOKUP($A13,'Full Sample-No Sub'!$A:$R,D$1,0),2)</f>
        <v>0.47</v>
      </c>
      <c r="E13" s="3" t="str">
        <f>FIXED(VLOOKUP($A13,'Full Sample-No Sub'!$A:$R,E$1,0),2)</f>
        <v>0.00</v>
      </c>
      <c r="F13" s="3" t="str">
        <f>FIXED(VLOOKUP($A13,'Full Sample-No Sub'!$A:$R,F$1,0),2)</f>
        <v>5.00</v>
      </c>
      <c r="G13" s="9" t="str">
        <f>FIXED(VLOOKUP($A13,'Full Sample-No Sub'!$A:$R,G$1,0),2)</f>
        <v>0.28</v>
      </c>
      <c r="H13" s="3" t="str">
        <f>FIXED(VLOOKUP($A13,'Full Sample-No Sub'!$A:$R,H$1,0),2)</f>
        <v>0.47</v>
      </c>
      <c r="I13" s="3" t="str">
        <f>FIXED(VLOOKUP($A13,'Full Sample-No Sub'!$A:$R,I$1,0),2)</f>
        <v>0.00</v>
      </c>
      <c r="J13" s="13" t="str">
        <f>FIXED(VLOOKUP($A13,'Full Sample-No Sub'!$A:$R,J$1,0),2)</f>
        <v>5.00</v>
      </c>
      <c r="K13" s="9" t="str">
        <f>FIXED(VLOOKUP($A13,'Full Sample-No Sub'!$A:$R,K$1,0),2)</f>
        <v>0.27</v>
      </c>
      <c r="L13" s="3" t="str">
        <f>FIXED(VLOOKUP($A13,'Full Sample-No Sub'!$A:$R,L$1,0),2)</f>
        <v>0.47</v>
      </c>
      <c r="M13" s="3" t="str">
        <f>FIXED(VLOOKUP($A13,'Full Sample-No Sub'!$A:$R,M$1,0),2)</f>
        <v>0.00</v>
      </c>
      <c r="N13" s="13" t="str">
        <f>FIXED(VLOOKUP($A13,'Full Sample-No Sub'!$A:$R,N$1,0),2)</f>
        <v>5.00</v>
      </c>
      <c r="O13" s="9" t="str">
        <f>FIXED(VLOOKUP($A13,'Full Sample-Townhouse'!$A:$R,O$1,0),2)</f>
        <v>0.18</v>
      </c>
      <c r="P13" s="3" t="str">
        <f>FIXED(VLOOKUP($A13,'Full Sample-Townhouse'!$A:$R,P$1,0),2)</f>
        <v>0.39</v>
      </c>
      <c r="Q13" s="3" t="str">
        <f>FIXED(VLOOKUP($A13,'Full Sample-Townhouse'!$A:$R,Q$1,0),2)</f>
        <v>0.00</v>
      </c>
      <c r="R13" s="3" t="str">
        <f>FIXED(VLOOKUP($A13,'Full Sample-Townhouse'!$A:$R,R$1,0),2)</f>
        <v>5.00</v>
      </c>
      <c r="S13" s="9" t="str">
        <f>FIXED(VLOOKUP($A13,'Full Sample-Townhouse'!$A:$R,S$1,0),2)</f>
        <v>0.18</v>
      </c>
      <c r="T13" s="3" t="str">
        <f>FIXED(VLOOKUP($A13,'Full Sample-Townhouse'!$A:$R,T$1,0),2)</f>
        <v>0.39</v>
      </c>
      <c r="U13" s="3" t="str">
        <f>FIXED(VLOOKUP($A13,'Full Sample-Townhouse'!$A:$R,U$1,0),2)</f>
        <v>0.00</v>
      </c>
      <c r="V13" s="13" t="str">
        <f>FIXED(VLOOKUP($A13,'Full Sample-Townhouse'!$A:$R,V$1,0),2)</f>
        <v>5.00</v>
      </c>
      <c r="W13" s="9" t="str">
        <f>FIXED(VLOOKUP($A13,'Full Sample-Townhouse'!$A:$R,W$1,0),2)</f>
        <v>0.18</v>
      </c>
      <c r="X13" s="3" t="str">
        <f>FIXED(VLOOKUP($A13,'Full Sample-Townhouse'!$A:$R,X$1,0),2)</f>
        <v>0.39</v>
      </c>
      <c r="Y13" s="3" t="str">
        <f>FIXED(VLOOKUP($A13,'Full Sample-Townhouse'!$A:$R,Y$1,0),2)</f>
        <v>0.00</v>
      </c>
      <c r="Z13" s="3" t="str">
        <f>FIXED(VLOOKUP($A13,'Full Sample-Townhouse'!$A:$R,Z$1,0),2)</f>
        <v>4.00</v>
      </c>
      <c r="AA13" s="9" t="str">
        <f>FIXED(VLOOKUP($A13,'Full Sample-Single Family'!$A:$R,AA$1,0),2)</f>
        <v>0.39</v>
      </c>
      <c r="AB13" s="3" t="str">
        <f>FIXED(VLOOKUP($A13,'Full Sample-Single Family'!$A:$R,AB$1,0),2)</f>
        <v>0.53</v>
      </c>
      <c r="AC13" s="3" t="str">
        <f>FIXED(VLOOKUP($A13,'Full Sample-Single Family'!$A:$R,AC$1,0),2)</f>
        <v>0.00</v>
      </c>
      <c r="AD13" s="3" t="str">
        <f>FIXED(VLOOKUP($A13,'Full Sample-Single Family'!$A:$R,AD$1,0),2)</f>
        <v>5.00</v>
      </c>
      <c r="AE13" s="9" t="str">
        <f>FIXED(VLOOKUP($A13,'Full Sample-Single Family'!$A:$R,AE$1,0),2)</f>
        <v>0.40</v>
      </c>
      <c r="AF13" s="3" t="str">
        <f>FIXED(VLOOKUP($A13,'Full Sample-Single Family'!$A:$R,AF$1,0),2)</f>
        <v>0.52</v>
      </c>
      <c r="AG13" s="3" t="str">
        <f>FIXED(VLOOKUP($A13,'Full Sample-Single Family'!$A:$R,AG$1,0),2)</f>
        <v>0.00</v>
      </c>
      <c r="AH13" s="13" t="str">
        <f>FIXED(VLOOKUP($A13,'Full Sample-Single Family'!$A:$R,AH$1,0),2)</f>
        <v>5.00</v>
      </c>
      <c r="AI13" s="9" t="str">
        <f>FIXED(VLOOKUP($A13,'Full Sample-Single Family'!$A:$R,AI$1,0),2)</f>
        <v>0.39</v>
      </c>
      <c r="AJ13" s="3" t="str">
        <f>FIXED(VLOOKUP($A13,'Full Sample-Single Family'!$A:$R,AJ$1,0),2)</f>
        <v>0.53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15</v>
      </c>
      <c r="B14" t="s">
        <v>99</v>
      </c>
      <c r="C14" s="9" t="str">
        <f>FIXED(VLOOKUP($A14,'Full Sample-No Sub'!$A:$R,C$1,0),2)</f>
        <v>2.72</v>
      </c>
      <c r="D14" s="3" t="str">
        <f>FIXED(VLOOKUP($A14,'Full Sample-No Sub'!$A:$R,D$1,0),2)</f>
        <v>1.46</v>
      </c>
      <c r="E14" s="3" t="str">
        <f>FIXED(VLOOKUP($A14,'Full Sample-No Sub'!$A:$R,E$1,0),2)</f>
        <v>0.00</v>
      </c>
      <c r="F14" s="3" t="str">
        <f>FIXED(VLOOKUP($A14,'Full Sample-No Sub'!$A:$R,F$1,0),2)</f>
        <v>25.00</v>
      </c>
      <c r="G14" s="9" t="str">
        <f>FIXED(VLOOKUP($A14,'Full Sample-No Sub'!$A:$R,G$1,0),2)</f>
        <v>2.70</v>
      </c>
      <c r="H14" s="3" t="str">
        <f>FIXED(VLOOKUP($A14,'Full Sample-No Sub'!$A:$R,H$1,0),2)</f>
        <v>1.42</v>
      </c>
      <c r="I14" s="3" t="str">
        <f>FIXED(VLOOKUP($A14,'Full Sample-No Sub'!$A:$R,I$1,0),2)</f>
        <v>0.00</v>
      </c>
      <c r="J14" s="13" t="str">
        <f>FIXED(VLOOKUP($A14,'Full Sample-No Sub'!$A:$R,J$1,0),2)</f>
        <v>18.00</v>
      </c>
      <c r="K14" s="9" t="str">
        <f>FIXED(VLOOKUP($A14,'Full Sample-No Sub'!$A:$R,K$1,0),2)</f>
        <v>2.74</v>
      </c>
      <c r="L14" s="3" t="str">
        <f>FIXED(VLOOKUP($A14,'Full Sample-No Sub'!$A:$R,L$1,0),2)</f>
        <v>1.51</v>
      </c>
      <c r="M14" s="3" t="str">
        <f>FIXED(VLOOKUP($A14,'Full Sample-No Sub'!$A:$R,M$1,0),2)</f>
        <v>0.00</v>
      </c>
      <c r="N14" s="13" t="str">
        <f>FIXED(VLOOKUP($A14,'Full Sample-No Sub'!$A:$R,N$1,0),2)</f>
        <v>25.00</v>
      </c>
      <c r="O14" s="9" t="str">
        <f>FIXED(VLOOKUP($A14,'Full Sample-Townhouse'!$A:$R,O$1,0),2)</f>
        <v>1.82</v>
      </c>
      <c r="P14" s="3" t="str">
        <f>FIXED(VLOOKUP($A14,'Full Sample-Townhouse'!$A:$R,P$1,0),2)</f>
        <v>0.92</v>
      </c>
      <c r="Q14" s="3" t="str">
        <f>FIXED(VLOOKUP($A14,'Full Sample-Townhouse'!$A:$R,Q$1,0),2)</f>
        <v>0.00</v>
      </c>
      <c r="R14" s="3" t="str">
        <f>FIXED(VLOOKUP($A14,'Full Sample-Townhouse'!$A:$R,R$1,0),2)</f>
        <v>8.00</v>
      </c>
      <c r="S14" s="9" t="str">
        <f>FIXED(VLOOKUP($A14,'Full Sample-Townhouse'!$A:$R,S$1,0),2)</f>
        <v>1.83</v>
      </c>
      <c r="T14" s="3" t="str">
        <f>FIXED(VLOOKUP($A14,'Full Sample-Townhouse'!$A:$R,T$1,0),2)</f>
        <v>0.92</v>
      </c>
      <c r="U14" s="3" t="str">
        <f>FIXED(VLOOKUP($A14,'Full Sample-Townhouse'!$A:$R,U$1,0),2)</f>
        <v>0.00</v>
      </c>
      <c r="V14" s="13" t="str">
        <f>FIXED(VLOOKUP($A14,'Full Sample-Townhouse'!$A:$R,V$1,0),2)</f>
        <v>5.00</v>
      </c>
      <c r="W14" s="9" t="str">
        <f>FIXED(VLOOKUP($A14,'Full Sample-Townhouse'!$A:$R,W$1,0),2)</f>
        <v>1.81</v>
      </c>
      <c r="X14" s="3" t="str">
        <f>FIXED(VLOOKUP($A14,'Full Sample-Townhouse'!$A:$R,X$1,0),2)</f>
        <v>0.92</v>
      </c>
      <c r="Y14" s="3" t="str">
        <f>FIXED(VLOOKUP($A14,'Full Sample-Townhouse'!$A:$R,Y$1,0),2)</f>
        <v>0.00</v>
      </c>
      <c r="Z14" s="3" t="str">
        <f>FIXED(VLOOKUP($A14,'Full Sample-Townhouse'!$A:$R,Z$1,0),2)</f>
        <v>8.00</v>
      </c>
      <c r="AA14" s="9" t="str">
        <f>FIXED(VLOOKUP($A14,'Full Sample-Single Family'!$A:$R,AA$1,0),2)</f>
        <v>3.79</v>
      </c>
      <c r="AB14" s="3" t="str">
        <f>FIXED(VLOOKUP($A14,'Full Sample-Single Family'!$A:$R,AB$1,0),2)</f>
        <v>1.24</v>
      </c>
      <c r="AC14" s="3" t="str">
        <f>FIXED(VLOOKUP($A14,'Full Sample-Single Family'!$A:$R,AC$1,0),2)</f>
        <v>0.00</v>
      </c>
      <c r="AD14" s="3" t="str">
        <f>FIXED(VLOOKUP($A14,'Full Sample-Single Family'!$A:$R,AD$1,0),2)</f>
        <v>25.00</v>
      </c>
      <c r="AE14" s="9" t="str">
        <f>FIXED(VLOOKUP($A14,'Full Sample-Single Family'!$A:$R,AE$1,0),2)</f>
        <v>3.74</v>
      </c>
      <c r="AF14" s="3" t="str">
        <f>FIXED(VLOOKUP($A14,'Full Sample-Single Family'!$A:$R,AF$1,0),2)</f>
        <v>1.19</v>
      </c>
      <c r="AG14" s="3" t="str">
        <f>FIXED(VLOOKUP($A14,'Full Sample-Single Family'!$A:$R,AG$1,0),2)</f>
        <v>0.00</v>
      </c>
      <c r="AH14" s="13" t="str">
        <f>FIXED(VLOOKUP($A14,'Full Sample-Single Family'!$A:$R,AH$1,0),2)</f>
        <v>18.00</v>
      </c>
      <c r="AI14" s="9" t="str">
        <f>FIXED(VLOOKUP($A14,'Full Sample-Single Family'!$A:$R,AI$1,0),2)</f>
        <v>3.85</v>
      </c>
      <c r="AJ14" s="3" t="str">
        <f>FIXED(VLOOKUP($A14,'Full Sample-Single Family'!$A:$R,AJ$1,0),2)</f>
        <v>1.31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58</v>
      </c>
      <c r="B15" s="4" t="s">
        <v>135</v>
      </c>
      <c r="C15" s="9" t="str">
        <f>FIXED(VLOOKUP($A15,'Full Sample-No Sub'!$A:$R,C$1,0),2)</f>
        <v>0.34</v>
      </c>
      <c r="D15" s="3" t="str">
        <f>FIXED(VLOOKUP($A15,'Full Sample-No Sub'!$A:$R,D$1,0),2)</f>
        <v>0.47</v>
      </c>
      <c r="E15" s="3" t="str">
        <f>FIXED(VLOOKUP($A15,'Full Sample-No Sub'!$A:$R,E$1,0),2)</f>
        <v>0.00</v>
      </c>
      <c r="F15" s="3" t="str">
        <f>FIXED(VLOOKUP($A15,'Full Sample-No Sub'!$A:$R,F$1,0),2)</f>
        <v>1.00</v>
      </c>
      <c r="G15" s="9" t="str">
        <f>FIXED(VLOOKUP($A15,'Full Sample-No Sub'!$A:$R,G$1,0),2)</f>
        <v>0.35</v>
      </c>
      <c r="H15" s="3" t="str">
        <f>FIXED(VLOOKUP($A15,'Full Sample-No Sub'!$A:$R,H$1,0),2)</f>
        <v>0.48</v>
      </c>
      <c r="I15" s="3" t="str">
        <f>FIXED(VLOOKUP($A15,'Full Sample-No Sub'!$A:$R,I$1,0),2)</f>
        <v>0.00</v>
      </c>
      <c r="J15" s="13" t="str">
        <f>FIXED(VLOOKUP($A15,'Full Sample-No Sub'!$A:$R,J$1,0),2)</f>
        <v>1.00</v>
      </c>
      <c r="K15" s="9" t="str">
        <f>FIXED(VLOOKUP($A15,'Full Sample-No Sub'!$A:$R,K$1,0),2)</f>
        <v>0.33</v>
      </c>
      <c r="L15" s="3" t="str">
        <f>FIXED(VLOOKUP($A15,'Full Sample-No Sub'!$A:$R,L$1,0),2)</f>
        <v>0.47</v>
      </c>
      <c r="M15" s="3" t="str">
        <f>FIXED(VLOOKUP($A15,'Full Sample-No Sub'!$A:$R,M$1,0),2)</f>
        <v>0.00</v>
      </c>
      <c r="N15" s="13" t="str">
        <f>FIXED(VLOOKUP($A15,'Full Sample-No Sub'!$A:$R,N$1,0),2)</f>
        <v>1.00</v>
      </c>
      <c r="O15" s="9" t="str">
        <f>FIXED(VLOOKUP($A15,'Full Sample-Townhouse'!$A:$R,O$1,0),2)</f>
        <v>0.26</v>
      </c>
      <c r="P15" s="3" t="str">
        <f>FIXED(VLOOKUP($A15,'Full Sample-Townhouse'!$A:$R,P$1,0),2)</f>
        <v>0.44</v>
      </c>
      <c r="Q15" s="3" t="str">
        <f>FIXED(VLOOKUP($A15,'Full Sample-Townhouse'!$A:$R,Q$1,0),2)</f>
        <v>0.00</v>
      </c>
      <c r="R15" s="3" t="str">
        <f>FIXED(VLOOKUP($A15,'Full Sample-Townhouse'!$A:$R,R$1,0),2)</f>
        <v>1.00</v>
      </c>
      <c r="S15" s="9" t="str">
        <f>FIXED(VLOOKUP($A15,'Full Sample-Townhouse'!$A:$R,S$1,0),2)</f>
        <v>0.28</v>
      </c>
      <c r="T15" s="3" t="str">
        <f>FIXED(VLOOKUP($A15,'Full Sample-Townhouse'!$A:$R,T$1,0),2)</f>
        <v>0.45</v>
      </c>
      <c r="U15" s="3" t="str">
        <f>FIXED(VLOOKUP($A15,'Full Sample-Townhouse'!$A:$R,U$1,0),2)</f>
        <v>0.00</v>
      </c>
      <c r="V15" s="13" t="str">
        <f>FIXED(VLOOKUP($A15,'Full Sample-Townhouse'!$A:$R,V$1,0),2)</f>
        <v>1.00</v>
      </c>
      <c r="W15" s="9" t="str">
        <f>FIXED(VLOOKUP($A15,'Full Sample-Townhouse'!$A:$R,W$1,0),2)</f>
        <v>0.24</v>
      </c>
      <c r="X15" s="3" t="str">
        <f>FIXED(VLOOKUP($A15,'Full Sample-Townhouse'!$A:$R,X$1,0),2)</f>
        <v>0.43</v>
      </c>
      <c r="Y15" s="3" t="str">
        <f>FIXED(VLOOKUP($A15,'Full Sample-Townhouse'!$A:$R,Y$1,0),2)</f>
        <v>0.00</v>
      </c>
      <c r="Z15" s="3" t="str">
        <f>FIXED(VLOOKUP($A15,'Full Sample-Townhouse'!$A:$R,Z$1,0),2)</f>
        <v>1.00</v>
      </c>
      <c r="AA15" s="9" t="str">
        <f>FIXED(VLOOKUP($A15,'Full Sample-Single Family'!$A:$R,AA$1,0),2)</f>
        <v>0.44</v>
      </c>
      <c r="AB15" s="3" t="str">
        <f>FIXED(VLOOKUP($A15,'Full Sample-Single Family'!$A:$R,AB$1,0),2)</f>
        <v>0.50</v>
      </c>
      <c r="AC15" s="3" t="str">
        <f>FIXED(VLOOKUP($A15,'Full Sample-Single Family'!$A:$R,AC$1,0),2)</f>
        <v>0.00</v>
      </c>
      <c r="AD15" s="3" t="str">
        <f>FIXED(VLOOKUP($A15,'Full Sample-Single Family'!$A:$R,AD$1,0),2)</f>
        <v>1.00</v>
      </c>
      <c r="AE15" s="9" t="str">
        <f>FIXED(VLOOKUP($A15,'Full Sample-Single Family'!$A:$R,AE$1,0),2)</f>
        <v>0.43</v>
      </c>
      <c r="AF15" s="3" t="str">
        <f>FIXED(VLOOKUP($A15,'Full Sample-Single Family'!$A:$R,AF$1,0),2)</f>
        <v>0.50</v>
      </c>
      <c r="AG15" s="3" t="str">
        <f>FIXED(VLOOKUP($A15,'Full Sample-Single Family'!$A:$R,AG$1,0),2)</f>
        <v>0.00</v>
      </c>
      <c r="AH15" s="13" t="str">
        <f>FIXED(VLOOKUP($A15,'Full Sample-Single Family'!$A:$R,AH$1,0),2)</f>
        <v>1.00</v>
      </c>
      <c r="AI15" s="9" t="str">
        <f>FIXED(VLOOKUP($A15,'Full Sample-Single Family'!$A:$R,AI$1,0),2)</f>
        <v>0.44</v>
      </c>
      <c r="AJ15" s="3" t="str">
        <f>FIXED(VLOOKUP($A15,'Full Sample-Single Family'!$A:$R,AJ$1,0),2)</f>
        <v>0.50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59</v>
      </c>
      <c r="B16" s="4" t="s">
        <v>136</v>
      </c>
      <c r="C16" s="9" t="str">
        <f>FIXED(VLOOKUP($A16,'Full Sample-No Sub'!$A:$R,C$1,0),2)</f>
        <v>0.35</v>
      </c>
      <c r="D16" s="3" t="str">
        <f>FIXED(VLOOKUP($A16,'Full Sample-No Sub'!$A:$R,D$1,0),2)</f>
        <v>0.48</v>
      </c>
      <c r="E16" s="3" t="str">
        <f>FIXED(VLOOKUP($A16,'Full Sample-No Sub'!$A:$R,E$1,0),2)</f>
        <v>0.00</v>
      </c>
      <c r="F16" s="3" t="str">
        <f>FIXED(VLOOKUP($A16,'Full Sample-No Sub'!$A:$R,F$1,0),2)</f>
        <v>1.00</v>
      </c>
      <c r="G16" s="9" t="str">
        <f>FIXED(VLOOKUP($A16,'Full Sample-No Sub'!$A:$R,G$1,0),2)</f>
        <v>0.35</v>
      </c>
      <c r="H16" s="3" t="str">
        <f>FIXED(VLOOKUP($A16,'Full Sample-No Sub'!$A:$R,H$1,0),2)</f>
        <v>0.48</v>
      </c>
      <c r="I16" s="3" t="str">
        <f>FIXED(VLOOKUP($A16,'Full Sample-No Sub'!$A:$R,I$1,0),2)</f>
        <v>0.00</v>
      </c>
      <c r="J16" s="13" t="str">
        <f>FIXED(VLOOKUP($A16,'Full Sample-No Sub'!$A:$R,J$1,0),2)</f>
        <v>1.00</v>
      </c>
      <c r="K16" s="9" t="str">
        <f>FIXED(VLOOKUP($A16,'Full Sample-No Sub'!$A:$R,K$1,0),2)</f>
        <v>0.34</v>
      </c>
      <c r="L16" s="3" t="str">
        <f>FIXED(VLOOKUP($A16,'Full Sample-No Sub'!$A:$R,L$1,0),2)</f>
        <v>0.48</v>
      </c>
      <c r="M16" s="3" t="str">
        <f>FIXED(VLOOKUP($A16,'Full Sample-No Sub'!$A:$R,M$1,0),2)</f>
        <v>0.00</v>
      </c>
      <c r="N16" s="13" t="str">
        <f>FIXED(VLOOKUP($A16,'Full Sample-No Sub'!$A:$R,N$1,0),2)</f>
        <v>1.00</v>
      </c>
      <c r="O16" s="9" t="str">
        <f>FIXED(VLOOKUP($A16,'Full Sample-Townhouse'!$A:$R,O$1,0),2)</f>
        <v>0.21</v>
      </c>
      <c r="P16" s="3" t="str">
        <f>FIXED(VLOOKUP($A16,'Full Sample-Townhouse'!$A:$R,P$1,0),2)</f>
        <v>0.41</v>
      </c>
      <c r="Q16" s="3" t="str">
        <f>FIXED(VLOOKUP($A16,'Full Sample-Townhouse'!$A:$R,Q$1,0),2)</f>
        <v>0.00</v>
      </c>
      <c r="R16" s="3" t="str">
        <f>FIXED(VLOOKUP($A16,'Full Sample-Townhouse'!$A:$R,R$1,0),2)</f>
        <v>1.00</v>
      </c>
      <c r="S16" s="9" t="str">
        <f>FIXED(VLOOKUP($A16,'Full Sample-Townhouse'!$A:$R,S$1,0),2)</f>
        <v>0.22</v>
      </c>
      <c r="T16" s="3" t="str">
        <f>FIXED(VLOOKUP($A16,'Full Sample-Townhouse'!$A:$R,T$1,0),2)</f>
        <v>0.41</v>
      </c>
      <c r="U16" s="3" t="str">
        <f>FIXED(VLOOKUP($A16,'Full Sample-Townhouse'!$A:$R,U$1,0),2)</f>
        <v>0.00</v>
      </c>
      <c r="V16" s="13" t="str">
        <f>FIXED(VLOOKUP($A16,'Full Sample-Townhouse'!$A:$R,V$1,0),2)</f>
        <v>1.00</v>
      </c>
      <c r="W16" s="9" t="str">
        <f>FIXED(VLOOKUP($A16,'Full Sample-Townhouse'!$A:$R,W$1,0),2)</f>
        <v>0.21</v>
      </c>
      <c r="X16" s="3" t="str">
        <f>FIXED(VLOOKUP($A16,'Full Sample-Townhouse'!$A:$R,X$1,0),2)</f>
        <v>0.41</v>
      </c>
      <c r="Y16" s="3" t="str">
        <f>FIXED(VLOOKUP($A16,'Full Sample-Townhouse'!$A:$R,Y$1,0),2)</f>
        <v>0.00</v>
      </c>
      <c r="Z16" s="3" t="str">
        <f>FIXED(VLOOKUP($A16,'Full Sample-Townhouse'!$A:$R,Z$1,0),2)</f>
        <v>1.00</v>
      </c>
      <c r="AA16" s="9" t="str">
        <f>FIXED(VLOOKUP($A16,'Full Sample-Single Family'!$A:$R,AA$1,0),2)</f>
        <v>0.51</v>
      </c>
      <c r="AB16" s="3" t="str">
        <f>FIXED(VLOOKUP($A16,'Full Sample-Single Family'!$A:$R,AB$1,0),2)</f>
        <v>0.50</v>
      </c>
      <c r="AC16" s="3" t="str">
        <f>FIXED(VLOOKUP($A16,'Full Sample-Single Family'!$A:$R,AC$1,0),2)</f>
        <v>0.00</v>
      </c>
      <c r="AD16" s="3" t="str">
        <f>FIXED(VLOOKUP($A16,'Full Sample-Single Family'!$A:$R,AD$1,0),2)</f>
        <v>1.00</v>
      </c>
      <c r="AE16" s="9" t="str">
        <f>FIXED(VLOOKUP($A16,'Full Sample-Single Family'!$A:$R,AE$1,0),2)</f>
        <v>0.52</v>
      </c>
      <c r="AF16" s="3" t="str">
        <f>FIXED(VLOOKUP($A16,'Full Sample-Single Family'!$A:$R,AF$1,0),2)</f>
        <v>0.50</v>
      </c>
      <c r="AG16" s="3" t="str">
        <f>FIXED(VLOOKUP($A16,'Full Sample-Single Family'!$A:$R,AG$1,0),2)</f>
        <v>0.00</v>
      </c>
      <c r="AH16" s="13" t="str">
        <f>FIXED(VLOOKUP($A16,'Full Sample-Single Family'!$A:$R,AH$1,0),2)</f>
        <v>1.00</v>
      </c>
      <c r="AI16" s="9" t="str">
        <f>FIXED(VLOOKUP($A16,'Full Sample-Single Family'!$A:$R,AI$1,0),2)</f>
        <v>0.51</v>
      </c>
      <c r="AJ16" s="3" t="str">
        <f>FIXED(VLOOKUP($A16,'Full Sample-Single Family'!$A:$R,AJ$1,0),2)</f>
        <v>0.50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60</v>
      </c>
      <c r="B17" s="4" t="s">
        <v>172</v>
      </c>
      <c r="C17" s="9" t="str">
        <f>FIXED(VLOOKUP($A17,'Full Sample-No Sub'!$A:$R,C$1,0),2)</f>
        <v>0.31</v>
      </c>
      <c r="D17" s="3" t="str">
        <f>FIXED(VLOOKUP($A17,'Full Sample-No Sub'!$A:$R,D$1,0),2)</f>
        <v>0.46</v>
      </c>
      <c r="E17" s="3" t="str">
        <f>FIXED(VLOOKUP($A17,'Full Sample-No Sub'!$A:$R,E$1,0),2)</f>
        <v>0.00</v>
      </c>
      <c r="F17" s="3" t="str">
        <f>FIXED(VLOOKUP($A17,'Full Sample-No Sub'!$A:$R,F$1,0),2)</f>
        <v>1.00</v>
      </c>
      <c r="G17" s="9" t="str">
        <f>FIXED(VLOOKUP($A17,'Full Sample-No Sub'!$A:$R,G$1,0),2)</f>
        <v>0.30</v>
      </c>
      <c r="H17" s="3" t="str">
        <f>FIXED(VLOOKUP($A17,'Full Sample-No Sub'!$A:$R,H$1,0),2)</f>
        <v>0.46</v>
      </c>
      <c r="I17" s="3" t="str">
        <f>FIXED(VLOOKUP($A17,'Full Sample-No Sub'!$A:$R,I$1,0),2)</f>
        <v>0.00</v>
      </c>
      <c r="J17" s="13" t="str">
        <f>FIXED(VLOOKUP($A17,'Full Sample-No Sub'!$A:$R,J$1,0),2)</f>
        <v>1.00</v>
      </c>
      <c r="K17" s="9" t="str">
        <f>FIXED(VLOOKUP($A17,'Full Sample-No Sub'!$A:$R,K$1,0),2)</f>
        <v>0.32</v>
      </c>
      <c r="L17" s="3" t="str">
        <f>FIXED(VLOOKUP($A17,'Full Sample-No Sub'!$A:$R,L$1,0),2)</f>
        <v>0.47</v>
      </c>
      <c r="M17" s="3" t="str">
        <f>FIXED(VLOOKUP($A17,'Full Sample-No Sub'!$A:$R,M$1,0),2)</f>
        <v>0.00</v>
      </c>
      <c r="N17" s="13" t="str">
        <f>FIXED(VLOOKUP($A17,'Full Sample-No Sub'!$A:$R,N$1,0),2)</f>
        <v>1.00</v>
      </c>
      <c r="O17" s="9" t="str">
        <f>FIXED(VLOOKUP($A17,'Full Sample-Townhouse'!$A:$R,O$1,0),2)</f>
        <v>0.52</v>
      </c>
      <c r="P17" s="3" t="str">
        <f>FIXED(VLOOKUP($A17,'Full Sample-Townhouse'!$A:$R,P$1,0),2)</f>
        <v>0.50</v>
      </c>
      <c r="Q17" s="3" t="str">
        <f>FIXED(VLOOKUP($A17,'Full Sample-Townhouse'!$A:$R,Q$1,0),2)</f>
        <v>0.00</v>
      </c>
      <c r="R17" s="3" t="str">
        <f>FIXED(VLOOKUP($A17,'Full Sample-Townhouse'!$A:$R,R$1,0),2)</f>
        <v>1.00</v>
      </c>
      <c r="S17" s="9" t="str">
        <f>FIXED(VLOOKUP($A17,'Full Sample-Townhouse'!$A:$R,S$1,0),2)</f>
        <v>0.51</v>
      </c>
      <c r="T17" s="3" t="str">
        <f>FIXED(VLOOKUP($A17,'Full Sample-Townhouse'!$A:$R,T$1,0),2)</f>
        <v>0.50</v>
      </c>
      <c r="U17" s="3" t="str">
        <f>FIXED(VLOOKUP($A17,'Full Sample-Townhouse'!$A:$R,U$1,0),2)</f>
        <v>0.00</v>
      </c>
      <c r="V17" s="13" t="str">
        <f>FIXED(VLOOKUP($A17,'Full Sample-Townhouse'!$A:$R,V$1,0),2)</f>
        <v>1.00</v>
      </c>
      <c r="W17" s="9" t="str">
        <f>FIXED(VLOOKUP($A17,'Full Sample-Townhouse'!$A:$R,W$1,0),2)</f>
        <v>0.55</v>
      </c>
      <c r="X17" s="3" t="str">
        <f>FIXED(VLOOKUP($A17,'Full Sample-Townhouse'!$A:$R,X$1,0),2)</f>
        <v>0.50</v>
      </c>
      <c r="Y17" s="3" t="str">
        <f>FIXED(VLOOKUP($A17,'Full Sample-Townhouse'!$A:$R,Y$1,0),2)</f>
        <v>0.00</v>
      </c>
      <c r="Z17" s="3" t="str">
        <f>FIXED(VLOOKUP($A17,'Full Sample-Townhouse'!$A:$R,Z$1,0),2)</f>
        <v>1.00</v>
      </c>
      <c r="AA17" s="9" t="str">
        <f>FIXED(VLOOKUP($A17,'Full Sample-Single Family'!$A:$R,AA$1,0),2)</f>
        <v>0.05</v>
      </c>
      <c r="AB17" s="3" t="str">
        <f>FIXED(VLOOKUP($A17,'Full Sample-Single Family'!$A:$R,AB$1,0),2)</f>
        <v>0.22</v>
      </c>
      <c r="AC17" s="3" t="str">
        <f>FIXED(VLOOKUP($A17,'Full Sample-Single Family'!$A:$R,AC$1,0),2)</f>
        <v>0.00</v>
      </c>
      <c r="AD17" s="3" t="str">
        <f>FIXED(VLOOKUP($A17,'Full Sample-Single Family'!$A:$R,AD$1,0),2)</f>
        <v>1.00</v>
      </c>
      <c r="AE17" s="9" t="str">
        <f>FIXED(VLOOKUP($A17,'Full Sample-Single Family'!$A:$R,AE$1,0),2)</f>
        <v>0.05</v>
      </c>
      <c r="AF17" s="3" t="str">
        <f>FIXED(VLOOKUP($A17,'Full Sample-Single Family'!$A:$R,AF$1,0),2)</f>
        <v>0.21</v>
      </c>
      <c r="AG17" s="3" t="str">
        <f>FIXED(VLOOKUP($A17,'Full Sample-Single Family'!$A:$R,AG$1,0),2)</f>
        <v>0.00</v>
      </c>
      <c r="AH17" s="13" t="str">
        <f>FIXED(VLOOKUP($A17,'Full Sample-Single Family'!$A:$R,AH$1,0),2)</f>
        <v>1.00</v>
      </c>
      <c r="AI17" s="9" t="str">
        <f>FIXED(VLOOKUP($A17,'Full Sample-Single Family'!$A:$R,AI$1,0),2)</f>
        <v>0.06</v>
      </c>
      <c r="AJ17" s="3" t="str">
        <f>FIXED(VLOOKUP($A17,'Full Sample-Single Family'!$A:$R,AJ$1,0),2)</f>
        <v>0.23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18</v>
      </c>
      <c r="B18" t="s">
        <v>324</v>
      </c>
      <c r="C18" s="9" t="str">
        <f>FIXED(VLOOKUP($A18,'Full Sample-No Sub'!$A:$R,C$1,0),2)</f>
        <v>1,473.58</v>
      </c>
      <c r="D18" s="3" t="str">
        <f>FIXED(VLOOKUP($A18,'Full Sample-No Sub'!$A:$R,D$1,0),2)</f>
        <v>982.60</v>
      </c>
      <c r="E18" s="3" t="str">
        <f>FIXED(VLOOKUP($A18,'Full Sample-No Sub'!$A:$R,E$1,0),2)</f>
        <v>175.00</v>
      </c>
      <c r="F18" s="3" t="str">
        <f>FIXED(VLOOKUP($A18,'Full Sample-No Sub'!$A:$R,F$1,0),2)</f>
        <v>23,350.00</v>
      </c>
      <c r="G18" s="9" t="str">
        <f>FIXED(VLOOKUP($A18,'Full Sample-No Sub'!$A:$R,G$1,0),2)</f>
        <v>1,459.58</v>
      </c>
      <c r="H18" s="3" t="str">
        <f>FIXED(VLOOKUP($A18,'Full Sample-No Sub'!$A:$R,H$1,0),2)</f>
        <v>951.47</v>
      </c>
      <c r="I18" s="3" t="str">
        <f>FIXED(VLOOKUP($A18,'Full Sample-No Sub'!$A:$R,I$1,0),2)</f>
        <v>195.00</v>
      </c>
      <c r="J18" s="13" t="str">
        <f>FIXED(VLOOKUP($A18,'Full Sample-No Sub'!$A:$R,J$1,0),2)</f>
        <v>23,350.00</v>
      </c>
      <c r="K18" s="9" t="str">
        <f>FIXED(VLOOKUP($A18,'Full Sample-No Sub'!$A:$R,K$1,0),2)</f>
        <v>1,492.63</v>
      </c>
      <c r="L18" s="3" t="str">
        <f>FIXED(VLOOKUP($A18,'Full Sample-No Sub'!$A:$R,L$1,0),2)</f>
        <v>1,023.15</v>
      </c>
      <c r="M18" s="3" t="str">
        <f>FIXED(VLOOKUP($A18,'Full Sample-No Sub'!$A:$R,M$1,0),2)</f>
        <v>175.00</v>
      </c>
      <c r="N18" s="13" t="str">
        <f>FIXED(VLOOKUP($A18,'Full Sample-No Sub'!$A:$R,N$1,0),2)</f>
        <v>18,919.00</v>
      </c>
      <c r="O18" s="9" t="str">
        <f>FIXED(VLOOKUP($A18,'Full Sample-Townhouse'!$A:$R,O$1,0),2)</f>
        <v>963.24</v>
      </c>
      <c r="P18" s="3" t="str">
        <f>FIXED(VLOOKUP($A18,'Full Sample-Townhouse'!$A:$R,P$1,0),2)</f>
        <v>437.59</v>
      </c>
      <c r="Q18" s="3" t="str">
        <f>FIXED(VLOOKUP($A18,'Full Sample-Townhouse'!$A:$R,Q$1,0),2)</f>
        <v>175.00</v>
      </c>
      <c r="R18" s="3" t="str">
        <f>FIXED(VLOOKUP($A18,'Full Sample-Townhouse'!$A:$R,R$1,0),2)</f>
        <v>11,155.00</v>
      </c>
      <c r="S18" s="9" t="str">
        <f>FIXED(VLOOKUP($A18,'Full Sample-Townhouse'!$A:$R,S$1,0),2)</f>
        <v>965.70</v>
      </c>
      <c r="T18" s="3" t="str">
        <f>FIXED(VLOOKUP($A18,'Full Sample-Townhouse'!$A:$R,T$1,0),2)</f>
        <v>434.99</v>
      </c>
      <c r="U18" s="3" t="str">
        <f>FIXED(VLOOKUP($A18,'Full Sample-Townhouse'!$A:$R,U$1,0),2)</f>
        <v>195.00</v>
      </c>
      <c r="V18" s="13" t="str">
        <f>FIXED(VLOOKUP($A18,'Full Sample-Townhouse'!$A:$R,V$1,0),2)</f>
        <v>7,582.00</v>
      </c>
      <c r="W18" s="9" t="str">
        <f>FIXED(VLOOKUP($A18,'Full Sample-Townhouse'!$A:$R,W$1,0),2)</f>
        <v>959.90</v>
      </c>
      <c r="X18" s="3" t="str">
        <f>FIXED(VLOOKUP($A18,'Full Sample-Townhouse'!$A:$R,X$1,0),2)</f>
        <v>441.09</v>
      </c>
      <c r="Y18" s="3" t="str">
        <f>FIXED(VLOOKUP($A18,'Full Sample-Townhouse'!$A:$R,Y$1,0),2)</f>
        <v>175.00</v>
      </c>
      <c r="Z18" s="3" t="str">
        <f>FIXED(VLOOKUP($A18,'Full Sample-Townhouse'!$A:$R,Z$1,0),2)</f>
        <v>11,155.00</v>
      </c>
      <c r="AA18" s="9" t="str">
        <f>FIXED(VLOOKUP($A18,'Full Sample-Single Family'!$A:$R,AA$1,0),2)</f>
        <v>2,082.42</v>
      </c>
      <c r="AB18" s="3" t="str">
        <f>FIXED(VLOOKUP($A18,'Full Sample-Single Family'!$A:$R,AB$1,0),2)</f>
        <v>1,098.87</v>
      </c>
      <c r="AC18" s="3" t="str">
        <f>FIXED(VLOOKUP($A18,'Full Sample-Single Family'!$A:$R,AC$1,0),2)</f>
        <v>220.00</v>
      </c>
      <c r="AD18" s="3" t="str">
        <f>FIXED(VLOOKUP($A18,'Full Sample-Single Family'!$A:$R,AD$1,0),2)</f>
        <v>23,350.00</v>
      </c>
      <c r="AE18" s="9" t="str">
        <f>FIXED(VLOOKUP($A18,'Full Sample-Single Family'!$A:$R,AE$1,0),2)</f>
        <v>2,046.71</v>
      </c>
      <c r="AF18" s="3" t="str">
        <f>FIXED(VLOOKUP($A18,'Full Sample-Single Family'!$A:$R,AF$1,0),2)</f>
        <v>1,059.20</v>
      </c>
      <c r="AG18" s="3" t="str">
        <f>FIXED(VLOOKUP($A18,'Full Sample-Single Family'!$A:$R,AG$1,0),2)</f>
        <v>455.00</v>
      </c>
      <c r="AH18" s="13" t="str">
        <f>FIXED(VLOOKUP($A18,'Full Sample-Single Family'!$A:$R,AH$1,0),2)</f>
        <v>23,350.00</v>
      </c>
      <c r="AI18" s="9" t="str">
        <f>FIXED(VLOOKUP($A18,'Full Sample-Single Family'!$A:$R,AI$1,0),2)</f>
        <v>2,131.25</v>
      </c>
      <c r="AJ18" s="3" t="str">
        <f>FIXED(VLOOKUP($A18,'Full Sample-Single Family'!$A:$R,AJ$1,0),2)</f>
        <v>1,149.15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33</v>
      </c>
      <c r="B19" t="s">
        <v>117</v>
      </c>
      <c r="C19" s="9" t="str">
        <f>FIXED(VLOOKUP($A19,'Full Sample-No Sub'!$A:$R,C$1,0),2)</f>
        <v>36.90</v>
      </c>
      <c r="D19" s="3" t="str">
        <f>FIXED(VLOOKUP($A19,'Full Sample-No Sub'!$A:$R,D$1,0),2)</f>
        <v>19.66</v>
      </c>
      <c r="E19" s="3" t="str">
        <f>FIXED(VLOOKUP($A19,'Full Sample-No Sub'!$A:$R,E$1,0),2)</f>
        <v>0.00</v>
      </c>
      <c r="F19" s="3" t="str">
        <f>FIXED(VLOOKUP($A19,'Full Sample-No Sub'!$A:$R,F$1,0),2)</f>
        <v>123.00</v>
      </c>
      <c r="G19" s="9" t="str">
        <f>FIXED(VLOOKUP($A19,'Full Sample-No Sub'!$A:$R,G$1,0),2)</f>
        <v>35.24</v>
      </c>
      <c r="H19" s="3" t="str">
        <f>FIXED(VLOOKUP($A19,'Full Sample-No Sub'!$A:$R,H$1,0),2)</f>
        <v>19.33</v>
      </c>
      <c r="I19" s="3" t="str">
        <f>FIXED(VLOOKUP($A19,'Full Sample-No Sub'!$A:$R,I$1,0),2)</f>
        <v>0.00</v>
      </c>
      <c r="J19" s="13" t="str">
        <f>FIXED(VLOOKUP($A19,'Full Sample-No Sub'!$A:$R,J$1,0),2)</f>
        <v>112.00</v>
      </c>
      <c r="K19" s="9" t="str">
        <f>FIXED(VLOOKUP($A19,'Full Sample-No Sub'!$A:$R,K$1,0),2)</f>
        <v>39.16</v>
      </c>
      <c r="L19" s="3" t="str">
        <f>FIXED(VLOOKUP($A19,'Full Sample-No Sub'!$A:$R,L$1,0),2)</f>
        <v>19.88</v>
      </c>
      <c r="M19" s="3" t="str">
        <f>FIXED(VLOOKUP($A19,'Full Sample-No Sub'!$A:$R,M$1,0),2)</f>
        <v>0.00</v>
      </c>
      <c r="N19" s="13" t="str">
        <f>FIXED(VLOOKUP($A19,'Full Sample-No Sub'!$A:$R,N$1,0),2)</f>
        <v>123.00</v>
      </c>
      <c r="O19" s="9" t="str">
        <f>FIXED(VLOOKUP($A19,'Full Sample-Townhouse'!$A:$R,O$1,0),2)</f>
        <v>35.36</v>
      </c>
      <c r="P19" s="3" t="str">
        <f>FIXED(VLOOKUP($A19,'Full Sample-Townhouse'!$A:$R,P$1,0),2)</f>
        <v>15.99</v>
      </c>
      <c r="Q19" s="3" t="str">
        <f>FIXED(VLOOKUP($A19,'Full Sample-Townhouse'!$A:$R,Q$1,0),2)</f>
        <v>0.00</v>
      </c>
      <c r="R19" s="3" t="str">
        <f>FIXED(VLOOKUP($A19,'Full Sample-Townhouse'!$A:$R,R$1,0),2)</f>
        <v>90.00</v>
      </c>
      <c r="S19" s="9" t="str">
        <f>FIXED(VLOOKUP($A19,'Full Sample-Townhouse'!$A:$R,S$1,0),2)</f>
        <v>34.10</v>
      </c>
      <c r="T19" s="3" t="str">
        <f>FIXED(VLOOKUP($A19,'Full Sample-Townhouse'!$A:$R,T$1,0),2)</f>
        <v>15.63</v>
      </c>
      <c r="U19" s="3" t="str">
        <f>FIXED(VLOOKUP($A19,'Full Sample-Townhouse'!$A:$R,U$1,0),2)</f>
        <v>0.00</v>
      </c>
      <c r="V19" s="13" t="str">
        <f>FIXED(VLOOKUP($A19,'Full Sample-Townhouse'!$A:$R,V$1,0),2)</f>
        <v>90.00</v>
      </c>
      <c r="W19" s="9" t="str">
        <f>FIXED(VLOOKUP($A19,'Full Sample-Townhouse'!$A:$R,W$1,0),2)</f>
        <v>37.07</v>
      </c>
      <c r="X19" s="3" t="str">
        <f>FIXED(VLOOKUP($A19,'Full Sample-Townhouse'!$A:$R,X$1,0),2)</f>
        <v>16.31</v>
      </c>
      <c r="Y19" s="3" t="str">
        <f>FIXED(VLOOKUP($A19,'Full Sample-Townhouse'!$A:$R,Y$1,0),2)</f>
        <v>0.00</v>
      </c>
      <c r="Z19" s="3" t="str">
        <f>FIXED(VLOOKUP($A19,'Full Sample-Townhouse'!$A:$R,Z$1,0),2)</f>
        <v>83.00</v>
      </c>
      <c r="AA19" s="9" t="str">
        <f>FIXED(VLOOKUP($A19,'Full Sample-Single Family'!$A:$R,AA$1,0),2)</f>
        <v>38.74</v>
      </c>
      <c r="AB19" s="3" t="str">
        <f>FIXED(VLOOKUP($A19,'Full Sample-Single Family'!$A:$R,AB$1,0),2)</f>
        <v>23.16</v>
      </c>
      <c r="AC19" s="3" t="str">
        <f>FIXED(VLOOKUP($A19,'Full Sample-Single Family'!$A:$R,AC$1,0),2)</f>
        <v>0.00</v>
      </c>
      <c r="AD19" s="3" t="str">
        <f>FIXED(VLOOKUP($A19,'Full Sample-Single Family'!$A:$R,AD$1,0),2)</f>
        <v>123.00</v>
      </c>
      <c r="AE19" s="9" t="str">
        <f>FIXED(VLOOKUP($A19,'Full Sample-Single Family'!$A:$R,AE$1,0),2)</f>
        <v>36.60</v>
      </c>
      <c r="AF19" s="3" t="str">
        <f>FIXED(VLOOKUP($A19,'Full Sample-Single Family'!$A:$R,AF$1,0),2)</f>
        <v>22.89</v>
      </c>
      <c r="AG19" s="3" t="str">
        <f>FIXED(VLOOKUP($A19,'Full Sample-Single Family'!$A:$R,AG$1,0),2)</f>
        <v>0.00</v>
      </c>
      <c r="AH19" s="13" t="str">
        <f>FIXED(VLOOKUP($A19,'Full Sample-Single Family'!$A:$R,AH$1,0),2)</f>
        <v>112.00</v>
      </c>
      <c r="AI19" s="9" t="str">
        <f>FIXED(VLOOKUP($A19,'Full Sample-Single Family'!$A:$R,AI$1,0),2)</f>
        <v>41.66</v>
      </c>
      <c r="AJ19" s="3" t="str">
        <f>FIXED(VLOOKUP($A19,'Full Sample-Single Family'!$A:$R,AJ$1,0),2)</f>
        <v>23.21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34</v>
      </c>
      <c r="B20" t="s">
        <v>118</v>
      </c>
      <c r="C20" s="9" t="str">
        <f>FIXED(VLOOKUP($A20,'Full Sample-No Sub'!$A:$R,C$1,0),2)</f>
        <v>1.75</v>
      </c>
      <c r="D20" s="3" t="str">
        <f>FIXED(VLOOKUP($A20,'Full Sample-No Sub'!$A:$R,D$1,0),2)</f>
        <v>1.56</v>
      </c>
      <c r="E20" s="3" t="str">
        <f>FIXED(VLOOKUP($A20,'Full Sample-No Sub'!$A:$R,E$1,0),2)</f>
        <v>0.00</v>
      </c>
      <c r="F20" s="3" t="str">
        <f>FIXED(VLOOKUP($A20,'Full Sample-No Sub'!$A:$R,F$1,0),2)</f>
        <v>15.13</v>
      </c>
      <c r="G20" s="9" t="str">
        <f>FIXED(VLOOKUP($A20,'Full Sample-No Sub'!$A:$R,G$1,0),2)</f>
        <v>1.62</v>
      </c>
      <c r="H20" s="3" t="str">
        <f>FIXED(VLOOKUP($A20,'Full Sample-No Sub'!$A:$R,H$1,0),2)</f>
        <v>1.48</v>
      </c>
      <c r="I20" s="3" t="str">
        <f>FIXED(VLOOKUP($A20,'Full Sample-No Sub'!$A:$R,I$1,0),2)</f>
        <v>0.00</v>
      </c>
      <c r="J20" s="13" t="str">
        <f>FIXED(VLOOKUP($A20,'Full Sample-No Sub'!$A:$R,J$1,0),2)</f>
        <v>12.54</v>
      </c>
      <c r="K20" s="9" t="str">
        <f>FIXED(VLOOKUP($A20,'Full Sample-No Sub'!$A:$R,K$1,0),2)</f>
        <v>1.93</v>
      </c>
      <c r="L20" s="3" t="str">
        <f>FIXED(VLOOKUP($A20,'Full Sample-No Sub'!$A:$R,L$1,0),2)</f>
        <v>1.65</v>
      </c>
      <c r="M20" s="3" t="str">
        <f>FIXED(VLOOKUP($A20,'Full Sample-No Sub'!$A:$R,M$1,0),2)</f>
        <v>0.00</v>
      </c>
      <c r="N20" s="13" t="str">
        <f>FIXED(VLOOKUP($A20,'Full Sample-No Sub'!$A:$R,N$1,0),2)</f>
        <v>15.13</v>
      </c>
      <c r="O20" s="9" t="str">
        <f>FIXED(VLOOKUP($A20,'Full Sample-Townhouse'!$A:$R,O$1,0),2)</f>
        <v>1.51</v>
      </c>
      <c r="P20" s="3" t="str">
        <f>FIXED(VLOOKUP($A20,'Full Sample-Townhouse'!$A:$R,P$1,0),2)</f>
        <v>1.01</v>
      </c>
      <c r="Q20" s="3" t="str">
        <f>FIXED(VLOOKUP($A20,'Full Sample-Townhouse'!$A:$R,Q$1,0),2)</f>
        <v>0.00</v>
      </c>
      <c r="R20" s="3" t="str">
        <f>FIXED(VLOOKUP($A20,'Full Sample-Townhouse'!$A:$R,R$1,0),2)</f>
        <v>8.10</v>
      </c>
      <c r="S20" s="9" t="str">
        <f>FIXED(VLOOKUP($A20,'Full Sample-Townhouse'!$A:$R,S$1,0),2)</f>
        <v>1.41</v>
      </c>
      <c r="T20" s="3" t="str">
        <f>FIXED(VLOOKUP($A20,'Full Sample-Townhouse'!$A:$R,T$1,0),2)</f>
        <v>0.96</v>
      </c>
      <c r="U20" s="3" t="str">
        <f>FIXED(VLOOKUP($A20,'Full Sample-Townhouse'!$A:$R,U$1,0),2)</f>
        <v>0.00</v>
      </c>
      <c r="V20" s="13" t="str">
        <f>FIXED(VLOOKUP($A20,'Full Sample-Townhouse'!$A:$R,V$1,0),2)</f>
        <v>8.10</v>
      </c>
      <c r="W20" s="9" t="str">
        <f>FIXED(VLOOKUP($A20,'Full Sample-Townhouse'!$A:$R,W$1,0),2)</f>
        <v>1.64</v>
      </c>
      <c r="X20" s="3" t="str">
        <f>FIXED(VLOOKUP($A20,'Full Sample-Townhouse'!$A:$R,X$1,0),2)</f>
        <v>1.06</v>
      </c>
      <c r="Y20" s="3" t="str">
        <f>FIXED(VLOOKUP($A20,'Full Sample-Townhouse'!$A:$R,Y$1,0),2)</f>
        <v>0.00</v>
      </c>
      <c r="Z20" s="3" t="str">
        <f>FIXED(VLOOKUP($A20,'Full Sample-Townhouse'!$A:$R,Z$1,0),2)</f>
        <v>6.89</v>
      </c>
      <c r="AA20" s="9" t="str">
        <f>FIXED(VLOOKUP($A20,'Full Sample-Single Family'!$A:$R,AA$1,0),2)</f>
        <v>2.04</v>
      </c>
      <c r="AB20" s="3" t="str">
        <f>FIXED(VLOOKUP($A20,'Full Sample-Single Family'!$A:$R,AB$1,0),2)</f>
        <v>1.99</v>
      </c>
      <c r="AC20" s="3" t="str">
        <f>FIXED(VLOOKUP($A20,'Full Sample-Single Family'!$A:$R,AC$1,0),2)</f>
        <v>0.00</v>
      </c>
      <c r="AD20" s="3" t="str">
        <f>FIXED(VLOOKUP($A20,'Full Sample-Single Family'!$A:$R,AD$1,0),2)</f>
        <v>15.13</v>
      </c>
      <c r="AE20" s="9" t="str">
        <f>FIXED(VLOOKUP($A20,'Full Sample-Single Family'!$A:$R,AE$1,0),2)</f>
        <v>1.86</v>
      </c>
      <c r="AF20" s="3" t="str">
        <f>FIXED(VLOOKUP($A20,'Full Sample-Single Family'!$A:$R,AF$1,0),2)</f>
        <v>1.89</v>
      </c>
      <c r="AG20" s="3" t="str">
        <f>FIXED(VLOOKUP($A20,'Full Sample-Single Family'!$A:$R,AG$1,0),2)</f>
        <v>0.00</v>
      </c>
      <c r="AH20" s="13" t="str">
        <f>FIXED(VLOOKUP($A20,'Full Sample-Single Family'!$A:$R,AH$1,0),2)</f>
        <v>12.54</v>
      </c>
      <c r="AI20" s="9" t="str">
        <f>FIXED(VLOOKUP($A20,'Full Sample-Single Family'!$A:$R,AI$1,0),2)</f>
        <v>2.27</v>
      </c>
      <c r="AJ20" s="3" t="str">
        <f>FIXED(VLOOKUP($A20,'Full Sample-Single Family'!$A:$R,AJ$1,0),2)</f>
        <v>2.10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21</v>
      </c>
      <c r="B21" s="4" t="s">
        <v>105</v>
      </c>
      <c r="C21" s="9" t="str">
        <f>FIXED(VLOOKUP($A21,'Full Sample-No Sub'!$A:$R,C$1,0),2)</f>
        <v>0.01</v>
      </c>
      <c r="D21" s="3" t="str">
        <f>FIXED(VLOOKUP($A21,'Full Sample-No Sub'!$A:$R,D$1,0),2)</f>
        <v>0.11</v>
      </c>
      <c r="E21" s="3" t="str">
        <f>FIXED(VLOOKUP($A21,'Full Sample-No Sub'!$A:$R,E$1,0),2)</f>
        <v>0.00</v>
      </c>
      <c r="F21" s="3" t="str">
        <f>FIXED(VLOOKUP($A21,'Full Sample-No Sub'!$A:$R,F$1,0),2)</f>
        <v>1.00</v>
      </c>
      <c r="G21" s="9" t="str">
        <f>FIXED(VLOOKUP($A21,'Full Sample-No Sub'!$A:$R,G$1,0),2)</f>
        <v>0.01</v>
      </c>
      <c r="H21" s="3" t="str">
        <f>FIXED(VLOOKUP($A21,'Full Sample-No Sub'!$A:$R,H$1,0),2)</f>
        <v>0.11</v>
      </c>
      <c r="I21" s="3" t="str">
        <f>FIXED(VLOOKUP($A21,'Full Sample-No Sub'!$A:$R,I$1,0),2)</f>
        <v>0.00</v>
      </c>
      <c r="J21" s="13" t="str">
        <f>FIXED(VLOOKUP($A21,'Full Sample-No Sub'!$A:$R,J$1,0),2)</f>
        <v>1.00</v>
      </c>
      <c r="K21" s="9" t="str">
        <f>FIXED(VLOOKUP($A21,'Full Sample-No Sub'!$A:$R,K$1,0),2)</f>
        <v>0.01</v>
      </c>
      <c r="L21" s="3" t="str">
        <f>FIXED(VLOOKUP($A21,'Full Sample-No Sub'!$A:$R,L$1,0),2)</f>
        <v>0.12</v>
      </c>
      <c r="M21" s="3" t="str">
        <f>FIXED(VLOOKUP($A21,'Full Sample-No Sub'!$A:$R,M$1,0),2)</f>
        <v>0.00</v>
      </c>
      <c r="N21" s="13" t="str">
        <f>FIXED(VLOOKUP($A21,'Full Sample-No Sub'!$A:$R,N$1,0),2)</f>
        <v>1.00</v>
      </c>
      <c r="O21" s="9" t="str">
        <f>FIXED(VLOOKUP($A21,'Full Sample-Townhouse'!$A:$R,O$1,0),2)</f>
        <v>0.00</v>
      </c>
      <c r="P21" s="3" t="str">
        <f>FIXED(VLOOKUP($A21,'Full Sample-Townhouse'!$A:$R,P$1,0),2)</f>
        <v>0.04</v>
      </c>
      <c r="Q21" s="3" t="str">
        <f>FIXED(VLOOKUP($A21,'Full Sample-Townhouse'!$A:$R,Q$1,0),2)</f>
        <v>0.00</v>
      </c>
      <c r="R21" s="3" t="str">
        <f>FIXED(VLOOKUP($A21,'Full Sample-Townhouse'!$A:$R,R$1,0),2)</f>
        <v>1.00</v>
      </c>
      <c r="S21" s="9" t="str">
        <f>FIXED(VLOOKUP($A21,'Full Sample-Townhouse'!$A:$R,S$1,0),2)</f>
        <v>0.00</v>
      </c>
      <c r="T21" s="3" t="str">
        <f>FIXED(VLOOKUP($A21,'Full Sample-Townhouse'!$A:$R,T$1,0),2)</f>
        <v>0.03</v>
      </c>
      <c r="U21" s="3" t="str">
        <f>FIXED(VLOOKUP($A21,'Full Sample-Townhouse'!$A:$R,U$1,0),2)</f>
        <v>0.00</v>
      </c>
      <c r="V21" s="13" t="str">
        <f>FIXED(VLOOKUP($A21,'Full Sample-Townhouse'!$A:$R,V$1,0),2)</f>
        <v>1.00</v>
      </c>
      <c r="W21" s="9" t="str">
        <f>FIXED(VLOOKUP($A21,'Full Sample-Townhouse'!$A:$R,W$1,0),2)</f>
        <v>0.00</v>
      </c>
      <c r="X21" s="3" t="str">
        <f>FIXED(VLOOKUP($A21,'Full Sample-Townhouse'!$A:$R,X$1,0),2)</f>
        <v>0.04</v>
      </c>
      <c r="Y21" s="3" t="str">
        <f>FIXED(VLOOKUP($A21,'Full Sample-Townhouse'!$A:$R,Y$1,0),2)</f>
        <v>0.00</v>
      </c>
      <c r="Z21" s="3" t="str">
        <f>FIXED(VLOOKUP($A21,'Full Sample-Townhouse'!$A:$R,Z$1,0),2)</f>
        <v>1.00</v>
      </c>
      <c r="AA21" s="9" t="str">
        <f>FIXED(VLOOKUP($A21,'Full Sample-Single Family'!$A:$R,AA$1,0),2)</f>
        <v>0.03</v>
      </c>
      <c r="AB21" s="3" t="str">
        <f>FIXED(VLOOKUP($A21,'Full Sample-Single Family'!$A:$R,AB$1,0),2)</f>
        <v>0.16</v>
      </c>
      <c r="AC21" s="3" t="str">
        <f>FIXED(VLOOKUP($A21,'Full Sample-Single Family'!$A:$R,AC$1,0),2)</f>
        <v>0.00</v>
      </c>
      <c r="AD21" s="3" t="str">
        <f>FIXED(VLOOKUP($A21,'Full Sample-Single Family'!$A:$R,AD$1,0),2)</f>
        <v>1.00</v>
      </c>
      <c r="AE21" s="9" t="str">
        <f>FIXED(VLOOKUP($A21,'Full Sample-Single Family'!$A:$R,AE$1,0),2)</f>
        <v>0.02</v>
      </c>
      <c r="AF21" s="3" t="str">
        <f>FIXED(VLOOKUP($A21,'Full Sample-Single Family'!$A:$R,AF$1,0),2)</f>
        <v>0.15</v>
      </c>
      <c r="AG21" s="3" t="str">
        <f>FIXED(VLOOKUP($A21,'Full Sample-Single Family'!$A:$R,AG$1,0),2)</f>
        <v>0.00</v>
      </c>
      <c r="AH21" s="13" t="str">
        <f>FIXED(VLOOKUP($A21,'Full Sample-Single Family'!$A:$R,AH$1,0),2)</f>
        <v>1.00</v>
      </c>
      <c r="AI21" s="9" t="str">
        <f>FIXED(VLOOKUP($A21,'Full Sample-Single Family'!$A:$R,AI$1,0),2)</f>
        <v>0.03</v>
      </c>
      <c r="AJ21" s="3" t="str">
        <f>FIXED(VLOOKUP($A21,'Full Sample-Single Family'!$A:$R,AJ$1,0),2)</f>
        <v>0.17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70</v>
      </c>
      <c r="B22" s="4" t="s">
        <v>146</v>
      </c>
      <c r="C22" s="9" t="str">
        <f>FIXED(VLOOKUP($A22,'Full Sample-No Sub'!$A:$R,C$1,0),2)</f>
        <v>0.19</v>
      </c>
      <c r="D22" s="3" t="str">
        <f>FIXED(VLOOKUP($A22,'Full Sample-No Sub'!$A:$R,D$1,0),2)</f>
        <v>0.40</v>
      </c>
      <c r="E22" s="3" t="str">
        <f>FIXED(VLOOKUP($A22,'Full Sample-No Sub'!$A:$R,E$1,0),2)</f>
        <v>0.00</v>
      </c>
      <c r="F22" s="3" t="str">
        <f>FIXED(VLOOKUP($A22,'Full Sample-No Sub'!$A:$R,F$1,0),2)</f>
        <v>1.00</v>
      </c>
      <c r="G22" s="9" t="str">
        <f>FIXED(VLOOKUP($A22,'Full Sample-No Sub'!$A:$R,G$1,0),2)</f>
        <v>0.19</v>
      </c>
      <c r="H22" s="3" t="str">
        <f>FIXED(VLOOKUP($A22,'Full Sample-No Sub'!$A:$R,H$1,0),2)</f>
        <v>0.39</v>
      </c>
      <c r="I22" s="3" t="str">
        <f>FIXED(VLOOKUP($A22,'Full Sample-No Sub'!$A:$R,I$1,0),2)</f>
        <v>0.00</v>
      </c>
      <c r="J22" s="13" t="str">
        <f>FIXED(VLOOKUP($A22,'Full Sample-No Sub'!$A:$R,J$1,0),2)</f>
        <v>1.00</v>
      </c>
      <c r="K22" s="9" t="str">
        <f>FIXED(VLOOKUP($A22,'Full Sample-No Sub'!$A:$R,K$1,0),2)</f>
        <v>0.20</v>
      </c>
      <c r="L22" s="3" t="str">
        <f>FIXED(VLOOKUP($A22,'Full Sample-No Sub'!$A:$R,L$1,0),2)</f>
        <v>0.40</v>
      </c>
      <c r="M22" s="3" t="str">
        <f>FIXED(VLOOKUP($A22,'Full Sample-No Sub'!$A:$R,M$1,0),2)</f>
        <v>0.00</v>
      </c>
      <c r="N22" s="13" t="str">
        <f>FIXED(VLOOKUP($A22,'Full Sample-No Sub'!$A:$R,N$1,0),2)</f>
        <v>1.00</v>
      </c>
      <c r="O22" s="9" t="str">
        <f>FIXED(VLOOKUP($A22,'Full Sample-Townhouse'!$A:$R,O$1,0),2)</f>
        <v>0.17</v>
      </c>
      <c r="P22" s="3" t="str">
        <f>FIXED(VLOOKUP($A22,'Full Sample-Townhouse'!$A:$R,P$1,0),2)</f>
        <v>0.38</v>
      </c>
      <c r="Q22" s="3" t="str">
        <f>FIXED(VLOOKUP($A22,'Full Sample-Townhouse'!$A:$R,Q$1,0),2)</f>
        <v>0.00</v>
      </c>
      <c r="R22" s="3" t="str">
        <f>FIXED(VLOOKUP($A22,'Full Sample-Townhouse'!$A:$R,R$1,0),2)</f>
        <v>1.00</v>
      </c>
      <c r="S22" s="9" t="str">
        <f>FIXED(VLOOKUP($A22,'Full Sample-Townhouse'!$A:$R,S$1,0),2)</f>
        <v>0.17</v>
      </c>
      <c r="T22" s="3" t="str">
        <f>FIXED(VLOOKUP($A22,'Full Sample-Townhouse'!$A:$R,T$1,0),2)</f>
        <v>0.38</v>
      </c>
      <c r="U22" s="3" t="str">
        <f>FIXED(VLOOKUP($A22,'Full Sample-Townhouse'!$A:$R,U$1,0),2)</f>
        <v>0.00</v>
      </c>
      <c r="V22" s="13" t="str">
        <f>FIXED(VLOOKUP($A22,'Full Sample-Townhouse'!$A:$R,V$1,0),2)</f>
        <v>1.00</v>
      </c>
      <c r="W22" s="9" t="str">
        <f>FIXED(VLOOKUP($A22,'Full Sample-Townhouse'!$A:$R,W$1,0),2)</f>
        <v>0.18</v>
      </c>
      <c r="X22" s="3" t="str">
        <f>FIXED(VLOOKUP($A22,'Full Sample-Townhouse'!$A:$R,X$1,0),2)</f>
        <v>0.38</v>
      </c>
      <c r="Y22" s="3" t="str">
        <f>FIXED(VLOOKUP($A22,'Full Sample-Townhouse'!$A:$R,Y$1,0),2)</f>
        <v>0.00</v>
      </c>
      <c r="Z22" s="3" t="str">
        <f>FIXED(VLOOKUP($A22,'Full Sample-Townhouse'!$A:$R,Z$1,0),2)</f>
        <v>1.00</v>
      </c>
      <c r="AA22" s="9" t="str">
        <f>FIXED(VLOOKUP($A22,'Full Sample-Single Family'!$A:$R,AA$1,0),2)</f>
        <v>0.22</v>
      </c>
      <c r="AB22" s="3" t="str">
        <f>FIXED(VLOOKUP($A22,'Full Sample-Single Family'!$A:$R,AB$1,0),2)</f>
        <v>0.41</v>
      </c>
      <c r="AC22" s="3" t="str">
        <f>FIXED(VLOOKUP($A22,'Full Sample-Single Family'!$A:$R,AC$1,0),2)</f>
        <v>0.00</v>
      </c>
      <c r="AD22" s="3" t="str">
        <f>FIXED(VLOOKUP($A22,'Full Sample-Single Family'!$A:$R,AD$1,0),2)</f>
        <v>1.00</v>
      </c>
      <c r="AE22" s="9" t="str">
        <f>FIXED(VLOOKUP($A22,'Full Sample-Single Family'!$A:$R,AE$1,0),2)</f>
        <v>0.21</v>
      </c>
      <c r="AF22" s="3" t="str">
        <f>FIXED(VLOOKUP($A22,'Full Sample-Single Family'!$A:$R,AF$1,0),2)</f>
        <v>0.41</v>
      </c>
      <c r="AG22" s="3" t="str">
        <f>FIXED(VLOOKUP($A22,'Full Sample-Single Family'!$A:$R,AG$1,0),2)</f>
        <v>0.00</v>
      </c>
      <c r="AH22" s="13" t="str">
        <f>FIXED(VLOOKUP($A22,'Full Sample-Single Family'!$A:$R,AH$1,0),2)</f>
        <v>1.00</v>
      </c>
      <c r="AI22" s="9" t="str">
        <f>FIXED(VLOOKUP($A22,'Full Sample-Single Family'!$A:$R,AI$1,0),2)</f>
        <v>0.22</v>
      </c>
      <c r="AJ22" s="3" t="str">
        <f>FIXED(VLOOKUP($A22,'Full Sample-Single Family'!$A:$R,AJ$1,0),2)</f>
        <v>0.42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71</v>
      </c>
      <c r="B23" s="4" t="s">
        <v>147</v>
      </c>
      <c r="C23" s="9" t="str">
        <f>FIXED(VLOOKUP($A23,'Full Sample-No Sub'!$A:$R,C$1,0),2)</f>
        <v>0.33</v>
      </c>
      <c r="D23" s="3" t="str">
        <f>FIXED(VLOOKUP($A23,'Full Sample-No Sub'!$A:$R,D$1,0),2)</f>
        <v>0.47</v>
      </c>
      <c r="E23" s="3" t="str">
        <f>FIXED(VLOOKUP($A23,'Full Sample-No Sub'!$A:$R,E$1,0),2)</f>
        <v>0.00</v>
      </c>
      <c r="F23" s="3" t="str">
        <f>FIXED(VLOOKUP($A23,'Full Sample-No Sub'!$A:$R,F$1,0),2)</f>
        <v>1.00</v>
      </c>
      <c r="G23" s="9" t="str">
        <f>FIXED(VLOOKUP($A23,'Full Sample-No Sub'!$A:$R,G$1,0),2)</f>
        <v>0.35</v>
      </c>
      <c r="H23" s="3" t="str">
        <f>FIXED(VLOOKUP($A23,'Full Sample-No Sub'!$A:$R,H$1,0),2)</f>
        <v>0.48</v>
      </c>
      <c r="I23" s="3" t="str">
        <f>FIXED(VLOOKUP($A23,'Full Sample-No Sub'!$A:$R,I$1,0),2)</f>
        <v>0.00</v>
      </c>
      <c r="J23" s="13" t="str">
        <f>FIXED(VLOOKUP($A23,'Full Sample-No Sub'!$A:$R,J$1,0),2)</f>
        <v>1.00</v>
      </c>
      <c r="K23" s="9" t="str">
        <f>FIXED(VLOOKUP($A23,'Full Sample-No Sub'!$A:$R,K$1,0),2)</f>
        <v>0.31</v>
      </c>
      <c r="L23" s="3" t="str">
        <f>FIXED(VLOOKUP($A23,'Full Sample-No Sub'!$A:$R,L$1,0),2)</f>
        <v>0.46</v>
      </c>
      <c r="M23" s="3" t="str">
        <f>FIXED(VLOOKUP($A23,'Full Sample-No Sub'!$A:$R,M$1,0),2)</f>
        <v>0.00</v>
      </c>
      <c r="N23" s="13" t="str">
        <f>FIXED(VLOOKUP($A23,'Full Sample-No Sub'!$A:$R,N$1,0),2)</f>
        <v>1.00</v>
      </c>
      <c r="O23" s="9" t="str">
        <f>FIXED(VLOOKUP($A23,'Full Sample-Townhouse'!$A:$R,O$1,0),2)</f>
        <v>0.36</v>
      </c>
      <c r="P23" s="3" t="str">
        <f>FIXED(VLOOKUP($A23,'Full Sample-Townhouse'!$A:$R,P$1,0),2)</f>
        <v>0.48</v>
      </c>
      <c r="Q23" s="3" t="str">
        <f>FIXED(VLOOKUP($A23,'Full Sample-Townhouse'!$A:$R,Q$1,0),2)</f>
        <v>0.00</v>
      </c>
      <c r="R23" s="3" t="str">
        <f>FIXED(VLOOKUP($A23,'Full Sample-Townhouse'!$A:$R,R$1,0),2)</f>
        <v>1.00</v>
      </c>
      <c r="S23" s="9" t="str">
        <f>FIXED(VLOOKUP($A23,'Full Sample-Townhouse'!$A:$R,S$1,0),2)</f>
        <v>0.38</v>
      </c>
      <c r="T23" s="3" t="str">
        <f>FIXED(VLOOKUP($A23,'Full Sample-Townhouse'!$A:$R,T$1,0),2)</f>
        <v>0.48</v>
      </c>
      <c r="U23" s="3" t="str">
        <f>FIXED(VLOOKUP($A23,'Full Sample-Townhouse'!$A:$R,U$1,0),2)</f>
        <v>0.00</v>
      </c>
      <c r="V23" s="13" t="str">
        <f>FIXED(VLOOKUP($A23,'Full Sample-Townhouse'!$A:$R,V$1,0),2)</f>
        <v>1.00</v>
      </c>
      <c r="W23" s="9" t="str">
        <f>FIXED(VLOOKUP($A23,'Full Sample-Townhouse'!$A:$R,W$1,0),2)</f>
        <v>0.34</v>
      </c>
      <c r="X23" s="3" t="str">
        <f>FIXED(VLOOKUP($A23,'Full Sample-Townhouse'!$A:$R,X$1,0),2)</f>
        <v>0.47</v>
      </c>
      <c r="Y23" s="3" t="str">
        <f>FIXED(VLOOKUP($A23,'Full Sample-Townhouse'!$A:$R,Y$1,0),2)</f>
        <v>0.00</v>
      </c>
      <c r="Z23" s="3" t="str">
        <f>FIXED(VLOOKUP($A23,'Full Sample-Townhouse'!$A:$R,Z$1,0),2)</f>
        <v>1.00</v>
      </c>
      <c r="AA23" s="9" t="str">
        <f>FIXED(VLOOKUP($A23,'Full Sample-Single Family'!$A:$R,AA$1,0),2)</f>
        <v>0.30</v>
      </c>
      <c r="AB23" s="3" t="str">
        <f>FIXED(VLOOKUP($A23,'Full Sample-Single Family'!$A:$R,AB$1,0),2)</f>
        <v>0.46</v>
      </c>
      <c r="AC23" s="3" t="str">
        <f>FIXED(VLOOKUP($A23,'Full Sample-Single Family'!$A:$R,AC$1,0),2)</f>
        <v>0.00</v>
      </c>
      <c r="AD23" s="3" t="str">
        <f>FIXED(VLOOKUP($A23,'Full Sample-Single Family'!$A:$R,AD$1,0),2)</f>
        <v>1.00</v>
      </c>
      <c r="AE23" s="9" t="str">
        <f>FIXED(VLOOKUP($A23,'Full Sample-Single Family'!$A:$R,AE$1,0),2)</f>
        <v>0.32</v>
      </c>
      <c r="AF23" s="3" t="str">
        <f>FIXED(VLOOKUP($A23,'Full Sample-Single Family'!$A:$R,AF$1,0),2)</f>
        <v>0.47</v>
      </c>
      <c r="AG23" s="3" t="str">
        <f>FIXED(VLOOKUP($A23,'Full Sample-Single Family'!$A:$R,AG$1,0),2)</f>
        <v>0.00</v>
      </c>
      <c r="AH23" s="13" t="str">
        <f>FIXED(VLOOKUP($A23,'Full Sample-Single Family'!$A:$R,AH$1,0),2)</f>
        <v>1.00</v>
      </c>
      <c r="AI23" s="9" t="str">
        <f>FIXED(VLOOKUP($A23,'Full Sample-Single Family'!$A:$R,AI$1,0),2)</f>
        <v>0.28</v>
      </c>
      <c r="AJ23" s="3" t="str">
        <f>FIXED(VLOOKUP($A23,'Full Sample-Single Family'!$A:$R,AJ$1,0),2)</f>
        <v>0.45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72</v>
      </c>
      <c r="B24" s="4" t="s">
        <v>148</v>
      </c>
      <c r="C24" s="9" t="str">
        <f>FIXED(VLOOKUP($A24,'Full Sample-No Sub'!$A:$R,C$1,0),2)</f>
        <v>0.43</v>
      </c>
      <c r="D24" s="3" t="str">
        <f>FIXED(VLOOKUP($A24,'Full Sample-No Sub'!$A:$R,D$1,0),2)</f>
        <v>0.50</v>
      </c>
      <c r="E24" s="3" t="str">
        <f>FIXED(VLOOKUP($A24,'Full Sample-No Sub'!$A:$R,E$1,0),2)</f>
        <v>0.00</v>
      </c>
      <c r="F24" s="3" t="str">
        <f>FIXED(VLOOKUP($A24,'Full Sample-No Sub'!$A:$R,F$1,0),2)</f>
        <v>1.00</v>
      </c>
      <c r="G24" s="9" t="str">
        <f>FIXED(VLOOKUP($A24,'Full Sample-No Sub'!$A:$R,G$1,0),2)</f>
        <v>0.41</v>
      </c>
      <c r="H24" s="3" t="str">
        <f>FIXED(VLOOKUP($A24,'Full Sample-No Sub'!$A:$R,H$1,0),2)</f>
        <v>0.49</v>
      </c>
      <c r="I24" s="3" t="str">
        <f>FIXED(VLOOKUP($A24,'Full Sample-No Sub'!$A:$R,I$1,0),2)</f>
        <v>0.00</v>
      </c>
      <c r="J24" s="13" t="str">
        <f>FIXED(VLOOKUP($A24,'Full Sample-No Sub'!$A:$R,J$1,0),2)</f>
        <v>1.00</v>
      </c>
      <c r="K24" s="9" t="str">
        <f>FIXED(VLOOKUP($A24,'Full Sample-No Sub'!$A:$R,K$1,0),2)</f>
        <v>0.45</v>
      </c>
      <c r="L24" s="3" t="str">
        <f>FIXED(VLOOKUP($A24,'Full Sample-No Sub'!$A:$R,L$1,0),2)</f>
        <v>0.50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FIXED(VLOOKUP($A24,'Full Sample-Townhouse'!$A:$R,O$1,0),2)</f>
        <v>0.44</v>
      </c>
      <c r="P24" s="3" t="str">
        <f>FIXED(VLOOKUP($A24,'Full Sample-Townhouse'!$A:$R,P$1,0),2)</f>
        <v>0.50</v>
      </c>
      <c r="Q24" s="3" t="str">
        <f>FIXED(VLOOKUP($A24,'Full Sample-Townhouse'!$A:$R,Q$1,0),2)</f>
        <v>0.00</v>
      </c>
      <c r="R24" s="3" t="str">
        <f>FIXED(VLOOKUP($A24,'Full Sample-Townhouse'!$A:$R,R$1,0),2)</f>
        <v>1.00</v>
      </c>
      <c r="S24" s="9" t="str">
        <f>FIXED(VLOOKUP($A24,'Full Sample-Townhouse'!$A:$R,S$1,0),2)</f>
        <v>0.43</v>
      </c>
      <c r="T24" s="3" t="str">
        <f>FIXED(VLOOKUP($A24,'Full Sample-Townhouse'!$A:$R,T$1,0),2)</f>
        <v>0.49</v>
      </c>
      <c r="U24" s="3" t="str">
        <f>FIXED(VLOOKUP($A24,'Full Sample-Townhouse'!$A:$R,U$1,0),2)</f>
        <v>0.00</v>
      </c>
      <c r="V24" s="13" t="str">
        <f>FIXED(VLOOKUP($A24,'Full Sample-Townhouse'!$A:$R,V$1,0),2)</f>
        <v>1.00</v>
      </c>
      <c r="W24" s="9" t="str">
        <f>FIXED(VLOOKUP($A24,'Full Sample-Townhouse'!$A:$R,W$1,0),2)</f>
        <v>0.46</v>
      </c>
      <c r="X24" s="3" t="str">
        <f>FIXED(VLOOKUP($A24,'Full Sample-Townhouse'!$A:$R,X$1,0),2)</f>
        <v>0.50</v>
      </c>
      <c r="Y24" s="3" t="str">
        <f>FIXED(VLOOKUP($A24,'Full Sample-Townhouse'!$A:$R,Y$1,0),2)</f>
        <v>0.00</v>
      </c>
      <c r="Z24" s="3" t="str">
        <f>FIXED(VLOOKUP($A24,'Full Sample-Townhouse'!$A:$R,Z$1,0),2)</f>
        <v>1.00</v>
      </c>
      <c r="AA24" s="9" t="str">
        <f>FIXED(VLOOKUP($A24,'Full Sample-Single Family'!$A:$R,AA$1,0),2)</f>
        <v>0.41</v>
      </c>
      <c r="AB24" s="3" t="str">
        <f>FIXED(VLOOKUP($A24,'Full Sample-Single Family'!$A:$R,AB$1,0),2)</f>
        <v>0.49</v>
      </c>
      <c r="AC24" s="3" t="str">
        <f>FIXED(VLOOKUP($A24,'Full Sample-Single Family'!$A:$R,AC$1,0),2)</f>
        <v>0.00</v>
      </c>
      <c r="AD24" s="3" t="str">
        <f>FIXED(VLOOKUP($A24,'Full Sample-Single Family'!$A:$R,AD$1,0),2)</f>
        <v>1.00</v>
      </c>
      <c r="AE24" s="9" t="str">
        <f>FIXED(VLOOKUP($A24,'Full Sample-Single Family'!$A:$R,AE$1,0),2)</f>
        <v>0.40</v>
      </c>
      <c r="AF24" s="3" t="str">
        <f>FIXED(VLOOKUP($A24,'Full Sample-Single Family'!$A:$R,AF$1,0),2)</f>
        <v>0.49</v>
      </c>
      <c r="AG24" s="3" t="str">
        <f>FIXED(VLOOKUP($A24,'Full Sample-Single Family'!$A:$R,AG$1,0),2)</f>
        <v>0.00</v>
      </c>
      <c r="AH24" s="13" t="str">
        <f>FIXED(VLOOKUP($A24,'Full Sample-Single Family'!$A:$R,AH$1,0),2)</f>
        <v>1.00</v>
      </c>
      <c r="AI24" s="9" t="str">
        <f>FIXED(VLOOKUP($A24,'Full Sample-Single Family'!$A:$R,AI$1,0),2)</f>
        <v>0.43</v>
      </c>
      <c r="AJ24" s="3" t="str">
        <f>FIXED(VLOOKUP($A24,'Full Sample-Single Family'!$A:$R,AJ$1,0),2)</f>
        <v>0.50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73</v>
      </c>
      <c r="B25" s="4" t="s">
        <v>149</v>
      </c>
      <c r="C25" s="9" t="str">
        <f>FIXED(VLOOKUP($A25,'Full Sample-No Sub'!$A:$R,C$1,0),2)</f>
        <v>0.05</v>
      </c>
      <c r="D25" s="3" t="str">
        <f>FIXED(VLOOKUP($A25,'Full Sample-No Sub'!$A:$R,D$1,0),2)</f>
        <v>0.21</v>
      </c>
      <c r="E25" s="3" t="str">
        <f>FIXED(VLOOKUP($A25,'Full Sample-No Sub'!$A:$R,E$1,0),2)</f>
        <v>0.00</v>
      </c>
      <c r="F25" s="3" t="str">
        <f>FIXED(VLOOKUP($A25,'Full Sample-No Sub'!$A:$R,F$1,0),2)</f>
        <v>1.00</v>
      </c>
      <c r="G25" s="9" t="str">
        <f>FIXED(VLOOKUP($A25,'Full Sample-No Sub'!$A:$R,G$1,0),2)</f>
        <v>0.05</v>
      </c>
      <c r="H25" s="3" t="str">
        <f>FIXED(VLOOKUP($A25,'Full Sample-No Sub'!$A:$R,H$1,0),2)</f>
        <v>0.22</v>
      </c>
      <c r="I25" s="3" t="str">
        <f>FIXED(VLOOKUP($A25,'Full Sample-No Sub'!$A:$R,I$1,0),2)</f>
        <v>0.00</v>
      </c>
      <c r="J25" s="13" t="str">
        <f>FIXED(VLOOKUP($A25,'Full Sample-No Sub'!$A:$R,J$1,0),2)</f>
        <v>1.00</v>
      </c>
      <c r="K25" s="9" t="str">
        <f>FIXED(VLOOKUP($A25,'Full Sample-No Sub'!$A:$R,K$1,0),2)</f>
        <v>0.05</v>
      </c>
      <c r="L25" s="3" t="str">
        <f>FIXED(VLOOKUP($A25,'Full Sample-No Sub'!$A:$R,L$1,0),2)</f>
        <v>0.21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FIXED(VLOOKUP($A25,'Full Sample-Townhouse'!$A:$R,O$1,0),2)</f>
        <v>0.03</v>
      </c>
      <c r="P25" s="3" t="str">
        <f>FIXED(VLOOKUP($A25,'Full Sample-Townhouse'!$A:$R,P$1,0),2)</f>
        <v>0.16</v>
      </c>
      <c r="Q25" s="3" t="str">
        <f>FIXED(VLOOKUP($A25,'Full Sample-Townhouse'!$A:$R,Q$1,0),2)</f>
        <v>0.00</v>
      </c>
      <c r="R25" s="3" t="str">
        <f>FIXED(VLOOKUP($A25,'Full Sample-Townhouse'!$A:$R,R$1,0),2)</f>
        <v>1.00</v>
      </c>
      <c r="S25" s="9" t="str">
        <f>FIXED(VLOOKUP($A25,'Full Sample-Townhouse'!$A:$R,S$1,0),2)</f>
        <v>0.03</v>
      </c>
      <c r="T25" s="3" t="str">
        <f>FIXED(VLOOKUP($A25,'Full Sample-Townhouse'!$A:$R,T$1,0),2)</f>
        <v>0.16</v>
      </c>
      <c r="U25" s="3" t="str">
        <f>FIXED(VLOOKUP($A25,'Full Sample-Townhouse'!$A:$R,U$1,0),2)</f>
        <v>0.00</v>
      </c>
      <c r="V25" s="13" t="str">
        <f>FIXED(VLOOKUP($A25,'Full Sample-Townhouse'!$A:$R,V$1,0),2)</f>
        <v>1.00</v>
      </c>
      <c r="W25" s="9" t="str">
        <f>FIXED(VLOOKUP($A25,'Full Sample-Townhouse'!$A:$R,W$1,0),2)</f>
        <v>0.03</v>
      </c>
      <c r="X25" s="3" t="str">
        <f>FIXED(VLOOKUP($A25,'Full Sample-Townhouse'!$A:$R,X$1,0),2)</f>
        <v>0.16</v>
      </c>
      <c r="Y25" s="3" t="str">
        <f>FIXED(VLOOKUP($A25,'Full Sample-Townhouse'!$A:$R,Y$1,0),2)</f>
        <v>0.00</v>
      </c>
      <c r="Z25" s="3" t="str">
        <f>FIXED(VLOOKUP($A25,'Full Sample-Townhouse'!$A:$R,Z$1,0),2)</f>
        <v>1.00</v>
      </c>
      <c r="AA25" s="9" t="str">
        <f>FIXED(VLOOKUP($A25,'Full Sample-Single Family'!$A:$R,AA$1,0),2)</f>
        <v>0.07</v>
      </c>
      <c r="AB25" s="3" t="str">
        <f>FIXED(VLOOKUP($A25,'Full Sample-Single Family'!$A:$R,AB$1,0),2)</f>
        <v>0.26</v>
      </c>
      <c r="AC25" s="3" t="str">
        <f>FIXED(VLOOKUP($A25,'Full Sample-Single Family'!$A:$R,AC$1,0),2)</f>
        <v>0.00</v>
      </c>
      <c r="AD25" s="3" t="str">
        <f>FIXED(VLOOKUP($A25,'Full Sample-Single Family'!$A:$R,AD$1,0),2)</f>
        <v>1.00</v>
      </c>
      <c r="AE25" s="9" t="str">
        <f>FIXED(VLOOKUP($A25,'Full Sample-Single Family'!$A:$R,AE$1,0),2)</f>
        <v>0.08</v>
      </c>
      <c r="AF25" s="3" t="str">
        <f>FIXED(VLOOKUP($A25,'Full Sample-Single Family'!$A:$R,AF$1,0),2)</f>
        <v>0.27</v>
      </c>
      <c r="AG25" s="3" t="str">
        <f>FIXED(VLOOKUP($A25,'Full Sample-Single Family'!$A:$R,AG$1,0),2)</f>
        <v>0.00</v>
      </c>
      <c r="AH25" s="13" t="str">
        <f>FIXED(VLOOKUP($A25,'Full Sample-Single Family'!$A:$R,AH$1,0),2)</f>
        <v>1.00</v>
      </c>
      <c r="AI25" s="9" t="str">
        <f>FIXED(VLOOKUP($A25,'Full Sample-Single Family'!$A:$R,AI$1,0),2)</f>
        <v>0.07</v>
      </c>
      <c r="AJ25" s="3" t="str">
        <f>FIXED(VLOOKUP($A25,'Full Sample-Single Family'!$A:$R,AJ$1,0),2)</f>
        <v>0.26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22</v>
      </c>
      <c r="B26" s="4" t="s">
        <v>106</v>
      </c>
      <c r="C26" s="9" t="str">
        <f>FIXED(VLOOKUP($A26,'Full Sample-No Sub'!$A:$R,C$1,0),2)</f>
        <v>0.04</v>
      </c>
      <c r="D26" s="3" t="str">
        <f>FIXED(VLOOKUP($A26,'Full Sample-No Sub'!$A:$R,D$1,0),2)</f>
        <v>0.19</v>
      </c>
      <c r="E26" s="3" t="str">
        <f>FIXED(VLOOKUP($A26,'Full Sample-No Sub'!$A:$R,E$1,0),2)</f>
        <v>0.00</v>
      </c>
      <c r="F26" s="3" t="str">
        <f>FIXED(VLOOKUP($A26,'Full Sample-No Sub'!$A:$R,F$1,0),2)</f>
        <v>1.00</v>
      </c>
      <c r="G26" s="9" t="str">
        <f>FIXED(VLOOKUP($A26,'Full Sample-No Sub'!$A:$R,G$1,0),2)</f>
        <v>0.04</v>
      </c>
      <c r="H26" s="3" t="str">
        <f>FIXED(VLOOKUP($A26,'Full Sample-No Sub'!$A:$R,H$1,0),2)</f>
        <v>0.19</v>
      </c>
      <c r="I26" s="3" t="str">
        <f>FIXED(VLOOKUP($A26,'Full Sample-No Sub'!$A:$R,I$1,0),2)</f>
        <v>0.00</v>
      </c>
      <c r="J26" s="13" t="str">
        <f>FIXED(VLOOKUP($A26,'Full Sample-No Sub'!$A:$R,J$1,0),2)</f>
        <v>1.00</v>
      </c>
      <c r="K26" s="9" t="str">
        <f>FIXED(VLOOKUP($A26,'Full Sample-No Sub'!$A:$R,K$1,0),2)</f>
        <v>0.04</v>
      </c>
      <c r="L26" s="3" t="str">
        <f>FIXED(VLOOKUP($A26,'Full Sample-No Sub'!$A:$R,L$1,0),2)</f>
        <v>0.19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FIXED(VLOOKUP($A26,'Full Sample-Townhouse'!$A:$R,O$1,0),2)</f>
        <v>0.03</v>
      </c>
      <c r="P26" s="3" t="str">
        <f>FIXED(VLOOKUP($A26,'Full Sample-Townhouse'!$A:$R,P$1,0),2)</f>
        <v>0.17</v>
      </c>
      <c r="Q26" s="3" t="str">
        <f>FIXED(VLOOKUP($A26,'Full Sample-Townhouse'!$A:$R,Q$1,0),2)</f>
        <v>0.00</v>
      </c>
      <c r="R26" s="3" t="str">
        <f>FIXED(VLOOKUP($A26,'Full Sample-Townhouse'!$A:$R,R$1,0),2)</f>
        <v>1.00</v>
      </c>
      <c r="S26" s="9" t="str">
        <f>FIXED(VLOOKUP($A26,'Full Sample-Townhouse'!$A:$R,S$1,0),2)</f>
        <v>0.03</v>
      </c>
      <c r="T26" s="3" t="str">
        <f>FIXED(VLOOKUP($A26,'Full Sample-Townhouse'!$A:$R,T$1,0),2)</f>
        <v>0.17</v>
      </c>
      <c r="U26" s="3" t="str">
        <f>FIXED(VLOOKUP($A26,'Full Sample-Townhouse'!$A:$R,U$1,0),2)</f>
        <v>0.00</v>
      </c>
      <c r="V26" s="13" t="str">
        <f>FIXED(VLOOKUP($A26,'Full Sample-Townhouse'!$A:$R,V$1,0),2)</f>
        <v>1.00</v>
      </c>
      <c r="W26" s="9" t="str">
        <f>FIXED(VLOOKUP($A26,'Full Sample-Townhouse'!$A:$R,W$1,0),2)</f>
        <v>0.03</v>
      </c>
      <c r="X26" s="3" t="str">
        <f>FIXED(VLOOKUP($A26,'Full Sample-Townhouse'!$A:$R,X$1,0),2)</f>
        <v>0.16</v>
      </c>
      <c r="Y26" s="3" t="str">
        <f>FIXED(VLOOKUP($A26,'Full Sample-Townhouse'!$A:$R,Y$1,0),2)</f>
        <v>0.00</v>
      </c>
      <c r="Z26" s="3" t="str">
        <f>FIXED(VLOOKUP($A26,'Full Sample-Townhouse'!$A:$R,Z$1,0),2)</f>
        <v>1.00</v>
      </c>
      <c r="AA26" s="9" t="str">
        <f>FIXED(VLOOKUP($A26,'Full Sample-Single Family'!$A:$R,AA$1,0),2)</f>
        <v>0.05</v>
      </c>
      <c r="AB26" s="3" t="str">
        <f>FIXED(VLOOKUP($A26,'Full Sample-Single Family'!$A:$R,AB$1,0),2)</f>
        <v>0.21</v>
      </c>
      <c r="AC26" s="3" t="str">
        <f>FIXED(VLOOKUP($A26,'Full Sample-Single Family'!$A:$R,AC$1,0),2)</f>
        <v>0.00</v>
      </c>
      <c r="AD26" s="3" t="str">
        <f>FIXED(VLOOKUP($A26,'Full Sample-Single Family'!$A:$R,AD$1,0),2)</f>
        <v>1.00</v>
      </c>
      <c r="AE26" s="9" t="str">
        <f>FIXED(VLOOKUP($A26,'Full Sample-Single Family'!$A:$R,AE$1,0),2)</f>
        <v>0.04</v>
      </c>
      <c r="AF26" s="3" t="str">
        <f>FIXED(VLOOKUP($A26,'Full Sample-Single Family'!$A:$R,AF$1,0),2)</f>
        <v>0.20</v>
      </c>
      <c r="AG26" s="3" t="str">
        <f>FIXED(VLOOKUP($A26,'Full Sample-Single Family'!$A:$R,AG$1,0),2)</f>
        <v>0.00</v>
      </c>
      <c r="AH26" s="13" t="str">
        <f>FIXED(VLOOKUP($A26,'Full Sample-Single Family'!$A:$R,AH$1,0),2)</f>
        <v>1.00</v>
      </c>
      <c r="AI26" s="9" t="str">
        <f>FIXED(VLOOKUP($A26,'Full Sample-Single Family'!$A:$R,AI$1,0),2)</f>
        <v>0.05</v>
      </c>
      <c r="AJ26" s="3" t="str">
        <f>FIXED(VLOOKUP($A26,'Full Sample-Single Family'!$A:$R,AJ$1,0),2)</f>
        <v>0.21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23</v>
      </c>
      <c r="B27" s="4" t="s">
        <v>107</v>
      </c>
      <c r="C27" s="9" t="str">
        <f>FIXED(VLOOKUP($A27,'Full Sample-No Sub'!$A:$R,C$1,0),2)</f>
        <v>0.01</v>
      </c>
      <c r="D27" s="3" t="str">
        <f>FIXED(VLOOKUP($A27,'Full Sample-No Sub'!$A:$R,D$1,0),2)</f>
        <v>0.09</v>
      </c>
      <c r="E27" s="3" t="str">
        <f>FIXED(VLOOKUP($A27,'Full Sample-No Sub'!$A:$R,E$1,0),2)</f>
        <v>0.00</v>
      </c>
      <c r="F27" s="3" t="str">
        <f>FIXED(VLOOKUP($A27,'Full Sample-No Sub'!$A:$R,F$1,0),2)</f>
        <v>1.00</v>
      </c>
      <c r="G27" s="9" t="str">
        <f>FIXED(VLOOKUP($A27,'Full Sample-No Sub'!$A:$R,G$1,0),2)</f>
        <v>0.01</v>
      </c>
      <c r="H27" s="3" t="str">
        <f>FIXED(VLOOKUP($A27,'Full Sample-No Sub'!$A:$R,H$1,0),2)</f>
        <v>0.09</v>
      </c>
      <c r="I27" s="3" t="str">
        <f>FIXED(VLOOKUP($A27,'Full Sample-No Sub'!$A:$R,I$1,0),2)</f>
        <v>0.00</v>
      </c>
      <c r="J27" s="13" t="str">
        <f>FIXED(VLOOKUP($A27,'Full Sample-No Sub'!$A:$R,J$1,0),2)</f>
        <v>1.00</v>
      </c>
      <c r="K27" s="9" t="str">
        <f>FIXED(VLOOKUP($A27,'Full Sample-No Sub'!$A:$R,K$1,0),2)</f>
        <v>0.01</v>
      </c>
      <c r="L27" s="3" t="str">
        <f>FIXED(VLOOKUP($A27,'Full Sample-No Sub'!$A:$R,L$1,0),2)</f>
        <v>0.08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FIXED(VLOOKUP($A27,'Full Sample-Townhouse'!$A:$R,O$1,0),2)</f>
        <v>0.01</v>
      </c>
      <c r="P27" s="3" t="str">
        <f>FIXED(VLOOKUP($A27,'Full Sample-Townhouse'!$A:$R,P$1,0),2)</f>
        <v>0.08</v>
      </c>
      <c r="Q27" s="3" t="str">
        <f>FIXED(VLOOKUP($A27,'Full Sample-Townhouse'!$A:$R,Q$1,0),2)</f>
        <v>0.00</v>
      </c>
      <c r="R27" s="3" t="str">
        <f>FIXED(VLOOKUP($A27,'Full Sample-Townhouse'!$A:$R,R$1,0),2)</f>
        <v>1.00</v>
      </c>
      <c r="S27" s="9" t="str">
        <f>FIXED(VLOOKUP($A27,'Full Sample-Townhouse'!$A:$R,S$1,0),2)</f>
        <v>0.01</v>
      </c>
      <c r="T27" s="3" t="str">
        <f>FIXED(VLOOKUP($A27,'Full Sample-Townhouse'!$A:$R,T$1,0),2)</f>
        <v>0.09</v>
      </c>
      <c r="U27" s="3" t="str">
        <f>FIXED(VLOOKUP($A27,'Full Sample-Townhouse'!$A:$R,U$1,0),2)</f>
        <v>0.00</v>
      </c>
      <c r="V27" s="13" t="str">
        <f>FIXED(VLOOKUP($A27,'Full Sample-Townhouse'!$A:$R,V$1,0),2)</f>
        <v>1.00</v>
      </c>
      <c r="W27" s="9" t="str">
        <f>FIXED(VLOOKUP($A27,'Full Sample-Townhouse'!$A:$R,W$1,0),2)</f>
        <v>0.01</v>
      </c>
      <c r="X27" s="3" t="str">
        <f>FIXED(VLOOKUP($A27,'Full Sample-Townhouse'!$A:$R,X$1,0),2)</f>
        <v>0.07</v>
      </c>
      <c r="Y27" s="3" t="str">
        <f>FIXED(VLOOKUP($A27,'Full Sample-Townhouse'!$A:$R,Y$1,0),2)</f>
        <v>0.00</v>
      </c>
      <c r="Z27" s="3" t="str">
        <f>FIXED(VLOOKUP($A27,'Full Sample-Townhouse'!$A:$R,Z$1,0),2)</f>
        <v>1.00</v>
      </c>
      <c r="AA27" s="9" t="str">
        <f>FIXED(VLOOKUP($A27,'Full Sample-Single Family'!$A:$R,AA$1,0),2)</f>
        <v>0.01</v>
      </c>
      <c r="AB27" s="3" t="str">
        <f>FIXED(VLOOKUP($A27,'Full Sample-Single Family'!$A:$R,AB$1,0),2)</f>
        <v>0.10</v>
      </c>
      <c r="AC27" s="3" t="str">
        <f>FIXED(VLOOKUP($A27,'Full Sample-Single Family'!$A:$R,AC$1,0),2)</f>
        <v>0.00</v>
      </c>
      <c r="AD27" s="3" t="str">
        <f>FIXED(VLOOKUP($A27,'Full Sample-Single Family'!$A:$R,AD$1,0),2)</f>
        <v>1.00</v>
      </c>
      <c r="AE27" s="9" t="str">
        <f>FIXED(VLOOKUP($A27,'Full Sample-Single Family'!$A:$R,AE$1,0),2)</f>
        <v>0.01</v>
      </c>
      <c r="AF27" s="3" t="str">
        <f>FIXED(VLOOKUP($A27,'Full Sample-Single Family'!$A:$R,AF$1,0),2)</f>
        <v>0.09</v>
      </c>
      <c r="AG27" s="3" t="str">
        <f>FIXED(VLOOKUP($A27,'Full Sample-Single Family'!$A:$R,AG$1,0),2)</f>
        <v>0.00</v>
      </c>
      <c r="AH27" s="13" t="str">
        <f>FIXED(VLOOKUP($A27,'Full Sample-Single Family'!$A:$R,AH$1,0),2)</f>
        <v>1.00</v>
      </c>
      <c r="AI27" s="9" t="str">
        <f>FIXED(VLOOKUP($A27,'Full Sample-Single Family'!$A:$R,AI$1,0),2)</f>
        <v>0.01</v>
      </c>
      <c r="AJ27" s="3" t="str">
        <f>FIXED(VLOOKUP($A27,'Full Sample-Single Family'!$A:$R,AJ$1,0),2)</f>
        <v>0.10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24</v>
      </c>
      <c r="B28" s="4" t="s">
        <v>108</v>
      </c>
      <c r="C28" s="9" t="str">
        <f>FIXED(VLOOKUP($A28,'Full Sample-No Sub'!$A:$R,C$1,0),2)</f>
        <v>0.09</v>
      </c>
      <c r="D28" s="3" t="str">
        <f>FIXED(VLOOKUP($A28,'Full Sample-No Sub'!$A:$R,D$1,0),2)</f>
        <v>0.29</v>
      </c>
      <c r="E28" s="3" t="str">
        <f>FIXED(VLOOKUP($A28,'Full Sample-No Sub'!$A:$R,E$1,0),2)</f>
        <v>0.00</v>
      </c>
      <c r="F28" s="3" t="str">
        <f>FIXED(VLOOKUP($A28,'Full Sample-No Sub'!$A:$R,F$1,0),2)</f>
        <v>1.00</v>
      </c>
      <c r="G28" s="9" t="str">
        <f>FIXED(VLOOKUP($A28,'Full Sample-No Sub'!$A:$R,G$1,0),2)</f>
        <v>0.10</v>
      </c>
      <c r="H28" s="3" t="str">
        <f>FIXED(VLOOKUP($A28,'Full Sample-No Sub'!$A:$R,H$1,0),2)</f>
        <v>0.29</v>
      </c>
      <c r="I28" s="3" t="str">
        <f>FIXED(VLOOKUP($A28,'Full Sample-No Sub'!$A:$R,I$1,0),2)</f>
        <v>0.00</v>
      </c>
      <c r="J28" s="13" t="str">
        <f>FIXED(VLOOKUP($A28,'Full Sample-No Sub'!$A:$R,J$1,0),2)</f>
        <v>1.00</v>
      </c>
      <c r="K28" s="9" t="str">
        <f>FIXED(VLOOKUP($A28,'Full Sample-No Sub'!$A:$R,K$1,0),2)</f>
        <v>0.09</v>
      </c>
      <c r="L28" s="3" t="str">
        <f>FIXED(VLOOKUP($A28,'Full Sample-No Sub'!$A:$R,L$1,0),2)</f>
        <v>0.28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FIXED(VLOOKUP($A28,'Full Sample-Townhouse'!$A:$R,O$1,0),2)</f>
        <v>0.17</v>
      </c>
      <c r="P28" s="3" t="str">
        <f>FIXED(VLOOKUP($A28,'Full Sample-Townhouse'!$A:$R,P$1,0),2)</f>
        <v>0.38</v>
      </c>
      <c r="Q28" s="3" t="str">
        <f>FIXED(VLOOKUP($A28,'Full Sample-Townhouse'!$A:$R,Q$1,0),2)</f>
        <v>0.00</v>
      </c>
      <c r="R28" s="3" t="str">
        <f>FIXED(VLOOKUP($A28,'Full Sample-Townhouse'!$A:$R,R$1,0),2)</f>
        <v>1.00</v>
      </c>
      <c r="S28" s="9" t="str">
        <f>FIXED(VLOOKUP($A28,'Full Sample-Townhouse'!$A:$R,S$1,0),2)</f>
        <v>0.18</v>
      </c>
      <c r="T28" s="3" t="str">
        <f>FIXED(VLOOKUP($A28,'Full Sample-Townhouse'!$A:$R,T$1,0),2)</f>
        <v>0.38</v>
      </c>
      <c r="U28" s="3" t="str">
        <f>FIXED(VLOOKUP($A28,'Full Sample-Townhouse'!$A:$R,U$1,0),2)</f>
        <v>0.00</v>
      </c>
      <c r="V28" s="13" t="str">
        <f>FIXED(VLOOKUP($A28,'Full Sample-Townhouse'!$A:$R,V$1,0),2)</f>
        <v>1.00</v>
      </c>
      <c r="W28" s="9" t="str">
        <f>FIXED(VLOOKUP($A28,'Full Sample-Townhouse'!$A:$R,W$1,0),2)</f>
        <v>0.16</v>
      </c>
      <c r="X28" s="3" t="str">
        <f>FIXED(VLOOKUP($A28,'Full Sample-Townhouse'!$A:$R,X$1,0),2)</f>
        <v>0.37</v>
      </c>
      <c r="Y28" s="3" t="str">
        <f>FIXED(VLOOKUP($A28,'Full Sample-Townhouse'!$A:$R,Y$1,0),2)</f>
        <v>0.00</v>
      </c>
      <c r="Z28" s="3" t="str">
        <f>FIXED(VLOOKUP($A28,'Full Sample-Townhouse'!$A:$R,Z$1,0),2)</f>
        <v>1.00</v>
      </c>
      <c r="AA28" s="9" t="str">
        <f>FIXED(VLOOKUP($A28,'Full Sample-Single Family'!$A:$R,AA$1,0),2)</f>
        <v>0.00</v>
      </c>
      <c r="AB28" s="3" t="str">
        <f>FIXED(VLOOKUP($A28,'Full Sample-Single Family'!$A:$R,AB$1,0),2)</f>
        <v>0.00</v>
      </c>
      <c r="AC28" s="3" t="str">
        <f>FIXED(VLOOKUP($A28,'Full Sample-Single Family'!$A:$R,AC$1,0),2)</f>
        <v>0.00</v>
      </c>
      <c r="AD28" s="3" t="str">
        <f>FIXED(VLOOKUP($A28,'Full Sample-Single Family'!$A:$R,AD$1,0),2)</f>
        <v>0.00</v>
      </c>
      <c r="AE28" s="9" t="str">
        <f>FIXED(VLOOKUP($A28,'Full Sample-Single Family'!$A:$R,AE$1,0),2)</f>
        <v>0.00</v>
      </c>
      <c r="AF28" s="3" t="str">
        <f>FIXED(VLOOKUP($A28,'Full Sample-Single Family'!$A:$R,AF$1,0),2)</f>
        <v>0.00</v>
      </c>
      <c r="AG28" s="3" t="str">
        <f>FIXED(VLOOKUP($A28,'Full Sample-Single Family'!$A:$R,AG$1,0),2)</f>
        <v>0.00</v>
      </c>
      <c r="AH28" s="13" t="str">
        <f>FIXED(VLOOKUP($A28,'Full Sample-Single Family'!$A:$R,AH$1,0),2)</f>
        <v>0.00</v>
      </c>
      <c r="AI28" s="9" t="str">
        <f>FIXED(VLOOKUP($A28,'Full Sample-Single Family'!$A:$R,AI$1,0),2)</f>
        <v>0.00</v>
      </c>
      <c r="AJ28" s="3" t="str">
        <f>FIXED(VLOOKUP($A28,'Full Sample-Single Family'!$A:$R,AJ$1,0),2)</f>
        <v>0.00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25</v>
      </c>
      <c r="B29" s="4" t="s">
        <v>109</v>
      </c>
      <c r="C29" s="9" t="str">
        <f>FIXED(VLOOKUP($A29,'Full Sample-No Sub'!$A:$R,C$1,0),2)</f>
        <v>0.28</v>
      </c>
      <c r="D29" s="3" t="str">
        <f>FIXED(VLOOKUP($A29,'Full Sample-No Sub'!$A:$R,D$1,0),2)</f>
        <v>0.45</v>
      </c>
      <c r="E29" s="3" t="str">
        <f>FIXED(VLOOKUP($A29,'Full Sample-No Sub'!$A:$R,E$1,0),2)</f>
        <v>0.00</v>
      </c>
      <c r="F29" s="3" t="str">
        <f>FIXED(VLOOKUP($A29,'Full Sample-No Sub'!$A:$R,F$1,0),2)</f>
        <v>1.00</v>
      </c>
      <c r="G29" s="9" t="str">
        <f>FIXED(VLOOKUP($A29,'Full Sample-No Sub'!$A:$R,G$1,0),2)</f>
        <v>0.27</v>
      </c>
      <c r="H29" s="3" t="str">
        <f>FIXED(VLOOKUP($A29,'Full Sample-No Sub'!$A:$R,H$1,0),2)</f>
        <v>0.45</v>
      </c>
      <c r="I29" s="3" t="str">
        <f>FIXED(VLOOKUP($A29,'Full Sample-No Sub'!$A:$R,I$1,0),2)</f>
        <v>0.00</v>
      </c>
      <c r="J29" s="13" t="str">
        <f>FIXED(VLOOKUP($A29,'Full Sample-No Sub'!$A:$R,J$1,0),2)</f>
        <v>1.00</v>
      </c>
      <c r="K29" s="9" t="str">
        <f>FIXED(VLOOKUP($A29,'Full Sample-No Sub'!$A:$R,K$1,0),2)</f>
        <v>0.29</v>
      </c>
      <c r="L29" s="3" t="str">
        <f>FIXED(VLOOKUP($A29,'Full Sample-No Sub'!$A:$R,L$1,0),2)</f>
        <v>0.45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FIXED(VLOOKUP($A29,'Full Sample-Townhouse'!$A:$R,O$1,0),2)</f>
        <v>0.52</v>
      </c>
      <c r="P29" s="3" t="str">
        <f>FIXED(VLOOKUP($A29,'Full Sample-Townhouse'!$A:$R,P$1,0),2)</f>
        <v>0.50</v>
      </c>
      <c r="Q29" s="3" t="str">
        <f>FIXED(VLOOKUP($A29,'Full Sample-Townhouse'!$A:$R,Q$1,0),2)</f>
        <v>0.00</v>
      </c>
      <c r="R29" s="3" t="str">
        <f>FIXED(VLOOKUP($A29,'Full Sample-Townhouse'!$A:$R,R$1,0),2)</f>
        <v>1.00</v>
      </c>
      <c r="S29" s="9" t="str">
        <f>FIXED(VLOOKUP($A29,'Full Sample-Townhouse'!$A:$R,S$1,0),2)</f>
        <v>0.50</v>
      </c>
      <c r="T29" s="3" t="str">
        <f>FIXED(VLOOKUP($A29,'Full Sample-Townhouse'!$A:$R,T$1,0),2)</f>
        <v>0.50</v>
      </c>
      <c r="U29" s="3" t="str">
        <f>FIXED(VLOOKUP($A29,'Full Sample-Townhouse'!$A:$R,U$1,0),2)</f>
        <v>0.00</v>
      </c>
      <c r="V29" s="13" t="str">
        <f>FIXED(VLOOKUP($A29,'Full Sample-Townhouse'!$A:$R,V$1,0),2)</f>
        <v>1.00</v>
      </c>
      <c r="W29" s="9" t="str">
        <f>FIXED(VLOOKUP($A29,'Full Sample-Townhouse'!$A:$R,W$1,0),2)</f>
        <v>0.53</v>
      </c>
      <c r="X29" s="3" t="str">
        <f>FIXED(VLOOKUP($A29,'Full Sample-Townhouse'!$A:$R,X$1,0),2)</f>
        <v>0.50</v>
      </c>
      <c r="Y29" s="3" t="str">
        <f>FIXED(VLOOKUP($A29,'Full Sample-Townhouse'!$A:$R,Y$1,0),2)</f>
        <v>0.00</v>
      </c>
      <c r="Z29" s="3" t="str">
        <f>FIXED(VLOOKUP($A29,'Full Sample-Townhouse'!$A:$R,Z$1,0),2)</f>
        <v>1.00</v>
      </c>
      <c r="AA29" s="9" t="str">
        <f>FIXED(VLOOKUP($A29,'Full Sample-Single Family'!$A:$R,AA$1,0),2)</f>
        <v>0.00</v>
      </c>
      <c r="AB29" s="3" t="str">
        <f>FIXED(VLOOKUP($A29,'Full Sample-Single Family'!$A:$R,AB$1,0),2)</f>
        <v>0.00</v>
      </c>
      <c r="AC29" s="3" t="str">
        <f>FIXED(VLOOKUP($A29,'Full Sample-Single Family'!$A:$R,AC$1,0),2)</f>
        <v>0.00</v>
      </c>
      <c r="AD29" s="3" t="str">
        <f>FIXED(VLOOKUP($A29,'Full Sample-Single Family'!$A:$R,AD$1,0),2)</f>
        <v>0.00</v>
      </c>
      <c r="AE29" s="9" t="str">
        <f>FIXED(VLOOKUP($A29,'Full Sample-Single Family'!$A:$R,AE$1,0),2)</f>
        <v>0.00</v>
      </c>
      <c r="AF29" s="3" t="str">
        <f>FIXED(VLOOKUP($A29,'Full Sample-Single Family'!$A:$R,AF$1,0),2)</f>
        <v>0.00</v>
      </c>
      <c r="AG29" s="3" t="str">
        <f>FIXED(VLOOKUP($A29,'Full Sample-Single Family'!$A:$R,AG$1,0),2)</f>
        <v>0.00</v>
      </c>
      <c r="AH29" s="13" t="str">
        <f>FIXED(VLOOKUP($A29,'Full Sample-Single Family'!$A:$R,AH$1,0),2)</f>
        <v>0.00</v>
      </c>
      <c r="AI29" s="9" t="str">
        <f>FIXED(VLOOKUP($A29,'Full Sample-Single Family'!$A:$R,AI$1,0),2)</f>
        <v>0.00</v>
      </c>
      <c r="AJ29" s="3" t="str">
        <f>FIXED(VLOOKUP($A29,'Full Sample-Single Family'!$A:$R,AJ$1,0),2)</f>
        <v>0.00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26</v>
      </c>
      <c r="B30" s="4" t="s">
        <v>110</v>
      </c>
      <c r="C30" s="9" t="str">
        <f>FIXED(VLOOKUP($A30,'Full Sample-No Sub'!$A:$R,C$1,0),2)</f>
        <v>0.17</v>
      </c>
      <c r="D30" s="3" t="str">
        <f>FIXED(VLOOKUP($A30,'Full Sample-No Sub'!$A:$R,D$1,0),2)</f>
        <v>0.38</v>
      </c>
      <c r="E30" s="3" t="str">
        <f>FIXED(VLOOKUP($A30,'Full Sample-No Sub'!$A:$R,E$1,0),2)</f>
        <v>0.00</v>
      </c>
      <c r="F30" s="3" t="str">
        <f>FIXED(VLOOKUP($A30,'Full Sample-No Sub'!$A:$R,F$1,0),2)</f>
        <v>1.00</v>
      </c>
      <c r="G30" s="9" t="str">
        <f>FIXED(VLOOKUP($A30,'Full Sample-No Sub'!$A:$R,G$1,0),2)</f>
        <v>0.18</v>
      </c>
      <c r="H30" s="3" t="str">
        <f>FIXED(VLOOKUP($A30,'Full Sample-No Sub'!$A:$R,H$1,0),2)</f>
        <v>0.38</v>
      </c>
      <c r="I30" s="3" t="str">
        <f>FIXED(VLOOKUP($A30,'Full Sample-No Sub'!$A:$R,I$1,0),2)</f>
        <v>0.00</v>
      </c>
      <c r="J30" s="13" t="str">
        <f>FIXED(VLOOKUP($A30,'Full Sample-No Sub'!$A:$R,J$1,0),2)</f>
        <v>1.00</v>
      </c>
      <c r="K30" s="9" t="str">
        <f>FIXED(VLOOKUP($A30,'Full Sample-No Sub'!$A:$R,K$1,0),2)</f>
        <v>0.17</v>
      </c>
      <c r="L30" s="3" t="str">
        <f>FIXED(VLOOKUP($A30,'Full Sample-No Sub'!$A:$R,L$1,0),2)</f>
        <v>0.37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FIXED(VLOOKUP($A30,'Full Sample-Townhouse'!$A:$R,O$1,0),2)</f>
        <v>0.32</v>
      </c>
      <c r="P30" s="3" t="str">
        <f>FIXED(VLOOKUP($A30,'Full Sample-Townhouse'!$A:$R,P$1,0),2)</f>
        <v>0.47</v>
      </c>
      <c r="Q30" s="3" t="str">
        <f>FIXED(VLOOKUP($A30,'Full Sample-Townhouse'!$A:$R,Q$1,0),2)</f>
        <v>0.00</v>
      </c>
      <c r="R30" s="3" t="str">
        <f>FIXED(VLOOKUP($A30,'Full Sample-Townhouse'!$A:$R,R$1,0),2)</f>
        <v>1.00</v>
      </c>
      <c r="S30" s="9" t="str">
        <f>FIXED(VLOOKUP($A30,'Full Sample-Townhouse'!$A:$R,S$1,0),2)</f>
        <v>0.32</v>
      </c>
      <c r="T30" s="3" t="str">
        <f>FIXED(VLOOKUP($A30,'Full Sample-Townhouse'!$A:$R,T$1,0),2)</f>
        <v>0.47</v>
      </c>
      <c r="U30" s="3" t="str">
        <f>FIXED(VLOOKUP($A30,'Full Sample-Townhouse'!$A:$R,U$1,0),2)</f>
        <v>0.00</v>
      </c>
      <c r="V30" s="13" t="str">
        <f>FIXED(VLOOKUP($A30,'Full Sample-Townhouse'!$A:$R,V$1,0),2)</f>
        <v>1.00</v>
      </c>
      <c r="W30" s="9" t="str">
        <f>FIXED(VLOOKUP($A30,'Full Sample-Townhouse'!$A:$R,W$1,0),2)</f>
        <v>0.31</v>
      </c>
      <c r="X30" s="3" t="str">
        <f>FIXED(VLOOKUP($A30,'Full Sample-Townhouse'!$A:$R,X$1,0),2)</f>
        <v>0.46</v>
      </c>
      <c r="Y30" s="3" t="str">
        <f>FIXED(VLOOKUP($A30,'Full Sample-Townhouse'!$A:$R,Y$1,0),2)</f>
        <v>0.00</v>
      </c>
      <c r="Z30" s="3" t="str">
        <f>FIXED(VLOOKUP($A30,'Full Sample-Townhouse'!$A:$R,Z$1,0),2)</f>
        <v>1.00</v>
      </c>
      <c r="AA30" s="9" t="str">
        <f>FIXED(VLOOKUP($A30,'Full Sample-Single Family'!$A:$R,AA$1,0),2)</f>
        <v>0.00</v>
      </c>
      <c r="AB30" s="3" t="str">
        <f>FIXED(VLOOKUP($A30,'Full Sample-Single Family'!$A:$R,AB$1,0),2)</f>
        <v>0.02</v>
      </c>
      <c r="AC30" s="3" t="str">
        <f>FIXED(VLOOKUP($A30,'Full Sample-Single Family'!$A:$R,AC$1,0),2)</f>
        <v>0.00</v>
      </c>
      <c r="AD30" s="3" t="str">
        <f>FIXED(VLOOKUP($A30,'Full Sample-Single Family'!$A:$R,AD$1,0),2)</f>
        <v>1.00</v>
      </c>
      <c r="AE30" s="9" t="str">
        <f>FIXED(VLOOKUP($A30,'Full Sample-Single Family'!$A:$R,AE$1,0),2)</f>
        <v>0.00</v>
      </c>
      <c r="AF30" s="3" t="str">
        <f>FIXED(VLOOKUP($A30,'Full Sample-Single Family'!$A:$R,AF$1,0),2)</f>
        <v>0.02</v>
      </c>
      <c r="AG30" s="3" t="str">
        <f>FIXED(VLOOKUP($A30,'Full Sample-Single Family'!$A:$R,AG$1,0),2)</f>
        <v>0.00</v>
      </c>
      <c r="AH30" s="13" t="str">
        <f>FIXED(VLOOKUP($A30,'Full Sample-Single Family'!$A:$R,AH$1,0),2)</f>
        <v>1.00</v>
      </c>
      <c r="AI30" s="9" t="str">
        <f>FIXED(VLOOKUP($A30,'Full Sample-Single Family'!$A:$R,AI$1,0),2)</f>
        <v>0.00</v>
      </c>
      <c r="AJ30" s="3" t="str">
        <f>FIXED(VLOOKUP($A30,'Full Sample-Single Family'!$A:$R,AJ$1,0),2)</f>
        <v>0.01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27</v>
      </c>
      <c r="B31" s="4" t="s">
        <v>111</v>
      </c>
      <c r="C31" s="9" t="str">
        <f>FIXED(VLOOKUP($A31,'Full Sample-No Sub'!$A:$R,C$1,0),2)</f>
        <v>0.04</v>
      </c>
      <c r="D31" s="3" t="str">
        <f>FIXED(VLOOKUP($A31,'Full Sample-No Sub'!$A:$R,D$1,0),2)</f>
        <v>0.18</v>
      </c>
      <c r="E31" s="3" t="str">
        <f>FIXED(VLOOKUP($A31,'Full Sample-No Sub'!$A:$R,E$1,0),2)</f>
        <v>0.00</v>
      </c>
      <c r="F31" s="3" t="str">
        <f>FIXED(VLOOKUP($A31,'Full Sample-No Sub'!$A:$R,F$1,0),2)</f>
        <v>1.00</v>
      </c>
      <c r="G31" s="9" t="str">
        <f>FIXED(VLOOKUP($A31,'Full Sample-No Sub'!$A:$R,G$1,0),2)</f>
        <v>0.04</v>
      </c>
      <c r="H31" s="3" t="str">
        <f>FIXED(VLOOKUP($A31,'Full Sample-No Sub'!$A:$R,H$1,0),2)</f>
        <v>0.19</v>
      </c>
      <c r="I31" s="3" t="str">
        <f>FIXED(VLOOKUP($A31,'Full Sample-No Sub'!$A:$R,I$1,0),2)</f>
        <v>0.00</v>
      </c>
      <c r="J31" s="13" t="str">
        <f>FIXED(VLOOKUP($A31,'Full Sample-No Sub'!$A:$R,J$1,0),2)</f>
        <v>1.00</v>
      </c>
      <c r="K31" s="9" t="str">
        <f>FIXED(VLOOKUP($A31,'Full Sample-No Sub'!$A:$R,K$1,0),2)</f>
        <v>0.03</v>
      </c>
      <c r="L31" s="3" t="str">
        <f>FIXED(VLOOKUP($A31,'Full Sample-No Sub'!$A:$R,L$1,0),2)</f>
        <v>0.18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FIXED(VLOOKUP($A31,'Full Sample-Townhouse'!$A:$R,O$1,0),2)</f>
        <v>0.07</v>
      </c>
      <c r="P31" s="3" t="str">
        <f>FIXED(VLOOKUP($A31,'Full Sample-Townhouse'!$A:$R,P$1,0),2)</f>
        <v>0.25</v>
      </c>
      <c r="Q31" s="3" t="str">
        <f>FIXED(VLOOKUP($A31,'Full Sample-Townhouse'!$A:$R,Q$1,0),2)</f>
        <v>0.00</v>
      </c>
      <c r="R31" s="3" t="str">
        <f>FIXED(VLOOKUP($A31,'Full Sample-Townhouse'!$A:$R,R$1,0),2)</f>
        <v>1.00</v>
      </c>
      <c r="S31" s="9" t="str">
        <f>FIXED(VLOOKUP($A31,'Full Sample-Townhouse'!$A:$R,S$1,0),2)</f>
        <v>0.07</v>
      </c>
      <c r="T31" s="3" t="str">
        <f>FIXED(VLOOKUP($A31,'Full Sample-Townhouse'!$A:$R,T$1,0),2)</f>
        <v>0.25</v>
      </c>
      <c r="U31" s="3" t="str">
        <f>FIXED(VLOOKUP($A31,'Full Sample-Townhouse'!$A:$R,U$1,0),2)</f>
        <v>0.00</v>
      </c>
      <c r="V31" s="13" t="str">
        <f>FIXED(VLOOKUP($A31,'Full Sample-Townhouse'!$A:$R,V$1,0),2)</f>
        <v>1.00</v>
      </c>
      <c r="W31" s="9" t="str">
        <f>FIXED(VLOOKUP($A31,'Full Sample-Townhouse'!$A:$R,W$1,0),2)</f>
        <v>0.06</v>
      </c>
      <c r="X31" s="3" t="str">
        <f>FIXED(VLOOKUP($A31,'Full Sample-Townhouse'!$A:$R,X$1,0),2)</f>
        <v>0.24</v>
      </c>
      <c r="Y31" s="3" t="str">
        <f>FIXED(VLOOKUP($A31,'Full Sample-Townhouse'!$A:$R,Y$1,0),2)</f>
        <v>0.00</v>
      </c>
      <c r="Z31" s="3" t="str">
        <f>FIXED(VLOOKUP($A31,'Full Sample-Townhouse'!$A:$R,Z$1,0),2)</f>
        <v>1.00</v>
      </c>
      <c r="AA31" s="9" t="str">
        <f>FIXED(VLOOKUP($A31,'Full Sample-Single Family'!$A:$R,AA$1,0),2)</f>
        <v>0.00</v>
      </c>
      <c r="AB31" s="3" t="str">
        <f>FIXED(VLOOKUP($A31,'Full Sample-Single Family'!$A:$R,AB$1,0),2)</f>
        <v>0.00</v>
      </c>
      <c r="AC31" s="3" t="str">
        <f>FIXED(VLOOKUP($A31,'Full Sample-Single Family'!$A:$R,AC$1,0),2)</f>
        <v>0.00</v>
      </c>
      <c r="AD31" s="3" t="str">
        <f>FIXED(VLOOKUP($A31,'Full Sample-Single Family'!$A:$R,AD$1,0),2)</f>
        <v>0.00</v>
      </c>
      <c r="AE31" s="9" t="str">
        <f>FIXED(VLOOKUP($A31,'Full Sample-Single Family'!$A:$R,AE$1,0),2)</f>
        <v>0.00</v>
      </c>
      <c r="AF31" s="3" t="str">
        <f>FIXED(VLOOKUP($A31,'Full Sample-Single Family'!$A:$R,AF$1,0),2)</f>
        <v>0.00</v>
      </c>
      <c r="AG31" s="3" t="str">
        <f>FIXED(VLOOKUP($A31,'Full Sample-Single Family'!$A:$R,AG$1,0),2)</f>
        <v>0.00</v>
      </c>
      <c r="AH31" s="13" t="str">
        <f>FIXED(VLOOKUP($A31,'Full Sample-Single Family'!$A:$R,AH$1,0),2)</f>
        <v>0.00</v>
      </c>
      <c r="AI31" s="9" t="str">
        <f>FIXED(VLOOKUP($A31,'Full Sample-Single Family'!$A:$R,AI$1,0),2)</f>
        <v>0.00</v>
      </c>
      <c r="AJ31" s="3" t="str">
        <f>FIXED(VLOOKUP($A31,'Full Sample-Single Family'!$A:$R,AJ$1,0),2)</f>
        <v>0.00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28</v>
      </c>
      <c r="B32" s="4" t="s">
        <v>112</v>
      </c>
      <c r="C32" s="9" t="str">
        <f>FIXED(VLOOKUP($A32,'Full Sample-No Sub'!$A:$R,C$1,0),2)</f>
        <v>0.42</v>
      </c>
      <c r="D32" s="3" t="str">
        <f>FIXED(VLOOKUP($A32,'Full Sample-No Sub'!$A:$R,D$1,0),2)</f>
        <v>0.49</v>
      </c>
      <c r="E32" s="3" t="str">
        <f>FIXED(VLOOKUP($A32,'Full Sample-No Sub'!$A:$R,E$1,0),2)</f>
        <v>0.00</v>
      </c>
      <c r="F32" s="3" t="str">
        <f>FIXED(VLOOKUP($A32,'Full Sample-No Sub'!$A:$R,F$1,0),2)</f>
        <v>1.00</v>
      </c>
      <c r="G32" s="9" t="str">
        <f>FIXED(VLOOKUP($A32,'Full Sample-No Sub'!$A:$R,G$1,0),2)</f>
        <v>0.42</v>
      </c>
      <c r="H32" s="3" t="str">
        <f>FIXED(VLOOKUP($A32,'Full Sample-No Sub'!$A:$R,H$1,0),2)</f>
        <v>0.49</v>
      </c>
      <c r="I32" s="3" t="str">
        <f>FIXED(VLOOKUP($A32,'Full Sample-No Sub'!$A:$R,I$1,0),2)</f>
        <v>0.00</v>
      </c>
      <c r="J32" s="13" t="str">
        <f>FIXED(VLOOKUP($A32,'Full Sample-No Sub'!$A:$R,J$1,0),2)</f>
        <v>1.00</v>
      </c>
      <c r="K32" s="9" t="str">
        <f>FIXED(VLOOKUP($A32,'Full Sample-No Sub'!$A:$R,K$1,0),2)</f>
        <v>0.42</v>
      </c>
      <c r="L32" s="3" t="str">
        <f>FIXED(VLOOKUP($A32,'Full Sample-No Sub'!$A:$R,L$1,0),2)</f>
        <v>0.49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FIXED(VLOOKUP($A32,'Full Sample-Townhouse'!$A:$R,O$1,0),2)</f>
        <v>0.00</v>
      </c>
      <c r="P32" s="3" t="str">
        <f>FIXED(VLOOKUP($A32,'Full Sample-Townhouse'!$A:$R,P$1,0),2)</f>
        <v>0.06</v>
      </c>
      <c r="Q32" s="3" t="str">
        <f>FIXED(VLOOKUP($A32,'Full Sample-Townhouse'!$A:$R,Q$1,0),2)</f>
        <v>0.00</v>
      </c>
      <c r="R32" s="3" t="str">
        <f>FIXED(VLOOKUP($A32,'Full Sample-Townhouse'!$A:$R,R$1,0),2)</f>
        <v>1.00</v>
      </c>
      <c r="S32" s="9" t="str">
        <f>FIXED(VLOOKUP($A32,'Full Sample-Townhouse'!$A:$R,S$1,0),2)</f>
        <v>0.00</v>
      </c>
      <c r="T32" s="3" t="str">
        <f>FIXED(VLOOKUP($A32,'Full Sample-Townhouse'!$A:$R,T$1,0),2)</f>
        <v>0.06</v>
      </c>
      <c r="U32" s="3" t="str">
        <f>FIXED(VLOOKUP($A32,'Full Sample-Townhouse'!$A:$R,U$1,0),2)</f>
        <v>0.00</v>
      </c>
      <c r="V32" s="13" t="str">
        <f>FIXED(VLOOKUP($A32,'Full Sample-Townhouse'!$A:$R,V$1,0),2)</f>
        <v>1.00</v>
      </c>
      <c r="W32" s="9" t="str">
        <f>FIXED(VLOOKUP($A32,'Full Sample-Townhouse'!$A:$R,W$1,0),2)</f>
        <v>0.00</v>
      </c>
      <c r="X32" s="3" t="str">
        <f>FIXED(VLOOKUP($A32,'Full Sample-Townhouse'!$A:$R,X$1,0),2)</f>
        <v>0.06</v>
      </c>
      <c r="Y32" s="3" t="str">
        <f>FIXED(VLOOKUP($A32,'Full Sample-Townhouse'!$A:$R,Y$1,0),2)</f>
        <v>0.00</v>
      </c>
      <c r="Z32" s="3" t="str">
        <f>FIXED(VLOOKUP($A32,'Full Sample-Townhouse'!$A:$R,Z$1,0),2)</f>
        <v>1.00</v>
      </c>
      <c r="AA32" s="9" t="str">
        <f>FIXED(VLOOKUP($A32,'Full Sample-Single Family'!$A:$R,AA$1,0),2)</f>
        <v>0.92</v>
      </c>
      <c r="AB32" s="3" t="str">
        <f>FIXED(VLOOKUP($A32,'Full Sample-Single Family'!$A:$R,AB$1,0),2)</f>
        <v>0.27</v>
      </c>
      <c r="AC32" s="3" t="str">
        <f>FIXED(VLOOKUP($A32,'Full Sample-Single Family'!$A:$R,AC$1,0),2)</f>
        <v>0.00</v>
      </c>
      <c r="AD32" s="3" t="str">
        <f>FIXED(VLOOKUP($A32,'Full Sample-Single Family'!$A:$R,AD$1,0),2)</f>
        <v>1.00</v>
      </c>
      <c r="AE32" s="9" t="str">
        <f>FIXED(VLOOKUP($A32,'Full Sample-Single Family'!$A:$R,AE$1,0),2)</f>
        <v>0.92</v>
      </c>
      <c r="AF32" s="3" t="str">
        <f>FIXED(VLOOKUP($A32,'Full Sample-Single Family'!$A:$R,AF$1,0),2)</f>
        <v>0.28</v>
      </c>
      <c r="AG32" s="3" t="str">
        <f>FIXED(VLOOKUP($A32,'Full Sample-Single Family'!$A:$R,AG$1,0),2)</f>
        <v>0.00</v>
      </c>
      <c r="AH32" s="13" t="str">
        <f>FIXED(VLOOKUP($A32,'Full Sample-Single Family'!$A:$R,AH$1,0),2)</f>
        <v>1.00</v>
      </c>
      <c r="AI32" s="9" t="str">
        <f>FIXED(VLOOKUP($A32,'Full Sample-Single Family'!$A:$R,AI$1,0),2)</f>
        <v>0.92</v>
      </c>
      <c r="AJ32" s="3" t="str">
        <f>FIXED(VLOOKUP($A32,'Full Sample-Single Family'!$A:$R,AJ$1,0),2)</f>
        <v>0.27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29</v>
      </c>
      <c r="B33" s="4" t="s">
        <v>113</v>
      </c>
      <c r="C33" s="9" t="str">
        <f>FIXED(VLOOKUP($A33,'Full Sample-No Sub'!$A:$R,C$1,0),2)</f>
        <v>0.01</v>
      </c>
      <c r="D33" s="3" t="str">
        <f>FIXED(VLOOKUP($A33,'Full Sample-No Sub'!$A:$R,D$1,0),2)</f>
        <v>0.09</v>
      </c>
      <c r="E33" s="3" t="str">
        <f>FIXED(VLOOKUP($A33,'Full Sample-No Sub'!$A:$R,E$1,0),2)</f>
        <v>0.00</v>
      </c>
      <c r="F33" s="3" t="str">
        <f>FIXED(VLOOKUP($A33,'Full Sample-No Sub'!$A:$R,F$1,0),2)</f>
        <v>1.00</v>
      </c>
      <c r="G33" s="9" t="str">
        <f>FIXED(VLOOKUP($A33,'Full Sample-No Sub'!$A:$R,G$1,0),2)</f>
        <v>0.01</v>
      </c>
      <c r="H33" s="3" t="str">
        <f>FIXED(VLOOKUP($A33,'Full Sample-No Sub'!$A:$R,H$1,0),2)</f>
        <v>0.10</v>
      </c>
      <c r="I33" s="3" t="str">
        <f>FIXED(VLOOKUP($A33,'Full Sample-No Sub'!$A:$R,I$1,0),2)</f>
        <v>0.00</v>
      </c>
      <c r="J33" s="13" t="str">
        <f>FIXED(VLOOKUP($A33,'Full Sample-No Sub'!$A:$R,J$1,0),2)</f>
        <v>1.00</v>
      </c>
      <c r="K33" s="9" t="str">
        <f>FIXED(VLOOKUP($A33,'Full Sample-No Sub'!$A:$R,K$1,0),2)</f>
        <v>0.01</v>
      </c>
      <c r="L33" s="3" t="str">
        <f>FIXED(VLOOKUP($A33,'Full Sample-No Sub'!$A:$R,L$1,0),2)</f>
        <v>0.09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FIXED(VLOOKUP($A33,'Full Sample-Townhouse'!$A:$R,O$1,0),2)</f>
        <v>0.00</v>
      </c>
      <c r="P33" s="3" t="str">
        <f>FIXED(VLOOKUP($A33,'Full Sample-Townhouse'!$A:$R,P$1,0),2)</f>
        <v>0.01</v>
      </c>
      <c r="Q33" s="3" t="str">
        <f>FIXED(VLOOKUP($A33,'Full Sample-Townhouse'!$A:$R,Q$1,0),2)</f>
        <v>0.00</v>
      </c>
      <c r="R33" s="3" t="str">
        <f>FIXED(VLOOKUP($A33,'Full Sample-Townhouse'!$A:$R,R$1,0),2)</f>
        <v>1.00</v>
      </c>
      <c r="S33" s="9" t="str">
        <f>FIXED(VLOOKUP($A33,'Full Sample-Townhouse'!$A:$R,S$1,0),2)</f>
        <v>0.00</v>
      </c>
      <c r="T33" s="3" t="str">
        <f>FIXED(VLOOKUP($A33,'Full Sample-Townhouse'!$A:$R,T$1,0),2)</f>
        <v>0.01</v>
      </c>
      <c r="U33" s="3" t="str">
        <f>FIXED(VLOOKUP($A33,'Full Sample-Townhouse'!$A:$R,U$1,0),2)</f>
        <v>0.00</v>
      </c>
      <c r="V33" s="13" t="str">
        <f>FIXED(VLOOKUP($A33,'Full Sample-Townhouse'!$A:$R,V$1,0),2)</f>
        <v>1.00</v>
      </c>
      <c r="W33" s="9" t="str">
        <f>FIXED(VLOOKUP($A33,'Full Sample-Townhouse'!$A:$R,W$1,0),2)</f>
        <v>0.00</v>
      </c>
      <c r="X33" s="3" t="str">
        <f>FIXED(VLOOKUP($A33,'Full Sample-Townhouse'!$A:$R,X$1,0),2)</f>
        <v>0.00</v>
      </c>
      <c r="Y33" s="3" t="str">
        <f>FIXED(VLOOKUP($A33,'Full Sample-Townhouse'!$A:$R,Y$1,0),2)</f>
        <v>0.00</v>
      </c>
      <c r="Z33" s="3" t="str">
        <f>FIXED(VLOOKUP($A33,'Full Sample-Townhouse'!$A:$R,Z$1,0),2)</f>
        <v>0.00</v>
      </c>
      <c r="AA33" s="9" t="str">
        <f>FIXED(VLOOKUP($A33,'Full Sample-Single Family'!$A:$R,AA$1,0),2)</f>
        <v>0.02</v>
      </c>
      <c r="AB33" s="3" t="str">
        <f>FIXED(VLOOKUP($A33,'Full Sample-Single Family'!$A:$R,AB$1,0),2)</f>
        <v>0.14</v>
      </c>
      <c r="AC33" s="3" t="str">
        <f>FIXED(VLOOKUP($A33,'Full Sample-Single Family'!$A:$R,AC$1,0),2)</f>
        <v>0.00</v>
      </c>
      <c r="AD33" s="3" t="str">
        <f>FIXED(VLOOKUP($A33,'Full Sample-Single Family'!$A:$R,AD$1,0),2)</f>
        <v>1.00</v>
      </c>
      <c r="AE33" s="9" t="str">
        <f>FIXED(VLOOKUP($A33,'Full Sample-Single Family'!$A:$R,AE$1,0),2)</f>
        <v>0.02</v>
      </c>
      <c r="AF33" s="3" t="str">
        <f>FIXED(VLOOKUP($A33,'Full Sample-Single Family'!$A:$R,AF$1,0),2)</f>
        <v>0.14</v>
      </c>
      <c r="AG33" s="3" t="str">
        <f>FIXED(VLOOKUP($A33,'Full Sample-Single Family'!$A:$R,AG$1,0),2)</f>
        <v>0.00</v>
      </c>
      <c r="AH33" s="13" t="str">
        <f>FIXED(VLOOKUP($A33,'Full Sample-Single Family'!$A:$R,AH$1,0),2)</f>
        <v>1.00</v>
      </c>
      <c r="AI33" s="9" t="str">
        <f>FIXED(VLOOKUP($A33,'Full Sample-Single Family'!$A:$R,AI$1,0),2)</f>
        <v>0.02</v>
      </c>
      <c r="AJ33" s="3" t="str">
        <f>FIXED(VLOOKUP($A33,'Full Sample-Single Family'!$A:$R,AJ$1,0),2)</f>
        <v>0.13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30</v>
      </c>
      <c r="B34" s="4" t="s">
        <v>114</v>
      </c>
      <c r="C34" s="9" t="str">
        <f>FIXED(VLOOKUP($A34,'Full Sample-No Sub'!$A:$R,C$1,0),2)</f>
        <v>0.02</v>
      </c>
      <c r="D34" s="3" t="str">
        <f>FIXED(VLOOKUP($A34,'Full Sample-No Sub'!$A:$R,D$1,0),2)</f>
        <v>0.13</v>
      </c>
      <c r="E34" s="3" t="str">
        <f>FIXED(VLOOKUP($A34,'Full Sample-No Sub'!$A:$R,E$1,0),2)</f>
        <v>0.00</v>
      </c>
      <c r="F34" s="3" t="str">
        <f>FIXED(VLOOKUP($A34,'Full Sample-No Sub'!$A:$R,F$1,0),2)</f>
        <v>1.00</v>
      </c>
      <c r="G34" s="9" t="str">
        <f>FIXED(VLOOKUP($A34,'Full Sample-No Sub'!$A:$R,G$1,0),2)</f>
        <v>0.02</v>
      </c>
      <c r="H34" s="3" t="str">
        <f>FIXED(VLOOKUP($A34,'Full Sample-No Sub'!$A:$R,H$1,0),2)</f>
        <v>0.12</v>
      </c>
      <c r="I34" s="3" t="str">
        <f>FIXED(VLOOKUP($A34,'Full Sample-No Sub'!$A:$R,I$1,0),2)</f>
        <v>0.00</v>
      </c>
      <c r="J34" s="13" t="str">
        <f>FIXED(VLOOKUP($A34,'Full Sample-No Sub'!$A:$R,J$1,0),2)</f>
        <v>1.00</v>
      </c>
      <c r="K34" s="9" t="str">
        <f>FIXED(VLOOKUP($A34,'Full Sample-No Sub'!$A:$R,K$1,0),2)</f>
        <v>0.02</v>
      </c>
      <c r="L34" s="3" t="str">
        <f>FIXED(VLOOKUP($A34,'Full Sample-No Sub'!$A:$R,L$1,0),2)</f>
        <v>0.14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FIXED(VLOOKUP($A34,'Full Sample-Townhouse'!$A:$R,O$1,0),2)</f>
        <v>0.00</v>
      </c>
      <c r="P34" s="3" t="str">
        <f>FIXED(VLOOKUP($A34,'Full Sample-Townhouse'!$A:$R,P$1,0),2)</f>
        <v>0.00</v>
      </c>
      <c r="Q34" s="3" t="str">
        <f>FIXED(VLOOKUP($A34,'Full Sample-Townhouse'!$A:$R,Q$1,0),2)</f>
        <v>0.00</v>
      </c>
      <c r="R34" s="3" t="str">
        <f>FIXED(VLOOKUP($A34,'Full Sample-Townhouse'!$A:$R,R$1,0),2)</f>
        <v>0.00</v>
      </c>
      <c r="S34" s="9" t="str">
        <f>FIXED(VLOOKUP($A34,'Full Sample-Townhouse'!$A:$R,S$1,0),2)</f>
        <v>0.00</v>
      </c>
      <c r="T34" s="3" t="str">
        <f>FIXED(VLOOKUP($A34,'Full Sample-Townhouse'!$A:$R,T$1,0),2)</f>
        <v>0.00</v>
      </c>
      <c r="U34" s="3" t="str">
        <f>FIXED(VLOOKUP($A34,'Full Sample-Townhouse'!$A:$R,U$1,0),2)</f>
        <v>0.00</v>
      </c>
      <c r="V34" s="13" t="str">
        <f>FIXED(VLOOKUP($A34,'Full Sample-Townhouse'!$A:$R,V$1,0),2)</f>
        <v>0.00</v>
      </c>
      <c r="W34" s="9" t="str">
        <f>FIXED(VLOOKUP($A34,'Full Sample-Townhouse'!$A:$R,W$1,0),2)</f>
        <v>0.00</v>
      </c>
      <c r="X34" s="3" t="str">
        <f>FIXED(VLOOKUP($A34,'Full Sample-Townhouse'!$A:$R,X$1,0),2)</f>
        <v>0.00</v>
      </c>
      <c r="Y34" s="3" t="str">
        <f>FIXED(VLOOKUP($A34,'Full Sample-Townhouse'!$A:$R,Y$1,0),2)</f>
        <v>0.00</v>
      </c>
      <c r="Z34" s="3" t="str">
        <f>FIXED(VLOOKUP($A34,'Full Sample-Townhouse'!$A:$R,Z$1,0),2)</f>
        <v>0.00</v>
      </c>
      <c r="AA34" s="9" t="str">
        <f>FIXED(VLOOKUP($A34,'Full Sample-Single Family'!$A:$R,AA$1,0),2)</f>
        <v>0.04</v>
      </c>
      <c r="AB34" s="3" t="str">
        <f>FIXED(VLOOKUP($A34,'Full Sample-Single Family'!$A:$R,AB$1,0),2)</f>
        <v>0.19</v>
      </c>
      <c r="AC34" s="3" t="str">
        <f>FIXED(VLOOKUP($A34,'Full Sample-Single Family'!$A:$R,AC$1,0),2)</f>
        <v>0.00</v>
      </c>
      <c r="AD34" s="3" t="str">
        <f>FIXED(VLOOKUP($A34,'Full Sample-Single Family'!$A:$R,AD$1,0),2)</f>
        <v>1.00</v>
      </c>
      <c r="AE34" s="9" t="str">
        <f>FIXED(VLOOKUP($A34,'Full Sample-Single Family'!$A:$R,AE$1,0),2)</f>
        <v>0.03</v>
      </c>
      <c r="AF34" s="3" t="str">
        <f>FIXED(VLOOKUP($A34,'Full Sample-Single Family'!$A:$R,AF$1,0),2)</f>
        <v>0.18</v>
      </c>
      <c r="AG34" s="3" t="str">
        <f>FIXED(VLOOKUP($A34,'Full Sample-Single Family'!$A:$R,AG$1,0),2)</f>
        <v>0.00</v>
      </c>
      <c r="AH34" s="13" t="str">
        <f>FIXED(VLOOKUP($A34,'Full Sample-Single Family'!$A:$R,AH$1,0),2)</f>
        <v>1.00</v>
      </c>
      <c r="AI34" s="9" t="str">
        <f>FIXED(VLOOKUP($A34,'Full Sample-Single Family'!$A:$R,AI$1,0),2)</f>
        <v>0.05</v>
      </c>
      <c r="AJ34" s="3" t="str">
        <f>FIXED(VLOOKUP($A34,'Full Sample-Single Family'!$A:$R,AJ$1,0),2)</f>
        <v>0.21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31</v>
      </c>
      <c r="B35" s="4" t="s">
        <v>115</v>
      </c>
      <c r="C35" s="9" t="str">
        <f>FIXED(VLOOKUP($A35,'Full Sample-No Sub'!$A:$R,C$1,0),2)</f>
        <v>0.05</v>
      </c>
      <c r="D35" s="3" t="str">
        <f>FIXED(VLOOKUP($A35,'Full Sample-No Sub'!$A:$R,D$1,0),2)</f>
        <v>0.21</v>
      </c>
      <c r="E35" s="3" t="str">
        <f>FIXED(VLOOKUP($A35,'Full Sample-No Sub'!$A:$R,E$1,0),2)</f>
        <v>0.00</v>
      </c>
      <c r="F35" s="3" t="str">
        <f>FIXED(VLOOKUP($A35,'Full Sample-No Sub'!$A:$R,F$1,0),2)</f>
        <v>1.00</v>
      </c>
      <c r="G35" s="9" t="str">
        <f>FIXED(VLOOKUP($A35,'Full Sample-No Sub'!$A:$R,G$1,0),2)</f>
        <v>0.05</v>
      </c>
      <c r="H35" s="3" t="str">
        <f>FIXED(VLOOKUP($A35,'Full Sample-No Sub'!$A:$R,H$1,0),2)</f>
        <v>0.21</v>
      </c>
      <c r="I35" s="3" t="str">
        <f>FIXED(VLOOKUP($A35,'Full Sample-No Sub'!$A:$R,I$1,0),2)</f>
        <v>0.00</v>
      </c>
      <c r="J35" s="13" t="str">
        <f>FIXED(VLOOKUP($A35,'Full Sample-No Sub'!$A:$R,J$1,0),2)</f>
        <v>1.00</v>
      </c>
      <c r="K35" s="9" t="str">
        <f>FIXED(VLOOKUP($A35,'Full Sample-No Sub'!$A:$R,K$1,0),2)</f>
        <v>0.04</v>
      </c>
      <c r="L35" s="3" t="str">
        <f>FIXED(VLOOKUP($A35,'Full Sample-No Sub'!$A:$R,L$1,0),2)</f>
        <v>0.20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FIXED(VLOOKUP($A35,'Full Sample-Townhouse'!$A:$R,O$1,0),2)</f>
        <v>0.08</v>
      </c>
      <c r="P35" s="3" t="str">
        <f>FIXED(VLOOKUP($A35,'Full Sample-Townhouse'!$A:$R,P$1,0),2)</f>
        <v>0.28</v>
      </c>
      <c r="Q35" s="3" t="str">
        <f>FIXED(VLOOKUP($A35,'Full Sample-Townhouse'!$A:$R,Q$1,0),2)</f>
        <v>0.00</v>
      </c>
      <c r="R35" s="3" t="str">
        <f>FIXED(VLOOKUP($A35,'Full Sample-Townhouse'!$A:$R,R$1,0),2)</f>
        <v>1.00</v>
      </c>
      <c r="S35" s="9" t="str">
        <f>FIXED(VLOOKUP($A35,'Full Sample-Townhouse'!$A:$R,S$1,0),2)</f>
        <v>0.09</v>
      </c>
      <c r="T35" s="3" t="str">
        <f>FIXED(VLOOKUP($A35,'Full Sample-Townhouse'!$A:$R,T$1,0),2)</f>
        <v>0.28</v>
      </c>
      <c r="U35" s="3" t="str">
        <f>FIXED(VLOOKUP($A35,'Full Sample-Townhouse'!$A:$R,U$1,0),2)</f>
        <v>0.00</v>
      </c>
      <c r="V35" s="13" t="str">
        <f>FIXED(VLOOKUP($A35,'Full Sample-Townhouse'!$A:$R,V$1,0),2)</f>
        <v>1.00</v>
      </c>
      <c r="W35" s="9" t="str">
        <f>FIXED(VLOOKUP($A35,'Full Sample-Townhouse'!$A:$R,W$1,0),2)</f>
        <v>0.08</v>
      </c>
      <c r="X35" s="3" t="str">
        <f>FIXED(VLOOKUP($A35,'Full Sample-Townhouse'!$A:$R,X$1,0),2)</f>
        <v>0.27</v>
      </c>
      <c r="Y35" s="3" t="str">
        <f>FIXED(VLOOKUP($A35,'Full Sample-Townhouse'!$A:$R,Y$1,0),2)</f>
        <v>0.00</v>
      </c>
      <c r="Z35" s="3" t="str">
        <f>FIXED(VLOOKUP($A35,'Full Sample-Townhouse'!$A:$R,Z$1,0),2)</f>
        <v>1.00</v>
      </c>
      <c r="AA35" s="9" t="str">
        <f>FIXED(VLOOKUP($A35,'Full Sample-Single Family'!$A:$R,AA$1,0),2)</f>
        <v>0.00</v>
      </c>
      <c r="AB35" s="3" t="str">
        <f>FIXED(VLOOKUP($A35,'Full Sample-Single Family'!$A:$R,AB$1,0),2)</f>
        <v>0.00</v>
      </c>
      <c r="AC35" s="3" t="str">
        <f>FIXED(VLOOKUP($A35,'Full Sample-Single Family'!$A:$R,AC$1,0),2)</f>
        <v>0.00</v>
      </c>
      <c r="AD35" s="3" t="str">
        <f>FIXED(VLOOKUP($A35,'Full Sample-Single Family'!$A:$R,AD$1,0),2)</f>
        <v>0.00</v>
      </c>
      <c r="AE35" s="9" t="str">
        <f>FIXED(VLOOKUP($A35,'Full Sample-Single Family'!$A:$R,AE$1,0),2)</f>
        <v>0.00</v>
      </c>
      <c r="AF35" s="3" t="str">
        <f>FIXED(VLOOKUP($A35,'Full Sample-Single Family'!$A:$R,AF$1,0),2)</f>
        <v>0.00</v>
      </c>
      <c r="AG35" s="3" t="str">
        <f>FIXED(VLOOKUP($A35,'Full Sample-Single Family'!$A:$R,AG$1,0),2)</f>
        <v>0.00</v>
      </c>
      <c r="AH35" s="13" t="str">
        <f>FIXED(VLOOKUP($A35,'Full Sample-Single Family'!$A:$R,AH$1,0),2)</f>
        <v>0.00</v>
      </c>
      <c r="AI35" s="9" t="str">
        <f>FIXED(VLOOKUP($A35,'Full Sample-Single Family'!$A:$R,AI$1,0),2)</f>
        <v>0.00</v>
      </c>
      <c r="AJ35" s="3" t="str">
        <f>FIXED(VLOOKUP($A35,'Full Sample-Single Family'!$A:$R,AJ$1,0),2)</f>
        <v>0.00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62</v>
      </c>
      <c r="B36" s="4" t="s">
        <v>138</v>
      </c>
      <c r="C36" s="9" t="str">
        <f>FIXED(VLOOKUP($A36,'Full Sample-No Sub'!$A:$R,C$1,0),2)</f>
        <v>0.46</v>
      </c>
      <c r="D36" s="3" t="str">
        <f>FIXED(VLOOKUP($A36,'Full Sample-No Sub'!$A:$R,D$1,0),2)</f>
        <v>0.50</v>
      </c>
      <c r="E36" s="3" t="str">
        <f>FIXED(VLOOKUP($A36,'Full Sample-No Sub'!$A:$R,E$1,0),2)</f>
        <v>0.00</v>
      </c>
      <c r="F36" s="3" t="str">
        <f>FIXED(VLOOKUP($A36,'Full Sample-No Sub'!$A:$R,F$1,0),2)</f>
        <v>1.00</v>
      </c>
      <c r="G36" s="9" t="str">
        <f>FIXED(VLOOKUP($A36,'Full Sample-No Sub'!$A:$R,G$1,0),2)</f>
        <v>0.46</v>
      </c>
      <c r="H36" s="3" t="str">
        <f>FIXED(VLOOKUP($A36,'Full Sample-No Sub'!$A:$R,H$1,0),2)</f>
        <v>0.50</v>
      </c>
      <c r="I36" s="3" t="str">
        <f>FIXED(VLOOKUP($A36,'Full Sample-No Sub'!$A:$R,I$1,0),2)</f>
        <v>0.00</v>
      </c>
      <c r="J36" s="13" t="str">
        <f>FIXED(VLOOKUP($A36,'Full Sample-No Sub'!$A:$R,J$1,0),2)</f>
        <v>1.00</v>
      </c>
      <c r="K36" s="9" t="str">
        <f>FIXED(VLOOKUP($A36,'Full Sample-No Sub'!$A:$R,K$1,0),2)</f>
        <v>0.46</v>
      </c>
      <c r="L36" s="3" t="str">
        <f>FIXED(VLOOKUP($A36,'Full Sample-No Sub'!$A:$R,L$1,0),2)</f>
        <v>0.50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FIXED(VLOOKUP($A36,'Full Sample-Townhouse'!$A:$R,O$1,0),2)</f>
        <v>0.11</v>
      </c>
      <c r="P36" s="3" t="str">
        <f>FIXED(VLOOKUP($A36,'Full Sample-Townhouse'!$A:$R,P$1,0),2)</f>
        <v>0.31</v>
      </c>
      <c r="Q36" s="3" t="str">
        <f>FIXED(VLOOKUP($A36,'Full Sample-Townhouse'!$A:$R,Q$1,0),2)</f>
        <v>0.00</v>
      </c>
      <c r="R36" s="3" t="str">
        <f>FIXED(VLOOKUP($A36,'Full Sample-Townhouse'!$A:$R,R$1,0),2)</f>
        <v>1.00</v>
      </c>
      <c r="S36" s="9" t="str">
        <f>FIXED(VLOOKUP($A36,'Full Sample-Townhouse'!$A:$R,S$1,0),2)</f>
        <v>0.11</v>
      </c>
      <c r="T36" s="3" t="str">
        <f>FIXED(VLOOKUP($A36,'Full Sample-Townhouse'!$A:$R,T$1,0),2)</f>
        <v>0.32</v>
      </c>
      <c r="U36" s="3" t="str">
        <f>FIXED(VLOOKUP($A36,'Full Sample-Townhouse'!$A:$R,U$1,0),2)</f>
        <v>0.00</v>
      </c>
      <c r="V36" s="13" t="str">
        <f>FIXED(VLOOKUP($A36,'Full Sample-Townhouse'!$A:$R,V$1,0),2)</f>
        <v>1.00</v>
      </c>
      <c r="W36" s="9" t="str">
        <f>FIXED(VLOOKUP($A36,'Full Sample-Townhouse'!$A:$R,W$1,0),2)</f>
        <v>0.11</v>
      </c>
      <c r="X36" s="3" t="str">
        <f>FIXED(VLOOKUP($A36,'Full Sample-Townhouse'!$A:$R,X$1,0),2)</f>
        <v>0.31</v>
      </c>
      <c r="Y36" s="3" t="str">
        <f>FIXED(VLOOKUP($A36,'Full Sample-Townhouse'!$A:$R,Y$1,0),2)</f>
        <v>0.00</v>
      </c>
      <c r="Z36" s="3" t="str">
        <f>FIXED(VLOOKUP($A36,'Full Sample-Townhouse'!$A:$R,Z$1,0),2)</f>
        <v>1.00</v>
      </c>
      <c r="AA36" s="9" t="str">
        <f>FIXED(VLOOKUP($A36,'Full Sample-Single Family'!$A:$R,AA$1,0),2)</f>
        <v>0.87</v>
      </c>
      <c r="AB36" s="3" t="str">
        <f>FIXED(VLOOKUP($A36,'Full Sample-Single Family'!$A:$R,AB$1,0),2)</f>
        <v>0.33</v>
      </c>
      <c r="AC36" s="3" t="str">
        <f>FIXED(VLOOKUP($A36,'Full Sample-Single Family'!$A:$R,AC$1,0),2)</f>
        <v>0.00</v>
      </c>
      <c r="AD36" s="3" t="str">
        <f>FIXED(VLOOKUP($A36,'Full Sample-Single Family'!$A:$R,AD$1,0),2)</f>
        <v>1.00</v>
      </c>
      <c r="AE36" s="9" t="str">
        <f>FIXED(VLOOKUP($A36,'Full Sample-Single Family'!$A:$R,AE$1,0),2)</f>
        <v>0.87</v>
      </c>
      <c r="AF36" s="3" t="str">
        <f>FIXED(VLOOKUP($A36,'Full Sample-Single Family'!$A:$R,AF$1,0),2)</f>
        <v>0.34</v>
      </c>
      <c r="AG36" s="3" t="str">
        <f>FIXED(VLOOKUP($A36,'Full Sample-Single Family'!$A:$R,AG$1,0),2)</f>
        <v>0.00</v>
      </c>
      <c r="AH36" s="13" t="str">
        <f>FIXED(VLOOKUP($A36,'Full Sample-Single Family'!$A:$R,AH$1,0),2)</f>
        <v>1.00</v>
      </c>
      <c r="AI36" s="9" t="str">
        <f>FIXED(VLOOKUP($A36,'Full Sample-Single Family'!$A:$R,AI$1,0),2)</f>
        <v>0.88</v>
      </c>
      <c r="AJ36" s="3" t="str">
        <f>FIXED(VLOOKUP($A36,'Full Sample-Single Family'!$A:$R,AJ$1,0),2)</f>
        <v>0.33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63</v>
      </c>
      <c r="B37" s="4" t="s">
        <v>145</v>
      </c>
      <c r="C37" s="9" t="str">
        <f>FIXED(VLOOKUP($A37,'Full Sample-No Sub'!$A:$R,C$1,0),2)</f>
        <v>0.01</v>
      </c>
      <c r="D37" s="3" t="str">
        <f>FIXED(VLOOKUP($A37,'Full Sample-No Sub'!$A:$R,D$1,0),2)</f>
        <v>0.09</v>
      </c>
      <c r="E37" s="3" t="str">
        <f>FIXED(VLOOKUP($A37,'Full Sample-No Sub'!$A:$R,E$1,0),2)</f>
        <v>0.00</v>
      </c>
      <c r="F37" s="3" t="str">
        <f>FIXED(VLOOKUP($A37,'Full Sample-No Sub'!$A:$R,F$1,0),2)</f>
        <v>1.00</v>
      </c>
      <c r="G37" s="9" t="str">
        <f>FIXED(VLOOKUP($A37,'Full Sample-No Sub'!$A:$R,G$1,0),2)</f>
        <v>0.01</v>
      </c>
      <c r="H37" s="3" t="str">
        <f>FIXED(VLOOKUP($A37,'Full Sample-No Sub'!$A:$R,H$1,0),2)</f>
        <v>0.09</v>
      </c>
      <c r="I37" s="3" t="str">
        <f>FIXED(VLOOKUP($A37,'Full Sample-No Sub'!$A:$R,I$1,0),2)</f>
        <v>0.00</v>
      </c>
      <c r="J37" s="13" t="str">
        <f>FIXED(VLOOKUP($A37,'Full Sample-No Sub'!$A:$R,J$1,0),2)</f>
        <v>1.00</v>
      </c>
      <c r="K37" s="9" t="str">
        <f>FIXED(VLOOKUP($A37,'Full Sample-No Sub'!$A:$R,K$1,0),2)</f>
        <v>0.01</v>
      </c>
      <c r="L37" s="3" t="str">
        <f>FIXED(VLOOKUP($A37,'Full Sample-No Sub'!$A:$R,L$1,0),2)</f>
        <v>0.09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FIXED(VLOOKUP($A37,'Full Sample-Townhouse'!$A:$R,O$1,0),2)</f>
        <v>0.00</v>
      </c>
      <c r="P37" s="3" t="str">
        <f>FIXED(VLOOKUP($A37,'Full Sample-Townhouse'!$A:$R,P$1,0),2)</f>
        <v>0.02</v>
      </c>
      <c r="Q37" s="3" t="str">
        <f>FIXED(VLOOKUP($A37,'Full Sample-Townhouse'!$A:$R,Q$1,0),2)</f>
        <v>0.00</v>
      </c>
      <c r="R37" s="3" t="str">
        <f>FIXED(VLOOKUP($A37,'Full Sample-Townhouse'!$A:$R,R$1,0),2)</f>
        <v>1.00</v>
      </c>
      <c r="S37" s="9" t="str">
        <f>FIXED(VLOOKUP($A37,'Full Sample-Townhouse'!$A:$R,S$1,0),2)</f>
        <v>0.00</v>
      </c>
      <c r="T37" s="3" t="str">
        <f>FIXED(VLOOKUP($A37,'Full Sample-Townhouse'!$A:$R,T$1,0),2)</f>
        <v>0.02</v>
      </c>
      <c r="U37" s="3" t="str">
        <f>FIXED(VLOOKUP($A37,'Full Sample-Townhouse'!$A:$R,U$1,0),2)</f>
        <v>0.00</v>
      </c>
      <c r="V37" s="13" t="str">
        <f>FIXED(VLOOKUP($A37,'Full Sample-Townhouse'!$A:$R,V$1,0),2)</f>
        <v>1.00</v>
      </c>
      <c r="W37" s="9" t="str">
        <f>FIXED(VLOOKUP($A37,'Full Sample-Townhouse'!$A:$R,W$1,0),2)</f>
        <v>0.00</v>
      </c>
      <c r="X37" s="3" t="str">
        <f>FIXED(VLOOKUP($A37,'Full Sample-Townhouse'!$A:$R,X$1,0),2)</f>
        <v>0.03</v>
      </c>
      <c r="Y37" s="3" t="str">
        <f>FIXED(VLOOKUP($A37,'Full Sample-Townhouse'!$A:$R,Y$1,0),2)</f>
        <v>0.00</v>
      </c>
      <c r="Z37" s="3" t="str">
        <f>FIXED(VLOOKUP($A37,'Full Sample-Townhouse'!$A:$R,Z$1,0),2)</f>
        <v>1.00</v>
      </c>
      <c r="AA37" s="9" t="str">
        <f>FIXED(VLOOKUP($A37,'Full Sample-Single Family'!$A:$R,AA$1,0),2)</f>
        <v>0.02</v>
      </c>
      <c r="AB37" s="3" t="str">
        <f>FIXED(VLOOKUP($A37,'Full Sample-Single Family'!$A:$R,AB$1,0),2)</f>
        <v>0.13</v>
      </c>
      <c r="AC37" s="3" t="str">
        <f>FIXED(VLOOKUP($A37,'Full Sample-Single Family'!$A:$R,AC$1,0),2)</f>
        <v>0.00</v>
      </c>
      <c r="AD37" s="3" t="str">
        <f>FIXED(VLOOKUP($A37,'Full Sample-Single Family'!$A:$R,AD$1,0),2)</f>
        <v>1.00</v>
      </c>
      <c r="AE37" s="9" t="str">
        <f>FIXED(VLOOKUP($A37,'Full Sample-Single Family'!$A:$R,AE$1,0),2)</f>
        <v>0.02</v>
      </c>
      <c r="AF37" s="3" t="str">
        <f>FIXED(VLOOKUP($A37,'Full Sample-Single Family'!$A:$R,AF$1,0),2)</f>
        <v>0.13</v>
      </c>
      <c r="AG37" s="3" t="str">
        <f>FIXED(VLOOKUP($A37,'Full Sample-Single Family'!$A:$R,AG$1,0),2)</f>
        <v>0.00</v>
      </c>
      <c r="AH37" s="13" t="str">
        <f>FIXED(VLOOKUP($A37,'Full Sample-Single Family'!$A:$R,AH$1,0),2)</f>
        <v>1.00</v>
      </c>
      <c r="AI37" s="9" t="str">
        <f>FIXED(VLOOKUP($A37,'Full Sample-Single Family'!$A:$R,AI$1,0),2)</f>
        <v>0.02</v>
      </c>
      <c r="AJ37" s="3" t="str">
        <f>FIXED(VLOOKUP($A37,'Full Sample-Single Family'!$A:$R,AJ$1,0),2)</f>
        <v>0.13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64</v>
      </c>
      <c r="B38" s="4" t="s">
        <v>139</v>
      </c>
      <c r="C38" s="9" t="str">
        <f>FIXED(VLOOKUP($A38,'Full Sample-No Sub'!$A:$R,C$1,0),2)</f>
        <v>0.03</v>
      </c>
      <c r="D38" s="3" t="str">
        <f>FIXED(VLOOKUP($A38,'Full Sample-No Sub'!$A:$R,D$1,0),2)</f>
        <v>0.17</v>
      </c>
      <c r="E38" s="3" t="str">
        <f>FIXED(VLOOKUP($A38,'Full Sample-No Sub'!$A:$R,E$1,0),2)</f>
        <v>0.00</v>
      </c>
      <c r="F38" s="3" t="str">
        <f>FIXED(VLOOKUP($A38,'Full Sample-No Sub'!$A:$R,F$1,0),2)</f>
        <v>1.00</v>
      </c>
      <c r="G38" s="9" t="str">
        <f>FIXED(VLOOKUP($A38,'Full Sample-No Sub'!$A:$R,G$1,0),2)</f>
        <v>0.03</v>
      </c>
      <c r="H38" s="3" t="str">
        <f>FIXED(VLOOKUP($A38,'Full Sample-No Sub'!$A:$R,H$1,0),2)</f>
        <v>0.16</v>
      </c>
      <c r="I38" s="3" t="str">
        <f>FIXED(VLOOKUP($A38,'Full Sample-No Sub'!$A:$R,I$1,0),2)</f>
        <v>0.00</v>
      </c>
      <c r="J38" s="13" t="str">
        <f>FIXED(VLOOKUP($A38,'Full Sample-No Sub'!$A:$R,J$1,0),2)</f>
        <v>1.00</v>
      </c>
      <c r="K38" s="9" t="str">
        <f>FIXED(VLOOKUP($A38,'Full Sample-No Sub'!$A:$R,K$1,0),2)</f>
        <v>0.03</v>
      </c>
      <c r="L38" s="3" t="str">
        <f>FIXED(VLOOKUP($A38,'Full Sample-No Sub'!$A:$R,L$1,0),2)</f>
        <v>0.17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FIXED(VLOOKUP($A38,'Full Sample-Townhouse'!$A:$R,O$1,0),2)</f>
        <v>0.05</v>
      </c>
      <c r="P38" s="3" t="str">
        <f>FIXED(VLOOKUP($A38,'Full Sample-Townhouse'!$A:$R,P$1,0),2)</f>
        <v>0.23</v>
      </c>
      <c r="Q38" s="3" t="str">
        <f>FIXED(VLOOKUP($A38,'Full Sample-Townhouse'!$A:$R,Q$1,0),2)</f>
        <v>0.00</v>
      </c>
      <c r="R38" s="3" t="str">
        <f>FIXED(VLOOKUP($A38,'Full Sample-Townhouse'!$A:$R,R$1,0),2)</f>
        <v>1.00</v>
      </c>
      <c r="S38" s="9" t="str">
        <f>FIXED(VLOOKUP($A38,'Full Sample-Townhouse'!$A:$R,S$1,0),2)</f>
        <v>0.05</v>
      </c>
      <c r="T38" s="3" t="str">
        <f>FIXED(VLOOKUP($A38,'Full Sample-Townhouse'!$A:$R,T$1,0),2)</f>
        <v>0.22</v>
      </c>
      <c r="U38" s="3" t="str">
        <f>FIXED(VLOOKUP($A38,'Full Sample-Townhouse'!$A:$R,U$1,0),2)</f>
        <v>0.00</v>
      </c>
      <c r="V38" s="13" t="str">
        <f>FIXED(VLOOKUP($A38,'Full Sample-Townhouse'!$A:$R,V$1,0),2)</f>
        <v>1.00</v>
      </c>
      <c r="W38" s="9" t="str">
        <f>FIXED(VLOOKUP($A38,'Full Sample-Townhouse'!$A:$R,W$1,0),2)</f>
        <v>0.06</v>
      </c>
      <c r="X38" s="3" t="str">
        <f>FIXED(VLOOKUP($A38,'Full Sample-Townhouse'!$A:$R,X$1,0),2)</f>
        <v>0.23</v>
      </c>
      <c r="Y38" s="3" t="str">
        <f>FIXED(VLOOKUP($A38,'Full Sample-Townhouse'!$A:$R,Y$1,0),2)</f>
        <v>0.00</v>
      </c>
      <c r="Z38" s="3" t="str">
        <f>FIXED(VLOOKUP($A38,'Full Sample-Townhouse'!$A:$R,Z$1,0),2)</f>
        <v>1.00</v>
      </c>
      <c r="AA38" s="9" t="str">
        <f>FIXED(VLOOKUP($A38,'Full Sample-Single Family'!$A:$R,AA$1,0),2)</f>
        <v>0.00</v>
      </c>
      <c r="AB38" s="3" t="str">
        <f>FIXED(VLOOKUP($A38,'Full Sample-Single Family'!$A:$R,AB$1,0),2)</f>
        <v>0.01</v>
      </c>
      <c r="AC38" s="3" t="str">
        <f>FIXED(VLOOKUP($A38,'Full Sample-Single Family'!$A:$R,AC$1,0),2)</f>
        <v>0.00</v>
      </c>
      <c r="AD38" s="3" t="str">
        <f>FIXED(VLOOKUP($A38,'Full Sample-Single Family'!$A:$R,AD$1,0),2)</f>
        <v>1.00</v>
      </c>
      <c r="AE38" s="9" t="str">
        <f>FIXED(VLOOKUP($A38,'Full Sample-Single Family'!$A:$R,AE$1,0),2)</f>
        <v>0.00</v>
      </c>
      <c r="AF38" s="3" t="str">
        <f>FIXED(VLOOKUP($A38,'Full Sample-Single Family'!$A:$R,AF$1,0),2)</f>
        <v>0.01</v>
      </c>
      <c r="AG38" s="3" t="str">
        <f>FIXED(VLOOKUP($A38,'Full Sample-Single Family'!$A:$R,AG$1,0),2)</f>
        <v>0.00</v>
      </c>
      <c r="AH38" s="13" t="str">
        <f>FIXED(VLOOKUP($A38,'Full Sample-Single Family'!$A:$R,AH$1,0),2)</f>
        <v>1.00</v>
      </c>
      <c r="AI38" s="9" t="str">
        <f>FIXED(VLOOKUP($A38,'Full Sample-Single Family'!$A:$R,AI$1,0),2)</f>
        <v>0.00</v>
      </c>
      <c r="AJ38" s="3" t="str">
        <f>FIXED(VLOOKUP($A38,'Full Sample-Single Family'!$A:$R,AJ$1,0),2)</f>
        <v>0.01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65</v>
      </c>
      <c r="B39" s="4" t="s">
        <v>140</v>
      </c>
      <c r="C39" s="9" t="str">
        <f>FIXED(VLOOKUP($A39,'Full Sample-No Sub'!$A:$R,C$1,0),2)</f>
        <v>0.16</v>
      </c>
      <c r="D39" s="3" t="str">
        <f>FIXED(VLOOKUP($A39,'Full Sample-No Sub'!$A:$R,D$1,0),2)</f>
        <v>0.37</v>
      </c>
      <c r="E39" s="3" t="str">
        <f>FIXED(VLOOKUP($A39,'Full Sample-No Sub'!$A:$R,E$1,0),2)</f>
        <v>0.00</v>
      </c>
      <c r="F39" s="3" t="str">
        <f>FIXED(VLOOKUP($A39,'Full Sample-No Sub'!$A:$R,F$1,0),2)</f>
        <v>1.00</v>
      </c>
      <c r="G39" s="9" t="str">
        <f>FIXED(VLOOKUP($A39,'Full Sample-No Sub'!$A:$R,G$1,0),2)</f>
        <v>0.17</v>
      </c>
      <c r="H39" s="3" t="str">
        <f>FIXED(VLOOKUP($A39,'Full Sample-No Sub'!$A:$R,H$1,0),2)</f>
        <v>0.37</v>
      </c>
      <c r="I39" s="3" t="str">
        <f>FIXED(VLOOKUP($A39,'Full Sample-No Sub'!$A:$R,I$1,0),2)</f>
        <v>0.00</v>
      </c>
      <c r="J39" s="13" t="str">
        <f>FIXED(VLOOKUP($A39,'Full Sample-No Sub'!$A:$R,J$1,0),2)</f>
        <v>1.00</v>
      </c>
      <c r="K39" s="9" t="str">
        <f>FIXED(VLOOKUP($A39,'Full Sample-No Sub'!$A:$R,K$1,0),2)</f>
        <v>0.15</v>
      </c>
      <c r="L39" s="3" t="str">
        <f>FIXED(VLOOKUP($A39,'Full Sample-No Sub'!$A:$R,L$1,0),2)</f>
        <v>0.36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FIXED(VLOOKUP($A39,'Full Sample-Townhouse'!$A:$R,O$1,0),2)</f>
        <v>0.23</v>
      </c>
      <c r="P39" s="3" t="str">
        <f>FIXED(VLOOKUP($A39,'Full Sample-Townhouse'!$A:$R,P$1,0),2)</f>
        <v>0.42</v>
      </c>
      <c r="Q39" s="3" t="str">
        <f>FIXED(VLOOKUP($A39,'Full Sample-Townhouse'!$A:$R,Q$1,0),2)</f>
        <v>0.00</v>
      </c>
      <c r="R39" s="3" t="str">
        <f>FIXED(VLOOKUP($A39,'Full Sample-Townhouse'!$A:$R,R$1,0),2)</f>
        <v>1.00</v>
      </c>
      <c r="S39" s="9" t="str">
        <f>FIXED(VLOOKUP($A39,'Full Sample-Townhouse'!$A:$R,S$1,0),2)</f>
        <v>0.24</v>
      </c>
      <c r="T39" s="3" t="str">
        <f>FIXED(VLOOKUP($A39,'Full Sample-Townhouse'!$A:$R,T$1,0),2)</f>
        <v>0.43</v>
      </c>
      <c r="U39" s="3" t="str">
        <f>FIXED(VLOOKUP($A39,'Full Sample-Townhouse'!$A:$R,U$1,0),2)</f>
        <v>0.00</v>
      </c>
      <c r="V39" s="13" t="str">
        <f>FIXED(VLOOKUP($A39,'Full Sample-Townhouse'!$A:$R,V$1,0),2)</f>
        <v>1.00</v>
      </c>
      <c r="W39" s="9" t="str">
        <f>FIXED(VLOOKUP($A39,'Full Sample-Townhouse'!$A:$R,W$1,0),2)</f>
        <v>0.22</v>
      </c>
      <c r="X39" s="3" t="str">
        <f>FIXED(VLOOKUP($A39,'Full Sample-Townhouse'!$A:$R,X$1,0),2)</f>
        <v>0.41</v>
      </c>
      <c r="Y39" s="3" t="str">
        <f>FIXED(VLOOKUP($A39,'Full Sample-Townhouse'!$A:$R,Y$1,0),2)</f>
        <v>0.00</v>
      </c>
      <c r="Z39" s="3" t="str">
        <f>FIXED(VLOOKUP($A39,'Full Sample-Townhouse'!$A:$R,Z$1,0),2)</f>
        <v>1.00</v>
      </c>
      <c r="AA39" s="9" t="str">
        <f>FIXED(VLOOKUP($A39,'Full Sample-Single Family'!$A:$R,AA$1,0),2)</f>
        <v>0.08</v>
      </c>
      <c r="AB39" s="3" t="str">
        <f>FIXED(VLOOKUP($A39,'Full Sample-Single Family'!$A:$R,AB$1,0),2)</f>
        <v>0.27</v>
      </c>
      <c r="AC39" s="3" t="str">
        <f>FIXED(VLOOKUP($A39,'Full Sample-Single Family'!$A:$R,AC$1,0),2)</f>
        <v>0.00</v>
      </c>
      <c r="AD39" s="3" t="str">
        <f>FIXED(VLOOKUP($A39,'Full Sample-Single Family'!$A:$R,AD$1,0),2)</f>
        <v>1.00</v>
      </c>
      <c r="AE39" s="9" t="str">
        <f>FIXED(VLOOKUP($A39,'Full Sample-Single Family'!$A:$R,AE$1,0),2)</f>
        <v>0.08</v>
      </c>
      <c r="AF39" s="3" t="str">
        <f>FIXED(VLOOKUP($A39,'Full Sample-Single Family'!$A:$R,AF$1,0),2)</f>
        <v>0.27</v>
      </c>
      <c r="AG39" s="3" t="str">
        <f>FIXED(VLOOKUP($A39,'Full Sample-Single Family'!$A:$R,AG$1,0),2)</f>
        <v>0.00</v>
      </c>
      <c r="AH39" s="13" t="str">
        <f>FIXED(VLOOKUP($A39,'Full Sample-Single Family'!$A:$R,AH$1,0),2)</f>
        <v>1.00</v>
      </c>
      <c r="AI39" s="9" t="str">
        <f>FIXED(VLOOKUP($A39,'Full Sample-Single Family'!$A:$R,AI$1,0),2)</f>
        <v>0.07</v>
      </c>
      <c r="AJ39" s="3" t="str">
        <f>FIXED(VLOOKUP($A39,'Full Sample-Single Family'!$A:$R,AJ$1,0),2)</f>
        <v>0.26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66</v>
      </c>
      <c r="B40" s="4" t="s">
        <v>141</v>
      </c>
      <c r="C40" s="9" t="str">
        <f>FIXED(VLOOKUP($A40,'Full Sample-No Sub'!$A:$R,C$1,0),2)</f>
        <v>0.16</v>
      </c>
      <c r="D40" s="3" t="str">
        <f>FIXED(VLOOKUP($A40,'Full Sample-No Sub'!$A:$R,D$1,0),2)</f>
        <v>0.37</v>
      </c>
      <c r="E40" s="3" t="str">
        <f>FIXED(VLOOKUP($A40,'Full Sample-No Sub'!$A:$R,E$1,0),2)</f>
        <v>0.00</v>
      </c>
      <c r="F40" s="3" t="str">
        <f>FIXED(VLOOKUP($A40,'Full Sample-No Sub'!$A:$R,F$1,0),2)</f>
        <v>1.00</v>
      </c>
      <c r="G40" s="9" t="str">
        <f>FIXED(VLOOKUP($A40,'Full Sample-No Sub'!$A:$R,G$1,0),2)</f>
        <v>0.16</v>
      </c>
      <c r="H40" s="3" t="str">
        <f>FIXED(VLOOKUP($A40,'Full Sample-No Sub'!$A:$R,H$1,0),2)</f>
        <v>0.37</v>
      </c>
      <c r="I40" s="3" t="str">
        <f>FIXED(VLOOKUP($A40,'Full Sample-No Sub'!$A:$R,I$1,0),2)</f>
        <v>0.00</v>
      </c>
      <c r="J40" s="13" t="str">
        <f>FIXED(VLOOKUP($A40,'Full Sample-No Sub'!$A:$R,J$1,0),2)</f>
        <v>1.00</v>
      </c>
      <c r="K40" s="9" t="str">
        <f>FIXED(VLOOKUP($A40,'Full Sample-No Sub'!$A:$R,K$1,0),2)</f>
        <v>0.17</v>
      </c>
      <c r="L40" s="3" t="str">
        <f>FIXED(VLOOKUP($A40,'Full Sample-No Sub'!$A:$R,L$1,0),2)</f>
        <v>0.38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FIXED(VLOOKUP($A40,'Full Sample-Townhouse'!$A:$R,O$1,0),2)</f>
        <v>0.29</v>
      </c>
      <c r="P40" s="3" t="str">
        <f>FIXED(VLOOKUP($A40,'Full Sample-Townhouse'!$A:$R,P$1,0),2)</f>
        <v>0.45</v>
      </c>
      <c r="Q40" s="3" t="str">
        <f>FIXED(VLOOKUP($A40,'Full Sample-Townhouse'!$A:$R,Q$1,0),2)</f>
        <v>0.00</v>
      </c>
      <c r="R40" s="3" t="str">
        <f>FIXED(VLOOKUP($A40,'Full Sample-Townhouse'!$A:$R,R$1,0),2)</f>
        <v>1.00</v>
      </c>
      <c r="S40" s="9" t="str">
        <f>FIXED(VLOOKUP($A40,'Full Sample-Townhouse'!$A:$R,S$1,0),2)</f>
        <v>0.28</v>
      </c>
      <c r="T40" s="3" t="str">
        <f>FIXED(VLOOKUP($A40,'Full Sample-Townhouse'!$A:$R,T$1,0),2)</f>
        <v>0.45</v>
      </c>
      <c r="U40" s="3" t="str">
        <f>FIXED(VLOOKUP($A40,'Full Sample-Townhouse'!$A:$R,U$1,0),2)</f>
        <v>0.00</v>
      </c>
      <c r="V40" s="13" t="str">
        <f>FIXED(VLOOKUP($A40,'Full Sample-Townhouse'!$A:$R,V$1,0),2)</f>
        <v>1.00</v>
      </c>
      <c r="W40" s="9" t="str">
        <f>FIXED(VLOOKUP($A40,'Full Sample-Townhouse'!$A:$R,W$1,0),2)</f>
        <v>0.30</v>
      </c>
      <c r="X40" s="3" t="str">
        <f>FIXED(VLOOKUP($A40,'Full Sample-Townhouse'!$A:$R,X$1,0),2)</f>
        <v>0.46</v>
      </c>
      <c r="Y40" s="3" t="str">
        <f>FIXED(VLOOKUP($A40,'Full Sample-Townhouse'!$A:$R,Y$1,0),2)</f>
        <v>0.00</v>
      </c>
      <c r="Z40" s="3" t="str">
        <f>FIXED(VLOOKUP($A40,'Full Sample-Townhouse'!$A:$R,Z$1,0),2)</f>
        <v>1.00</v>
      </c>
      <c r="AA40" s="9" t="str">
        <f>FIXED(VLOOKUP($A40,'Full Sample-Single Family'!$A:$R,AA$1,0),2)</f>
        <v>0.02</v>
      </c>
      <c r="AB40" s="3" t="str">
        <f>FIXED(VLOOKUP($A40,'Full Sample-Single Family'!$A:$R,AB$1,0),2)</f>
        <v>0.13</v>
      </c>
      <c r="AC40" s="3" t="str">
        <f>FIXED(VLOOKUP($A40,'Full Sample-Single Family'!$A:$R,AC$1,0),2)</f>
        <v>0.00</v>
      </c>
      <c r="AD40" s="3" t="str">
        <f>FIXED(VLOOKUP($A40,'Full Sample-Single Family'!$A:$R,AD$1,0),2)</f>
        <v>1.00</v>
      </c>
      <c r="AE40" s="9" t="str">
        <f>FIXED(VLOOKUP($A40,'Full Sample-Single Family'!$A:$R,AE$1,0),2)</f>
        <v>0.02</v>
      </c>
      <c r="AF40" s="3" t="str">
        <f>FIXED(VLOOKUP($A40,'Full Sample-Single Family'!$A:$R,AF$1,0),2)</f>
        <v>0.13</v>
      </c>
      <c r="AG40" s="3" t="str">
        <f>FIXED(VLOOKUP($A40,'Full Sample-Single Family'!$A:$R,AG$1,0),2)</f>
        <v>0.00</v>
      </c>
      <c r="AH40" s="13" t="str">
        <f>FIXED(VLOOKUP($A40,'Full Sample-Single Family'!$A:$R,AH$1,0),2)</f>
        <v>1.00</v>
      </c>
      <c r="AI40" s="9" t="str">
        <f>FIXED(VLOOKUP($A40,'Full Sample-Single Family'!$A:$R,AI$1,0),2)</f>
        <v>0.02</v>
      </c>
      <c r="AJ40" s="3" t="str">
        <f>FIXED(VLOOKUP($A40,'Full Sample-Single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67</v>
      </c>
      <c r="B41" s="4" t="s">
        <v>142</v>
      </c>
      <c r="C41" s="9" t="str">
        <f>FIXED(VLOOKUP($A41,'Full Sample-No Sub'!$A:$R,C$1,0),2)</f>
        <v>0.04</v>
      </c>
      <c r="D41" s="3" t="str">
        <f>FIXED(VLOOKUP($A41,'Full Sample-No Sub'!$A:$R,D$1,0),2)</f>
        <v>0.19</v>
      </c>
      <c r="E41" s="3" t="str">
        <f>FIXED(VLOOKUP($A41,'Full Sample-No Sub'!$A:$R,E$1,0),2)</f>
        <v>0.00</v>
      </c>
      <c r="F41" s="3" t="str">
        <f>FIXED(VLOOKUP($A41,'Full Sample-No Sub'!$A:$R,F$1,0),2)</f>
        <v>1.00</v>
      </c>
      <c r="G41" s="9" t="str">
        <f>FIXED(VLOOKUP($A41,'Full Sample-No Sub'!$A:$R,G$1,0),2)</f>
        <v>0.04</v>
      </c>
      <c r="H41" s="3" t="str">
        <f>FIXED(VLOOKUP($A41,'Full Sample-No Sub'!$A:$R,H$1,0),2)</f>
        <v>0.19</v>
      </c>
      <c r="I41" s="3" t="str">
        <f>FIXED(VLOOKUP($A41,'Full Sample-No Sub'!$A:$R,I$1,0),2)</f>
        <v>0.00</v>
      </c>
      <c r="J41" s="13" t="str">
        <f>FIXED(VLOOKUP($A41,'Full Sample-No Sub'!$A:$R,J$1,0),2)</f>
        <v>1.00</v>
      </c>
      <c r="K41" s="9" t="str">
        <f>FIXED(VLOOKUP($A41,'Full Sample-No Sub'!$A:$R,K$1,0),2)</f>
        <v>0.04</v>
      </c>
      <c r="L41" s="3" t="str">
        <f>FIXED(VLOOKUP($A41,'Full Sample-No Sub'!$A:$R,L$1,0),2)</f>
        <v>0.19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FIXED(VLOOKUP($A41,'Full Sample-Townhouse'!$A:$R,O$1,0),2)</f>
        <v>0.07</v>
      </c>
      <c r="P41" s="3" t="str">
        <f>FIXED(VLOOKUP($A41,'Full Sample-Townhouse'!$A:$R,P$1,0),2)</f>
        <v>0.25</v>
      </c>
      <c r="Q41" s="3" t="str">
        <f>FIXED(VLOOKUP($A41,'Full Sample-Townhouse'!$A:$R,Q$1,0),2)</f>
        <v>0.00</v>
      </c>
      <c r="R41" s="3" t="str">
        <f>FIXED(VLOOKUP($A41,'Full Sample-Townhouse'!$A:$R,R$1,0),2)</f>
        <v>1.00</v>
      </c>
      <c r="S41" s="9" t="str">
        <f>FIXED(VLOOKUP($A41,'Full Sample-Townhouse'!$A:$R,S$1,0),2)</f>
        <v>0.07</v>
      </c>
      <c r="T41" s="3" t="str">
        <f>FIXED(VLOOKUP($A41,'Full Sample-Townhouse'!$A:$R,T$1,0),2)</f>
        <v>0.25</v>
      </c>
      <c r="U41" s="3" t="str">
        <f>FIXED(VLOOKUP($A41,'Full Sample-Townhouse'!$A:$R,U$1,0),2)</f>
        <v>0.00</v>
      </c>
      <c r="V41" s="13" t="str">
        <f>FIXED(VLOOKUP($A41,'Full Sample-Townhouse'!$A:$R,V$1,0),2)</f>
        <v>1.00</v>
      </c>
      <c r="W41" s="9" t="str">
        <f>FIXED(VLOOKUP($A41,'Full Sample-Townhouse'!$A:$R,W$1,0),2)</f>
        <v>0.07</v>
      </c>
      <c r="X41" s="3" t="str">
        <f>FIXED(VLOOKUP($A41,'Full Sample-Townhouse'!$A:$R,X$1,0),2)</f>
        <v>0.25</v>
      </c>
      <c r="Y41" s="3" t="str">
        <f>FIXED(VLOOKUP($A41,'Full Sample-Townhouse'!$A:$R,Y$1,0),2)</f>
        <v>0.00</v>
      </c>
      <c r="Z41" s="3" t="str">
        <f>FIXED(VLOOKUP($A41,'Full Sample-Townhouse'!$A:$R,Z$1,0),2)</f>
        <v>1.00</v>
      </c>
      <c r="AA41" s="9" t="str">
        <f>FIXED(VLOOKUP($A41,'Full Sample-Single Family'!$A:$R,AA$1,0),2)</f>
        <v>0.00</v>
      </c>
      <c r="AB41" s="3" t="str">
        <f>FIXED(VLOOKUP($A41,'Full Sample-Single Family'!$A:$R,AB$1,0),2)</f>
        <v>0.02</v>
      </c>
      <c r="AC41" s="3" t="str">
        <f>FIXED(VLOOKUP($A41,'Full Sample-Single Family'!$A:$R,AC$1,0),2)</f>
        <v>0.00</v>
      </c>
      <c r="AD41" s="3" t="str">
        <f>FIXED(VLOOKUP($A41,'Full Sample-Single Family'!$A:$R,AD$1,0),2)</f>
        <v>1.00</v>
      </c>
      <c r="AE41" s="9" t="str">
        <f>FIXED(VLOOKUP($A41,'Full Sample-Single Family'!$A:$R,AE$1,0),2)</f>
        <v>0.00</v>
      </c>
      <c r="AF41" s="3" t="str">
        <f>FIXED(VLOOKUP($A41,'Full Sample-Single Family'!$A:$R,AF$1,0),2)</f>
        <v>0.02</v>
      </c>
      <c r="AG41" s="3" t="str">
        <f>FIXED(VLOOKUP($A41,'Full Sample-Single Family'!$A:$R,AG$1,0),2)</f>
        <v>0.00</v>
      </c>
      <c r="AH41" s="13" t="str">
        <f>FIXED(VLOOKUP($A41,'Full Sample-Single Family'!$A:$R,AH$1,0),2)</f>
        <v>1.00</v>
      </c>
      <c r="AI41" s="9" t="str">
        <f>FIXED(VLOOKUP($A41,'Full Sample-Single Family'!$A:$R,AI$1,0),2)</f>
        <v>0.00</v>
      </c>
      <c r="AJ41" s="3" t="str">
        <f>FIXED(VLOOKUP($A41,'Full Sample-Single Family'!$A:$R,AJ$1,0),2)</f>
        <v>0.02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68</v>
      </c>
      <c r="B42" s="4" t="s">
        <v>143</v>
      </c>
      <c r="C42" s="9" t="str">
        <f>FIXED(VLOOKUP($A42,'Full Sample-No Sub'!$A:$R,C$1,0),2)</f>
        <v>0.11</v>
      </c>
      <c r="D42" s="3" t="str">
        <f>FIXED(VLOOKUP($A42,'Full Sample-No Sub'!$A:$R,D$1,0),2)</f>
        <v>0.32</v>
      </c>
      <c r="E42" s="3" t="str">
        <f>FIXED(VLOOKUP($A42,'Full Sample-No Sub'!$A:$R,E$1,0),2)</f>
        <v>0.00</v>
      </c>
      <c r="F42" s="3" t="str">
        <f>FIXED(VLOOKUP($A42,'Full Sample-No Sub'!$A:$R,F$1,0),2)</f>
        <v>1.00</v>
      </c>
      <c r="G42" s="9" t="str">
        <f>FIXED(VLOOKUP($A42,'Full Sample-No Sub'!$A:$R,G$1,0),2)</f>
        <v>0.11</v>
      </c>
      <c r="H42" s="3" t="str">
        <f>FIXED(VLOOKUP($A42,'Full Sample-No Sub'!$A:$R,H$1,0),2)</f>
        <v>0.31</v>
      </c>
      <c r="I42" s="3" t="str">
        <f>FIXED(VLOOKUP($A42,'Full Sample-No Sub'!$A:$R,I$1,0),2)</f>
        <v>0.00</v>
      </c>
      <c r="J42" s="13" t="str">
        <f>FIXED(VLOOKUP($A42,'Full Sample-No Sub'!$A:$R,J$1,0),2)</f>
        <v>1.00</v>
      </c>
      <c r="K42" s="9" t="str">
        <f>FIXED(VLOOKUP($A42,'Full Sample-No Sub'!$A:$R,K$1,0),2)</f>
        <v>0.12</v>
      </c>
      <c r="L42" s="3" t="str">
        <f>FIXED(VLOOKUP($A42,'Full Sample-No Sub'!$A:$R,L$1,0),2)</f>
        <v>0.32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FIXED(VLOOKUP($A42,'Full Sample-Townhouse'!$A:$R,O$1,0),2)</f>
        <v>0.20</v>
      </c>
      <c r="P42" s="3" t="str">
        <f>FIXED(VLOOKUP($A42,'Full Sample-Townhouse'!$A:$R,P$1,0),2)</f>
        <v>0.40</v>
      </c>
      <c r="Q42" s="3" t="str">
        <f>FIXED(VLOOKUP($A42,'Full Sample-Townhouse'!$A:$R,Q$1,0),2)</f>
        <v>0.00</v>
      </c>
      <c r="R42" s="3" t="str">
        <f>FIXED(VLOOKUP($A42,'Full Sample-Townhouse'!$A:$R,R$1,0),2)</f>
        <v>1.00</v>
      </c>
      <c r="S42" s="9" t="str">
        <f>FIXED(VLOOKUP($A42,'Full Sample-Townhouse'!$A:$R,S$1,0),2)</f>
        <v>0.19</v>
      </c>
      <c r="T42" s="3" t="str">
        <f>FIXED(VLOOKUP($A42,'Full Sample-Townhouse'!$A:$R,T$1,0),2)</f>
        <v>0.39</v>
      </c>
      <c r="U42" s="3" t="str">
        <f>FIXED(VLOOKUP($A42,'Full Sample-Townhouse'!$A:$R,U$1,0),2)</f>
        <v>0.00</v>
      </c>
      <c r="V42" s="13" t="str">
        <f>FIXED(VLOOKUP($A42,'Full Sample-Townhouse'!$A:$R,V$1,0),2)</f>
        <v>1.00</v>
      </c>
      <c r="W42" s="9" t="str">
        <f>FIXED(VLOOKUP($A42,'Full Sample-Townhouse'!$A:$R,W$1,0),2)</f>
        <v>0.20</v>
      </c>
      <c r="X42" s="3" t="str">
        <f>FIXED(VLOOKUP($A42,'Full Sample-Townhouse'!$A:$R,X$1,0),2)</f>
        <v>0.40</v>
      </c>
      <c r="Y42" s="3" t="str">
        <f>FIXED(VLOOKUP($A42,'Full Sample-Townhouse'!$A:$R,Y$1,0),2)</f>
        <v>0.00</v>
      </c>
      <c r="Z42" s="3" t="str">
        <f>FIXED(VLOOKUP($A42,'Full Sample-Townhouse'!$A:$R,Z$1,0),2)</f>
        <v>1.00</v>
      </c>
      <c r="AA42" s="9" t="str">
        <f>FIXED(VLOOKUP($A42,'Full Sample-Single Family'!$A:$R,AA$1,0),2)</f>
        <v>0.01</v>
      </c>
      <c r="AB42" s="3" t="str">
        <f>FIXED(VLOOKUP($A42,'Full Sample-Single Family'!$A:$R,AB$1,0),2)</f>
        <v>0.12</v>
      </c>
      <c r="AC42" s="3" t="str">
        <f>FIXED(VLOOKUP($A42,'Full Sample-Single Family'!$A:$R,AC$1,0),2)</f>
        <v>0.00</v>
      </c>
      <c r="AD42" s="3" t="str">
        <f>FIXED(VLOOKUP($A42,'Full Sample-Single Family'!$A:$R,AD$1,0),2)</f>
        <v>1.00</v>
      </c>
      <c r="AE42" s="9" t="str">
        <f>FIXED(VLOOKUP($A42,'Full Sample-Single Family'!$A:$R,AE$1,0),2)</f>
        <v>0.01</v>
      </c>
      <c r="AF42" s="3" t="str">
        <f>FIXED(VLOOKUP($A42,'Full Sample-Single Family'!$A:$R,AF$1,0),2)</f>
        <v>0.12</v>
      </c>
      <c r="AG42" s="3" t="str">
        <f>FIXED(VLOOKUP($A42,'Full Sample-Single Family'!$A:$R,AG$1,0),2)</f>
        <v>0.00</v>
      </c>
      <c r="AH42" s="13" t="str">
        <f>FIXED(VLOOKUP($A42,'Full Sample-Single Family'!$A:$R,AH$1,0),2)</f>
        <v>1.00</v>
      </c>
      <c r="AI42" s="9" t="str">
        <f>FIXED(VLOOKUP($A42,'Full Sample-Single Family'!$A:$R,AI$1,0),2)</f>
        <v>0.01</v>
      </c>
      <c r="AJ42" s="3" t="str">
        <f>FIXED(VLOOKUP($A42,'Full Sample-Single Family'!$A:$R,AJ$1,0),2)</f>
        <v>0.12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69</v>
      </c>
      <c r="B43" s="4" t="s">
        <v>144</v>
      </c>
      <c r="C43" s="9" t="str">
        <f>FIXED(VLOOKUP($A43,'Full Sample-No Sub'!$A:$R,C$1,0),2)</f>
        <v>0.03</v>
      </c>
      <c r="D43" s="3" t="str">
        <f>FIXED(VLOOKUP($A43,'Full Sample-No Sub'!$A:$R,D$1,0),2)</f>
        <v>0.17</v>
      </c>
      <c r="E43" s="3" t="str">
        <f>FIXED(VLOOKUP($A43,'Full Sample-No Sub'!$A:$R,E$1,0),2)</f>
        <v>0.00</v>
      </c>
      <c r="F43" s="3" t="str">
        <f>FIXED(VLOOKUP($A43,'Full Sample-No Sub'!$A:$R,F$1,0),2)</f>
        <v>1.00</v>
      </c>
      <c r="G43" s="9" t="str">
        <f>FIXED(VLOOKUP($A43,'Full Sample-No Sub'!$A:$R,G$1,0),2)</f>
        <v>0.03</v>
      </c>
      <c r="H43" s="3" t="str">
        <f>FIXED(VLOOKUP($A43,'Full Sample-No Sub'!$A:$R,H$1,0),2)</f>
        <v>0.18</v>
      </c>
      <c r="I43" s="3" t="str">
        <f>FIXED(VLOOKUP($A43,'Full Sample-No Sub'!$A:$R,I$1,0),2)</f>
        <v>0.00</v>
      </c>
      <c r="J43" s="13" t="str">
        <f>FIXED(VLOOKUP($A43,'Full Sample-No Sub'!$A:$R,J$1,0),2)</f>
        <v>1.00</v>
      </c>
      <c r="K43" s="9" t="str">
        <f>FIXED(VLOOKUP($A43,'Full Sample-No Sub'!$A:$R,K$1,0),2)</f>
        <v>0.03</v>
      </c>
      <c r="L43" s="3" t="str">
        <f>FIXED(VLOOKUP($A43,'Full Sample-No Sub'!$A:$R,L$1,0),2)</f>
        <v>0.16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FIXED(VLOOKUP($A43,'Full Sample-Townhouse'!$A:$R,O$1,0),2)</f>
        <v>0.06</v>
      </c>
      <c r="P43" s="3" t="str">
        <f>FIXED(VLOOKUP($A43,'Full Sample-Townhouse'!$A:$R,P$1,0),2)</f>
        <v>0.23</v>
      </c>
      <c r="Q43" s="3" t="str">
        <f>FIXED(VLOOKUP($A43,'Full Sample-Townhouse'!$A:$R,Q$1,0),2)</f>
        <v>0.00</v>
      </c>
      <c r="R43" s="3" t="str">
        <f>FIXED(VLOOKUP($A43,'Full Sample-Townhouse'!$A:$R,R$1,0),2)</f>
        <v>1.00</v>
      </c>
      <c r="S43" s="9" t="str">
        <f>FIXED(VLOOKUP($A43,'Full Sample-Townhouse'!$A:$R,S$1,0),2)</f>
        <v>0.06</v>
      </c>
      <c r="T43" s="3" t="str">
        <f>FIXED(VLOOKUP($A43,'Full Sample-Townhouse'!$A:$R,T$1,0),2)</f>
        <v>0.24</v>
      </c>
      <c r="U43" s="3" t="str">
        <f>FIXED(VLOOKUP($A43,'Full Sample-Townhouse'!$A:$R,U$1,0),2)</f>
        <v>0.00</v>
      </c>
      <c r="V43" s="13" t="str">
        <f>FIXED(VLOOKUP($A43,'Full Sample-Townhouse'!$A:$R,V$1,0),2)</f>
        <v>1.00</v>
      </c>
      <c r="W43" s="9" t="str">
        <f>FIXED(VLOOKUP($A43,'Full Sample-Townhouse'!$A:$R,W$1,0),2)</f>
        <v>0.05</v>
      </c>
      <c r="X43" s="3" t="str">
        <f>FIXED(VLOOKUP($A43,'Full Sample-Townhouse'!$A:$R,X$1,0),2)</f>
        <v>0.22</v>
      </c>
      <c r="Y43" s="3" t="str">
        <f>FIXED(VLOOKUP($A43,'Full Sample-Townhouse'!$A:$R,Y$1,0),2)</f>
        <v>0.00</v>
      </c>
      <c r="Z43" s="3" t="str">
        <f>FIXED(VLOOKUP($A43,'Full Sample-Townhouse'!$A:$R,Z$1,0),2)</f>
        <v>1.00</v>
      </c>
      <c r="AA43" s="9" t="str">
        <f>FIXED(VLOOKUP($A43,'Full Sample-Single Family'!$A:$R,AA$1,0),2)</f>
        <v>0.00</v>
      </c>
      <c r="AB43" s="3" t="str">
        <f>FIXED(VLOOKUP($A43,'Full Sample-Single Family'!$A:$R,AB$1,0),2)</f>
        <v>0.01</v>
      </c>
      <c r="AC43" s="3" t="str">
        <f>FIXED(VLOOKUP($A43,'Full Sample-Single Family'!$A:$R,AC$1,0),2)</f>
        <v>0.00</v>
      </c>
      <c r="AD43" s="3" t="str">
        <f>FIXED(VLOOKUP($A43,'Full Sample-Single Family'!$A:$R,AD$1,0),2)</f>
        <v>1.00</v>
      </c>
      <c r="AE43" s="9" t="str">
        <f>FIXED(VLOOKUP($A43,'Full Sample-Single Family'!$A:$R,AE$1,0),2)</f>
        <v>0.00</v>
      </c>
      <c r="AF43" s="3" t="str">
        <f>FIXED(VLOOKUP($A43,'Full Sample-Single Family'!$A:$R,AF$1,0),2)</f>
        <v>0.00</v>
      </c>
      <c r="AG43" s="3" t="str">
        <f>FIXED(VLOOKUP($A43,'Full Sample-Single Family'!$A:$R,AG$1,0),2)</f>
        <v>0.00</v>
      </c>
      <c r="AH43" s="13" t="str">
        <f>FIXED(VLOOKUP($A43,'Full Sample-Single Family'!$A:$R,AH$1,0),2)</f>
        <v>0.00</v>
      </c>
      <c r="AI43" s="9" t="str">
        <f>FIXED(VLOOKUP($A43,'Full Sample-Single Family'!$A:$R,AI$1,0),2)</f>
        <v>0.00</v>
      </c>
      <c r="AJ43" s="3" t="str">
        <f>FIXED(VLOOKUP($A43,'Full Sample-Single Family'!$A:$R,AJ$1,0),2)</f>
        <v>0.02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50</v>
      </c>
      <c r="B44" s="4" t="s">
        <v>130</v>
      </c>
      <c r="C44" s="9" t="str">
        <f>FIXED(VLOOKUP($A44,'Full Sample-No Sub'!$A:$R,C$1,0),2)</f>
        <v>18.11</v>
      </c>
      <c r="D44" s="3" t="str">
        <f>FIXED(VLOOKUP($A44,'Full Sample-No Sub'!$A:$R,D$1,0),2)</f>
        <v>47.44</v>
      </c>
      <c r="E44" s="3" t="str">
        <f>FIXED(VLOOKUP($A44,'Full Sample-No Sub'!$A:$R,E$1,0),2)</f>
        <v>0.00</v>
      </c>
      <c r="F44" s="3" t="str">
        <f>FIXED(VLOOKUP($A44,'Full Sample-No Sub'!$A:$R,F$1,0),2)</f>
        <v>1,000.00</v>
      </c>
      <c r="G44" s="9" t="str">
        <f>FIXED(VLOOKUP($A44,'Full Sample-No Sub'!$A:$R,G$1,0),2)</f>
        <v>17.92</v>
      </c>
      <c r="H44" s="3" t="str">
        <f>FIXED(VLOOKUP($A44,'Full Sample-No Sub'!$A:$R,H$1,0),2)</f>
        <v>45.74</v>
      </c>
      <c r="I44" s="3" t="str">
        <f>FIXED(VLOOKUP($A44,'Full Sample-No Sub'!$A:$R,I$1,0),2)</f>
        <v>0.00</v>
      </c>
      <c r="J44" s="13" t="str">
        <f>FIXED(VLOOKUP($A44,'Full Sample-No Sub'!$A:$R,J$1,0),2)</f>
        <v>667.00</v>
      </c>
      <c r="K44" s="9" t="str">
        <f>FIXED(VLOOKUP($A44,'Full Sample-No Sub'!$A:$R,K$1,0),2)</f>
        <v>18.36</v>
      </c>
      <c r="L44" s="3" t="str">
        <f>FIXED(VLOOKUP($A44,'Full Sample-No Sub'!$A:$R,L$1,0),2)</f>
        <v>49.66</v>
      </c>
      <c r="M44" s="3" t="str">
        <f>FIXED(VLOOKUP($A44,'Full Sample-No Sub'!$A:$R,M$1,0),2)</f>
        <v>0.00</v>
      </c>
      <c r="N44" s="13" t="str">
        <f>FIXED(VLOOKUP($A44,'Full Sample-No Sub'!$A:$R,N$1,0),2)</f>
        <v>1,000.00</v>
      </c>
      <c r="O44" s="9" t="str">
        <f>FIXED(VLOOKUP($A44,'Full Sample-Townhouse'!$A:$R,O$1,0),2)</f>
        <v>12.49</v>
      </c>
      <c r="P44" s="3" t="str">
        <f>FIXED(VLOOKUP($A44,'Full Sample-Townhouse'!$A:$R,P$1,0),2)</f>
        <v>42.00</v>
      </c>
      <c r="Q44" s="3" t="str">
        <f>FIXED(VLOOKUP($A44,'Full Sample-Townhouse'!$A:$R,Q$1,0),2)</f>
        <v>0.00</v>
      </c>
      <c r="R44" s="3" t="str">
        <f>FIXED(VLOOKUP($A44,'Full Sample-Townhouse'!$A:$R,R$1,0),2)</f>
        <v>1,000.00</v>
      </c>
      <c r="S44" s="9" t="str">
        <f>FIXED(VLOOKUP($A44,'Full Sample-Townhouse'!$A:$R,S$1,0),2)</f>
        <v>12.01</v>
      </c>
      <c r="T44" s="3" t="str">
        <f>FIXED(VLOOKUP($A44,'Full Sample-Townhouse'!$A:$R,T$1,0),2)</f>
        <v>39.95</v>
      </c>
      <c r="U44" s="3" t="str">
        <f>FIXED(VLOOKUP($A44,'Full Sample-Townhouse'!$A:$R,U$1,0),2)</f>
        <v>0.00</v>
      </c>
      <c r="V44" s="13" t="str">
        <f>FIXED(VLOOKUP($A44,'Full Sample-Townhouse'!$A:$R,V$1,0),2)</f>
        <v>651.00</v>
      </c>
      <c r="W44" s="9" t="str">
        <f>FIXED(VLOOKUP($A44,'Full Sample-Townhouse'!$A:$R,W$1,0),2)</f>
        <v>13.14</v>
      </c>
      <c r="X44" s="3" t="str">
        <f>FIXED(VLOOKUP($A44,'Full Sample-Townhouse'!$A:$R,X$1,0),2)</f>
        <v>44.63</v>
      </c>
      <c r="Y44" s="3" t="str">
        <f>FIXED(VLOOKUP($A44,'Full Sample-Townhouse'!$A:$R,Y$1,0),2)</f>
        <v>0.00</v>
      </c>
      <c r="Z44" s="3" t="str">
        <f>FIXED(VLOOKUP($A44,'Full Sample-Townhouse'!$A:$R,Z$1,0),2)</f>
        <v>1,000.00</v>
      </c>
      <c r="AA44" s="9" t="str">
        <f>FIXED(VLOOKUP($A44,'Full Sample-Single Family'!$A:$R,AA$1,0),2)</f>
        <v>24.80</v>
      </c>
      <c r="AB44" s="3" t="str">
        <f>FIXED(VLOOKUP($A44,'Full Sample-Single Family'!$A:$R,AB$1,0),2)</f>
        <v>52.43</v>
      </c>
      <c r="AC44" s="3" t="str">
        <f>FIXED(VLOOKUP($A44,'Full Sample-Single Family'!$A:$R,AC$1,0),2)</f>
        <v>0.00</v>
      </c>
      <c r="AD44" s="3" t="str">
        <f>FIXED(VLOOKUP($A44,'Full Sample-Single Family'!$A:$R,AD$1,0),2)</f>
        <v>667.00</v>
      </c>
      <c r="AE44" s="9" t="str">
        <f>FIXED(VLOOKUP($A44,'Full Sample-Single Family'!$A:$R,AE$1,0),2)</f>
        <v>24.94</v>
      </c>
      <c r="AF44" s="3" t="str">
        <f>FIXED(VLOOKUP($A44,'Full Sample-Single Family'!$A:$R,AF$1,0),2)</f>
        <v>50.92</v>
      </c>
      <c r="AG44" s="3" t="str">
        <f>FIXED(VLOOKUP($A44,'Full Sample-Single Family'!$A:$R,AG$1,0),2)</f>
        <v>0.00</v>
      </c>
      <c r="AH44" s="13" t="str">
        <f>FIXED(VLOOKUP($A44,'Full Sample-Single Family'!$A:$R,AH$1,0),2)</f>
        <v>667.00</v>
      </c>
      <c r="AI44" s="9" t="str">
        <f>FIXED(VLOOKUP($A44,'Full Sample-Single Family'!$A:$R,AI$1,0),2)</f>
        <v>24.62</v>
      </c>
      <c r="AJ44" s="3" t="str">
        <f>FIXED(VLOOKUP($A44,'Full Sample-Single Family'!$A:$R,AJ$1,0),2)</f>
        <v>54.44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74</v>
      </c>
      <c r="B45" s="4" t="s">
        <v>150</v>
      </c>
      <c r="C45" s="9" t="str">
        <f>FIXED(VLOOKUP($A45,'Full Sample-No Sub'!$A:$R,C$1,0),2)</f>
        <v>0.06</v>
      </c>
      <c r="D45" s="3" t="str">
        <f>FIXED(VLOOKUP($A45,'Full Sample-No Sub'!$A:$R,D$1,0),2)</f>
        <v>0.23</v>
      </c>
      <c r="E45" s="3" t="str">
        <f>FIXED(VLOOKUP($A45,'Full Sample-No Sub'!$A:$R,E$1,0),2)</f>
        <v>0.00</v>
      </c>
      <c r="F45" s="3" t="str">
        <f>FIXED(VLOOKUP($A45,'Full Sample-No Sub'!$A:$R,F$1,0),2)</f>
        <v>1.00</v>
      </c>
      <c r="G45" s="9" t="str">
        <f>FIXED(VLOOKUP($A45,'Full Sample-No Sub'!$A:$R,G$1,0),2)</f>
        <v>0.06</v>
      </c>
      <c r="H45" s="3" t="str">
        <f>FIXED(VLOOKUP($A45,'Full Sample-No Sub'!$A:$R,H$1,0),2)</f>
        <v>0.23</v>
      </c>
      <c r="I45" s="3" t="str">
        <f>FIXED(VLOOKUP($A45,'Full Sample-No Sub'!$A:$R,I$1,0),2)</f>
        <v>0.00</v>
      </c>
      <c r="J45" s="13" t="str">
        <f>FIXED(VLOOKUP($A45,'Full Sample-No Sub'!$A:$R,J$1,0),2)</f>
        <v>1.00</v>
      </c>
      <c r="K45" s="9" t="str">
        <f>FIXED(VLOOKUP($A45,'Full Sample-No Sub'!$A:$R,K$1,0),2)</f>
        <v>0.05</v>
      </c>
      <c r="L45" s="3" t="str">
        <f>FIXED(VLOOKUP($A45,'Full Sample-No Sub'!$A:$R,L$1,0),2)</f>
        <v>0.23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FIXED(VLOOKUP($A45,'Full Sample-Townhouse'!$A:$R,O$1,0),2)</f>
        <v>0.10</v>
      </c>
      <c r="P45" s="3" t="str">
        <f>FIXED(VLOOKUP($A45,'Full Sample-Townhouse'!$A:$R,P$1,0),2)</f>
        <v>0.30</v>
      </c>
      <c r="Q45" s="3" t="str">
        <f>FIXED(VLOOKUP($A45,'Full Sample-Townhouse'!$A:$R,Q$1,0),2)</f>
        <v>0.00</v>
      </c>
      <c r="R45" s="3" t="str">
        <f>FIXED(VLOOKUP($A45,'Full Sample-Townhouse'!$A:$R,R$1,0),2)</f>
        <v>1.00</v>
      </c>
      <c r="S45" s="9" t="str">
        <f>FIXED(VLOOKUP($A45,'Full Sample-Townhouse'!$A:$R,S$1,0),2)</f>
        <v>0.10</v>
      </c>
      <c r="T45" s="3" t="str">
        <f>FIXED(VLOOKUP($A45,'Full Sample-Townhouse'!$A:$R,T$1,0),2)</f>
        <v>0.31</v>
      </c>
      <c r="U45" s="3" t="str">
        <f>FIXED(VLOOKUP($A45,'Full Sample-Townhouse'!$A:$R,U$1,0),2)</f>
        <v>0.00</v>
      </c>
      <c r="V45" s="13" t="str">
        <f>FIXED(VLOOKUP($A45,'Full Sample-Townhouse'!$A:$R,V$1,0),2)</f>
        <v>1.00</v>
      </c>
      <c r="W45" s="9" t="str">
        <f>FIXED(VLOOKUP($A45,'Full Sample-Townhouse'!$A:$R,W$1,0),2)</f>
        <v>0.10</v>
      </c>
      <c r="X45" s="3" t="str">
        <f>FIXED(VLOOKUP($A45,'Full Sample-Townhouse'!$A:$R,X$1,0),2)</f>
        <v>0.30</v>
      </c>
      <c r="Y45" s="3" t="str">
        <f>FIXED(VLOOKUP($A45,'Full Sample-Townhouse'!$A:$R,Y$1,0),2)</f>
        <v>0.00</v>
      </c>
      <c r="Z45" s="3" t="str">
        <f>FIXED(VLOOKUP($A45,'Full Sample-Townhouse'!$A:$R,Z$1,0),2)</f>
        <v>1.00</v>
      </c>
      <c r="AA45" s="9" t="str">
        <f>FIXED(VLOOKUP($A45,'Full Sample-Single Family'!$A:$R,AA$1,0),2)</f>
        <v>0.00</v>
      </c>
      <c r="AB45" s="3" t="str">
        <f>FIXED(VLOOKUP($A45,'Full Sample-Single Family'!$A:$R,AB$1,0),2)</f>
        <v>0.06</v>
      </c>
      <c r="AC45" s="3" t="str">
        <f>FIXED(VLOOKUP($A45,'Full Sample-Single Family'!$A:$R,AC$1,0),2)</f>
        <v>0.00</v>
      </c>
      <c r="AD45" s="3" t="str">
        <f>FIXED(VLOOKUP($A45,'Full Sample-Single Family'!$A:$R,AD$1,0),2)</f>
        <v>1.00</v>
      </c>
      <c r="AE45" s="9" t="str">
        <f>FIXED(VLOOKUP($A45,'Full Sample-Single Family'!$A:$R,AE$1,0),2)</f>
        <v>0.00</v>
      </c>
      <c r="AF45" s="3" t="str">
        <f>FIXED(VLOOKUP($A45,'Full Sample-Single Family'!$A:$R,AF$1,0),2)</f>
        <v>0.07</v>
      </c>
      <c r="AG45" s="3" t="str">
        <f>FIXED(VLOOKUP($A45,'Full Sample-Single Family'!$A:$R,AG$1,0),2)</f>
        <v>0.00</v>
      </c>
      <c r="AH45" s="13" t="str">
        <f>FIXED(VLOOKUP($A45,'Full Sample-Single Family'!$A:$R,AH$1,0),2)</f>
        <v>1.00</v>
      </c>
      <c r="AI45" s="9" t="str">
        <f>FIXED(VLOOKUP($A45,'Full Sample-Single Family'!$A:$R,AI$1,0),2)</f>
        <v>0.00</v>
      </c>
      <c r="AJ45" s="3" t="str">
        <f>FIXED(VLOOKUP($A45,'Full Sample-Single Family'!$A:$R,AJ$1,0),2)</f>
        <v>0.06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75</v>
      </c>
      <c r="B46" s="4" t="s">
        <v>151</v>
      </c>
      <c r="C46" s="9" t="str">
        <f>FIXED(VLOOKUP($A46,'Full Sample-No Sub'!$A:$R,C$1,0),2)</f>
        <v>0.25</v>
      </c>
      <c r="D46" s="3" t="str">
        <f>FIXED(VLOOKUP($A46,'Full Sample-No Sub'!$A:$R,D$1,0),2)</f>
        <v>0.44</v>
      </c>
      <c r="E46" s="3" t="str">
        <f>FIXED(VLOOKUP($A46,'Full Sample-No Sub'!$A:$R,E$1,0),2)</f>
        <v>0.00</v>
      </c>
      <c r="F46" s="3" t="str">
        <f>FIXED(VLOOKUP($A46,'Full Sample-No Sub'!$A:$R,F$1,0),2)</f>
        <v>1.00</v>
      </c>
      <c r="G46" s="9" t="str">
        <f>FIXED(VLOOKUP($A46,'Full Sample-No Sub'!$A:$R,G$1,0),2)</f>
        <v>0.25</v>
      </c>
      <c r="H46" s="3" t="str">
        <f>FIXED(VLOOKUP($A46,'Full Sample-No Sub'!$A:$R,H$1,0),2)</f>
        <v>0.43</v>
      </c>
      <c r="I46" s="3" t="str">
        <f>FIXED(VLOOKUP($A46,'Full Sample-No Sub'!$A:$R,I$1,0),2)</f>
        <v>0.00</v>
      </c>
      <c r="J46" s="13" t="str">
        <f>FIXED(VLOOKUP($A46,'Full Sample-No Sub'!$A:$R,J$1,0),2)</f>
        <v>1.00</v>
      </c>
      <c r="K46" s="9" t="str">
        <f>FIXED(VLOOKUP($A46,'Full Sample-No Sub'!$A:$R,K$1,0),2)</f>
        <v>0.26</v>
      </c>
      <c r="L46" s="3" t="str">
        <f>FIXED(VLOOKUP($A46,'Full Sample-No Sub'!$A:$R,L$1,0),2)</f>
        <v>0.44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FIXED(VLOOKUP($A46,'Full Sample-Townhouse'!$A:$R,O$1,0),2)</f>
        <v>0.44</v>
      </c>
      <c r="P46" s="3" t="str">
        <f>FIXED(VLOOKUP($A46,'Full Sample-Townhouse'!$A:$R,P$1,0),2)</f>
        <v>0.50</v>
      </c>
      <c r="Q46" s="3" t="str">
        <f>FIXED(VLOOKUP($A46,'Full Sample-Townhouse'!$A:$R,Q$1,0),2)</f>
        <v>0.00</v>
      </c>
      <c r="R46" s="3" t="str">
        <f>FIXED(VLOOKUP($A46,'Full Sample-Townhouse'!$A:$R,R$1,0),2)</f>
        <v>1.00</v>
      </c>
      <c r="S46" s="9" t="str">
        <f>FIXED(VLOOKUP($A46,'Full Sample-Townhouse'!$A:$R,S$1,0),2)</f>
        <v>0.43</v>
      </c>
      <c r="T46" s="3" t="str">
        <f>FIXED(VLOOKUP($A46,'Full Sample-Townhouse'!$A:$R,T$1,0),2)</f>
        <v>0.50</v>
      </c>
      <c r="U46" s="3" t="str">
        <f>FIXED(VLOOKUP($A46,'Full Sample-Townhouse'!$A:$R,U$1,0),2)</f>
        <v>0.00</v>
      </c>
      <c r="V46" s="13" t="str">
        <f>FIXED(VLOOKUP($A46,'Full Sample-Townhouse'!$A:$R,V$1,0),2)</f>
        <v>1.00</v>
      </c>
      <c r="W46" s="9" t="str">
        <f>FIXED(VLOOKUP($A46,'Full Sample-Townhouse'!$A:$R,W$1,0),2)</f>
        <v>0.45</v>
      </c>
      <c r="X46" s="3" t="str">
        <f>FIXED(VLOOKUP($A46,'Full Sample-Townhouse'!$A:$R,X$1,0),2)</f>
        <v>0.50</v>
      </c>
      <c r="Y46" s="3" t="str">
        <f>FIXED(VLOOKUP($A46,'Full Sample-Townhouse'!$A:$R,Y$1,0),2)</f>
        <v>0.00</v>
      </c>
      <c r="Z46" s="3" t="str">
        <f>FIXED(VLOOKUP($A46,'Full Sample-Townhouse'!$A:$R,Z$1,0),2)</f>
        <v>1.00</v>
      </c>
      <c r="AA46" s="9" t="str">
        <f>FIXED(VLOOKUP($A46,'Full Sample-Single Family'!$A:$R,AA$1,0),2)</f>
        <v>0.03</v>
      </c>
      <c r="AB46" s="3" t="str">
        <f>FIXED(VLOOKUP($A46,'Full Sample-Single Family'!$A:$R,AB$1,0),2)</f>
        <v>0.18</v>
      </c>
      <c r="AC46" s="3" t="str">
        <f>FIXED(VLOOKUP($A46,'Full Sample-Single Family'!$A:$R,AC$1,0),2)</f>
        <v>0.00</v>
      </c>
      <c r="AD46" s="3" t="str">
        <f>FIXED(VLOOKUP($A46,'Full Sample-Single Family'!$A:$R,AD$1,0),2)</f>
        <v>1.00</v>
      </c>
      <c r="AE46" s="9" t="str">
        <f>FIXED(VLOOKUP($A46,'Full Sample-Single Family'!$A:$R,AE$1,0),2)</f>
        <v>0.04</v>
      </c>
      <c r="AF46" s="3" t="str">
        <f>FIXED(VLOOKUP($A46,'Full Sample-Single Family'!$A:$R,AF$1,0),2)</f>
        <v>0.19</v>
      </c>
      <c r="AG46" s="3" t="str">
        <f>FIXED(VLOOKUP($A46,'Full Sample-Single Family'!$A:$R,AG$1,0),2)</f>
        <v>0.00</v>
      </c>
      <c r="AH46" s="13" t="str">
        <f>FIXED(VLOOKUP($A46,'Full Sample-Single Family'!$A:$R,AH$1,0),2)</f>
        <v>1.00</v>
      </c>
      <c r="AI46" s="9" t="str">
        <f>FIXED(VLOOKUP($A46,'Full Sample-Single Family'!$A:$R,AI$1,0),2)</f>
        <v>0.03</v>
      </c>
      <c r="AJ46" s="3" t="str">
        <f>FIXED(VLOOKUP($A46,'Full Sample-Single Family'!$A:$R,AJ$1,0),2)</f>
        <v>0.16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76</v>
      </c>
      <c r="B47" s="4" t="s">
        <v>152</v>
      </c>
      <c r="C47" s="9" t="str">
        <f>FIXED(VLOOKUP($A47,'Full Sample-No Sub'!$A:$R,C$1,0),2)</f>
        <v>0.47</v>
      </c>
      <c r="D47" s="3" t="str">
        <f>FIXED(VLOOKUP($A47,'Full Sample-No Sub'!$A:$R,D$1,0),2)</f>
        <v>0.50</v>
      </c>
      <c r="E47" s="3" t="str">
        <f>FIXED(VLOOKUP($A47,'Full Sample-No Sub'!$A:$R,E$1,0),2)</f>
        <v>0.00</v>
      </c>
      <c r="F47" s="3" t="str">
        <f>FIXED(VLOOKUP($A47,'Full Sample-No Sub'!$A:$R,F$1,0),2)</f>
        <v>1.00</v>
      </c>
      <c r="G47" s="9" t="str">
        <f>FIXED(VLOOKUP($A47,'Full Sample-No Sub'!$A:$R,G$1,0),2)</f>
        <v>0.49</v>
      </c>
      <c r="H47" s="3" t="str">
        <f>FIXED(VLOOKUP($A47,'Full Sample-No Sub'!$A:$R,H$1,0),2)</f>
        <v>0.50</v>
      </c>
      <c r="I47" s="3" t="str">
        <f>FIXED(VLOOKUP($A47,'Full Sample-No Sub'!$A:$R,I$1,0),2)</f>
        <v>0.00</v>
      </c>
      <c r="J47" s="13" t="str">
        <f>FIXED(VLOOKUP($A47,'Full Sample-No Sub'!$A:$R,J$1,0),2)</f>
        <v>1.00</v>
      </c>
      <c r="K47" s="9" t="str">
        <f>FIXED(VLOOKUP($A47,'Full Sample-No Sub'!$A:$R,K$1,0),2)</f>
        <v>0.45</v>
      </c>
      <c r="L47" s="3" t="str">
        <f>FIXED(VLOOKUP($A47,'Full Sample-No Sub'!$A:$R,L$1,0),2)</f>
        <v>0.50</v>
      </c>
      <c r="M47" s="3" t="str">
        <f>FIXED(VLOOKUP($A47,'Full Sample-No Sub'!$A:$R,M$1,0),2)</f>
        <v>0.00</v>
      </c>
      <c r="N47" s="13" t="str">
        <f>FIXED(VLOOKUP($A47,'Full Sample-No Sub'!$A:$R,N$1,0),2)</f>
        <v>1.00</v>
      </c>
      <c r="O47" s="9" t="str">
        <f>FIXED(VLOOKUP($A47,'Full Sample-Townhouse'!$A:$R,O$1,0),2)</f>
        <v>0.44</v>
      </c>
      <c r="P47" s="3" t="str">
        <f>FIXED(VLOOKUP($A47,'Full Sample-Townhouse'!$A:$R,P$1,0),2)</f>
        <v>0.50</v>
      </c>
      <c r="Q47" s="3" t="str">
        <f>FIXED(VLOOKUP($A47,'Full Sample-Townhouse'!$A:$R,Q$1,0),2)</f>
        <v>0.00</v>
      </c>
      <c r="R47" s="3" t="str">
        <f>FIXED(VLOOKUP($A47,'Full Sample-Townhouse'!$A:$R,R$1,0),2)</f>
        <v>1.00</v>
      </c>
      <c r="S47" s="9" t="str">
        <f>FIXED(VLOOKUP($A47,'Full Sample-Townhouse'!$A:$R,S$1,0),2)</f>
        <v>0.45</v>
      </c>
      <c r="T47" s="3" t="str">
        <f>FIXED(VLOOKUP($A47,'Full Sample-Townhouse'!$A:$R,T$1,0),2)</f>
        <v>0.50</v>
      </c>
      <c r="U47" s="3" t="str">
        <f>FIXED(VLOOKUP($A47,'Full Sample-Townhouse'!$A:$R,U$1,0),2)</f>
        <v>0.00</v>
      </c>
      <c r="V47" s="13" t="str">
        <f>FIXED(VLOOKUP($A47,'Full Sample-Townhouse'!$A:$R,V$1,0),2)</f>
        <v>1.00</v>
      </c>
      <c r="W47" s="9" t="str">
        <f>FIXED(VLOOKUP($A47,'Full Sample-Townhouse'!$A:$R,W$1,0),2)</f>
        <v>0.43</v>
      </c>
      <c r="X47" s="3" t="str">
        <f>FIXED(VLOOKUP($A47,'Full Sample-Townhouse'!$A:$R,X$1,0),2)</f>
        <v>0.50</v>
      </c>
      <c r="Y47" s="3" t="str">
        <f>FIXED(VLOOKUP($A47,'Full Sample-Townhouse'!$A:$R,Y$1,0),2)</f>
        <v>0.00</v>
      </c>
      <c r="Z47" s="3" t="str">
        <f>FIXED(VLOOKUP($A47,'Full Sample-Townhouse'!$A:$R,Z$1,0),2)</f>
        <v>1.00</v>
      </c>
      <c r="AA47" s="9" t="str">
        <f>FIXED(VLOOKUP($A47,'Full Sample-Single Family'!$A:$R,AA$1,0),2)</f>
        <v>0.51</v>
      </c>
      <c r="AB47" s="3" t="str">
        <f>FIXED(VLOOKUP($A47,'Full Sample-Single Family'!$A:$R,AB$1,0),2)</f>
        <v>0.50</v>
      </c>
      <c r="AC47" s="3" t="str">
        <f>FIXED(VLOOKUP($A47,'Full Sample-Single Family'!$A:$R,AC$1,0),2)</f>
        <v>0.00</v>
      </c>
      <c r="AD47" s="3" t="str">
        <f>FIXED(VLOOKUP($A47,'Full Sample-Single Family'!$A:$R,AD$1,0),2)</f>
        <v>1.00</v>
      </c>
      <c r="AE47" s="9" t="str">
        <f>FIXED(VLOOKUP($A47,'Full Sample-Single Family'!$A:$R,AE$1,0),2)</f>
        <v>0.54</v>
      </c>
      <c r="AF47" s="3" t="str">
        <f>FIXED(VLOOKUP($A47,'Full Sample-Single Family'!$A:$R,AF$1,0),2)</f>
        <v>0.50</v>
      </c>
      <c r="AG47" s="3" t="str">
        <f>FIXED(VLOOKUP($A47,'Full Sample-Single Family'!$A:$R,AG$1,0),2)</f>
        <v>0.00</v>
      </c>
      <c r="AH47" s="13" t="str">
        <f>FIXED(VLOOKUP($A47,'Full Sample-Single Family'!$A:$R,AH$1,0),2)</f>
        <v>1.00</v>
      </c>
      <c r="AI47" s="9" t="str">
        <f>FIXED(VLOOKUP($A47,'Full Sample-Single Family'!$A:$R,AI$1,0),2)</f>
        <v>0.47</v>
      </c>
      <c r="AJ47" s="3" t="str">
        <f>FIXED(VLOOKUP($A47,'Full Sample-Single Family'!$A:$R,AJ$1,0),2)</f>
        <v>0.50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77</v>
      </c>
      <c r="B48" s="4" t="s">
        <v>153</v>
      </c>
      <c r="C48" s="9" t="str">
        <f>FIXED(VLOOKUP($A48,'Full Sample-No Sub'!$A:$R,C$1,0),2)</f>
        <v>0.06</v>
      </c>
      <c r="D48" s="3" t="str">
        <f>FIXED(VLOOKUP($A48,'Full Sample-No Sub'!$A:$R,D$1,0),2)</f>
        <v>0.24</v>
      </c>
      <c r="E48" s="3" t="str">
        <f>FIXED(VLOOKUP($A48,'Full Sample-No Sub'!$A:$R,E$1,0),2)</f>
        <v>0.00</v>
      </c>
      <c r="F48" s="3" t="str">
        <f>FIXED(VLOOKUP($A48,'Full Sample-No Sub'!$A:$R,F$1,0),2)</f>
        <v>1.00</v>
      </c>
      <c r="G48" s="9" t="str">
        <f>FIXED(VLOOKUP($A48,'Full Sample-No Sub'!$A:$R,G$1,0),2)</f>
        <v>0.06</v>
      </c>
      <c r="H48" s="3" t="str">
        <f>FIXED(VLOOKUP($A48,'Full Sample-No Sub'!$A:$R,H$1,0),2)</f>
        <v>0.23</v>
      </c>
      <c r="I48" s="3" t="str">
        <f>FIXED(VLOOKUP($A48,'Full Sample-No Sub'!$A:$R,I$1,0),2)</f>
        <v>0.00</v>
      </c>
      <c r="J48" s="13" t="str">
        <f>FIXED(VLOOKUP($A48,'Full Sample-No Sub'!$A:$R,J$1,0),2)</f>
        <v>1.00</v>
      </c>
      <c r="K48" s="9" t="str">
        <f>FIXED(VLOOKUP($A48,'Full Sample-No Sub'!$A:$R,K$1,0),2)</f>
        <v>0.06</v>
      </c>
      <c r="L48" s="3" t="str">
        <f>FIXED(VLOOKUP($A48,'Full Sample-No Sub'!$A:$R,L$1,0),2)</f>
        <v>0.25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FIXED(VLOOKUP($A48,'Full Sample-Townhouse'!$A:$R,O$1,0),2)</f>
        <v>0.01</v>
      </c>
      <c r="P48" s="3" t="str">
        <f>FIXED(VLOOKUP($A48,'Full Sample-Townhouse'!$A:$R,P$1,0),2)</f>
        <v>0.09</v>
      </c>
      <c r="Q48" s="3" t="str">
        <f>FIXED(VLOOKUP($A48,'Full Sample-Townhouse'!$A:$R,Q$1,0),2)</f>
        <v>0.00</v>
      </c>
      <c r="R48" s="3" t="str">
        <f>FIXED(VLOOKUP($A48,'Full Sample-Townhouse'!$A:$R,R$1,0),2)</f>
        <v>1.00</v>
      </c>
      <c r="S48" s="9" t="str">
        <f>FIXED(VLOOKUP($A48,'Full Sample-Townhouse'!$A:$R,S$1,0),2)</f>
        <v>0.01</v>
      </c>
      <c r="T48" s="3" t="str">
        <f>FIXED(VLOOKUP($A48,'Full Sample-Townhouse'!$A:$R,T$1,0),2)</f>
        <v>0.09</v>
      </c>
      <c r="U48" s="3" t="str">
        <f>FIXED(VLOOKUP($A48,'Full Sample-Townhouse'!$A:$R,U$1,0),2)</f>
        <v>0.00</v>
      </c>
      <c r="V48" s="13" t="str">
        <f>FIXED(VLOOKUP($A48,'Full Sample-Townhouse'!$A:$R,V$1,0),2)</f>
        <v>1.00</v>
      </c>
      <c r="W48" s="9" t="str">
        <f>FIXED(VLOOKUP($A48,'Full Sample-Townhouse'!$A:$R,W$1,0),2)</f>
        <v>0.01</v>
      </c>
      <c r="X48" s="3" t="str">
        <f>FIXED(VLOOKUP($A48,'Full Sample-Townhouse'!$A:$R,X$1,0),2)</f>
        <v>0.10</v>
      </c>
      <c r="Y48" s="3" t="str">
        <f>FIXED(VLOOKUP($A48,'Full Sample-Townhouse'!$A:$R,Y$1,0),2)</f>
        <v>0.00</v>
      </c>
      <c r="Z48" s="3" t="str">
        <f>FIXED(VLOOKUP($A48,'Full Sample-Townhouse'!$A:$R,Z$1,0),2)</f>
        <v>1.00</v>
      </c>
      <c r="AA48" s="9" t="str">
        <f>FIXED(VLOOKUP($A48,'Full Sample-Single Family'!$A:$R,AA$1,0),2)</f>
        <v>0.12</v>
      </c>
      <c r="AB48" s="3" t="str">
        <f>FIXED(VLOOKUP($A48,'Full Sample-Single Family'!$A:$R,AB$1,0),2)</f>
        <v>0.33</v>
      </c>
      <c r="AC48" s="3" t="str">
        <f>FIXED(VLOOKUP($A48,'Full Sample-Single Family'!$A:$R,AC$1,0),2)</f>
        <v>0.00</v>
      </c>
      <c r="AD48" s="3" t="str">
        <f>FIXED(VLOOKUP($A48,'Full Sample-Single Family'!$A:$R,AD$1,0),2)</f>
        <v>1.00</v>
      </c>
      <c r="AE48" s="9" t="str">
        <f>FIXED(VLOOKUP($A48,'Full Sample-Single Family'!$A:$R,AE$1,0),2)</f>
        <v>0.12</v>
      </c>
      <c r="AF48" s="3" t="str">
        <f>FIXED(VLOOKUP($A48,'Full Sample-Single Family'!$A:$R,AF$1,0),2)</f>
        <v>0.32</v>
      </c>
      <c r="AG48" s="3" t="str">
        <f>FIXED(VLOOKUP($A48,'Full Sample-Single Family'!$A:$R,AG$1,0),2)</f>
        <v>0.00</v>
      </c>
      <c r="AH48" s="13" t="str">
        <f>FIXED(VLOOKUP($A48,'Full Sample-Single Family'!$A:$R,AH$1,0),2)</f>
        <v>1.00</v>
      </c>
      <c r="AI48" s="9" t="str">
        <f>FIXED(VLOOKUP($A48,'Full Sample-Single Family'!$A:$R,AI$1,0),2)</f>
        <v>0.13</v>
      </c>
      <c r="AJ48" s="3" t="str">
        <f>FIXED(VLOOKUP($A48,'Full Sample-Single Family'!$A:$R,AJ$1,0),2)</f>
        <v>0.34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78</v>
      </c>
      <c r="B49" s="4" t="s">
        <v>154</v>
      </c>
      <c r="C49" s="9" t="str">
        <f>FIXED(VLOOKUP($A49,'Full Sample-No Sub'!$A:$R,C$1,0),2)</f>
        <v>0.12</v>
      </c>
      <c r="D49" s="3" t="str">
        <f>FIXED(VLOOKUP($A49,'Full Sample-No Sub'!$A:$R,D$1,0),2)</f>
        <v>0.33</v>
      </c>
      <c r="E49" s="3" t="str">
        <f>FIXED(VLOOKUP($A49,'Full Sample-No Sub'!$A:$R,E$1,0),2)</f>
        <v>0.00</v>
      </c>
      <c r="F49" s="3" t="str">
        <f>FIXED(VLOOKUP($A49,'Full Sample-No Sub'!$A:$R,F$1,0),2)</f>
        <v>1.00</v>
      </c>
      <c r="G49" s="9" t="str">
        <f>FIXED(VLOOKUP($A49,'Full Sample-No Sub'!$A:$R,G$1,0),2)</f>
        <v>0.11</v>
      </c>
      <c r="H49" s="3" t="str">
        <f>FIXED(VLOOKUP($A49,'Full Sample-No Sub'!$A:$R,H$1,0),2)</f>
        <v>0.32</v>
      </c>
      <c r="I49" s="3" t="str">
        <f>FIXED(VLOOKUP($A49,'Full Sample-No Sub'!$A:$R,I$1,0),2)</f>
        <v>0.00</v>
      </c>
      <c r="J49" s="13" t="str">
        <f>FIXED(VLOOKUP($A49,'Full Sample-No Sub'!$A:$R,J$1,0),2)</f>
        <v>1.00</v>
      </c>
      <c r="K49" s="9" t="str">
        <f>FIXED(VLOOKUP($A49,'Full Sample-No Sub'!$A:$R,K$1,0),2)</f>
        <v>0.13</v>
      </c>
      <c r="L49" s="3" t="str">
        <f>FIXED(VLOOKUP($A49,'Full Sample-No Sub'!$A:$R,L$1,0),2)</f>
        <v>0.34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FIXED(VLOOKUP($A49,'Full Sample-Townhouse'!$A:$R,O$1,0),2)</f>
        <v>0.01</v>
      </c>
      <c r="P49" s="3" t="str">
        <f>FIXED(VLOOKUP($A49,'Full Sample-Townhouse'!$A:$R,P$1,0),2)</f>
        <v>0.09</v>
      </c>
      <c r="Q49" s="3" t="str">
        <f>FIXED(VLOOKUP($A49,'Full Sample-Townhouse'!$A:$R,Q$1,0),2)</f>
        <v>0.00</v>
      </c>
      <c r="R49" s="3" t="str">
        <f>FIXED(VLOOKUP($A49,'Full Sample-Townhouse'!$A:$R,R$1,0),2)</f>
        <v>1.00</v>
      </c>
      <c r="S49" s="9" t="str">
        <f>FIXED(VLOOKUP($A49,'Full Sample-Townhouse'!$A:$R,S$1,0),2)</f>
        <v>0.01</v>
      </c>
      <c r="T49" s="3" t="str">
        <f>FIXED(VLOOKUP($A49,'Full Sample-Townhouse'!$A:$R,T$1,0),2)</f>
        <v>0.09</v>
      </c>
      <c r="U49" s="3" t="str">
        <f>FIXED(VLOOKUP($A49,'Full Sample-Townhouse'!$A:$R,U$1,0),2)</f>
        <v>0.00</v>
      </c>
      <c r="V49" s="13" t="str">
        <f>FIXED(VLOOKUP($A49,'Full Sample-Townhouse'!$A:$R,V$1,0),2)</f>
        <v>1.00</v>
      </c>
      <c r="W49" s="9" t="str">
        <f>FIXED(VLOOKUP($A49,'Full Sample-Townhouse'!$A:$R,W$1,0),2)</f>
        <v>0.01</v>
      </c>
      <c r="X49" s="3" t="str">
        <f>FIXED(VLOOKUP($A49,'Full Sample-Townhouse'!$A:$R,X$1,0),2)</f>
        <v>0.10</v>
      </c>
      <c r="Y49" s="3" t="str">
        <f>FIXED(VLOOKUP($A49,'Full Sample-Townhouse'!$A:$R,Y$1,0),2)</f>
        <v>0.00</v>
      </c>
      <c r="Z49" s="3" t="str">
        <f>FIXED(VLOOKUP($A49,'Full Sample-Townhouse'!$A:$R,Z$1,0),2)</f>
        <v>1.00</v>
      </c>
      <c r="AA49" s="9" t="str">
        <f>FIXED(VLOOKUP($A49,'Full Sample-Single Family'!$A:$R,AA$1,0),2)</f>
        <v>0.25</v>
      </c>
      <c r="AB49" s="3" t="str">
        <f>FIXED(VLOOKUP($A49,'Full Sample-Single Family'!$A:$R,AB$1,0),2)</f>
        <v>0.43</v>
      </c>
      <c r="AC49" s="3" t="str">
        <f>FIXED(VLOOKUP($A49,'Full Sample-Single Family'!$A:$R,AC$1,0),2)</f>
        <v>0.00</v>
      </c>
      <c r="AD49" s="3" t="str">
        <f>FIXED(VLOOKUP($A49,'Full Sample-Single Family'!$A:$R,AD$1,0),2)</f>
        <v>1.00</v>
      </c>
      <c r="AE49" s="9" t="str">
        <f>FIXED(VLOOKUP($A49,'Full Sample-Single Family'!$A:$R,AE$1,0),2)</f>
        <v>0.24</v>
      </c>
      <c r="AF49" s="3" t="str">
        <f>FIXED(VLOOKUP($A49,'Full Sample-Single Family'!$A:$R,AF$1,0),2)</f>
        <v>0.42</v>
      </c>
      <c r="AG49" s="3" t="str">
        <f>FIXED(VLOOKUP($A49,'Full Sample-Single Family'!$A:$R,AG$1,0),2)</f>
        <v>0.00</v>
      </c>
      <c r="AH49" s="13" t="str">
        <f>FIXED(VLOOKUP($A49,'Full Sample-Single Family'!$A:$R,AH$1,0),2)</f>
        <v>1.00</v>
      </c>
      <c r="AI49" s="9" t="str">
        <f>FIXED(VLOOKUP($A49,'Full Sample-Single Family'!$A:$R,AI$1,0),2)</f>
        <v>0.28</v>
      </c>
      <c r="AJ49" s="3" t="str">
        <f>FIXED(VLOOKUP($A49,'Full Sample-Single Family'!$A:$R,AJ$1,0),2)</f>
        <v>0.45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170</v>
      </c>
      <c r="B50" s="4" t="s">
        <v>176</v>
      </c>
      <c r="C50" s="9" t="str">
        <f>FIXED(VLOOKUP($A50,'Full Sample-No Sub'!$A:$R,C$1,0),2)</f>
        <v>0.04</v>
      </c>
      <c r="D50" s="3" t="str">
        <f>FIXED(VLOOKUP($A50,'Full Sample-No Sub'!$A:$R,D$1,0),2)</f>
        <v>0.19</v>
      </c>
      <c r="E50" s="3" t="str">
        <f>FIXED(VLOOKUP($A50,'Full Sample-No Sub'!$A:$R,E$1,0),2)</f>
        <v>0.00</v>
      </c>
      <c r="F50" s="3" t="str">
        <f>FIXED(VLOOKUP($A50,'Full Sample-No Sub'!$A:$R,F$1,0),2)</f>
        <v>1.00</v>
      </c>
      <c r="G50" s="9" t="str">
        <f>FIXED(VLOOKUP($A50,'Full Sample-No Sub'!$A:$R,G$1,0),2)</f>
        <v>0.03</v>
      </c>
      <c r="H50" s="3" t="str">
        <f>FIXED(VLOOKUP($A50,'Full Sample-No Sub'!$A:$R,H$1,0),2)</f>
        <v>0.18</v>
      </c>
      <c r="I50" s="3" t="str">
        <f>FIXED(VLOOKUP($A50,'Full Sample-No Sub'!$A:$R,I$1,0),2)</f>
        <v>0.00</v>
      </c>
      <c r="J50" s="13" t="str">
        <f>FIXED(VLOOKUP($A50,'Full Sample-No Sub'!$A:$R,J$1,0),2)</f>
        <v>1.00</v>
      </c>
      <c r="K50" s="9" t="str">
        <f>FIXED(VLOOKUP($A50,'Full Sample-No Sub'!$A:$R,K$1,0),2)</f>
        <v>0.04</v>
      </c>
      <c r="L50" s="3" t="str">
        <f>FIXED(VLOOKUP($A50,'Full Sample-No Sub'!$A:$R,L$1,0),2)</f>
        <v>0.21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FIXED(VLOOKUP($A50,'Full Sample-Townhouse'!$A:$R,O$1,0),2)</f>
        <v>0.00</v>
      </c>
      <c r="P50" s="3" t="str">
        <f>FIXED(VLOOKUP($A50,'Full Sample-Townhouse'!$A:$R,P$1,0),2)</f>
        <v>0.03</v>
      </c>
      <c r="Q50" s="3" t="str">
        <f>FIXED(VLOOKUP($A50,'Full Sample-Townhouse'!$A:$R,Q$1,0),2)</f>
        <v>0.00</v>
      </c>
      <c r="R50" s="3" t="str">
        <f>FIXED(VLOOKUP($A50,'Full Sample-Townhouse'!$A:$R,R$1,0),2)</f>
        <v>1.00</v>
      </c>
      <c r="S50" s="9" t="str">
        <f>FIXED(VLOOKUP($A50,'Full Sample-Townhouse'!$A:$R,S$1,0),2)</f>
        <v>0.00</v>
      </c>
      <c r="T50" s="3" t="str">
        <f>FIXED(VLOOKUP($A50,'Full Sample-Townhouse'!$A:$R,T$1,0),2)</f>
        <v>0.03</v>
      </c>
      <c r="U50" s="3" t="str">
        <f>FIXED(VLOOKUP($A50,'Full Sample-Townhouse'!$A:$R,U$1,0),2)</f>
        <v>0.00</v>
      </c>
      <c r="V50" s="13" t="str">
        <f>FIXED(VLOOKUP($A50,'Full Sample-Townhouse'!$A:$R,V$1,0),2)</f>
        <v>1.00</v>
      </c>
      <c r="W50" s="9" t="str">
        <f>FIXED(VLOOKUP($A50,'Full Sample-Townhouse'!$A:$R,W$1,0),2)</f>
        <v>0.00</v>
      </c>
      <c r="X50" s="3" t="str">
        <f>FIXED(VLOOKUP($A50,'Full Sample-Townhouse'!$A:$R,X$1,0),2)</f>
        <v>0.03</v>
      </c>
      <c r="Y50" s="3" t="str">
        <f>FIXED(VLOOKUP($A50,'Full Sample-Townhouse'!$A:$R,Y$1,0),2)</f>
        <v>0.00</v>
      </c>
      <c r="Z50" s="3" t="str">
        <f>FIXED(VLOOKUP($A50,'Full Sample-Townhouse'!$A:$R,Z$1,0),2)</f>
        <v>1.00</v>
      </c>
      <c r="AA50" s="9" t="str">
        <f>FIXED(VLOOKUP($A50,'Full Sample-Single Family'!$A:$R,AA$1,0),2)</f>
        <v>0.08</v>
      </c>
      <c r="AB50" s="3" t="str">
        <f>FIXED(VLOOKUP($A50,'Full Sample-Single Family'!$A:$R,AB$1,0),2)</f>
        <v>0.27</v>
      </c>
      <c r="AC50" s="3" t="str">
        <f>FIXED(VLOOKUP($A50,'Full Sample-Single Family'!$A:$R,AC$1,0),2)</f>
        <v>0.00</v>
      </c>
      <c r="AD50" s="3" t="str">
        <f>FIXED(VLOOKUP($A50,'Full Sample-Single Family'!$A:$R,AD$1,0),2)</f>
        <v>1.00</v>
      </c>
      <c r="AE50" s="9" t="str">
        <f>FIXED(VLOOKUP($A50,'Full Sample-Single Family'!$A:$R,AE$1,0),2)</f>
        <v>0.07</v>
      </c>
      <c r="AF50" s="3" t="str">
        <f>FIXED(VLOOKUP($A50,'Full Sample-Single Family'!$A:$R,AF$1,0),2)</f>
        <v>0.25</v>
      </c>
      <c r="AG50" s="3" t="str">
        <f>FIXED(VLOOKUP($A50,'Full Sample-Single Family'!$A:$R,AG$1,0),2)</f>
        <v>0.00</v>
      </c>
      <c r="AH50" s="13" t="str">
        <f>FIXED(VLOOKUP($A50,'Full Sample-Single Family'!$A:$R,AH$1,0),2)</f>
        <v>1.00</v>
      </c>
      <c r="AI50" s="9" t="str">
        <f>FIXED(VLOOKUP($A50,'Full Sample-Single Family'!$A:$R,AI$1,0),2)</f>
        <v>0.10</v>
      </c>
      <c r="AJ50" s="3" t="str">
        <f>FIXED(VLOOKUP($A50,'Full Sample-Single Family'!$A:$R,AJ$1,0),2)</f>
        <v>0.29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52</v>
      </c>
      <c r="B51" s="4" t="s">
        <v>132</v>
      </c>
      <c r="C51" s="9" t="str">
        <f>FIXED(VLOOKUP($A51,'Full Sample-No Sub'!$A:$R,C$1,0),2)</f>
        <v>0.40</v>
      </c>
      <c r="D51" s="3" t="str">
        <f>FIXED(VLOOKUP($A51,'Full Sample-No Sub'!$A:$R,D$1,0),2)</f>
        <v>0.49</v>
      </c>
      <c r="E51" s="3" t="str">
        <f>FIXED(VLOOKUP($A51,'Full Sample-No Sub'!$A:$R,E$1,0),2)</f>
        <v>0.00</v>
      </c>
      <c r="F51" s="3" t="str">
        <f>FIXED(VLOOKUP($A51,'Full Sample-No Sub'!$A:$R,F$1,0),2)</f>
        <v>1.00</v>
      </c>
      <c r="G51" s="9" t="str">
        <f>FIXED(VLOOKUP($A51,'Full Sample-No Sub'!$A:$R,G$1,0),2)</f>
        <v>0.38</v>
      </c>
      <c r="H51" s="3" t="str">
        <f>FIXED(VLOOKUP($A51,'Full Sample-No Sub'!$A:$R,H$1,0),2)</f>
        <v>0.49</v>
      </c>
      <c r="I51" s="3" t="str">
        <f>FIXED(VLOOKUP($A51,'Full Sample-No Sub'!$A:$R,I$1,0),2)</f>
        <v>0.00</v>
      </c>
      <c r="J51" s="13" t="str">
        <f>FIXED(VLOOKUP($A51,'Full Sample-No Sub'!$A:$R,J$1,0),2)</f>
        <v>1.00</v>
      </c>
      <c r="K51" s="9" t="str">
        <f>FIXED(VLOOKUP($A51,'Full Sample-No Sub'!$A:$R,K$1,0),2)</f>
        <v>0.43</v>
      </c>
      <c r="L51" s="3" t="str">
        <f>FIXED(VLOOKUP($A51,'Full Sample-No Sub'!$A:$R,L$1,0),2)</f>
        <v>0.50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FIXED(VLOOKUP($A51,'Full Sample-Townhouse'!$A:$R,O$1,0),2)</f>
        <v>0.37</v>
      </c>
      <c r="P51" s="3" t="str">
        <f>FIXED(VLOOKUP($A51,'Full Sample-Townhouse'!$A:$R,P$1,0),2)</f>
        <v>0.48</v>
      </c>
      <c r="Q51" s="3" t="str">
        <f>FIXED(VLOOKUP($A51,'Full Sample-Townhouse'!$A:$R,Q$1,0),2)</f>
        <v>0.00</v>
      </c>
      <c r="R51" s="3" t="str">
        <f>FIXED(VLOOKUP($A51,'Full Sample-Townhouse'!$A:$R,R$1,0),2)</f>
        <v>1.00</v>
      </c>
      <c r="S51" s="9" t="str">
        <f>FIXED(VLOOKUP($A51,'Full Sample-Townhouse'!$A:$R,S$1,0),2)</f>
        <v>0.36</v>
      </c>
      <c r="T51" s="3" t="str">
        <f>FIXED(VLOOKUP($A51,'Full Sample-Townhouse'!$A:$R,T$1,0),2)</f>
        <v>0.48</v>
      </c>
      <c r="U51" s="3" t="str">
        <f>FIXED(VLOOKUP($A51,'Full Sample-Townhouse'!$A:$R,U$1,0),2)</f>
        <v>0.00</v>
      </c>
      <c r="V51" s="13" t="str">
        <f>FIXED(VLOOKUP($A51,'Full Sample-Townhouse'!$A:$R,V$1,0),2)</f>
        <v>1.00</v>
      </c>
      <c r="W51" s="9" t="str">
        <f>FIXED(VLOOKUP($A51,'Full Sample-Townhouse'!$A:$R,W$1,0),2)</f>
        <v>0.39</v>
      </c>
      <c r="X51" s="3" t="str">
        <f>FIXED(VLOOKUP($A51,'Full Sample-Townhouse'!$A:$R,X$1,0),2)</f>
        <v>0.49</v>
      </c>
      <c r="Y51" s="3" t="str">
        <f>FIXED(VLOOKUP($A51,'Full Sample-Townhouse'!$A:$R,Y$1,0),2)</f>
        <v>0.00</v>
      </c>
      <c r="Z51" s="3" t="str">
        <f>FIXED(VLOOKUP($A51,'Full Sample-Townhouse'!$A:$R,Z$1,0),2)</f>
        <v>1.00</v>
      </c>
      <c r="AA51" s="9" t="str">
        <f>FIXED(VLOOKUP($A51,'Full Sample-Single Family'!$A:$R,AA$1,0),2)</f>
        <v>0.44</v>
      </c>
      <c r="AB51" s="3" t="str">
        <f>FIXED(VLOOKUP($A51,'Full Sample-Single Family'!$A:$R,AB$1,0),2)</f>
        <v>0.50</v>
      </c>
      <c r="AC51" s="3" t="str">
        <f>FIXED(VLOOKUP($A51,'Full Sample-Single Family'!$A:$R,AC$1,0),2)</f>
        <v>0.00</v>
      </c>
      <c r="AD51" s="3" t="str">
        <f>FIXED(VLOOKUP($A51,'Full Sample-Single Family'!$A:$R,AD$1,0),2)</f>
        <v>1.00</v>
      </c>
      <c r="AE51" s="9" t="str">
        <f>FIXED(VLOOKUP($A51,'Full Sample-Single Family'!$A:$R,AE$1,0),2)</f>
        <v>0.41</v>
      </c>
      <c r="AF51" s="3" t="str">
        <f>FIXED(VLOOKUP($A51,'Full Sample-Single Family'!$A:$R,AF$1,0),2)</f>
        <v>0.49</v>
      </c>
      <c r="AG51" s="3" t="str">
        <f>FIXED(VLOOKUP($A51,'Full Sample-Single Family'!$A:$R,AG$1,0),2)</f>
        <v>0.00</v>
      </c>
      <c r="AH51" s="13" t="str">
        <f>FIXED(VLOOKUP($A51,'Full Sample-Single Family'!$A:$R,AH$1,0),2)</f>
        <v>1.00</v>
      </c>
      <c r="AI51" s="9" t="str">
        <f>FIXED(VLOOKUP($A51,'Full Sample-Single Family'!$A:$R,AI$1,0),2)</f>
        <v>0.49</v>
      </c>
      <c r="AJ51" s="3" t="str">
        <f>FIXED(VLOOKUP($A51,'Full Sample-Single Family'!$A:$R,AJ$1,0),2)</f>
        <v>0.50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51</v>
      </c>
      <c r="B52" t="s">
        <v>131</v>
      </c>
      <c r="C52" s="9" t="str">
        <f>FIXED(VLOOKUP($A52,'Full Sample-No Sub'!$A:$R,C$1,0),2)</f>
        <v>0.67</v>
      </c>
      <c r="D52" s="3" t="str">
        <f>FIXED(VLOOKUP($A52,'Full Sample-No Sub'!$A:$R,D$1,0),2)</f>
        <v>1.48</v>
      </c>
      <c r="E52" s="3" t="str">
        <f>FIXED(VLOOKUP($A52,'Full Sample-No Sub'!$A:$R,E$1,0),2)</f>
        <v>0.00</v>
      </c>
      <c r="F52" s="3" t="str">
        <f>FIXED(VLOOKUP($A52,'Full Sample-No Sub'!$A:$R,F$1,0),2)</f>
        <v>36.00</v>
      </c>
      <c r="G52" s="9" t="str">
        <f>FIXED(VLOOKUP($A52,'Full Sample-No Sub'!$A:$R,G$1,0),2)</f>
        <v>0.65</v>
      </c>
      <c r="H52" s="3" t="str">
        <f>FIXED(VLOOKUP($A52,'Full Sample-No Sub'!$A:$R,H$1,0),2)</f>
        <v>1.47</v>
      </c>
      <c r="I52" s="3" t="str">
        <f>FIXED(VLOOKUP($A52,'Full Sample-No Sub'!$A:$R,I$1,0),2)</f>
        <v>0.00</v>
      </c>
      <c r="J52" s="13" t="str">
        <f>FIXED(VLOOKUP($A52,'Full Sample-No Sub'!$A:$R,J$1,0),2)</f>
        <v>36.00</v>
      </c>
      <c r="K52" s="9" t="str">
        <f>FIXED(VLOOKUP($A52,'Full Sample-No Sub'!$A:$R,K$1,0),2)</f>
        <v>0.70</v>
      </c>
      <c r="L52" s="3" t="str">
        <f>FIXED(VLOOKUP($A52,'Full Sample-No Sub'!$A:$R,L$1,0),2)</f>
        <v>1.49</v>
      </c>
      <c r="M52" s="3" t="str">
        <f>FIXED(VLOOKUP($A52,'Full Sample-No Sub'!$A:$R,M$1,0),2)</f>
        <v>0.00</v>
      </c>
      <c r="N52" s="13" t="str">
        <f>FIXED(VLOOKUP($A52,'Full Sample-No Sub'!$A:$R,N$1,0),2)</f>
        <v>23.00</v>
      </c>
      <c r="O52" s="9" t="str">
        <f>FIXED(VLOOKUP($A52,'Full Sample-Townhouse'!$A:$R,O$1,0),2)</f>
        <v>1.22</v>
      </c>
      <c r="P52" s="3" t="str">
        <f>FIXED(VLOOKUP($A52,'Full Sample-Townhouse'!$A:$R,P$1,0),2)</f>
        <v>1.82</v>
      </c>
      <c r="Q52" s="3" t="str">
        <f>FIXED(VLOOKUP($A52,'Full Sample-Townhouse'!$A:$R,Q$1,0),2)</f>
        <v>0.00</v>
      </c>
      <c r="R52" s="3" t="str">
        <f>FIXED(VLOOKUP($A52,'Full Sample-Townhouse'!$A:$R,R$1,0),2)</f>
        <v>36.00</v>
      </c>
      <c r="S52" s="9" t="str">
        <f>FIXED(VLOOKUP($A52,'Full Sample-Townhouse'!$A:$R,S$1,0),2)</f>
        <v>1.21</v>
      </c>
      <c r="T52" s="3" t="str">
        <f>FIXED(VLOOKUP($A52,'Full Sample-Townhouse'!$A:$R,T$1,0),2)</f>
        <v>1.81</v>
      </c>
      <c r="U52" s="3" t="str">
        <f>FIXED(VLOOKUP($A52,'Full Sample-Townhouse'!$A:$R,U$1,0),2)</f>
        <v>0.00</v>
      </c>
      <c r="V52" s="13" t="str">
        <f>FIXED(VLOOKUP($A52,'Full Sample-Townhouse'!$A:$R,V$1,0),2)</f>
        <v>36.00</v>
      </c>
      <c r="W52" s="9" t="str">
        <f>FIXED(VLOOKUP($A52,'Full Sample-Townhouse'!$A:$R,W$1,0),2)</f>
        <v>1.24</v>
      </c>
      <c r="X52" s="3" t="str">
        <f>FIXED(VLOOKUP($A52,'Full Sample-Townhouse'!$A:$R,X$1,0),2)</f>
        <v>1.84</v>
      </c>
      <c r="Y52" s="3" t="str">
        <f>FIXED(VLOOKUP($A52,'Full Sample-Townhouse'!$A:$R,Y$1,0),2)</f>
        <v>0.00</v>
      </c>
      <c r="Z52" s="3" t="str">
        <f>FIXED(VLOOKUP($A52,'Full Sample-Townhouse'!$A:$R,Z$1,0),2)</f>
        <v>23.00</v>
      </c>
      <c r="AA52" s="9" t="str">
        <f>FIXED(VLOOKUP($A52,'Full Sample-Single Family'!$A:$R,AA$1,0),2)</f>
        <v>0.02</v>
      </c>
      <c r="AB52" s="3" t="str">
        <f>FIXED(VLOOKUP($A52,'Full Sample-Single Family'!$A:$R,AB$1,0),2)</f>
        <v>0.14</v>
      </c>
      <c r="AC52" s="3" t="str">
        <f>FIXED(VLOOKUP($A52,'Full Sample-Single Family'!$A:$R,AC$1,0),2)</f>
        <v>0.00</v>
      </c>
      <c r="AD52" s="3" t="str">
        <f>FIXED(VLOOKUP($A52,'Full Sample-Single Family'!$A:$R,AD$1,0),2)</f>
        <v>1.00</v>
      </c>
      <c r="AE52" s="9" t="str">
        <f>FIXED(VLOOKUP($A52,'Full Sample-Single Family'!$A:$R,AE$1,0),2)</f>
        <v>0.00</v>
      </c>
      <c r="AF52" s="3" t="str">
        <f>FIXED(VLOOKUP($A52,'Full Sample-Single Family'!$A:$R,AF$1,0),2)</f>
        <v>0.00</v>
      </c>
      <c r="AG52" s="3" t="str">
        <f>FIXED(VLOOKUP($A52,'Full Sample-Single Family'!$A:$R,AG$1,0),2)</f>
        <v>0.00</v>
      </c>
      <c r="AH52" s="13" t="str">
        <f>FIXED(VLOOKUP($A52,'Full Sample-Single Family'!$A:$R,AH$1,0),2)</f>
        <v>0.00</v>
      </c>
      <c r="AI52" s="9" t="str">
        <f>FIXED(VLOOKUP($A52,'Full Sample-Single Family'!$A:$R,AI$1,0),2)</f>
        <v>0.05</v>
      </c>
      <c r="AJ52" s="3" t="str">
        <f>FIXED(VLOOKUP($A52,'Full Sample-Single Family'!$A:$R,AJ$1,0),2)</f>
        <v>0.22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38</v>
      </c>
      <c r="B53" t="s">
        <v>185</v>
      </c>
      <c r="C53" s="9" t="str">
        <f>FIXED(VLOOKUP($A53,'Full Sample-No Sub'!$A:$R,C$1,0),2)</f>
        <v>2.10</v>
      </c>
      <c r="D53" s="3" t="str">
        <f>FIXED(VLOOKUP($A53,'Full Sample-No Sub'!$A:$R,D$1,0),2)</f>
        <v>2.44</v>
      </c>
      <c r="E53" s="3" t="str">
        <f>FIXED(VLOOKUP($A53,'Full Sample-No Sub'!$A:$R,E$1,0),2)</f>
        <v>0.00</v>
      </c>
      <c r="F53" s="3" t="str">
        <f>FIXED(VLOOKUP($A53,'Full Sample-No Sub'!$A:$R,F$1,0),2)</f>
        <v>13.55</v>
      </c>
      <c r="G53" s="9" t="str">
        <f>FIXED(VLOOKUP($A53,'Full Sample-No Sub'!$A:$R,G$1,0),2)</f>
        <v>2.15</v>
      </c>
      <c r="H53" s="3" t="str">
        <f>FIXED(VLOOKUP($A53,'Full Sample-No Sub'!$A:$R,H$1,0),2)</f>
        <v>2.49</v>
      </c>
      <c r="I53" s="3" t="str">
        <f>FIXED(VLOOKUP($A53,'Full Sample-No Sub'!$A:$R,I$1,0),2)</f>
        <v>0.00</v>
      </c>
      <c r="J53" s="13" t="str">
        <f>FIXED(VLOOKUP($A53,'Full Sample-No Sub'!$A:$R,J$1,0),2)</f>
        <v>13.55</v>
      </c>
      <c r="K53" s="9" t="str">
        <f>FIXED(VLOOKUP($A53,'Full Sample-No Sub'!$A:$R,K$1,0),2)</f>
        <v>2.04</v>
      </c>
      <c r="L53" s="3" t="str">
        <f>FIXED(VLOOKUP($A53,'Full Sample-No Sub'!$A:$R,L$1,0),2)</f>
        <v>2.38</v>
      </c>
      <c r="M53" s="3" t="str">
        <f>FIXED(VLOOKUP($A53,'Full Sample-No Sub'!$A:$R,M$1,0),2)</f>
        <v>0.00</v>
      </c>
      <c r="N53" s="13" t="str">
        <f>FIXED(VLOOKUP($A53,'Full Sample-No Sub'!$A:$R,N$1,0),2)</f>
        <v>13.48</v>
      </c>
      <c r="O53" s="9" t="str">
        <f>FIXED(VLOOKUP($A53,'Full Sample-Townhouse'!$A:$R,O$1,0),2)</f>
        <v>1.77</v>
      </c>
      <c r="P53" s="3" t="str">
        <f>FIXED(VLOOKUP($A53,'Full Sample-Townhouse'!$A:$R,P$1,0),2)</f>
        <v>2.27</v>
      </c>
      <c r="Q53" s="3" t="str">
        <f>FIXED(VLOOKUP($A53,'Full Sample-Townhouse'!$A:$R,Q$1,0),2)</f>
        <v>0.00</v>
      </c>
      <c r="R53" s="3" t="str">
        <f>FIXED(VLOOKUP($A53,'Full Sample-Townhouse'!$A:$R,R$1,0),2)</f>
        <v>12.79</v>
      </c>
      <c r="S53" s="9" t="str">
        <f>FIXED(VLOOKUP($A53,'Full Sample-Townhouse'!$A:$R,S$1,0),2)</f>
        <v>1.81</v>
      </c>
      <c r="T53" s="3" t="str">
        <f>FIXED(VLOOKUP($A53,'Full Sample-Townhouse'!$A:$R,T$1,0),2)</f>
        <v>2.32</v>
      </c>
      <c r="U53" s="3" t="str">
        <f>FIXED(VLOOKUP($A53,'Full Sample-Townhouse'!$A:$R,U$1,0),2)</f>
        <v>0.00</v>
      </c>
      <c r="V53" s="13" t="str">
        <f>FIXED(VLOOKUP($A53,'Full Sample-Townhouse'!$A:$R,V$1,0),2)</f>
        <v>12.79</v>
      </c>
      <c r="W53" s="9" t="str">
        <f>FIXED(VLOOKUP($A53,'Full Sample-Townhouse'!$A:$R,W$1,0),2)</f>
        <v>1.72</v>
      </c>
      <c r="X53" s="3" t="str">
        <f>FIXED(VLOOKUP($A53,'Full Sample-Townhouse'!$A:$R,X$1,0),2)</f>
        <v>2.20</v>
      </c>
      <c r="Y53" s="3" t="str">
        <f>FIXED(VLOOKUP($A53,'Full Sample-Townhouse'!$A:$R,Y$1,0),2)</f>
        <v>0.00</v>
      </c>
      <c r="Z53" s="3" t="str">
        <f>FIXED(VLOOKUP($A53,'Full Sample-Townhouse'!$A:$R,Z$1,0),2)</f>
        <v>12.79</v>
      </c>
      <c r="AA53" s="9" t="str">
        <f>FIXED(VLOOKUP($A53,'Full Sample-Single Family'!$A:$R,AA$1,0),2)</f>
        <v>2.50</v>
      </c>
      <c r="AB53" s="3" t="str">
        <f>FIXED(VLOOKUP($A53,'Full Sample-Single Family'!$A:$R,AB$1,0),2)</f>
        <v>2.58</v>
      </c>
      <c r="AC53" s="3" t="str">
        <f>FIXED(VLOOKUP($A53,'Full Sample-Single Family'!$A:$R,AC$1,0),2)</f>
        <v>0.00</v>
      </c>
      <c r="AD53" s="3" t="str">
        <f>FIXED(VLOOKUP($A53,'Full Sample-Single Family'!$A:$R,AD$1,0),2)</f>
        <v>13.55</v>
      </c>
      <c r="AE53" s="9" t="str">
        <f>FIXED(VLOOKUP($A53,'Full Sample-Single Family'!$A:$R,AE$1,0),2)</f>
        <v>2.56</v>
      </c>
      <c r="AF53" s="3" t="str">
        <f>FIXED(VLOOKUP($A53,'Full Sample-Single Family'!$A:$R,AF$1,0),2)</f>
        <v>2.62</v>
      </c>
      <c r="AG53" s="3" t="str">
        <f>FIXED(VLOOKUP($A53,'Full Sample-Single Family'!$A:$R,AG$1,0),2)</f>
        <v>0.00</v>
      </c>
      <c r="AH53" s="13" t="str">
        <f>FIXED(VLOOKUP($A53,'Full Sample-Single Family'!$A:$R,AH$1,0),2)</f>
        <v>13.55</v>
      </c>
      <c r="AI53" s="9" t="str">
        <f>FIXED(VLOOKUP($A53,'Full Sample-Single Family'!$A:$R,AI$1,0),2)</f>
        <v>2.42</v>
      </c>
      <c r="AJ53" s="3" t="str">
        <f>FIXED(VLOOKUP($A53,'Full Sample-Single Family'!$A:$R,AJ$1,0),2)</f>
        <v>2.52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39</v>
      </c>
      <c r="B54" t="s">
        <v>177</v>
      </c>
      <c r="C54" s="9" t="str">
        <f>FIXED(VLOOKUP($A54,'Full Sample-No Sub'!$A:$R,C$1,0),2)</f>
        <v>0.43</v>
      </c>
      <c r="D54" s="3" t="str">
        <f>FIXED(VLOOKUP($A54,'Full Sample-No Sub'!$A:$R,D$1,0),2)</f>
        <v>0.31</v>
      </c>
      <c r="E54" s="3" t="str">
        <f>FIXED(VLOOKUP($A54,'Full Sample-No Sub'!$A:$R,E$1,0),2)</f>
        <v>0.00</v>
      </c>
      <c r="F54" s="3" t="str">
        <f>FIXED(VLOOKUP($A54,'Full Sample-No Sub'!$A:$R,F$1,0),2)</f>
        <v>3.56</v>
      </c>
      <c r="G54" s="9" t="str">
        <f>FIXED(VLOOKUP($A54,'Full Sample-No Sub'!$A:$R,G$1,0),2)</f>
        <v>0.43</v>
      </c>
      <c r="H54" s="3" t="str">
        <f>FIXED(VLOOKUP($A54,'Full Sample-No Sub'!$A:$R,H$1,0),2)</f>
        <v>0.31</v>
      </c>
      <c r="I54" s="3" t="str">
        <f>FIXED(VLOOKUP($A54,'Full Sample-No Sub'!$A:$R,I$1,0),2)</f>
        <v>0.00</v>
      </c>
      <c r="J54" s="13" t="str">
        <f>FIXED(VLOOKUP($A54,'Full Sample-No Sub'!$A:$R,J$1,0),2)</f>
        <v>3.30</v>
      </c>
      <c r="K54" s="9" t="str">
        <f>FIXED(VLOOKUP($A54,'Full Sample-No Sub'!$A:$R,K$1,0),2)</f>
        <v>0.43</v>
      </c>
      <c r="L54" s="3" t="str">
        <f>FIXED(VLOOKUP($A54,'Full Sample-No Sub'!$A:$R,L$1,0),2)</f>
        <v>0.32</v>
      </c>
      <c r="M54" s="3" t="str">
        <f>FIXED(VLOOKUP($A54,'Full Sample-No Sub'!$A:$R,M$1,0),2)</f>
        <v>0.00</v>
      </c>
      <c r="N54" s="13" t="str">
        <f>FIXED(VLOOKUP($A54,'Full Sample-No Sub'!$A:$R,N$1,0),2)</f>
        <v>3.56</v>
      </c>
      <c r="O54" s="9" t="str">
        <f>FIXED(VLOOKUP($A54,'Full Sample-Townhouse'!$A:$R,O$1,0),2)</f>
        <v>0.34</v>
      </c>
      <c r="P54" s="3" t="str">
        <f>FIXED(VLOOKUP($A54,'Full Sample-Townhouse'!$A:$R,P$1,0),2)</f>
        <v>0.27</v>
      </c>
      <c r="Q54" s="3" t="str">
        <f>FIXED(VLOOKUP($A54,'Full Sample-Townhouse'!$A:$R,Q$1,0),2)</f>
        <v>0.00</v>
      </c>
      <c r="R54" s="3" t="str">
        <f>FIXED(VLOOKUP($A54,'Full Sample-Townhouse'!$A:$R,R$1,0),2)</f>
        <v>2.17</v>
      </c>
      <c r="S54" s="9" t="str">
        <f>FIXED(VLOOKUP($A54,'Full Sample-Townhouse'!$A:$R,S$1,0),2)</f>
        <v>0.34</v>
      </c>
      <c r="T54" s="3" t="str">
        <f>FIXED(VLOOKUP($A54,'Full Sample-Townhouse'!$A:$R,T$1,0),2)</f>
        <v>0.27</v>
      </c>
      <c r="U54" s="3" t="str">
        <f>FIXED(VLOOKUP($A54,'Full Sample-Townhouse'!$A:$R,U$1,0),2)</f>
        <v>0.01</v>
      </c>
      <c r="V54" s="13" t="str">
        <f>FIXED(VLOOKUP($A54,'Full Sample-Townhouse'!$A:$R,V$1,0),2)</f>
        <v>1.75</v>
      </c>
      <c r="W54" s="9" t="str">
        <f>FIXED(VLOOKUP($A54,'Full Sample-Townhouse'!$A:$R,W$1,0),2)</f>
        <v>0.35</v>
      </c>
      <c r="X54" s="3" t="str">
        <f>FIXED(VLOOKUP($A54,'Full Sample-Townhouse'!$A:$R,X$1,0),2)</f>
        <v>0.28</v>
      </c>
      <c r="Y54" s="3" t="str">
        <f>FIXED(VLOOKUP($A54,'Full Sample-Townhouse'!$A:$R,Y$1,0),2)</f>
        <v>0.00</v>
      </c>
      <c r="Z54" s="3" t="str">
        <f>FIXED(VLOOKUP($A54,'Full Sample-Townhouse'!$A:$R,Z$1,0),2)</f>
        <v>2.17</v>
      </c>
      <c r="AA54" s="9" t="str">
        <f>FIXED(VLOOKUP($A54,'Full Sample-Single Family'!$A:$R,AA$1,0),2)</f>
        <v>0.53</v>
      </c>
      <c r="AB54" s="3" t="str">
        <f>FIXED(VLOOKUP($A54,'Full Sample-Single Family'!$A:$R,AB$1,0),2)</f>
        <v>0.33</v>
      </c>
      <c r="AC54" s="3" t="str">
        <f>FIXED(VLOOKUP($A54,'Full Sample-Single Family'!$A:$R,AC$1,0),2)</f>
        <v>0.00</v>
      </c>
      <c r="AD54" s="3" t="str">
        <f>FIXED(VLOOKUP($A54,'Full Sample-Single Family'!$A:$R,AD$1,0),2)</f>
        <v>3.56</v>
      </c>
      <c r="AE54" s="9" t="str">
        <f>FIXED(VLOOKUP($A54,'Full Sample-Single Family'!$A:$R,AE$1,0),2)</f>
        <v>0.53</v>
      </c>
      <c r="AF54" s="3" t="str">
        <f>FIXED(VLOOKUP($A54,'Full Sample-Single Family'!$A:$R,AF$1,0),2)</f>
        <v>0.32</v>
      </c>
      <c r="AG54" s="3" t="str">
        <f>FIXED(VLOOKUP($A54,'Full Sample-Single Family'!$A:$R,AG$1,0),2)</f>
        <v>0.00</v>
      </c>
      <c r="AH54" s="13" t="str">
        <f>FIXED(VLOOKUP($A54,'Full Sample-Single Family'!$A:$R,AH$1,0),2)</f>
        <v>3.30</v>
      </c>
      <c r="AI54" s="9" t="str">
        <f>FIXED(VLOOKUP($A54,'Full Sample-Single Family'!$A:$R,AI$1,0),2)</f>
        <v>0.53</v>
      </c>
      <c r="AJ54" s="3" t="str">
        <f>FIXED(VLOOKUP($A54,'Full Sample-Single Family'!$A:$R,AJ$1,0),2)</f>
        <v>0.33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40</v>
      </c>
      <c r="B55" t="s">
        <v>178</v>
      </c>
      <c r="C55" s="9" t="str">
        <f>FIXED(VLOOKUP($A55,'Full Sample-No Sub'!$A:$R,C$1,0),2)</f>
        <v>4.15</v>
      </c>
      <c r="D55" s="3" t="str">
        <f>FIXED(VLOOKUP($A55,'Full Sample-No Sub'!$A:$R,D$1,0),2)</f>
        <v>3.97</v>
      </c>
      <c r="E55" s="3" t="str">
        <f>FIXED(VLOOKUP($A55,'Full Sample-No Sub'!$A:$R,E$1,0),2)</f>
        <v>0.01</v>
      </c>
      <c r="F55" s="3" t="str">
        <f>FIXED(VLOOKUP($A55,'Full Sample-No Sub'!$A:$R,F$1,0),2)</f>
        <v>21.00</v>
      </c>
      <c r="G55" s="9" t="str">
        <f>FIXED(VLOOKUP($A55,'Full Sample-No Sub'!$A:$R,G$1,0),2)</f>
        <v>4.12</v>
      </c>
      <c r="H55" s="3" t="str">
        <f>FIXED(VLOOKUP($A55,'Full Sample-No Sub'!$A:$R,H$1,0),2)</f>
        <v>3.90</v>
      </c>
      <c r="I55" s="3" t="str">
        <f>FIXED(VLOOKUP($A55,'Full Sample-No Sub'!$A:$R,I$1,0),2)</f>
        <v>0.01</v>
      </c>
      <c r="J55" s="13" t="str">
        <f>FIXED(VLOOKUP($A55,'Full Sample-No Sub'!$A:$R,J$1,0),2)</f>
        <v>21.00</v>
      </c>
      <c r="K55" s="9" t="str">
        <f>FIXED(VLOOKUP($A55,'Full Sample-No Sub'!$A:$R,K$1,0),2)</f>
        <v>4.18</v>
      </c>
      <c r="L55" s="3" t="str">
        <f>FIXED(VLOOKUP($A55,'Full Sample-No Sub'!$A:$R,L$1,0),2)</f>
        <v>4.06</v>
      </c>
      <c r="M55" s="3" t="str">
        <f>FIXED(VLOOKUP($A55,'Full Sample-No Sub'!$A:$R,M$1,0),2)</f>
        <v>0.01</v>
      </c>
      <c r="N55" s="13" t="str">
        <f>FIXED(VLOOKUP($A55,'Full Sample-No Sub'!$A:$R,N$1,0),2)</f>
        <v>20.93</v>
      </c>
      <c r="O55" s="9" t="str">
        <f>FIXED(VLOOKUP($A55,'Full Sample-Townhouse'!$A:$R,O$1,0),2)</f>
        <v>3.21</v>
      </c>
      <c r="P55" s="3" t="str">
        <f>FIXED(VLOOKUP($A55,'Full Sample-Townhouse'!$A:$R,P$1,0),2)</f>
        <v>3.47</v>
      </c>
      <c r="Q55" s="3" t="str">
        <f>FIXED(VLOOKUP($A55,'Full Sample-Townhouse'!$A:$R,Q$1,0),2)</f>
        <v>0.02</v>
      </c>
      <c r="R55" s="3" t="str">
        <f>FIXED(VLOOKUP($A55,'Full Sample-Townhouse'!$A:$R,R$1,0),2)</f>
        <v>20.40</v>
      </c>
      <c r="S55" s="9" t="str">
        <f>FIXED(VLOOKUP($A55,'Full Sample-Townhouse'!$A:$R,S$1,0),2)</f>
        <v>3.17</v>
      </c>
      <c r="T55" s="3" t="str">
        <f>FIXED(VLOOKUP($A55,'Full Sample-Townhouse'!$A:$R,T$1,0),2)</f>
        <v>3.35</v>
      </c>
      <c r="U55" s="3" t="str">
        <f>FIXED(VLOOKUP($A55,'Full Sample-Townhouse'!$A:$R,U$1,0),2)</f>
        <v>0.02</v>
      </c>
      <c r="V55" s="13" t="str">
        <f>FIXED(VLOOKUP($A55,'Full Sample-Townhouse'!$A:$R,V$1,0),2)</f>
        <v>20.40</v>
      </c>
      <c r="W55" s="9" t="str">
        <f>FIXED(VLOOKUP($A55,'Full Sample-Townhouse'!$A:$R,W$1,0),2)</f>
        <v>3.27</v>
      </c>
      <c r="X55" s="3" t="str">
        <f>FIXED(VLOOKUP($A55,'Full Sample-Townhouse'!$A:$R,X$1,0),2)</f>
        <v>3.61</v>
      </c>
      <c r="Y55" s="3" t="str">
        <f>FIXED(VLOOKUP($A55,'Full Sample-Townhouse'!$A:$R,Y$1,0),2)</f>
        <v>0.02</v>
      </c>
      <c r="Z55" s="3" t="str">
        <f>FIXED(VLOOKUP($A55,'Full Sample-Townhouse'!$A:$R,Z$1,0),2)</f>
        <v>20.40</v>
      </c>
      <c r="AA55" s="9" t="str">
        <f>FIXED(VLOOKUP($A55,'Full Sample-Single Family'!$A:$R,AA$1,0),2)</f>
        <v>5.26</v>
      </c>
      <c r="AB55" s="3" t="str">
        <f>FIXED(VLOOKUP($A55,'Full Sample-Single Family'!$A:$R,AB$1,0),2)</f>
        <v>4.24</v>
      </c>
      <c r="AC55" s="3" t="str">
        <f>FIXED(VLOOKUP($A55,'Full Sample-Single Family'!$A:$R,AC$1,0),2)</f>
        <v>0.01</v>
      </c>
      <c r="AD55" s="3" t="str">
        <f>FIXED(VLOOKUP($A55,'Full Sample-Single Family'!$A:$R,AD$1,0),2)</f>
        <v>21.00</v>
      </c>
      <c r="AE55" s="9" t="str">
        <f>FIXED(VLOOKUP($A55,'Full Sample-Single Family'!$A:$R,AE$1,0),2)</f>
        <v>5.25</v>
      </c>
      <c r="AF55" s="3" t="str">
        <f>FIXED(VLOOKUP($A55,'Full Sample-Single Family'!$A:$R,AF$1,0),2)</f>
        <v>4.20</v>
      </c>
      <c r="AG55" s="3" t="str">
        <f>FIXED(VLOOKUP($A55,'Full Sample-Single Family'!$A:$R,AG$1,0),2)</f>
        <v>0.01</v>
      </c>
      <c r="AH55" s="13" t="str">
        <f>FIXED(VLOOKUP($A55,'Full Sample-Single Family'!$A:$R,AH$1,0),2)</f>
        <v>21.00</v>
      </c>
      <c r="AI55" s="9" t="str">
        <f>FIXED(VLOOKUP($A55,'Full Sample-Single Family'!$A:$R,AI$1,0),2)</f>
        <v>5.28</v>
      </c>
      <c r="AJ55" s="3" t="str">
        <f>FIXED(VLOOKUP($A55,'Full Sample-Single Family'!$A:$R,AJ$1,0),2)</f>
        <v>4.29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41</v>
      </c>
      <c r="B56" t="s">
        <v>179</v>
      </c>
      <c r="C56" s="9" t="str">
        <f>FIXED(VLOOKUP($A56,'Full Sample-No Sub'!$A:$R,C$1,0),2)</f>
        <v>9.10</v>
      </c>
      <c r="D56" s="3" t="str">
        <f>FIXED(VLOOKUP($A56,'Full Sample-No Sub'!$A:$R,D$1,0),2)</f>
        <v>5.60</v>
      </c>
      <c r="E56" s="3" t="str">
        <f>FIXED(VLOOKUP($A56,'Full Sample-No Sub'!$A:$R,E$1,0),2)</f>
        <v>0.32</v>
      </c>
      <c r="F56" s="3" t="str">
        <f>FIXED(VLOOKUP($A56,'Full Sample-No Sub'!$A:$R,F$1,0),2)</f>
        <v>30.99</v>
      </c>
      <c r="G56" s="9" t="str">
        <f>FIXED(VLOOKUP($A56,'Full Sample-No Sub'!$A:$R,G$1,0),2)</f>
        <v>9.10</v>
      </c>
      <c r="H56" s="3" t="str">
        <f>FIXED(VLOOKUP($A56,'Full Sample-No Sub'!$A:$R,H$1,0),2)</f>
        <v>5.60</v>
      </c>
      <c r="I56" s="3" t="str">
        <f>FIXED(VLOOKUP($A56,'Full Sample-No Sub'!$A:$R,I$1,0),2)</f>
        <v>0.32</v>
      </c>
      <c r="J56" s="13" t="str">
        <f>FIXED(VLOOKUP($A56,'Full Sample-No Sub'!$A:$R,J$1,0),2)</f>
        <v>30.00</v>
      </c>
      <c r="K56" s="9" t="str">
        <f>FIXED(VLOOKUP($A56,'Full Sample-No Sub'!$A:$R,K$1,0),2)</f>
        <v>9.10</v>
      </c>
      <c r="L56" s="3" t="str">
        <f>FIXED(VLOOKUP($A56,'Full Sample-No Sub'!$A:$R,L$1,0),2)</f>
        <v>5.60</v>
      </c>
      <c r="M56" s="3" t="str">
        <f>FIXED(VLOOKUP($A56,'Full Sample-No Sub'!$A:$R,M$1,0),2)</f>
        <v>0.99</v>
      </c>
      <c r="N56" s="13" t="str">
        <f>FIXED(VLOOKUP($A56,'Full Sample-No Sub'!$A:$R,N$1,0),2)</f>
        <v>30.99</v>
      </c>
      <c r="O56" s="9" t="str">
        <f>FIXED(VLOOKUP($A56,'Full Sample-Townhouse'!$A:$R,O$1,0),2)</f>
        <v>7.66</v>
      </c>
      <c r="P56" s="3" t="str">
        <f>FIXED(VLOOKUP($A56,'Full Sample-Townhouse'!$A:$R,P$1,0),2)</f>
        <v>5.18</v>
      </c>
      <c r="Q56" s="3" t="str">
        <f>FIXED(VLOOKUP($A56,'Full Sample-Townhouse'!$A:$R,Q$1,0),2)</f>
        <v>0.99</v>
      </c>
      <c r="R56" s="3" t="str">
        <f>FIXED(VLOOKUP($A56,'Full Sample-Townhouse'!$A:$R,R$1,0),2)</f>
        <v>25.14</v>
      </c>
      <c r="S56" s="9" t="str">
        <f>FIXED(VLOOKUP($A56,'Full Sample-Townhouse'!$A:$R,S$1,0),2)</f>
        <v>7.71</v>
      </c>
      <c r="T56" s="3" t="str">
        <f>FIXED(VLOOKUP($A56,'Full Sample-Townhouse'!$A:$R,T$1,0),2)</f>
        <v>5.20</v>
      </c>
      <c r="U56" s="3" t="str">
        <f>FIXED(VLOOKUP($A56,'Full Sample-Townhouse'!$A:$R,U$1,0),2)</f>
        <v>0.99</v>
      </c>
      <c r="V56" s="13" t="str">
        <f>FIXED(VLOOKUP($A56,'Full Sample-Townhouse'!$A:$R,V$1,0),2)</f>
        <v>25.14</v>
      </c>
      <c r="W56" s="9" t="str">
        <f>FIXED(VLOOKUP($A56,'Full Sample-Townhouse'!$A:$R,W$1,0),2)</f>
        <v>7.59</v>
      </c>
      <c r="X56" s="3" t="str">
        <f>FIXED(VLOOKUP($A56,'Full Sample-Townhouse'!$A:$R,X$1,0),2)</f>
        <v>5.15</v>
      </c>
      <c r="Y56" s="3" t="str">
        <f>FIXED(VLOOKUP($A56,'Full Sample-Townhouse'!$A:$R,Y$1,0),2)</f>
        <v>0.99</v>
      </c>
      <c r="Z56" s="3" t="str">
        <f>FIXED(VLOOKUP($A56,'Full Sample-Townhouse'!$A:$R,Z$1,0),2)</f>
        <v>25.14</v>
      </c>
      <c r="AA56" s="9" t="str">
        <f>FIXED(VLOOKUP($A56,'Full Sample-Single Family'!$A:$R,AA$1,0),2)</f>
        <v>10.82</v>
      </c>
      <c r="AB56" s="3" t="str">
        <f>FIXED(VLOOKUP($A56,'Full Sample-Single Family'!$A:$R,AB$1,0),2)</f>
        <v>5.60</v>
      </c>
      <c r="AC56" s="3" t="str">
        <f>FIXED(VLOOKUP($A56,'Full Sample-Single Family'!$A:$R,AC$1,0),2)</f>
        <v>0.32</v>
      </c>
      <c r="AD56" s="3" t="str">
        <f>FIXED(VLOOKUP($A56,'Full Sample-Single Family'!$A:$R,AD$1,0),2)</f>
        <v>30.99</v>
      </c>
      <c r="AE56" s="9" t="str">
        <f>FIXED(VLOOKUP($A56,'Full Sample-Single Family'!$A:$R,AE$1,0),2)</f>
        <v>10.76</v>
      </c>
      <c r="AF56" s="3" t="str">
        <f>FIXED(VLOOKUP($A56,'Full Sample-Single Family'!$A:$R,AF$1,0),2)</f>
        <v>5.60</v>
      </c>
      <c r="AG56" s="3" t="str">
        <f>FIXED(VLOOKUP($A56,'Full Sample-Single Family'!$A:$R,AG$1,0),2)</f>
        <v>0.32</v>
      </c>
      <c r="AH56" s="13" t="str">
        <f>FIXED(VLOOKUP($A56,'Full Sample-Single Family'!$A:$R,AH$1,0),2)</f>
        <v>30.00</v>
      </c>
      <c r="AI56" s="9" t="str">
        <f>FIXED(VLOOKUP($A56,'Full Sample-Single Family'!$A:$R,AI$1,0),2)</f>
        <v>10.92</v>
      </c>
      <c r="AJ56" s="3" t="str">
        <f>FIXED(VLOOKUP($A56,'Full Sample-Single Family'!$A:$R,AJ$1,0),2)</f>
        <v>5.59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173</v>
      </c>
      <c r="B57" t="s">
        <v>180</v>
      </c>
      <c r="C57" s="9" t="str">
        <f>FIXED(VLOOKUP($A57,'Full Sample-No Sub'!$A:$R,C$1,0),2)</f>
        <v>1.17</v>
      </c>
      <c r="D57" s="3" t="str">
        <f>FIXED(VLOOKUP($A57,'Full Sample-No Sub'!$A:$R,D$1,0),2)</f>
        <v>4.52</v>
      </c>
      <c r="E57" s="3" t="str">
        <f>FIXED(VLOOKUP($A57,'Full Sample-No Sub'!$A:$R,E$1,0),2)</f>
        <v>0.02</v>
      </c>
      <c r="F57" s="3" t="str">
        <f>FIXED(VLOOKUP($A57,'Full Sample-No Sub'!$A:$R,F$1,0),2)</f>
        <v>196.49</v>
      </c>
      <c r="G57" s="9" t="str">
        <f>FIXED(VLOOKUP($A57,'Full Sample-No Sub'!$A:$R,G$1,0),2)</f>
        <v>1.18</v>
      </c>
      <c r="H57" s="3" t="str">
        <f>FIXED(VLOOKUP($A57,'Full Sample-No Sub'!$A:$R,H$1,0),2)</f>
        <v>4.67</v>
      </c>
      <c r="I57" s="3" t="str">
        <f>FIXED(VLOOKUP($A57,'Full Sample-No Sub'!$A:$R,I$1,0),2)</f>
        <v>0.03</v>
      </c>
      <c r="J57" s="13" t="str">
        <f>FIXED(VLOOKUP($A57,'Full Sample-No Sub'!$A:$R,J$1,0),2)</f>
        <v>196.49</v>
      </c>
      <c r="K57" s="9" t="str">
        <f>FIXED(VLOOKUP($A57,'Full Sample-No Sub'!$A:$R,K$1,0),2)</f>
        <v>1.16</v>
      </c>
      <c r="L57" s="3" t="str">
        <f>FIXED(VLOOKUP($A57,'Full Sample-No Sub'!$A:$R,L$1,0),2)</f>
        <v>4.32</v>
      </c>
      <c r="M57" s="3" t="str">
        <f>FIXED(VLOOKUP($A57,'Full Sample-No Sub'!$A:$R,M$1,0),2)</f>
        <v>0.02</v>
      </c>
      <c r="N57" s="13" t="str">
        <f>FIXED(VLOOKUP($A57,'Full Sample-No Sub'!$A:$R,N$1,0),2)</f>
        <v>196.49</v>
      </c>
      <c r="O57" s="9" t="str">
        <f>FIXED(VLOOKUP($A57,'Full Sample-Townhouse'!$A:$R,O$1,0),2)</f>
        <v>1.26</v>
      </c>
      <c r="P57" s="3" t="str">
        <f>FIXED(VLOOKUP($A57,'Full Sample-Townhouse'!$A:$R,P$1,0),2)</f>
        <v>6.08</v>
      </c>
      <c r="Q57" s="3" t="str">
        <f>FIXED(VLOOKUP($A57,'Full Sample-Townhouse'!$A:$R,Q$1,0),2)</f>
        <v>0.04</v>
      </c>
      <c r="R57" s="3" t="str">
        <f>FIXED(VLOOKUP($A57,'Full Sample-Townhouse'!$A:$R,R$1,0),2)</f>
        <v>196.49</v>
      </c>
      <c r="S57" s="9" t="str">
        <f>FIXED(VLOOKUP($A57,'Full Sample-Townhouse'!$A:$R,S$1,0),2)</f>
        <v>1.28</v>
      </c>
      <c r="T57" s="3" t="str">
        <f>FIXED(VLOOKUP($A57,'Full Sample-Townhouse'!$A:$R,T$1,0),2)</f>
        <v>6.29</v>
      </c>
      <c r="U57" s="3" t="str">
        <f>FIXED(VLOOKUP($A57,'Full Sample-Townhouse'!$A:$R,U$1,0),2)</f>
        <v>0.04</v>
      </c>
      <c r="V57" s="13" t="str">
        <f>FIXED(VLOOKUP($A57,'Full Sample-Townhouse'!$A:$R,V$1,0),2)</f>
        <v>196.49</v>
      </c>
      <c r="W57" s="9" t="str">
        <f>FIXED(VLOOKUP($A57,'Full Sample-Townhouse'!$A:$R,W$1,0),2)</f>
        <v>1.24</v>
      </c>
      <c r="X57" s="3" t="str">
        <f>FIXED(VLOOKUP($A57,'Full Sample-Townhouse'!$A:$R,X$1,0),2)</f>
        <v>5.79</v>
      </c>
      <c r="Y57" s="3" t="str">
        <f>FIXED(VLOOKUP($A57,'Full Sample-Townhouse'!$A:$R,Y$1,0),2)</f>
        <v>0.04</v>
      </c>
      <c r="Z57" s="3" t="str">
        <f>FIXED(VLOOKUP($A57,'Full Sample-Townhouse'!$A:$R,Z$1,0),2)</f>
        <v>196.49</v>
      </c>
      <c r="AA57" s="9" t="str">
        <f>FIXED(VLOOKUP($A57,'Full Sample-Single Family'!$A:$R,AA$1,0),2)</f>
        <v>1.06</v>
      </c>
      <c r="AB57" s="3" t="str">
        <f>FIXED(VLOOKUP($A57,'Full Sample-Single Family'!$A:$R,AB$1,0),2)</f>
        <v>0.82</v>
      </c>
      <c r="AC57" s="3" t="str">
        <f>FIXED(VLOOKUP($A57,'Full Sample-Single Family'!$A:$R,AC$1,0),2)</f>
        <v>0.02</v>
      </c>
      <c r="AD57" s="3" t="str">
        <f>FIXED(VLOOKUP($A57,'Full Sample-Single Family'!$A:$R,AD$1,0),2)</f>
        <v>7.83</v>
      </c>
      <c r="AE57" s="9" t="str">
        <f>FIXED(VLOOKUP($A57,'Full Sample-Single Family'!$A:$R,AE$1,0),2)</f>
        <v>1.05</v>
      </c>
      <c r="AF57" s="3" t="str">
        <f>FIXED(VLOOKUP($A57,'Full Sample-Single Family'!$A:$R,AF$1,0),2)</f>
        <v>0.80</v>
      </c>
      <c r="AG57" s="3" t="str">
        <f>FIXED(VLOOKUP($A57,'Full Sample-Single Family'!$A:$R,AG$1,0),2)</f>
        <v>0.03</v>
      </c>
      <c r="AH57" s="13" t="str">
        <f>FIXED(VLOOKUP($A57,'Full Sample-Single Family'!$A:$R,AH$1,0),2)</f>
        <v>7.83</v>
      </c>
      <c r="AI57" s="9" t="str">
        <f>FIXED(VLOOKUP($A57,'Full Sample-Single Family'!$A:$R,AI$1,0),2)</f>
        <v>1.07</v>
      </c>
      <c r="AJ57" s="3" t="str">
        <f>FIXED(VLOOKUP($A57,'Full Sample-Single Family'!$A:$R,AJ$1,0),2)</f>
        <v>0.85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174</v>
      </c>
      <c r="B58" t="s">
        <v>181</v>
      </c>
      <c r="C58" s="9" t="str">
        <f>FIXED(VLOOKUP($A58,'Full Sample-No Sub'!$A:$R,C$1,0),2)</f>
        <v>2.20</v>
      </c>
      <c r="D58" s="3" t="str">
        <f>FIXED(VLOOKUP($A58,'Full Sample-No Sub'!$A:$R,D$1,0),2)</f>
        <v>1.60</v>
      </c>
      <c r="E58" s="3" t="str">
        <f>FIXED(VLOOKUP($A58,'Full Sample-No Sub'!$A:$R,E$1,0),2)</f>
        <v>0.04</v>
      </c>
      <c r="F58" s="3" t="str">
        <f>FIXED(VLOOKUP($A58,'Full Sample-No Sub'!$A:$R,F$1,0),2)</f>
        <v>17.68</v>
      </c>
      <c r="G58" s="9" t="str">
        <f>FIXED(VLOOKUP($A58,'Full Sample-No Sub'!$A:$R,G$1,0),2)</f>
        <v>2.20</v>
      </c>
      <c r="H58" s="3" t="str">
        <f>FIXED(VLOOKUP($A58,'Full Sample-No Sub'!$A:$R,H$1,0),2)</f>
        <v>1.59</v>
      </c>
      <c r="I58" s="3" t="str">
        <f>FIXED(VLOOKUP($A58,'Full Sample-No Sub'!$A:$R,I$1,0),2)</f>
        <v>0.04</v>
      </c>
      <c r="J58" s="13" t="str">
        <f>FIXED(VLOOKUP($A58,'Full Sample-No Sub'!$A:$R,J$1,0),2)</f>
        <v>17.68</v>
      </c>
      <c r="K58" s="9" t="str">
        <f>FIXED(VLOOKUP($A58,'Full Sample-No Sub'!$A:$R,K$1,0),2)</f>
        <v>2.22</v>
      </c>
      <c r="L58" s="3" t="str">
        <f>FIXED(VLOOKUP($A58,'Full Sample-No Sub'!$A:$R,L$1,0),2)</f>
        <v>1.61</v>
      </c>
      <c r="M58" s="3" t="str">
        <f>FIXED(VLOOKUP($A58,'Full Sample-No Sub'!$A:$R,M$1,0),2)</f>
        <v>0.04</v>
      </c>
      <c r="N58" s="13" t="str">
        <f>FIXED(VLOOKUP($A58,'Full Sample-No Sub'!$A:$R,N$1,0),2)</f>
        <v>17.66</v>
      </c>
      <c r="O58" s="9" t="str">
        <f>FIXED(VLOOKUP($A58,'Full Sample-Townhouse'!$A:$R,O$1,0),2)</f>
        <v>1.97</v>
      </c>
      <c r="P58" s="3" t="str">
        <f>FIXED(VLOOKUP($A58,'Full Sample-Townhouse'!$A:$R,P$1,0),2)</f>
        <v>1.34</v>
      </c>
      <c r="Q58" s="3" t="str">
        <f>FIXED(VLOOKUP($A58,'Full Sample-Townhouse'!$A:$R,Q$1,0),2)</f>
        <v>0.07</v>
      </c>
      <c r="R58" s="3" t="str">
        <f>FIXED(VLOOKUP($A58,'Full Sample-Townhouse'!$A:$R,R$1,0),2)</f>
        <v>7.28</v>
      </c>
      <c r="S58" s="9" t="str">
        <f>FIXED(VLOOKUP($A58,'Full Sample-Townhouse'!$A:$R,S$1,0),2)</f>
        <v>1.97</v>
      </c>
      <c r="T58" s="3" t="str">
        <f>FIXED(VLOOKUP($A58,'Full Sample-Townhouse'!$A:$R,T$1,0),2)</f>
        <v>1.35</v>
      </c>
      <c r="U58" s="3" t="str">
        <f>FIXED(VLOOKUP($A58,'Full Sample-Townhouse'!$A:$R,U$1,0),2)</f>
        <v>0.07</v>
      </c>
      <c r="V58" s="13" t="str">
        <f>FIXED(VLOOKUP($A58,'Full Sample-Townhouse'!$A:$R,V$1,0),2)</f>
        <v>7.28</v>
      </c>
      <c r="W58" s="9" t="str">
        <f>FIXED(VLOOKUP($A58,'Full Sample-Townhouse'!$A:$R,W$1,0),2)</f>
        <v>1.97</v>
      </c>
      <c r="X58" s="3" t="str">
        <f>FIXED(VLOOKUP($A58,'Full Sample-Townhouse'!$A:$R,X$1,0),2)</f>
        <v>1.33</v>
      </c>
      <c r="Y58" s="3" t="str">
        <f>FIXED(VLOOKUP($A58,'Full Sample-Townhouse'!$A:$R,Y$1,0),2)</f>
        <v>0.07</v>
      </c>
      <c r="Z58" s="3" t="str">
        <f>FIXED(VLOOKUP($A58,'Full Sample-Townhouse'!$A:$R,Z$1,0),2)</f>
        <v>7.28</v>
      </c>
      <c r="AA58" s="9" t="str">
        <f>FIXED(VLOOKUP($A58,'Full Sample-Single Family'!$A:$R,AA$1,0),2)</f>
        <v>2.49</v>
      </c>
      <c r="AB58" s="3" t="str">
        <f>FIXED(VLOOKUP($A58,'Full Sample-Single Family'!$A:$R,AB$1,0),2)</f>
        <v>1.82</v>
      </c>
      <c r="AC58" s="3" t="str">
        <f>FIXED(VLOOKUP($A58,'Full Sample-Single Family'!$A:$R,AC$1,0),2)</f>
        <v>0.04</v>
      </c>
      <c r="AD58" s="3" t="str">
        <f>FIXED(VLOOKUP($A58,'Full Sample-Single Family'!$A:$R,AD$1,0),2)</f>
        <v>17.68</v>
      </c>
      <c r="AE58" s="9" t="str">
        <f>FIXED(VLOOKUP($A58,'Full Sample-Single Family'!$A:$R,AE$1,0),2)</f>
        <v>2.47</v>
      </c>
      <c r="AF58" s="3" t="str">
        <f>FIXED(VLOOKUP($A58,'Full Sample-Single Family'!$A:$R,AF$1,0),2)</f>
        <v>1.80</v>
      </c>
      <c r="AG58" s="3" t="str">
        <f>FIXED(VLOOKUP($A58,'Full Sample-Single Family'!$A:$R,AG$1,0),2)</f>
        <v>0.04</v>
      </c>
      <c r="AH58" s="13" t="str">
        <f>FIXED(VLOOKUP($A58,'Full Sample-Single Family'!$A:$R,AH$1,0),2)</f>
        <v>17.68</v>
      </c>
      <c r="AI58" s="9" t="str">
        <f>FIXED(VLOOKUP($A58,'Full Sample-Single Family'!$A:$R,AI$1,0),2)</f>
        <v>2.51</v>
      </c>
      <c r="AJ58" s="3" t="str">
        <f>FIXED(VLOOKUP($A58,'Full Sample-Single Family'!$A:$R,AJ$1,0),2)</f>
        <v>1.84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175</v>
      </c>
      <c r="B59" t="s">
        <v>182</v>
      </c>
      <c r="C59" s="9" t="str">
        <f>FIXED(VLOOKUP($A59,'Full Sample-No Sub'!$A:$R,C$1,0),2)</f>
        <v>2.18</v>
      </c>
      <c r="D59" s="3" t="str">
        <f>FIXED(VLOOKUP($A59,'Full Sample-No Sub'!$A:$R,D$1,0),2)</f>
        <v>1.52</v>
      </c>
      <c r="E59" s="3" t="str">
        <f>FIXED(VLOOKUP($A59,'Full Sample-No Sub'!$A:$R,E$1,0),2)</f>
        <v>0.03</v>
      </c>
      <c r="F59" s="3" t="str">
        <f>FIXED(VLOOKUP($A59,'Full Sample-No Sub'!$A:$R,F$1,0),2)</f>
        <v>17.68</v>
      </c>
      <c r="G59" s="9" t="str">
        <f>FIXED(VLOOKUP($A59,'Full Sample-No Sub'!$A:$R,G$1,0),2)</f>
        <v>2.18</v>
      </c>
      <c r="H59" s="3" t="str">
        <f>FIXED(VLOOKUP($A59,'Full Sample-No Sub'!$A:$R,H$1,0),2)</f>
        <v>1.50</v>
      </c>
      <c r="I59" s="3" t="str">
        <f>FIXED(VLOOKUP($A59,'Full Sample-No Sub'!$A:$R,I$1,0),2)</f>
        <v>0.03</v>
      </c>
      <c r="J59" s="13" t="str">
        <f>FIXED(VLOOKUP($A59,'Full Sample-No Sub'!$A:$R,J$1,0),2)</f>
        <v>17.68</v>
      </c>
      <c r="K59" s="9" t="str">
        <f>FIXED(VLOOKUP($A59,'Full Sample-No Sub'!$A:$R,K$1,0),2)</f>
        <v>2.18</v>
      </c>
      <c r="L59" s="3" t="str">
        <f>FIXED(VLOOKUP($A59,'Full Sample-No Sub'!$A:$R,L$1,0),2)</f>
        <v>1.54</v>
      </c>
      <c r="M59" s="3" t="str">
        <f>FIXED(VLOOKUP($A59,'Full Sample-No Sub'!$A:$R,M$1,0),2)</f>
        <v>0.03</v>
      </c>
      <c r="N59" s="13" t="str">
        <f>FIXED(VLOOKUP($A59,'Full Sample-No Sub'!$A:$R,N$1,0),2)</f>
        <v>17.66</v>
      </c>
      <c r="O59" s="9" t="str">
        <f>FIXED(VLOOKUP($A59,'Full Sample-Townhouse'!$A:$R,O$1,0),2)</f>
        <v>1.84</v>
      </c>
      <c r="P59" s="3" t="str">
        <f>FIXED(VLOOKUP($A59,'Full Sample-Townhouse'!$A:$R,P$1,0),2)</f>
        <v>1.21</v>
      </c>
      <c r="Q59" s="3" t="str">
        <f>FIXED(VLOOKUP($A59,'Full Sample-Townhouse'!$A:$R,Q$1,0),2)</f>
        <v>0.03</v>
      </c>
      <c r="R59" s="3" t="str">
        <f>FIXED(VLOOKUP($A59,'Full Sample-Townhouse'!$A:$R,R$1,0),2)</f>
        <v>6.80</v>
      </c>
      <c r="S59" s="9" t="str">
        <f>FIXED(VLOOKUP($A59,'Full Sample-Townhouse'!$A:$R,S$1,0),2)</f>
        <v>1.86</v>
      </c>
      <c r="T59" s="3" t="str">
        <f>FIXED(VLOOKUP($A59,'Full Sample-Townhouse'!$A:$R,T$1,0),2)</f>
        <v>1.22</v>
      </c>
      <c r="U59" s="3" t="str">
        <f>FIXED(VLOOKUP($A59,'Full Sample-Townhouse'!$A:$R,U$1,0),2)</f>
        <v>0.03</v>
      </c>
      <c r="V59" s="13" t="str">
        <f>FIXED(VLOOKUP($A59,'Full Sample-Townhouse'!$A:$R,V$1,0),2)</f>
        <v>6.80</v>
      </c>
      <c r="W59" s="9" t="str">
        <f>FIXED(VLOOKUP($A59,'Full Sample-Townhouse'!$A:$R,W$1,0),2)</f>
        <v>1.82</v>
      </c>
      <c r="X59" s="3" t="str">
        <f>FIXED(VLOOKUP($A59,'Full Sample-Townhouse'!$A:$R,X$1,0),2)</f>
        <v>1.21</v>
      </c>
      <c r="Y59" s="3" t="str">
        <f>FIXED(VLOOKUP($A59,'Full Sample-Townhouse'!$A:$R,Y$1,0),2)</f>
        <v>0.03</v>
      </c>
      <c r="Z59" s="3" t="str">
        <f>FIXED(VLOOKUP($A59,'Full Sample-Townhouse'!$A:$R,Z$1,0),2)</f>
        <v>6.51</v>
      </c>
      <c r="AA59" s="9" t="str">
        <f>FIXED(VLOOKUP($A59,'Full Sample-Single Family'!$A:$R,AA$1,0),2)</f>
        <v>2.58</v>
      </c>
      <c r="AB59" s="3" t="str">
        <f>FIXED(VLOOKUP($A59,'Full Sample-Single Family'!$A:$R,AB$1,0),2)</f>
        <v>1.73</v>
      </c>
      <c r="AC59" s="3" t="str">
        <f>FIXED(VLOOKUP($A59,'Full Sample-Single Family'!$A:$R,AC$1,0),2)</f>
        <v>0.04</v>
      </c>
      <c r="AD59" s="3" t="str">
        <f>FIXED(VLOOKUP($A59,'Full Sample-Single Family'!$A:$R,AD$1,0),2)</f>
        <v>17.68</v>
      </c>
      <c r="AE59" s="9" t="str">
        <f>FIXED(VLOOKUP($A59,'Full Sample-Single Family'!$A:$R,AE$1,0),2)</f>
        <v>2.56</v>
      </c>
      <c r="AF59" s="3" t="str">
        <f>FIXED(VLOOKUP($A59,'Full Sample-Single Family'!$A:$R,AF$1,0),2)</f>
        <v>1.70</v>
      </c>
      <c r="AG59" s="3" t="str">
        <f>FIXED(VLOOKUP($A59,'Full Sample-Single Family'!$A:$R,AG$1,0),2)</f>
        <v>0.05</v>
      </c>
      <c r="AH59" s="13" t="str">
        <f>FIXED(VLOOKUP($A59,'Full Sample-Single Family'!$A:$R,AH$1,0),2)</f>
        <v>17.68</v>
      </c>
      <c r="AI59" s="9" t="str">
        <f>FIXED(VLOOKUP($A59,'Full Sample-Single Family'!$A:$R,AI$1,0),2)</f>
        <v>2.61</v>
      </c>
      <c r="AJ59" s="3" t="str">
        <f>FIXED(VLOOKUP($A59,'Full Sample-Single Family'!$A:$R,AJ$1,0),2)</f>
        <v>1.76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79</v>
      </c>
      <c r="B60" s="4" t="s">
        <v>155</v>
      </c>
      <c r="C60" s="9" t="str">
        <f>FIXED(VLOOKUP($A60,'Full Sample-No Sub'!$A:$R,C$1,0),2)</f>
        <v>0.12</v>
      </c>
      <c r="D60" s="3" t="str">
        <f>FIXED(VLOOKUP($A60,'Full Sample-No Sub'!$A:$R,D$1,0),2)</f>
        <v>0.33</v>
      </c>
      <c r="E60" s="3" t="str">
        <f>FIXED(VLOOKUP($A60,'Full Sample-No Sub'!$A:$R,E$1,0),2)</f>
        <v>0.00</v>
      </c>
      <c r="F60" s="3" t="str">
        <f>FIXED(VLOOKUP($A60,'Full Sample-No Sub'!$A:$R,F$1,0),2)</f>
        <v>1.00</v>
      </c>
      <c r="G60" s="9" t="str">
        <f>FIXED(VLOOKUP($A60,'Full Sample-No Sub'!$A:$R,G$1,0),2)</f>
        <v>0.12</v>
      </c>
      <c r="H60" s="3" t="str">
        <f>FIXED(VLOOKUP($A60,'Full Sample-No Sub'!$A:$R,H$1,0),2)</f>
        <v>0.33</v>
      </c>
      <c r="I60" s="3" t="str">
        <f>FIXED(VLOOKUP($A60,'Full Sample-No Sub'!$A:$R,I$1,0),2)</f>
        <v>0.00</v>
      </c>
      <c r="J60" s="13" t="str">
        <f>FIXED(VLOOKUP($A60,'Full Sample-No Sub'!$A:$R,J$1,0),2)</f>
        <v>1.00</v>
      </c>
      <c r="K60" s="9" t="str">
        <f>FIXED(VLOOKUP($A60,'Full Sample-No Sub'!$A:$R,K$1,0),2)</f>
        <v>0.12</v>
      </c>
      <c r="L60" s="3" t="str">
        <f>FIXED(VLOOKUP($A60,'Full Sample-No Sub'!$A:$R,L$1,0),2)</f>
        <v>0.33</v>
      </c>
      <c r="M60" s="3" t="str">
        <f>FIXED(VLOOKUP($A60,'Full Sample-No Sub'!$A:$R,M$1,0),2)</f>
        <v>0.00</v>
      </c>
      <c r="N60" s="13" t="str">
        <f>FIXED(VLOOKUP($A60,'Full Sample-No Sub'!$A:$R,N$1,0),2)</f>
        <v>1.00</v>
      </c>
      <c r="O60" s="9" t="str">
        <f>FIXED(VLOOKUP($A60,'Full Sample-Townhouse'!$A:$R,O$1,0),2)</f>
        <v>0.20</v>
      </c>
      <c r="P60" s="3" t="str">
        <f>FIXED(VLOOKUP($A60,'Full Sample-Townhouse'!$A:$R,P$1,0),2)</f>
        <v>0.40</v>
      </c>
      <c r="Q60" s="3" t="str">
        <f>FIXED(VLOOKUP($A60,'Full Sample-Townhouse'!$A:$R,Q$1,0),2)</f>
        <v>0.00</v>
      </c>
      <c r="R60" s="3" t="str">
        <f>FIXED(VLOOKUP($A60,'Full Sample-Townhouse'!$A:$R,R$1,0),2)</f>
        <v>1.00</v>
      </c>
      <c r="S60" s="9" t="str">
        <f>FIXED(VLOOKUP($A60,'Full Sample-Townhouse'!$A:$R,S$1,0),2)</f>
        <v>0.20</v>
      </c>
      <c r="T60" s="3" t="str">
        <f>FIXED(VLOOKUP($A60,'Full Sample-Townhouse'!$A:$R,T$1,0),2)</f>
        <v>0.40</v>
      </c>
      <c r="U60" s="3" t="str">
        <f>FIXED(VLOOKUP($A60,'Full Sample-Townhouse'!$A:$R,U$1,0),2)</f>
        <v>0.00</v>
      </c>
      <c r="V60" s="13" t="str">
        <f>FIXED(VLOOKUP($A60,'Full Sample-Townhouse'!$A:$R,V$1,0),2)</f>
        <v>1.00</v>
      </c>
      <c r="W60" s="9" t="str">
        <f>FIXED(VLOOKUP($A60,'Full Sample-Townhouse'!$A:$R,W$1,0),2)</f>
        <v>0.20</v>
      </c>
      <c r="X60" s="3" t="str">
        <f>FIXED(VLOOKUP($A60,'Full Sample-Townhouse'!$A:$R,X$1,0),2)</f>
        <v>0.40</v>
      </c>
      <c r="Y60" s="3" t="str">
        <f>FIXED(VLOOKUP($A60,'Full Sample-Townhouse'!$A:$R,Y$1,0),2)</f>
        <v>0.00</v>
      </c>
      <c r="Z60" s="3" t="str">
        <f>FIXED(VLOOKUP($A60,'Full Sample-Townhouse'!$A:$R,Z$1,0),2)</f>
        <v>1.00</v>
      </c>
      <c r="AA60" s="9" t="str">
        <f>FIXED(VLOOKUP($A60,'Full Sample-Single Family'!$A:$R,AA$1,0),2)</f>
        <v>0.03</v>
      </c>
      <c r="AB60" s="3" t="str">
        <f>FIXED(VLOOKUP($A60,'Full Sample-Single Family'!$A:$R,AB$1,0),2)</f>
        <v>0.18</v>
      </c>
      <c r="AC60" s="3" t="str">
        <f>FIXED(VLOOKUP($A60,'Full Sample-Single Family'!$A:$R,AC$1,0),2)</f>
        <v>0.00</v>
      </c>
      <c r="AD60" s="3" t="str">
        <f>FIXED(VLOOKUP($A60,'Full Sample-Single Family'!$A:$R,AD$1,0),2)</f>
        <v>1.00</v>
      </c>
      <c r="AE60" s="9" t="str">
        <f>FIXED(VLOOKUP($A60,'Full Sample-Single Family'!$A:$R,AE$1,0),2)</f>
        <v>0.03</v>
      </c>
      <c r="AF60" s="3" t="str">
        <f>FIXED(VLOOKUP($A60,'Full Sample-Single Family'!$A:$R,AF$1,0),2)</f>
        <v>0.17</v>
      </c>
      <c r="AG60" s="3" t="str">
        <f>FIXED(VLOOKUP($A60,'Full Sample-Single Family'!$A:$R,AG$1,0),2)</f>
        <v>0.00</v>
      </c>
      <c r="AH60" s="13" t="str">
        <f>FIXED(VLOOKUP($A60,'Full Sample-Single Family'!$A:$R,AH$1,0),2)</f>
        <v>1.00</v>
      </c>
      <c r="AI60" s="9" t="str">
        <f>FIXED(VLOOKUP($A60,'Full Sample-Single Family'!$A:$R,AI$1,0),2)</f>
        <v>0.04</v>
      </c>
      <c r="AJ60" s="3" t="str">
        <f>FIXED(VLOOKUP($A60,'Full Sample-Single Family'!$A:$R,AJ$1,0),2)</f>
        <v>0.19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80</v>
      </c>
      <c r="B61" s="4" t="s">
        <v>156</v>
      </c>
      <c r="C61" s="9" t="str">
        <f>FIXED(VLOOKUP($A61,'Full Sample-No Sub'!$A:$R,C$1,0),2)</f>
        <v>0.01</v>
      </c>
      <c r="D61" s="3" t="str">
        <f>FIXED(VLOOKUP($A61,'Full Sample-No Sub'!$A:$R,D$1,0),2)</f>
        <v>0.08</v>
      </c>
      <c r="E61" s="3" t="str">
        <f>FIXED(VLOOKUP($A61,'Full Sample-No Sub'!$A:$R,E$1,0),2)</f>
        <v>0.00</v>
      </c>
      <c r="F61" s="3" t="str">
        <f>FIXED(VLOOKUP($A61,'Full Sample-No Sub'!$A:$R,F$1,0),2)</f>
        <v>1.00</v>
      </c>
      <c r="G61" s="9" t="str">
        <f>FIXED(VLOOKUP($A61,'Full Sample-No Sub'!$A:$R,G$1,0),2)</f>
        <v>0.01</v>
      </c>
      <c r="H61" s="3" t="str">
        <f>FIXED(VLOOKUP($A61,'Full Sample-No Sub'!$A:$R,H$1,0),2)</f>
        <v>0.07</v>
      </c>
      <c r="I61" s="3" t="str">
        <f>FIXED(VLOOKUP($A61,'Full Sample-No Sub'!$A:$R,I$1,0),2)</f>
        <v>0.00</v>
      </c>
      <c r="J61" s="13" t="str">
        <f>FIXED(VLOOKUP($A61,'Full Sample-No Sub'!$A:$R,J$1,0),2)</f>
        <v>1.00</v>
      </c>
      <c r="K61" s="9" t="str">
        <f>FIXED(VLOOKUP($A61,'Full Sample-No Sub'!$A:$R,K$1,0),2)</f>
        <v>0.01</v>
      </c>
      <c r="L61" s="3" t="str">
        <f>FIXED(VLOOKUP($A61,'Full Sample-No Sub'!$A:$R,L$1,0),2)</f>
        <v>0.08</v>
      </c>
      <c r="M61" s="3" t="str">
        <f>FIXED(VLOOKUP($A61,'Full Sample-No Sub'!$A:$R,M$1,0),2)</f>
        <v>0.00</v>
      </c>
      <c r="N61" s="13" t="str">
        <f>FIXED(VLOOKUP($A61,'Full Sample-No Sub'!$A:$R,N$1,0),2)</f>
        <v>1.00</v>
      </c>
      <c r="O61" s="9" t="str">
        <f>FIXED(VLOOKUP($A61,'Full Sample-Townhouse'!$A:$R,O$1,0),2)</f>
        <v>0.01</v>
      </c>
      <c r="P61" s="3" t="str">
        <f>FIXED(VLOOKUP($A61,'Full Sample-Townhouse'!$A:$R,P$1,0),2)</f>
        <v>0.10</v>
      </c>
      <c r="Q61" s="3" t="str">
        <f>FIXED(VLOOKUP($A61,'Full Sample-Townhouse'!$A:$R,Q$1,0),2)</f>
        <v>0.00</v>
      </c>
      <c r="R61" s="3" t="str">
        <f>FIXED(VLOOKUP($A61,'Full Sample-Townhouse'!$A:$R,R$1,0),2)</f>
        <v>1.00</v>
      </c>
      <c r="S61" s="9" t="str">
        <f>FIXED(VLOOKUP($A61,'Full Sample-Townhouse'!$A:$R,S$1,0),2)</f>
        <v>0.01</v>
      </c>
      <c r="T61" s="3" t="str">
        <f>FIXED(VLOOKUP($A61,'Full Sample-Townhouse'!$A:$R,T$1,0),2)</f>
        <v>0.10</v>
      </c>
      <c r="U61" s="3" t="str">
        <f>FIXED(VLOOKUP($A61,'Full Sample-Townhouse'!$A:$R,U$1,0),2)</f>
        <v>0.00</v>
      </c>
      <c r="V61" s="13" t="str">
        <f>FIXED(VLOOKUP($A61,'Full Sample-Townhouse'!$A:$R,V$1,0),2)</f>
        <v>1.00</v>
      </c>
      <c r="W61" s="9" t="str">
        <f>FIXED(VLOOKUP($A61,'Full Sample-Townhouse'!$A:$R,W$1,0),2)</f>
        <v>0.01</v>
      </c>
      <c r="X61" s="3" t="str">
        <f>FIXED(VLOOKUP($A61,'Full Sample-Townhouse'!$A:$R,X$1,0),2)</f>
        <v>0.11</v>
      </c>
      <c r="Y61" s="3" t="str">
        <f>FIXED(VLOOKUP($A61,'Full Sample-Townhouse'!$A:$R,Y$1,0),2)</f>
        <v>0.00</v>
      </c>
      <c r="Z61" s="3" t="str">
        <f>FIXED(VLOOKUP($A61,'Full Sample-Townhouse'!$A:$R,Z$1,0),2)</f>
        <v>1.00</v>
      </c>
      <c r="AA61" s="9" t="str">
        <f>FIXED(VLOOKUP($A61,'Full Sample-Single Family'!$A:$R,AA$1,0),2)</f>
        <v>0.00</v>
      </c>
      <c r="AB61" s="3" t="str">
        <f>FIXED(VLOOKUP($A61,'Full Sample-Single Family'!$A:$R,AB$1,0),2)</f>
        <v>0.02</v>
      </c>
      <c r="AC61" s="3" t="str">
        <f>FIXED(VLOOKUP($A61,'Full Sample-Single Family'!$A:$R,AC$1,0),2)</f>
        <v>0.00</v>
      </c>
      <c r="AD61" s="3" t="str">
        <f>FIXED(VLOOKUP($A61,'Full Sample-Single Family'!$A:$R,AD$1,0),2)</f>
        <v>1.00</v>
      </c>
      <c r="AE61" s="9" t="str">
        <f>FIXED(VLOOKUP($A61,'Full Sample-Single Family'!$A:$R,AE$1,0),2)</f>
        <v>0.00</v>
      </c>
      <c r="AF61" s="3" t="str">
        <f>FIXED(VLOOKUP($A61,'Full Sample-Single Family'!$A:$R,AF$1,0),2)</f>
        <v>0.02</v>
      </c>
      <c r="AG61" s="3" t="str">
        <f>FIXED(VLOOKUP($A61,'Full Sample-Single Family'!$A:$R,AG$1,0),2)</f>
        <v>0.00</v>
      </c>
      <c r="AH61" s="13" t="str">
        <f>FIXED(VLOOKUP($A61,'Full Sample-Single Family'!$A:$R,AH$1,0),2)</f>
        <v>1.00</v>
      </c>
      <c r="AI61" s="9" t="str">
        <f>FIXED(VLOOKUP($A61,'Full Sample-Single Family'!$A:$R,AI$1,0),2)</f>
        <v>0.00</v>
      </c>
      <c r="AJ61" s="3" t="str">
        <f>FIXED(VLOOKUP($A61,'Full Sample-Single Family'!$A:$R,AJ$1,0),2)</f>
        <v>0.01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81</v>
      </c>
      <c r="B62" s="4" t="s">
        <v>157</v>
      </c>
      <c r="C62" s="9" t="str">
        <f>FIXED(VLOOKUP($A62,'Full Sample-No Sub'!$A:$R,C$1,0),2)</f>
        <v>0.00</v>
      </c>
      <c r="D62" s="3" t="str">
        <f>FIXED(VLOOKUP($A62,'Full Sample-No Sub'!$A:$R,D$1,0),2)</f>
        <v>0.04</v>
      </c>
      <c r="E62" s="3" t="str">
        <f>FIXED(VLOOKUP($A62,'Full Sample-No Sub'!$A:$R,E$1,0),2)</f>
        <v>0.00</v>
      </c>
      <c r="F62" s="3" t="str">
        <f>FIXED(VLOOKUP($A62,'Full Sample-No Sub'!$A:$R,F$1,0),2)</f>
        <v>1.00</v>
      </c>
      <c r="G62" s="9" t="str">
        <f>FIXED(VLOOKUP($A62,'Full Sample-No Sub'!$A:$R,G$1,0),2)</f>
        <v>0.00</v>
      </c>
      <c r="H62" s="3" t="str">
        <f>FIXED(VLOOKUP($A62,'Full Sample-No Sub'!$A:$R,H$1,0),2)</f>
        <v>0.04</v>
      </c>
      <c r="I62" s="3" t="str">
        <f>FIXED(VLOOKUP($A62,'Full Sample-No Sub'!$A:$R,I$1,0),2)</f>
        <v>0.00</v>
      </c>
      <c r="J62" s="13" t="str">
        <f>FIXED(VLOOKUP($A62,'Full Sample-No Sub'!$A:$R,J$1,0),2)</f>
        <v>1.00</v>
      </c>
      <c r="K62" s="9" t="str">
        <f>FIXED(VLOOKUP($A62,'Full Sample-No Sub'!$A:$R,K$1,0),2)</f>
        <v>0.00</v>
      </c>
      <c r="L62" s="3" t="str">
        <f>FIXED(VLOOKUP($A62,'Full Sample-No Sub'!$A:$R,L$1,0),2)</f>
        <v>0.04</v>
      </c>
      <c r="M62" s="3" t="str">
        <f>FIXED(VLOOKUP($A62,'Full Sample-No Sub'!$A:$R,M$1,0),2)</f>
        <v>0.00</v>
      </c>
      <c r="N62" s="13" t="str">
        <f>FIXED(VLOOKUP($A62,'Full Sample-No Sub'!$A:$R,N$1,0),2)</f>
        <v>1.00</v>
      </c>
      <c r="O62" s="9" t="str">
        <f>FIXED(VLOOKUP($A62,'Full Sample-Townhouse'!$A:$R,O$1,0),2)</f>
        <v>0.00</v>
      </c>
      <c r="P62" s="3" t="str">
        <f>FIXED(VLOOKUP($A62,'Full Sample-Townhouse'!$A:$R,P$1,0),2)</f>
        <v>0.02</v>
      </c>
      <c r="Q62" s="3" t="str">
        <f>FIXED(VLOOKUP($A62,'Full Sample-Townhouse'!$A:$R,Q$1,0),2)</f>
        <v>0.00</v>
      </c>
      <c r="R62" s="3" t="str">
        <f>FIXED(VLOOKUP($A62,'Full Sample-Townhouse'!$A:$R,R$1,0),2)</f>
        <v>1.00</v>
      </c>
      <c r="S62" s="9" t="str">
        <f>FIXED(VLOOKUP($A62,'Full Sample-Townhouse'!$A:$R,S$1,0),2)</f>
        <v>0.00</v>
      </c>
      <c r="T62" s="3" t="str">
        <f>FIXED(VLOOKUP($A62,'Full Sample-Townhouse'!$A:$R,T$1,0),2)</f>
        <v>0.03</v>
      </c>
      <c r="U62" s="3" t="str">
        <f>FIXED(VLOOKUP($A62,'Full Sample-Townhouse'!$A:$R,U$1,0),2)</f>
        <v>0.00</v>
      </c>
      <c r="V62" s="13" t="str">
        <f>FIXED(VLOOKUP($A62,'Full Sample-Townhouse'!$A:$R,V$1,0),2)</f>
        <v>1.00</v>
      </c>
      <c r="W62" s="9" t="str">
        <f>FIXED(VLOOKUP($A62,'Full Sample-Townhouse'!$A:$R,W$1,0),2)</f>
        <v>0.00</v>
      </c>
      <c r="X62" s="3" t="str">
        <f>FIXED(VLOOKUP($A62,'Full Sample-Townhouse'!$A:$R,X$1,0),2)</f>
        <v>0.02</v>
      </c>
      <c r="Y62" s="3" t="str">
        <f>FIXED(VLOOKUP($A62,'Full Sample-Townhouse'!$A:$R,Y$1,0),2)</f>
        <v>0.00</v>
      </c>
      <c r="Z62" s="3" t="str">
        <f>FIXED(VLOOKUP($A62,'Full Sample-Townhouse'!$A:$R,Z$1,0),2)</f>
        <v>1.00</v>
      </c>
      <c r="AA62" s="9" t="str">
        <f>FIXED(VLOOKUP($A62,'Full Sample-Single Family'!$A:$R,AA$1,0),2)</f>
        <v>0.00</v>
      </c>
      <c r="AB62" s="3" t="str">
        <f>FIXED(VLOOKUP($A62,'Full Sample-Single Family'!$A:$R,AB$1,0),2)</f>
        <v>0.06</v>
      </c>
      <c r="AC62" s="3" t="str">
        <f>FIXED(VLOOKUP($A62,'Full Sample-Single Family'!$A:$R,AC$1,0),2)</f>
        <v>0.00</v>
      </c>
      <c r="AD62" s="3" t="str">
        <f>FIXED(VLOOKUP($A62,'Full Sample-Single Family'!$A:$R,AD$1,0),2)</f>
        <v>1.00</v>
      </c>
      <c r="AE62" s="9" t="str">
        <f>FIXED(VLOOKUP($A62,'Full Sample-Single Family'!$A:$R,AE$1,0),2)</f>
        <v>0.00</v>
      </c>
      <c r="AF62" s="3" t="str">
        <f>FIXED(VLOOKUP($A62,'Full Sample-Single Family'!$A:$R,AF$1,0),2)</f>
        <v>0.06</v>
      </c>
      <c r="AG62" s="3" t="str">
        <f>FIXED(VLOOKUP($A62,'Full Sample-Single Family'!$A:$R,AG$1,0),2)</f>
        <v>0.00</v>
      </c>
      <c r="AH62" s="13" t="str">
        <f>FIXED(VLOOKUP($A62,'Full Sample-Single Family'!$A:$R,AH$1,0),2)</f>
        <v>1.00</v>
      </c>
      <c r="AI62" s="9" t="str">
        <f>FIXED(VLOOKUP($A62,'Full Sample-Single Family'!$A:$R,AI$1,0),2)</f>
        <v>0.00</v>
      </c>
      <c r="AJ62" s="3" t="str">
        <f>FIXED(VLOOKUP($A62,'Full Sample-Single Family'!$A:$R,AJ$1,0),2)</f>
        <v>0.06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82</v>
      </c>
      <c r="B63" s="4" t="s">
        <v>158</v>
      </c>
      <c r="C63" s="9" t="str">
        <f>FIXED(VLOOKUP($A63,'Full Sample-No Sub'!$A:$R,C$1,0),2)</f>
        <v>0.04</v>
      </c>
      <c r="D63" s="3" t="str">
        <f>FIXED(VLOOKUP($A63,'Full Sample-No Sub'!$A:$R,D$1,0),2)</f>
        <v>0.20</v>
      </c>
      <c r="E63" s="3" t="str">
        <f>FIXED(VLOOKUP($A63,'Full Sample-No Sub'!$A:$R,E$1,0),2)</f>
        <v>0.00</v>
      </c>
      <c r="F63" s="3" t="str">
        <f>FIXED(VLOOKUP($A63,'Full Sample-No Sub'!$A:$R,F$1,0),2)</f>
        <v>1.00</v>
      </c>
      <c r="G63" s="9" t="str">
        <f>FIXED(VLOOKUP($A63,'Full Sample-No Sub'!$A:$R,G$1,0),2)</f>
        <v>0.04</v>
      </c>
      <c r="H63" s="3" t="str">
        <f>FIXED(VLOOKUP($A63,'Full Sample-No Sub'!$A:$R,H$1,0),2)</f>
        <v>0.20</v>
      </c>
      <c r="I63" s="3" t="str">
        <f>FIXED(VLOOKUP($A63,'Full Sample-No Sub'!$A:$R,I$1,0),2)</f>
        <v>0.00</v>
      </c>
      <c r="J63" s="13" t="str">
        <f>FIXED(VLOOKUP($A63,'Full Sample-No Sub'!$A:$R,J$1,0),2)</f>
        <v>1.00</v>
      </c>
      <c r="K63" s="9" t="str">
        <f>FIXED(VLOOKUP($A63,'Full Sample-No Sub'!$A:$R,K$1,0),2)</f>
        <v>0.04</v>
      </c>
      <c r="L63" s="3" t="str">
        <f>FIXED(VLOOKUP($A63,'Full Sample-No Sub'!$A:$R,L$1,0),2)</f>
        <v>0.20</v>
      </c>
      <c r="M63" s="3" t="str">
        <f>FIXED(VLOOKUP($A63,'Full Sample-No Sub'!$A:$R,M$1,0),2)</f>
        <v>0.00</v>
      </c>
      <c r="N63" s="13" t="str">
        <f>FIXED(VLOOKUP($A63,'Full Sample-No Sub'!$A:$R,N$1,0),2)</f>
        <v>1.00</v>
      </c>
      <c r="O63" s="9" t="str">
        <f>FIXED(VLOOKUP($A63,'Full Sample-Townhouse'!$A:$R,O$1,0),2)</f>
        <v>0.08</v>
      </c>
      <c r="P63" s="3" t="str">
        <f>FIXED(VLOOKUP($A63,'Full Sample-Townhouse'!$A:$R,P$1,0),2)</f>
        <v>0.26</v>
      </c>
      <c r="Q63" s="3" t="str">
        <f>FIXED(VLOOKUP($A63,'Full Sample-Townhouse'!$A:$R,Q$1,0),2)</f>
        <v>0.00</v>
      </c>
      <c r="R63" s="3" t="str">
        <f>FIXED(VLOOKUP($A63,'Full Sample-Townhouse'!$A:$R,R$1,0),2)</f>
        <v>1.00</v>
      </c>
      <c r="S63" s="9" t="str">
        <f>FIXED(VLOOKUP($A63,'Full Sample-Townhouse'!$A:$R,S$1,0),2)</f>
        <v>0.07</v>
      </c>
      <c r="T63" s="3" t="str">
        <f>FIXED(VLOOKUP($A63,'Full Sample-Townhouse'!$A:$R,T$1,0),2)</f>
        <v>0.26</v>
      </c>
      <c r="U63" s="3" t="str">
        <f>FIXED(VLOOKUP($A63,'Full Sample-Townhouse'!$A:$R,U$1,0),2)</f>
        <v>0.00</v>
      </c>
      <c r="V63" s="13" t="str">
        <f>FIXED(VLOOKUP($A63,'Full Sample-Townhouse'!$A:$R,V$1,0),2)</f>
        <v>1.00</v>
      </c>
      <c r="W63" s="9" t="str">
        <f>FIXED(VLOOKUP($A63,'Full Sample-Townhouse'!$A:$R,W$1,0),2)</f>
        <v>0.08</v>
      </c>
      <c r="X63" s="3" t="str">
        <f>FIXED(VLOOKUP($A63,'Full Sample-Townhouse'!$A:$R,X$1,0),2)</f>
        <v>0.26</v>
      </c>
      <c r="Y63" s="3" t="str">
        <f>FIXED(VLOOKUP($A63,'Full Sample-Townhouse'!$A:$R,Y$1,0),2)</f>
        <v>0.00</v>
      </c>
      <c r="Z63" s="3" t="str">
        <f>FIXED(VLOOKUP($A63,'Full Sample-Townhouse'!$A:$R,Z$1,0),2)</f>
        <v>1.00</v>
      </c>
      <c r="AA63" s="9" t="str">
        <f>FIXED(VLOOKUP($A63,'Full Sample-Single Family'!$A:$R,AA$1,0),2)</f>
        <v>0.00</v>
      </c>
      <c r="AB63" s="3" t="str">
        <f>FIXED(VLOOKUP($A63,'Full Sample-Single Family'!$A:$R,AB$1,0),2)</f>
        <v>0.06</v>
      </c>
      <c r="AC63" s="3" t="str">
        <f>FIXED(VLOOKUP($A63,'Full Sample-Single Family'!$A:$R,AC$1,0),2)</f>
        <v>0.00</v>
      </c>
      <c r="AD63" s="3" t="str">
        <f>FIXED(VLOOKUP($A63,'Full Sample-Single Family'!$A:$R,AD$1,0),2)</f>
        <v>1.00</v>
      </c>
      <c r="AE63" s="9" t="str">
        <f>FIXED(VLOOKUP($A63,'Full Sample-Single Family'!$A:$R,AE$1,0),2)</f>
        <v>0.00</v>
      </c>
      <c r="AF63" s="3" t="str">
        <f>FIXED(VLOOKUP($A63,'Full Sample-Single Family'!$A:$R,AF$1,0),2)</f>
        <v>0.06</v>
      </c>
      <c r="AG63" s="3" t="str">
        <f>FIXED(VLOOKUP($A63,'Full Sample-Single Family'!$A:$R,AG$1,0),2)</f>
        <v>0.00</v>
      </c>
      <c r="AH63" s="13" t="str">
        <f>FIXED(VLOOKUP($A63,'Full Sample-Single Family'!$A:$R,AH$1,0),2)</f>
        <v>1.00</v>
      </c>
      <c r="AI63" s="9" t="str">
        <f>FIXED(VLOOKUP($A63,'Full Sample-Single Family'!$A:$R,AI$1,0),2)</f>
        <v>0.00</v>
      </c>
      <c r="AJ63" s="3" t="str">
        <f>FIXED(VLOOKUP($A63,'Full Sample-Single Family'!$A:$R,AJ$1,0),2)</f>
        <v>0.06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83</v>
      </c>
      <c r="B64" s="4" t="s">
        <v>159</v>
      </c>
      <c r="C64" s="9" t="str">
        <f>FIXED(VLOOKUP($A64,'Full Sample-No Sub'!$A:$R,C$1,0),2)</f>
        <v>0.42</v>
      </c>
      <c r="D64" s="3" t="str">
        <f>FIXED(VLOOKUP($A64,'Full Sample-No Sub'!$A:$R,D$1,0),2)</f>
        <v>0.49</v>
      </c>
      <c r="E64" s="3" t="str">
        <f>FIXED(VLOOKUP($A64,'Full Sample-No Sub'!$A:$R,E$1,0),2)</f>
        <v>0.00</v>
      </c>
      <c r="F64" s="3" t="str">
        <f>FIXED(VLOOKUP($A64,'Full Sample-No Sub'!$A:$R,F$1,0),2)</f>
        <v>1.00</v>
      </c>
      <c r="G64" s="9" t="str">
        <f>FIXED(VLOOKUP($A64,'Full Sample-No Sub'!$A:$R,G$1,0),2)</f>
        <v>0.43</v>
      </c>
      <c r="H64" s="3" t="str">
        <f>FIXED(VLOOKUP($A64,'Full Sample-No Sub'!$A:$R,H$1,0),2)</f>
        <v>0.50</v>
      </c>
      <c r="I64" s="3" t="str">
        <f>FIXED(VLOOKUP($A64,'Full Sample-No Sub'!$A:$R,I$1,0),2)</f>
        <v>0.00</v>
      </c>
      <c r="J64" s="13" t="str">
        <f>FIXED(VLOOKUP($A64,'Full Sample-No Sub'!$A:$R,J$1,0),2)</f>
        <v>1.00</v>
      </c>
      <c r="K64" s="9" t="str">
        <f>FIXED(VLOOKUP($A64,'Full Sample-No Sub'!$A:$R,K$1,0),2)</f>
        <v>0.41</v>
      </c>
      <c r="L64" s="3" t="str">
        <f>FIXED(VLOOKUP($A64,'Full Sample-No Sub'!$A:$R,L$1,0),2)</f>
        <v>0.49</v>
      </c>
      <c r="M64" s="3" t="str">
        <f>FIXED(VLOOKUP($A64,'Full Sample-No Sub'!$A:$R,M$1,0),2)</f>
        <v>0.00</v>
      </c>
      <c r="N64" s="13" t="str">
        <f>FIXED(VLOOKUP($A64,'Full Sample-No Sub'!$A:$R,N$1,0),2)</f>
        <v>1.00</v>
      </c>
      <c r="O64" s="9" t="str">
        <f>FIXED(VLOOKUP($A64,'Full Sample-Townhouse'!$A:$R,O$1,0),2)</f>
        <v>0.31</v>
      </c>
      <c r="P64" s="3" t="str">
        <f>FIXED(VLOOKUP($A64,'Full Sample-Townhouse'!$A:$R,P$1,0),2)</f>
        <v>0.46</v>
      </c>
      <c r="Q64" s="3" t="str">
        <f>FIXED(VLOOKUP($A64,'Full Sample-Townhouse'!$A:$R,Q$1,0),2)</f>
        <v>0.00</v>
      </c>
      <c r="R64" s="3" t="str">
        <f>FIXED(VLOOKUP($A64,'Full Sample-Townhouse'!$A:$R,R$1,0),2)</f>
        <v>1.00</v>
      </c>
      <c r="S64" s="9" t="str">
        <f>FIXED(VLOOKUP($A64,'Full Sample-Townhouse'!$A:$R,S$1,0),2)</f>
        <v>0.31</v>
      </c>
      <c r="T64" s="3" t="str">
        <f>FIXED(VLOOKUP($A64,'Full Sample-Townhouse'!$A:$R,T$1,0),2)</f>
        <v>0.46</v>
      </c>
      <c r="U64" s="3" t="str">
        <f>FIXED(VLOOKUP($A64,'Full Sample-Townhouse'!$A:$R,U$1,0),2)</f>
        <v>0.00</v>
      </c>
      <c r="V64" s="13" t="str">
        <f>FIXED(VLOOKUP($A64,'Full Sample-Townhouse'!$A:$R,V$1,0),2)</f>
        <v>1.00</v>
      </c>
      <c r="W64" s="9" t="str">
        <f>FIXED(VLOOKUP($A64,'Full Sample-Townhouse'!$A:$R,W$1,0),2)</f>
        <v>0.31</v>
      </c>
      <c r="X64" s="3" t="str">
        <f>FIXED(VLOOKUP($A64,'Full Sample-Townhouse'!$A:$R,X$1,0),2)</f>
        <v>0.46</v>
      </c>
      <c r="Y64" s="3" t="str">
        <f>FIXED(VLOOKUP($A64,'Full Sample-Townhouse'!$A:$R,Y$1,0),2)</f>
        <v>0.00</v>
      </c>
      <c r="Z64" s="3" t="str">
        <f>FIXED(VLOOKUP($A64,'Full Sample-Townhouse'!$A:$R,Z$1,0),2)</f>
        <v>1.00</v>
      </c>
      <c r="AA64" s="9" t="str">
        <f>FIXED(VLOOKUP($A64,'Full Sample-Single Family'!$A:$R,AA$1,0),2)</f>
        <v>0.55</v>
      </c>
      <c r="AB64" s="3" t="str">
        <f>FIXED(VLOOKUP($A64,'Full Sample-Single Family'!$A:$R,AB$1,0),2)</f>
        <v>0.50</v>
      </c>
      <c r="AC64" s="3" t="str">
        <f>FIXED(VLOOKUP($A64,'Full Sample-Single Family'!$A:$R,AC$1,0),2)</f>
        <v>0.00</v>
      </c>
      <c r="AD64" s="3" t="str">
        <f>FIXED(VLOOKUP($A64,'Full Sample-Single Family'!$A:$R,AD$1,0),2)</f>
        <v>1.00</v>
      </c>
      <c r="AE64" s="9" t="str">
        <f>FIXED(VLOOKUP($A64,'Full Sample-Single Family'!$A:$R,AE$1,0),2)</f>
        <v>0.56</v>
      </c>
      <c r="AF64" s="3" t="str">
        <f>FIXED(VLOOKUP($A64,'Full Sample-Single Family'!$A:$R,AF$1,0),2)</f>
        <v>0.50</v>
      </c>
      <c r="AG64" s="3" t="str">
        <f>FIXED(VLOOKUP($A64,'Full Sample-Single Family'!$A:$R,AG$1,0),2)</f>
        <v>0.00</v>
      </c>
      <c r="AH64" s="13" t="str">
        <f>FIXED(VLOOKUP($A64,'Full Sample-Single Family'!$A:$R,AH$1,0),2)</f>
        <v>1.00</v>
      </c>
      <c r="AI64" s="9" t="str">
        <f>FIXED(VLOOKUP($A64,'Full Sample-Single Family'!$A:$R,AI$1,0),2)</f>
        <v>0.53</v>
      </c>
      <c r="AJ64" s="3" t="str">
        <f>FIXED(VLOOKUP($A64,'Full Sample-Single Family'!$A:$R,AJ$1,0),2)</f>
        <v>0.50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40" x14ac:dyDescent="0.25">
      <c r="A65" t="s">
        <v>84</v>
      </c>
      <c r="B65" s="4" t="s">
        <v>160</v>
      </c>
      <c r="C65" s="9" t="str">
        <f>FIXED(VLOOKUP($A65,'Full Sample-No Sub'!$A:$R,C$1,0),2)</f>
        <v>0.01</v>
      </c>
      <c r="D65" s="3" t="str">
        <f>FIXED(VLOOKUP($A65,'Full Sample-No Sub'!$A:$R,D$1,0),2)</f>
        <v>0.09</v>
      </c>
      <c r="E65" s="3" t="str">
        <f>FIXED(VLOOKUP($A65,'Full Sample-No Sub'!$A:$R,E$1,0),2)</f>
        <v>0.00</v>
      </c>
      <c r="F65" s="3" t="str">
        <f>FIXED(VLOOKUP($A65,'Full Sample-No Sub'!$A:$R,F$1,0),2)</f>
        <v>1.00</v>
      </c>
      <c r="G65" s="9" t="str">
        <f>FIXED(VLOOKUP($A65,'Full Sample-No Sub'!$A:$R,G$1,0),2)</f>
        <v>0.01</v>
      </c>
      <c r="H65" s="3" t="str">
        <f>FIXED(VLOOKUP($A65,'Full Sample-No Sub'!$A:$R,H$1,0),2)</f>
        <v>0.08</v>
      </c>
      <c r="I65" s="3" t="str">
        <f>FIXED(VLOOKUP($A65,'Full Sample-No Sub'!$A:$R,I$1,0),2)</f>
        <v>0.00</v>
      </c>
      <c r="J65" s="13" t="str">
        <f>FIXED(VLOOKUP($A65,'Full Sample-No Sub'!$A:$R,J$1,0),2)</f>
        <v>1.00</v>
      </c>
      <c r="K65" s="9" t="str">
        <f>FIXED(VLOOKUP($A65,'Full Sample-No Sub'!$A:$R,K$1,0),2)</f>
        <v>0.01</v>
      </c>
      <c r="L65" s="3" t="str">
        <f>FIXED(VLOOKUP($A65,'Full Sample-No Sub'!$A:$R,L$1,0),2)</f>
        <v>0.09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FIXED(VLOOKUP($A65,'Full Sample-Townhouse'!$A:$R,O$1,0),2)</f>
        <v>0.01</v>
      </c>
      <c r="P65" s="3" t="str">
        <f>FIXED(VLOOKUP($A65,'Full Sample-Townhouse'!$A:$R,P$1,0),2)</f>
        <v>0.09</v>
      </c>
      <c r="Q65" s="3" t="str">
        <f>FIXED(VLOOKUP($A65,'Full Sample-Townhouse'!$A:$R,Q$1,0),2)</f>
        <v>0.00</v>
      </c>
      <c r="R65" s="3" t="str">
        <f>FIXED(VLOOKUP($A65,'Full Sample-Townhouse'!$A:$R,R$1,0),2)</f>
        <v>1.00</v>
      </c>
      <c r="S65" s="9" t="str">
        <f>FIXED(VLOOKUP($A65,'Full Sample-Townhouse'!$A:$R,S$1,0),2)</f>
        <v>0.01</v>
      </c>
      <c r="T65" s="3" t="str">
        <f>FIXED(VLOOKUP($A65,'Full Sample-Townhouse'!$A:$R,T$1,0),2)</f>
        <v>0.08</v>
      </c>
      <c r="U65" s="3" t="str">
        <f>FIXED(VLOOKUP($A65,'Full Sample-Townhouse'!$A:$R,U$1,0),2)</f>
        <v>0.00</v>
      </c>
      <c r="V65" s="13" t="str">
        <f>FIXED(VLOOKUP($A65,'Full Sample-Townhouse'!$A:$R,V$1,0),2)</f>
        <v>1.00</v>
      </c>
      <c r="W65" s="9" t="str">
        <f>FIXED(VLOOKUP($A65,'Full Sample-Townhouse'!$A:$R,W$1,0),2)</f>
        <v>0.01</v>
      </c>
      <c r="X65" s="3" t="str">
        <f>FIXED(VLOOKUP($A65,'Full Sample-Townhouse'!$A:$R,X$1,0),2)</f>
        <v>0.09</v>
      </c>
      <c r="Y65" s="3" t="str">
        <f>FIXED(VLOOKUP($A65,'Full Sample-Townhouse'!$A:$R,Y$1,0),2)</f>
        <v>0.00</v>
      </c>
      <c r="Z65" s="3" t="str">
        <f>FIXED(VLOOKUP($A65,'Full Sample-Townhouse'!$A:$R,Z$1,0),2)</f>
        <v>1.00</v>
      </c>
      <c r="AA65" s="9" t="str">
        <f>FIXED(VLOOKUP($A65,'Full Sample-Single Family'!$A:$R,AA$1,0),2)</f>
        <v>0.01</v>
      </c>
      <c r="AB65" s="3" t="str">
        <f>FIXED(VLOOKUP($A65,'Full Sample-Single Family'!$A:$R,AB$1,0),2)</f>
        <v>0.09</v>
      </c>
      <c r="AC65" s="3" t="str">
        <f>FIXED(VLOOKUP($A65,'Full Sample-Single Family'!$A:$R,AC$1,0),2)</f>
        <v>0.00</v>
      </c>
      <c r="AD65" s="3" t="str">
        <f>FIXED(VLOOKUP($A65,'Full Sample-Single Family'!$A:$R,AD$1,0),2)</f>
        <v>1.00</v>
      </c>
      <c r="AE65" s="9" t="str">
        <f>FIXED(VLOOKUP($A65,'Full Sample-Single Family'!$A:$R,AE$1,0),2)</f>
        <v>0.01</v>
      </c>
      <c r="AF65" s="3" t="str">
        <f>FIXED(VLOOKUP($A65,'Full Sample-Single Family'!$A:$R,AF$1,0),2)</f>
        <v>0.08</v>
      </c>
      <c r="AG65" s="3" t="str">
        <f>FIXED(VLOOKUP($A65,'Full Sample-Single Family'!$A:$R,AG$1,0),2)</f>
        <v>0.00</v>
      </c>
      <c r="AH65" s="13" t="str">
        <f>FIXED(VLOOKUP($A65,'Full Sample-Single Family'!$A:$R,AH$1,0),2)</f>
        <v>1.00</v>
      </c>
      <c r="AI65" s="9" t="str">
        <f>FIXED(VLOOKUP($A65,'Full Sample-Single Family'!$A:$R,AI$1,0),2)</f>
        <v>0.01</v>
      </c>
      <c r="AJ65" s="3" t="str">
        <f>FIXED(VLOOKUP($A65,'Full Sample-Single Family'!$A:$R,AJ$1,0),2)</f>
        <v>0.10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40" x14ac:dyDescent="0.25">
      <c r="A66" t="s">
        <v>85</v>
      </c>
      <c r="B66" s="4" t="s">
        <v>161</v>
      </c>
      <c r="C66" s="9" t="str">
        <f>FIXED(VLOOKUP($A66,'Full Sample-No Sub'!$A:$R,C$1,0),2)</f>
        <v>0.40</v>
      </c>
      <c r="D66" s="3" t="str">
        <f>FIXED(VLOOKUP($A66,'Full Sample-No Sub'!$A:$R,D$1,0),2)</f>
        <v>0.49</v>
      </c>
      <c r="E66" s="3" t="str">
        <f>FIXED(VLOOKUP($A66,'Full Sample-No Sub'!$A:$R,E$1,0),2)</f>
        <v>0.00</v>
      </c>
      <c r="F66" s="3" t="str">
        <f>FIXED(VLOOKUP($A66,'Full Sample-No Sub'!$A:$R,F$1,0),2)</f>
        <v>1.00</v>
      </c>
      <c r="G66" s="9" t="str">
        <f>FIXED(VLOOKUP($A66,'Full Sample-No Sub'!$A:$R,G$1,0),2)</f>
        <v>0.39</v>
      </c>
      <c r="H66" s="3" t="str">
        <f>FIXED(VLOOKUP($A66,'Full Sample-No Sub'!$A:$R,H$1,0),2)</f>
        <v>0.49</v>
      </c>
      <c r="I66" s="3" t="str">
        <f>FIXED(VLOOKUP($A66,'Full Sample-No Sub'!$A:$R,I$1,0),2)</f>
        <v>0.00</v>
      </c>
      <c r="J66" s="13" t="str">
        <f>FIXED(VLOOKUP($A66,'Full Sample-No Sub'!$A:$R,J$1,0),2)</f>
        <v>1.00</v>
      </c>
      <c r="K66" s="9" t="str">
        <f>FIXED(VLOOKUP($A66,'Full Sample-No Sub'!$A:$R,K$1,0),2)</f>
        <v>0.41</v>
      </c>
      <c r="L66" s="3" t="str">
        <f>FIXED(VLOOKUP($A66,'Full Sample-No Sub'!$A:$R,L$1,0),2)</f>
        <v>0.49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FIXED(VLOOKUP($A66,'Full Sample-Townhouse'!$A:$R,O$1,0),2)</f>
        <v>0.40</v>
      </c>
      <c r="P66" s="3" t="str">
        <f>FIXED(VLOOKUP($A66,'Full Sample-Townhouse'!$A:$R,P$1,0),2)</f>
        <v>0.49</v>
      </c>
      <c r="Q66" s="3" t="str">
        <f>FIXED(VLOOKUP($A66,'Full Sample-Townhouse'!$A:$R,Q$1,0),2)</f>
        <v>0.00</v>
      </c>
      <c r="R66" s="3" t="str">
        <f>FIXED(VLOOKUP($A66,'Full Sample-Townhouse'!$A:$R,R$1,0),2)</f>
        <v>1.00</v>
      </c>
      <c r="S66" s="9" t="str">
        <f>FIXED(VLOOKUP($A66,'Full Sample-Townhouse'!$A:$R,S$1,0),2)</f>
        <v>0.39</v>
      </c>
      <c r="T66" s="3" t="str">
        <f>FIXED(VLOOKUP($A66,'Full Sample-Townhouse'!$A:$R,T$1,0),2)</f>
        <v>0.49</v>
      </c>
      <c r="U66" s="3" t="str">
        <f>FIXED(VLOOKUP($A66,'Full Sample-Townhouse'!$A:$R,U$1,0),2)</f>
        <v>0.00</v>
      </c>
      <c r="V66" s="13" t="str">
        <f>FIXED(VLOOKUP($A66,'Full Sample-Townhouse'!$A:$R,V$1,0),2)</f>
        <v>1.00</v>
      </c>
      <c r="W66" s="9" t="str">
        <f>FIXED(VLOOKUP($A66,'Full Sample-Townhouse'!$A:$R,W$1,0),2)</f>
        <v>0.40</v>
      </c>
      <c r="X66" s="3" t="str">
        <f>FIXED(VLOOKUP($A66,'Full Sample-Townhouse'!$A:$R,X$1,0),2)</f>
        <v>0.49</v>
      </c>
      <c r="Y66" s="3" t="str">
        <f>FIXED(VLOOKUP($A66,'Full Sample-Townhouse'!$A:$R,Y$1,0),2)</f>
        <v>0.00</v>
      </c>
      <c r="Z66" s="3" t="str">
        <f>FIXED(VLOOKUP($A66,'Full Sample-Townhouse'!$A:$R,Z$1,0),2)</f>
        <v>1.00</v>
      </c>
      <c r="AA66" s="9" t="str">
        <f>FIXED(VLOOKUP($A66,'Full Sample-Single Family'!$A:$R,AA$1,0),2)</f>
        <v>0.40</v>
      </c>
      <c r="AB66" s="3" t="str">
        <f>FIXED(VLOOKUP($A66,'Full Sample-Single Family'!$A:$R,AB$1,0),2)</f>
        <v>0.49</v>
      </c>
      <c r="AC66" s="3" t="str">
        <f>FIXED(VLOOKUP($A66,'Full Sample-Single Family'!$A:$R,AC$1,0),2)</f>
        <v>0.00</v>
      </c>
      <c r="AD66" s="3" t="str">
        <f>FIXED(VLOOKUP($A66,'Full Sample-Single Family'!$A:$R,AD$1,0),2)</f>
        <v>1.00</v>
      </c>
      <c r="AE66" s="9" t="str">
        <f>FIXED(VLOOKUP($A66,'Full Sample-Single Family'!$A:$R,AE$1,0),2)</f>
        <v>0.39</v>
      </c>
      <c r="AF66" s="3" t="str">
        <f>FIXED(VLOOKUP($A66,'Full Sample-Single Family'!$A:$R,AF$1,0),2)</f>
        <v>0.49</v>
      </c>
      <c r="AG66" s="3" t="str">
        <f>FIXED(VLOOKUP($A66,'Full Sample-Single Family'!$A:$R,AG$1,0),2)</f>
        <v>0.00</v>
      </c>
      <c r="AH66" s="13" t="str">
        <f>FIXED(VLOOKUP($A66,'Full Sample-Single Family'!$A:$R,AH$1,0),2)</f>
        <v>1.00</v>
      </c>
      <c r="AI66" s="9" t="str">
        <f>FIXED(VLOOKUP($A66,'Full Sample-Single Family'!$A:$R,AI$1,0),2)</f>
        <v>0.42</v>
      </c>
      <c r="AJ66" s="3" t="str">
        <f>FIXED(VLOOKUP($A66,'Full Sample-Single Family'!$A:$R,AJ$1,0),2)</f>
        <v>0.49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40" x14ac:dyDescent="0.25">
      <c r="A67" t="s">
        <v>42</v>
      </c>
      <c r="B67" t="s">
        <v>121</v>
      </c>
      <c r="C67" s="9" t="str">
        <f>FIXED(VLOOKUP($A67,'Full Sample-No Sub'!$A:$R,C$1,0),2)</f>
        <v>0.25</v>
      </c>
      <c r="D67" s="3" t="str">
        <f>FIXED(VLOOKUP($A67,'Full Sample-No Sub'!$A:$R,D$1,0),2)</f>
        <v>0.17</v>
      </c>
      <c r="E67" s="3" t="str">
        <f>FIXED(VLOOKUP($A67,'Full Sample-No Sub'!$A:$R,E$1,0),2)</f>
        <v>0.00</v>
      </c>
      <c r="F67" s="3" t="str">
        <f>FIXED(VLOOKUP($A67,'Full Sample-No Sub'!$A:$R,F$1,0),2)</f>
        <v>1.00</v>
      </c>
      <c r="G67" s="9" t="str">
        <f>FIXED(VLOOKUP($A67,'Full Sample-No Sub'!$A:$R,G$1,0),2)</f>
        <v>0.26</v>
      </c>
      <c r="H67" s="3" t="str">
        <f>FIXED(VLOOKUP($A67,'Full Sample-No Sub'!$A:$R,H$1,0),2)</f>
        <v>0.17</v>
      </c>
      <c r="I67" s="3" t="str">
        <f>FIXED(VLOOKUP($A67,'Full Sample-No Sub'!$A:$R,I$1,0),2)</f>
        <v>0.00</v>
      </c>
      <c r="J67" s="13" t="str">
        <f>FIXED(VLOOKUP($A67,'Full Sample-No Sub'!$A:$R,J$1,0),2)</f>
        <v>1.00</v>
      </c>
      <c r="K67" s="9" t="str">
        <f>FIXED(VLOOKUP($A67,'Full Sample-No Sub'!$A:$R,K$1,0),2)</f>
        <v>0.24</v>
      </c>
      <c r="L67" s="3" t="str">
        <f>FIXED(VLOOKUP($A67,'Full Sample-No Sub'!$A:$R,L$1,0),2)</f>
        <v>0.17</v>
      </c>
      <c r="M67" s="3" t="str">
        <f>FIXED(VLOOKUP($A67,'Full Sample-No Sub'!$A:$R,M$1,0),2)</f>
        <v>0.00</v>
      </c>
      <c r="N67" s="13" t="str">
        <f>FIXED(VLOOKUP($A67,'Full Sample-No Sub'!$A:$R,N$1,0),2)</f>
        <v>0.92</v>
      </c>
      <c r="O67" s="9" t="str">
        <f>FIXED(VLOOKUP($A67,'Full Sample-Townhouse'!$A:$R,O$1,0),2)</f>
        <v>0.28</v>
      </c>
      <c r="P67" s="3" t="str">
        <f>FIXED(VLOOKUP($A67,'Full Sample-Townhouse'!$A:$R,P$1,0),2)</f>
        <v>0.17</v>
      </c>
      <c r="Q67" s="3" t="str">
        <f>FIXED(VLOOKUP($A67,'Full Sample-Townhouse'!$A:$R,Q$1,0),2)</f>
        <v>0.00</v>
      </c>
      <c r="R67" s="3" t="str">
        <f>FIXED(VLOOKUP($A67,'Full Sample-Townhouse'!$A:$R,R$1,0),2)</f>
        <v>1.00</v>
      </c>
      <c r="S67" s="9" t="str">
        <f>FIXED(VLOOKUP($A67,'Full Sample-Townhouse'!$A:$R,S$1,0),2)</f>
        <v>0.28</v>
      </c>
      <c r="T67" s="3" t="str">
        <f>FIXED(VLOOKUP($A67,'Full Sample-Townhouse'!$A:$R,T$1,0),2)</f>
        <v>0.17</v>
      </c>
      <c r="U67" s="3" t="str">
        <f>FIXED(VLOOKUP($A67,'Full Sample-Townhouse'!$A:$R,U$1,0),2)</f>
        <v>0.00</v>
      </c>
      <c r="V67" s="13" t="str">
        <f>FIXED(VLOOKUP($A67,'Full Sample-Townhouse'!$A:$R,V$1,0),2)</f>
        <v>1.00</v>
      </c>
      <c r="W67" s="9" t="str">
        <f>FIXED(VLOOKUP($A67,'Full Sample-Townhouse'!$A:$R,W$1,0),2)</f>
        <v>0.27</v>
      </c>
      <c r="X67" s="3" t="str">
        <f>FIXED(VLOOKUP($A67,'Full Sample-Townhouse'!$A:$R,X$1,0),2)</f>
        <v>0.18</v>
      </c>
      <c r="Y67" s="3" t="str">
        <f>FIXED(VLOOKUP($A67,'Full Sample-Townhouse'!$A:$R,Y$1,0),2)</f>
        <v>0.00</v>
      </c>
      <c r="Z67" s="3" t="str">
        <f>FIXED(VLOOKUP($A67,'Full Sample-Townhouse'!$A:$R,Z$1,0),2)</f>
        <v>0.83</v>
      </c>
      <c r="AA67" s="9" t="str">
        <f>FIXED(VLOOKUP($A67,'Full Sample-Single Family'!$A:$R,AA$1,0),2)</f>
        <v>0.22</v>
      </c>
      <c r="AB67" s="3" t="str">
        <f>FIXED(VLOOKUP($A67,'Full Sample-Single Family'!$A:$R,AB$1,0),2)</f>
        <v>0.16</v>
      </c>
      <c r="AC67" s="3" t="str">
        <f>FIXED(VLOOKUP($A67,'Full Sample-Single Family'!$A:$R,AC$1,0),2)</f>
        <v>0.00</v>
      </c>
      <c r="AD67" s="3" t="str">
        <f>FIXED(VLOOKUP($A67,'Full Sample-Single Family'!$A:$R,AD$1,0),2)</f>
        <v>0.92</v>
      </c>
      <c r="AE67" s="9" t="str">
        <f>FIXED(VLOOKUP($A67,'Full Sample-Single Family'!$A:$R,AE$1,0),2)</f>
        <v>0.22</v>
      </c>
      <c r="AF67" s="3" t="str">
        <f>FIXED(VLOOKUP($A67,'Full Sample-Single Family'!$A:$R,AF$1,0),2)</f>
        <v>0.15</v>
      </c>
      <c r="AG67" s="3" t="str">
        <f>FIXED(VLOOKUP($A67,'Full Sample-Single Family'!$A:$R,AG$1,0),2)</f>
        <v>0.00</v>
      </c>
      <c r="AH67" s="13" t="str">
        <f>FIXED(VLOOKUP($A67,'Full Sample-Single Family'!$A:$R,AH$1,0),2)</f>
        <v>0.86</v>
      </c>
      <c r="AI67" s="9" t="str">
        <f>FIXED(VLOOKUP($A67,'Full Sample-Single Family'!$A:$R,AI$1,0),2)</f>
        <v>0.22</v>
      </c>
      <c r="AJ67" s="3" t="str">
        <f>FIXED(VLOOKUP($A67,'Full Sample-Single Family'!$A:$R,AJ$1,0),2)</f>
        <v>0.16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40" x14ac:dyDescent="0.25">
      <c r="A68" t="s">
        <v>43</v>
      </c>
      <c r="B68" t="s">
        <v>122</v>
      </c>
      <c r="C68" s="9" t="str">
        <f>FIXED(VLOOKUP($A68,'Full Sample-No Sub'!$A:$R,C$1,0),2)</f>
        <v>0.02</v>
      </c>
      <c r="D68" s="3" t="str">
        <f>FIXED(VLOOKUP($A68,'Full Sample-No Sub'!$A:$R,D$1,0),2)</f>
        <v>0.04</v>
      </c>
      <c r="E68" s="3" t="str">
        <f>FIXED(VLOOKUP($A68,'Full Sample-No Sub'!$A:$R,E$1,0),2)</f>
        <v>0.00</v>
      </c>
      <c r="F68" s="3" t="str">
        <f>FIXED(VLOOKUP($A68,'Full Sample-No Sub'!$A:$R,F$1,0),2)</f>
        <v>0.78</v>
      </c>
      <c r="G68" s="9" t="str">
        <f>FIXED(VLOOKUP($A68,'Full Sample-No Sub'!$A:$R,G$1,0),2)</f>
        <v>0.02</v>
      </c>
      <c r="H68" s="3" t="str">
        <f>FIXED(VLOOKUP($A68,'Full Sample-No Sub'!$A:$R,H$1,0),2)</f>
        <v>0.03</v>
      </c>
      <c r="I68" s="3" t="str">
        <f>FIXED(VLOOKUP($A68,'Full Sample-No Sub'!$A:$R,I$1,0),2)</f>
        <v>0.00</v>
      </c>
      <c r="J68" s="13" t="str">
        <f>FIXED(VLOOKUP($A68,'Full Sample-No Sub'!$A:$R,J$1,0),2)</f>
        <v>0.78</v>
      </c>
      <c r="K68" s="9" t="str">
        <f>FIXED(VLOOKUP($A68,'Full Sample-No Sub'!$A:$R,K$1,0),2)</f>
        <v>0.02</v>
      </c>
      <c r="L68" s="3" t="str">
        <f>FIXED(VLOOKUP($A68,'Full Sample-No Sub'!$A:$R,L$1,0),2)</f>
        <v>0.04</v>
      </c>
      <c r="M68" s="3" t="str">
        <f>FIXED(VLOOKUP($A68,'Full Sample-No Sub'!$A:$R,M$1,0),2)</f>
        <v>0.00</v>
      </c>
      <c r="N68" s="13" t="str">
        <f>FIXED(VLOOKUP($A68,'Full Sample-No Sub'!$A:$R,N$1,0),2)</f>
        <v>0.78</v>
      </c>
      <c r="O68" s="9" t="str">
        <f>FIXED(VLOOKUP($A68,'Full Sample-Townhouse'!$A:$R,O$1,0),2)</f>
        <v>0.02</v>
      </c>
      <c r="P68" s="3" t="str">
        <f>FIXED(VLOOKUP($A68,'Full Sample-Townhouse'!$A:$R,P$1,0),2)</f>
        <v>0.04</v>
      </c>
      <c r="Q68" s="3" t="str">
        <f>FIXED(VLOOKUP($A68,'Full Sample-Townhouse'!$A:$R,Q$1,0),2)</f>
        <v>0.00</v>
      </c>
      <c r="R68" s="3" t="str">
        <f>FIXED(VLOOKUP($A68,'Full Sample-Townhouse'!$A:$R,R$1,0),2)</f>
        <v>0.78</v>
      </c>
      <c r="S68" s="9" t="str">
        <f>FIXED(VLOOKUP($A68,'Full Sample-Townhouse'!$A:$R,S$1,0),2)</f>
        <v>0.02</v>
      </c>
      <c r="T68" s="3" t="str">
        <f>FIXED(VLOOKUP($A68,'Full Sample-Townhouse'!$A:$R,T$1,0),2)</f>
        <v>0.03</v>
      </c>
      <c r="U68" s="3" t="str">
        <f>FIXED(VLOOKUP($A68,'Full Sample-Townhouse'!$A:$R,U$1,0),2)</f>
        <v>0.00</v>
      </c>
      <c r="V68" s="13" t="str">
        <f>FIXED(VLOOKUP($A68,'Full Sample-Townhouse'!$A:$R,V$1,0),2)</f>
        <v>0.78</v>
      </c>
      <c r="W68" s="9" t="str">
        <f>FIXED(VLOOKUP($A68,'Full Sample-Townhouse'!$A:$R,W$1,0),2)</f>
        <v>0.02</v>
      </c>
      <c r="X68" s="3" t="str">
        <f>FIXED(VLOOKUP($A68,'Full Sample-Townhouse'!$A:$R,X$1,0),2)</f>
        <v>0.04</v>
      </c>
      <c r="Y68" s="3" t="str">
        <f>FIXED(VLOOKUP($A68,'Full Sample-Townhouse'!$A:$R,Y$1,0),2)</f>
        <v>0.00</v>
      </c>
      <c r="Z68" s="3" t="str">
        <f>FIXED(VLOOKUP($A68,'Full Sample-Townhouse'!$A:$R,Z$1,0),2)</f>
        <v>0.78</v>
      </c>
      <c r="AA68" s="9" t="str">
        <f>FIXED(VLOOKUP($A68,'Full Sample-Single Family'!$A:$R,AA$1,0),2)</f>
        <v>0.02</v>
      </c>
      <c r="AB68" s="3" t="str">
        <f>FIXED(VLOOKUP($A68,'Full Sample-Single Family'!$A:$R,AB$1,0),2)</f>
        <v>0.03</v>
      </c>
      <c r="AC68" s="3" t="str">
        <f>FIXED(VLOOKUP($A68,'Full Sample-Single Family'!$A:$R,AC$1,0),2)</f>
        <v>0.00</v>
      </c>
      <c r="AD68" s="3" t="str">
        <f>FIXED(VLOOKUP($A68,'Full Sample-Single Family'!$A:$R,AD$1,0),2)</f>
        <v>0.36</v>
      </c>
      <c r="AE68" s="9" t="str">
        <f>FIXED(VLOOKUP($A68,'Full Sample-Single Family'!$A:$R,AE$1,0),2)</f>
        <v>0.02</v>
      </c>
      <c r="AF68" s="3" t="str">
        <f>FIXED(VLOOKUP($A68,'Full Sample-Single Family'!$A:$R,AF$1,0),2)</f>
        <v>0.03</v>
      </c>
      <c r="AG68" s="3" t="str">
        <f>FIXED(VLOOKUP($A68,'Full Sample-Single Family'!$A:$R,AG$1,0),2)</f>
        <v>0.00</v>
      </c>
      <c r="AH68" s="13" t="str">
        <f>FIXED(VLOOKUP($A68,'Full Sample-Single Family'!$A:$R,AH$1,0),2)</f>
        <v>0.36</v>
      </c>
      <c r="AI68" s="9" t="str">
        <f>FIXED(VLOOKUP($A68,'Full Sample-Single Family'!$A:$R,AI$1,0),2)</f>
        <v>0.02</v>
      </c>
      <c r="AJ68" s="3" t="str">
        <f>FIXED(VLOOKUP($A68,'Full Sample-Single Family'!$A:$R,AJ$1,0),2)</f>
        <v>0.04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40" x14ac:dyDescent="0.25">
      <c r="A69" t="s">
        <v>44</v>
      </c>
      <c r="B69" t="s">
        <v>123</v>
      </c>
      <c r="C69" s="9" t="str">
        <f>FIXED(VLOOKUP($A69,'Full Sample-No Sub'!$A:$R,C$1,0),2)</f>
        <v>0.43</v>
      </c>
      <c r="D69" s="3" t="str">
        <f>FIXED(VLOOKUP($A69,'Full Sample-No Sub'!$A:$R,D$1,0),2)</f>
        <v>0.19</v>
      </c>
      <c r="E69" s="3" t="str">
        <f>FIXED(VLOOKUP($A69,'Full Sample-No Sub'!$A:$R,E$1,0),2)</f>
        <v>0.00</v>
      </c>
      <c r="F69" s="3" t="str">
        <f>FIXED(VLOOKUP($A69,'Full Sample-No Sub'!$A:$R,F$1,0),2)</f>
        <v>1.00</v>
      </c>
      <c r="G69" s="9" t="str">
        <f>FIXED(VLOOKUP($A69,'Full Sample-No Sub'!$A:$R,G$1,0),2)</f>
        <v>0.42</v>
      </c>
      <c r="H69" s="3" t="str">
        <f>FIXED(VLOOKUP($A69,'Full Sample-No Sub'!$A:$R,H$1,0),2)</f>
        <v>0.18</v>
      </c>
      <c r="I69" s="3" t="str">
        <f>FIXED(VLOOKUP($A69,'Full Sample-No Sub'!$A:$R,I$1,0),2)</f>
        <v>0.00</v>
      </c>
      <c r="J69" s="13" t="str">
        <f>FIXED(VLOOKUP($A69,'Full Sample-No Sub'!$A:$R,J$1,0),2)</f>
        <v>1.00</v>
      </c>
      <c r="K69" s="9" t="str">
        <f>FIXED(VLOOKUP($A69,'Full Sample-No Sub'!$A:$R,K$1,0),2)</f>
        <v>0.43</v>
      </c>
      <c r="L69" s="3" t="str">
        <f>FIXED(VLOOKUP($A69,'Full Sample-No Sub'!$A:$R,L$1,0),2)</f>
        <v>0.20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FIXED(VLOOKUP($A69,'Full Sample-Townhouse'!$A:$R,O$1,0),2)</f>
        <v>0.43</v>
      </c>
      <c r="P69" s="3" t="str">
        <f>FIXED(VLOOKUP($A69,'Full Sample-Townhouse'!$A:$R,P$1,0),2)</f>
        <v>0.18</v>
      </c>
      <c r="Q69" s="3" t="str">
        <f>FIXED(VLOOKUP($A69,'Full Sample-Townhouse'!$A:$R,Q$1,0),2)</f>
        <v>0.00</v>
      </c>
      <c r="R69" s="3" t="str">
        <f>FIXED(VLOOKUP($A69,'Full Sample-Townhouse'!$A:$R,R$1,0),2)</f>
        <v>1.00</v>
      </c>
      <c r="S69" s="9" t="str">
        <f>FIXED(VLOOKUP($A69,'Full Sample-Townhouse'!$A:$R,S$1,0),2)</f>
        <v>0.43</v>
      </c>
      <c r="T69" s="3" t="str">
        <f>FIXED(VLOOKUP($A69,'Full Sample-Townhouse'!$A:$R,T$1,0),2)</f>
        <v>0.18</v>
      </c>
      <c r="U69" s="3" t="str">
        <f>FIXED(VLOOKUP($A69,'Full Sample-Townhouse'!$A:$R,U$1,0),2)</f>
        <v>0.00</v>
      </c>
      <c r="V69" s="13" t="str">
        <f>FIXED(VLOOKUP($A69,'Full Sample-Townhouse'!$A:$R,V$1,0),2)</f>
        <v>1.00</v>
      </c>
      <c r="W69" s="9" t="str">
        <f>FIXED(VLOOKUP($A69,'Full Sample-Townhouse'!$A:$R,W$1,0),2)</f>
        <v>0.44</v>
      </c>
      <c r="X69" s="3" t="str">
        <f>FIXED(VLOOKUP($A69,'Full Sample-Townhouse'!$A:$R,X$1,0),2)</f>
        <v>0.19</v>
      </c>
      <c r="Y69" s="3" t="str">
        <f>FIXED(VLOOKUP($A69,'Full Sample-Townhouse'!$A:$R,Y$1,0),2)</f>
        <v>0.01</v>
      </c>
      <c r="Z69" s="3" t="str">
        <f>FIXED(VLOOKUP($A69,'Full Sample-Townhouse'!$A:$R,Z$1,0),2)</f>
        <v>1.00</v>
      </c>
      <c r="AA69" s="9" t="str">
        <f>FIXED(VLOOKUP($A69,'Full Sample-Single Family'!$A:$R,AA$1,0),2)</f>
        <v>0.41</v>
      </c>
      <c r="AB69" s="3" t="str">
        <f>FIXED(VLOOKUP($A69,'Full Sample-Single Family'!$A:$R,AB$1,0),2)</f>
        <v>0.19</v>
      </c>
      <c r="AC69" s="3" t="str">
        <f>FIXED(VLOOKUP($A69,'Full Sample-Single Family'!$A:$R,AC$1,0),2)</f>
        <v>0.00</v>
      </c>
      <c r="AD69" s="3" t="str">
        <f>FIXED(VLOOKUP($A69,'Full Sample-Single Family'!$A:$R,AD$1,0),2)</f>
        <v>0.97</v>
      </c>
      <c r="AE69" s="9" t="str">
        <f>FIXED(VLOOKUP($A69,'Full Sample-Single Family'!$A:$R,AE$1,0),2)</f>
        <v>0.42</v>
      </c>
      <c r="AF69" s="3" t="str">
        <f>FIXED(VLOOKUP($A69,'Full Sample-Single Family'!$A:$R,AF$1,0),2)</f>
        <v>0.19</v>
      </c>
      <c r="AG69" s="3" t="str">
        <f>FIXED(VLOOKUP($A69,'Full Sample-Single Family'!$A:$R,AG$1,0),2)</f>
        <v>0.00</v>
      </c>
      <c r="AH69" s="13" t="str">
        <f>FIXED(VLOOKUP($A69,'Full Sample-Single Family'!$A:$R,AH$1,0),2)</f>
        <v>0.97</v>
      </c>
      <c r="AI69" s="9" t="str">
        <f>FIXED(VLOOKUP($A69,'Full Sample-Single Family'!$A:$R,AI$1,0),2)</f>
        <v>0.41</v>
      </c>
      <c r="AJ69" s="3" t="str">
        <f>FIXED(VLOOKUP($A69,'Full Sample-Single Family'!$A:$R,AJ$1,0),2)</f>
        <v>0.20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40" x14ac:dyDescent="0.25">
      <c r="A70" t="s">
        <v>45</v>
      </c>
      <c r="B70" t="s">
        <v>124</v>
      </c>
      <c r="C70" s="9" t="str">
        <f>FIXED(VLOOKUP($A70,'Full Sample-No Sub'!$A:$R,C$1,0),2)</f>
        <v>0.07</v>
      </c>
      <c r="D70" s="3" t="str">
        <f>FIXED(VLOOKUP($A70,'Full Sample-No Sub'!$A:$R,D$1,0),2)</f>
        <v>0.09</v>
      </c>
      <c r="E70" s="3" t="str">
        <f>FIXED(VLOOKUP($A70,'Full Sample-No Sub'!$A:$R,E$1,0),2)</f>
        <v>0.00</v>
      </c>
      <c r="F70" s="3" t="str">
        <f>FIXED(VLOOKUP($A70,'Full Sample-No Sub'!$A:$R,F$1,0),2)</f>
        <v>0.71</v>
      </c>
      <c r="G70" s="9" t="str">
        <f>FIXED(VLOOKUP($A70,'Full Sample-No Sub'!$A:$R,G$1,0),2)</f>
        <v>0.07</v>
      </c>
      <c r="H70" s="3" t="str">
        <f>FIXED(VLOOKUP($A70,'Full Sample-No Sub'!$A:$R,H$1,0),2)</f>
        <v>0.08</v>
      </c>
      <c r="I70" s="3" t="str">
        <f>FIXED(VLOOKUP($A70,'Full Sample-No Sub'!$A:$R,I$1,0),2)</f>
        <v>0.00</v>
      </c>
      <c r="J70" s="13" t="str">
        <f>FIXED(VLOOKUP($A70,'Full Sample-No Sub'!$A:$R,J$1,0),2)</f>
        <v>0.61</v>
      </c>
      <c r="K70" s="9" t="str">
        <f>FIXED(VLOOKUP($A70,'Full Sample-No Sub'!$A:$R,K$1,0),2)</f>
        <v>0.07</v>
      </c>
      <c r="L70" s="3" t="str">
        <f>FIXED(VLOOKUP($A70,'Full Sample-No Sub'!$A:$R,L$1,0),2)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0.71</v>
      </c>
      <c r="O70" s="9" t="str">
        <f>FIXED(VLOOKUP($A70,'Full Sample-Townhouse'!$A:$R,O$1,0),2)</f>
        <v>0.06</v>
      </c>
      <c r="P70" s="3" t="str">
        <f>FIXED(VLOOKUP($A70,'Full Sample-Townhouse'!$A:$R,P$1,0),2)</f>
        <v>0.08</v>
      </c>
      <c r="Q70" s="3" t="str">
        <f>FIXED(VLOOKUP($A70,'Full Sample-Townhouse'!$A:$R,Q$1,0),2)</f>
        <v>0.00</v>
      </c>
      <c r="R70" s="3" t="str">
        <f>FIXED(VLOOKUP($A70,'Full Sample-Townhouse'!$A:$R,R$1,0),2)</f>
        <v>0.64</v>
      </c>
      <c r="S70" s="9" t="str">
        <f>FIXED(VLOOKUP($A70,'Full Sample-Townhouse'!$A:$R,S$1,0),2)</f>
        <v>0.06</v>
      </c>
      <c r="T70" s="3" t="str">
        <f>FIXED(VLOOKUP($A70,'Full Sample-Townhouse'!$A:$R,T$1,0),2)</f>
        <v>0.07</v>
      </c>
      <c r="U70" s="3" t="str">
        <f>FIXED(VLOOKUP($A70,'Full Sample-Townhouse'!$A:$R,U$1,0),2)</f>
        <v>0.00</v>
      </c>
      <c r="V70" s="13" t="str">
        <f>FIXED(VLOOKUP($A70,'Full Sample-Townhouse'!$A:$R,V$1,0),2)</f>
        <v>0.56</v>
      </c>
      <c r="W70" s="9" t="str">
        <f>FIXED(VLOOKUP($A70,'Full Sample-Townhouse'!$A:$R,W$1,0),2)</f>
        <v>0.06</v>
      </c>
      <c r="X70" s="3" t="str">
        <f>FIXED(VLOOKUP($A70,'Full Sample-Townhouse'!$A:$R,X$1,0),2)</f>
        <v>0.09</v>
      </c>
      <c r="Y70" s="3" t="str">
        <f>FIXED(VLOOKUP($A70,'Full Sample-Townhouse'!$A:$R,Y$1,0),2)</f>
        <v>0.00</v>
      </c>
      <c r="Z70" s="3" t="str">
        <f>FIXED(VLOOKUP($A70,'Full Sample-Townhouse'!$A:$R,Z$1,0),2)</f>
        <v>0.64</v>
      </c>
      <c r="AA70" s="9" t="str">
        <f>FIXED(VLOOKUP($A70,'Full Sample-Single Family'!$A:$R,AA$1,0),2)</f>
        <v>0.08</v>
      </c>
      <c r="AB70" s="3" t="str">
        <f>FIXED(VLOOKUP($A70,'Full Sample-Single Family'!$A:$R,AB$1,0),2)</f>
        <v>0.11</v>
      </c>
      <c r="AC70" s="3" t="str">
        <f>FIXED(VLOOKUP($A70,'Full Sample-Single Family'!$A:$R,AC$1,0),2)</f>
        <v>0.00</v>
      </c>
      <c r="AD70" s="3" t="str">
        <f>FIXED(VLOOKUP($A70,'Full Sample-Single Family'!$A:$R,AD$1,0),2)</f>
        <v>0.71</v>
      </c>
      <c r="AE70" s="9" t="str">
        <f>FIXED(VLOOKUP($A70,'Full Sample-Single Family'!$A:$R,AE$1,0),2)</f>
        <v>0.08</v>
      </c>
      <c r="AF70" s="3" t="str">
        <f>FIXED(VLOOKUP($A70,'Full Sample-Single Family'!$A:$R,AF$1,0),2)</f>
        <v>0.10</v>
      </c>
      <c r="AG70" s="3" t="str">
        <f>FIXED(VLOOKUP($A70,'Full Sample-Single Family'!$A:$R,AG$1,0),2)</f>
        <v>0.00</v>
      </c>
      <c r="AH70" s="13" t="str">
        <f>FIXED(VLOOKUP($A70,'Full Sample-Single Family'!$A:$R,AH$1,0),2)</f>
        <v>0.61</v>
      </c>
      <c r="AI70" s="9" t="str">
        <f>FIXED(VLOOKUP($A70,'Full Sample-Single Family'!$A:$R,AI$1,0),2)</f>
        <v>0.08</v>
      </c>
      <c r="AJ70" s="3" t="str">
        <f>FIXED(VLOOKUP($A70,'Full Sample-Single Family'!$A:$R,AJ$1,0),2)</f>
        <v>0.12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40" x14ac:dyDescent="0.25">
      <c r="A71" t="s">
        <v>46</v>
      </c>
      <c r="B71" t="s">
        <v>126</v>
      </c>
      <c r="C71" s="9" t="str">
        <f>FIXED(VLOOKUP($A71,'Full Sample-No Sub'!$A:$R,C$1,0),2)</f>
        <v>0.87</v>
      </c>
      <c r="D71" s="3" t="str">
        <f>FIXED(VLOOKUP($A71,'Full Sample-No Sub'!$A:$R,D$1,0),2)</f>
        <v>0.17</v>
      </c>
      <c r="E71" s="3" t="str">
        <f>FIXED(VLOOKUP($A71,'Full Sample-No Sub'!$A:$R,E$1,0),2)</f>
        <v>0.01</v>
      </c>
      <c r="F71" s="3" t="str">
        <f>FIXED(VLOOKUP($A71,'Full Sample-No Sub'!$A:$R,F$1,0),2)</f>
        <v>1.00</v>
      </c>
      <c r="G71" s="9" t="str">
        <f>FIXED(VLOOKUP($A71,'Full Sample-No Sub'!$A:$R,G$1,0),2)</f>
        <v>0.87</v>
      </c>
      <c r="H71" s="3" t="str">
        <f>FIXED(VLOOKUP($A71,'Full Sample-No Sub'!$A:$R,H$1,0),2)</f>
        <v>0.17</v>
      </c>
      <c r="I71" s="3" t="str">
        <f>FIXED(VLOOKUP($A71,'Full Sample-No Sub'!$A:$R,I$1,0),2)</f>
        <v>0.01</v>
      </c>
      <c r="J71" s="13" t="str">
        <f>FIXED(VLOOKUP($A71,'Full Sample-No Sub'!$A:$R,J$1,0),2)</f>
        <v>1.00</v>
      </c>
      <c r="K71" s="9" t="str">
        <f>FIXED(VLOOKUP($A71,'Full Sample-No Sub'!$A:$R,K$1,0),2)</f>
        <v>0.88</v>
      </c>
      <c r="L71" s="3" t="str">
        <f>FIXED(VLOOKUP($A71,'Full Sample-No Sub'!$A:$R,L$1,0),2)</f>
        <v>0.16</v>
      </c>
      <c r="M71" s="3" t="str">
        <f>FIXED(VLOOKUP($A71,'Full Sample-No Sub'!$A:$R,M$1,0),2)</f>
        <v>0.07</v>
      </c>
      <c r="N71" s="13" t="str">
        <f>FIXED(VLOOKUP($A71,'Full Sample-No Sub'!$A:$R,N$1,0),2)</f>
        <v>1.00</v>
      </c>
      <c r="O71" s="9" t="str">
        <f>FIXED(VLOOKUP($A71,'Full Sample-Townhouse'!$A:$R,O$1,0),2)</f>
        <v>0.82</v>
      </c>
      <c r="P71" s="3" t="str">
        <f>FIXED(VLOOKUP($A71,'Full Sample-Townhouse'!$A:$R,P$1,0),2)</f>
        <v>0.20</v>
      </c>
      <c r="Q71" s="3" t="str">
        <f>FIXED(VLOOKUP($A71,'Full Sample-Townhouse'!$A:$R,Q$1,0),2)</f>
        <v>0.07</v>
      </c>
      <c r="R71" s="3" t="str">
        <f>FIXED(VLOOKUP($A71,'Full Sample-Townhouse'!$A:$R,R$1,0),2)</f>
        <v>1.00</v>
      </c>
      <c r="S71" s="9" t="str">
        <f>FIXED(VLOOKUP($A71,'Full Sample-Townhouse'!$A:$R,S$1,0),2)</f>
        <v>0.82</v>
      </c>
      <c r="T71" s="3" t="str">
        <f>FIXED(VLOOKUP($A71,'Full Sample-Townhouse'!$A:$R,T$1,0),2)</f>
        <v>0.21</v>
      </c>
      <c r="U71" s="3" t="str">
        <f>FIXED(VLOOKUP($A71,'Full Sample-Townhouse'!$A:$R,U$1,0),2)</f>
        <v>0.07</v>
      </c>
      <c r="V71" s="13" t="str">
        <f>FIXED(VLOOKUP($A71,'Full Sample-Townhouse'!$A:$R,V$1,0),2)</f>
        <v>1.00</v>
      </c>
      <c r="W71" s="9" t="str">
        <f>FIXED(VLOOKUP($A71,'Full Sample-Townhouse'!$A:$R,W$1,0),2)</f>
        <v>0.83</v>
      </c>
      <c r="X71" s="3" t="str">
        <f>FIXED(VLOOKUP($A71,'Full Sample-Townhouse'!$A:$R,X$1,0),2)</f>
        <v>0.19</v>
      </c>
      <c r="Y71" s="3" t="str">
        <f>FIXED(VLOOKUP($A71,'Full Sample-Townhouse'!$A:$R,Y$1,0),2)</f>
        <v>0.07</v>
      </c>
      <c r="Z71" s="3" t="str">
        <f>FIXED(VLOOKUP($A71,'Full Sample-Townhouse'!$A:$R,Z$1,0),2)</f>
        <v>1.00</v>
      </c>
      <c r="AA71" s="9" t="str">
        <f>FIXED(VLOOKUP($A71,'Full Sample-Single Family'!$A:$R,AA$1,0),2)</f>
        <v>0.94</v>
      </c>
      <c r="AB71" s="3" t="str">
        <f>FIXED(VLOOKUP($A71,'Full Sample-Single Family'!$A:$R,AB$1,0),2)</f>
        <v>0.08</v>
      </c>
      <c r="AC71" s="3" t="str">
        <f>FIXED(VLOOKUP($A71,'Full Sample-Single Family'!$A:$R,AC$1,0),2)</f>
        <v>0.01</v>
      </c>
      <c r="AD71" s="3" t="str">
        <f>FIXED(VLOOKUP($A71,'Full Sample-Single Family'!$A:$R,AD$1,0),2)</f>
        <v>1.00</v>
      </c>
      <c r="AE71" s="9" t="str">
        <f>FIXED(VLOOKUP($A71,'Full Sample-Single Family'!$A:$R,AE$1,0),2)</f>
        <v>0.94</v>
      </c>
      <c r="AF71" s="3" t="str">
        <f>FIXED(VLOOKUP($A71,'Full Sample-Single Family'!$A:$R,AF$1,0),2)</f>
        <v>0.07</v>
      </c>
      <c r="AG71" s="3" t="str">
        <f>FIXED(VLOOKUP($A71,'Full Sample-Single Family'!$A:$R,AG$1,0),2)</f>
        <v>0.01</v>
      </c>
      <c r="AH71" s="13" t="str">
        <f>FIXED(VLOOKUP($A71,'Full Sample-Single Family'!$A:$R,AH$1,0),2)</f>
        <v>1.00</v>
      </c>
      <c r="AI71" s="9" t="str">
        <f>FIXED(VLOOKUP($A71,'Full Sample-Single Family'!$A:$R,AI$1,0),2)</f>
        <v>0.93</v>
      </c>
      <c r="AJ71" s="3" t="str">
        <f>FIXED(VLOOKUP($A71,'Full Sample-Single Family'!$A:$R,AJ$1,0),2)</f>
        <v>0.09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40" x14ac:dyDescent="0.25">
      <c r="A72" t="s">
        <v>47</v>
      </c>
      <c r="B72" t="s">
        <v>127</v>
      </c>
      <c r="C72" s="9" t="str">
        <f>FIXED(VLOOKUP($A72,'Full Sample-No Sub'!$A:$R,C$1,0),2)</f>
        <v>0.13</v>
      </c>
      <c r="D72" s="3" t="str">
        <f>FIXED(VLOOKUP($A72,'Full Sample-No Sub'!$A:$R,D$1,0),2)</f>
        <v>0.17</v>
      </c>
      <c r="E72" s="3" t="str">
        <f>FIXED(VLOOKUP($A72,'Full Sample-No Sub'!$A:$R,E$1,0),2)</f>
        <v>0.00</v>
      </c>
      <c r="F72" s="3" t="str">
        <f>FIXED(VLOOKUP($A72,'Full Sample-No Sub'!$A:$R,F$1,0),2)</f>
        <v>0.93</v>
      </c>
      <c r="G72" s="9" t="str">
        <f>FIXED(VLOOKUP($A72,'Full Sample-No Sub'!$A:$R,G$1,0),2)</f>
        <v>0.13</v>
      </c>
      <c r="H72" s="3" t="str">
        <f>FIXED(VLOOKUP($A72,'Full Sample-No Sub'!$A:$R,H$1,0),2)</f>
        <v>0.17</v>
      </c>
      <c r="I72" s="3" t="str">
        <f>FIXED(VLOOKUP($A72,'Full Sample-No Sub'!$A:$R,I$1,0),2)</f>
        <v>0.00</v>
      </c>
      <c r="J72" s="13" t="str">
        <f>FIXED(VLOOKUP($A72,'Full Sample-No Sub'!$A:$R,J$1,0),2)</f>
        <v>0.93</v>
      </c>
      <c r="K72" s="9" t="str">
        <f>FIXED(VLOOKUP($A72,'Full Sample-No Sub'!$A:$R,K$1,0),2)</f>
        <v>0.12</v>
      </c>
      <c r="L72" s="3" t="str">
        <f>FIXED(VLOOKUP($A72,'Full Sample-No Sub'!$A:$R,L$1,0),2)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0.93</v>
      </c>
      <c r="O72" s="9" t="str">
        <f>FIXED(VLOOKUP($A72,'Full Sample-Townhouse'!$A:$R,O$1,0),2)</f>
        <v>0.18</v>
      </c>
      <c r="P72" s="3" t="str">
        <f>FIXED(VLOOKUP($A72,'Full Sample-Townhouse'!$A:$R,P$1,0),2)</f>
        <v>0.20</v>
      </c>
      <c r="Q72" s="3" t="str">
        <f>FIXED(VLOOKUP($A72,'Full Sample-Townhouse'!$A:$R,Q$1,0),2)</f>
        <v>0.00</v>
      </c>
      <c r="R72" s="3" t="str">
        <f>FIXED(VLOOKUP($A72,'Full Sample-Townhouse'!$A:$R,R$1,0),2)</f>
        <v>0.93</v>
      </c>
      <c r="S72" s="9" t="str">
        <f>FIXED(VLOOKUP($A72,'Full Sample-Townhouse'!$A:$R,S$1,0),2)</f>
        <v>0.18</v>
      </c>
      <c r="T72" s="3" t="str">
        <f>FIXED(VLOOKUP($A72,'Full Sample-Townhouse'!$A:$R,T$1,0),2)</f>
        <v>0.21</v>
      </c>
      <c r="U72" s="3" t="str">
        <f>FIXED(VLOOKUP($A72,'Full Sample-Townhouse'!$A:$R,U$1,0),2)</f>
        <v>0.00</v>
      </c>
      <c r="V72" s="13" t="str">
        <f>FIXED(VLOOKUP($A72,'Full Sample-Townhouse'!$A:$R,V$1,0),2)</f>
        <v>0.93</v>
      </c>
      <c r="W72" s="9" t="str">
        <f>FIXED(VLOOKUP($A72,'Full Sample-Townhouse'!$A:$R,W$1,0),2)</f>
        <v>0.17</v>
      </c>
      <c r="X72" s="3" t="str">
        <f>FIXED(VLOOKUP($A72,'Full Sample-Townhouse'!$A:$R,X$1,0),2)</f>
        <v>0.19</v>
      </c>
      <c r="Y72" s="3" t="str">
        <f>FIXED(VLOOKUP($A72,'Full Sample-Townhouse'!$A:$R,Y$1,0),2)</f>
        <v>0.00</v>
      </c>
      <c r="Z72" s="3" t="str">
        <f>FIXED(VLOOKUP($A72,'Full Sample-Townhouse'!$A:$R,Z$1,0),2)</f>
        <v>0.93</v>
      </c>
      <c r="AA72" s="9" t="str">
        <f>FIXED(VLOOKUP($A72,'Full Sample-Single Family'!$A:$R,AA$1,0),2)</f>
        <v>0.06</v>
      </c>
      <c r="AB72" s="3" t="str">
        <f>FIXED(VLOOKUP($A72,'Full Sample-Single Family'!$A:$R,AB$1,0),2)</f>
        <v>0.08</v>
      </c>
      <c r="AC72" s="3" t="str">
        <f>FIXED(VLOOKUP($A72,'Full Sample-Single Family'!$A:$R,AC$1,0),2)</f>
        <v>0.00</v>
      </c>
      <c r="AD72" s="3" t="str">
        <f>FIXED(VLOOKUP($A72,'Full Sample-Single Family'!$A:$R,AD$1,0),2)</f>
        <v>0.70</v>
      </c>
      <c r="AE72" s="9" t="str">
        <f>FIXED(VLOOKUP($A72,'Full Sample-Single Family'!$A:$R,AE$1,0),2)</f>
        <v>0.06</v>
      </c>
      <c r="AF72" s="3" t="str">
        <f>FIXED(VLOOKUP($A72,'Full Sample-Single Family'!$A:$R,AF$1,0),2)</f>
        <v>0.07</v>
      </c>
      <c r="AG72" s="3" t="str">
        <f>FIXED(VLOOKUP($A72,'Full Sample-Single Family'!$A:$R,AG$1,0),2)</f>
        <v>0.00</v>
      </c>
      <c r="AH72" s="13" t="str">
        <f>FIXED(VLOOKUP($A72,'Full Sample-Single Family'!$A:$R,AH$1,0),2)</f>
        <v>0.70</v>
      </c>
      <c r="AI72" s="9" t="str">
        <f>FIXED(VLOOKUP($A72,'Full Sample-Single Family'!$A:$R,AI$1,0),2)</f>
        <v>0.06</v>
      </c>
      <c r="AJ72" s="3" t="str">
        <f>FIXED(VLOOKUP($A72,'Full Sample-Single Family'!$A:$R,AJ$1,0),2)</f>
        <v>0.08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40" x14ac:dyDescent="0.25">
      <c r="A73" t="s">
        <v>48</v>
      </c>
      <c r="B73" t="s">
        <v>128</v>
      </c>
      <c r="C73" s="9" t="str">
        <f>FIXED(VLOOKUP($A73,'Full Sample-No Sub'!$A:$R,C$1,0),2)</f>
        <v>0.64</v>
      </c>
      <c r="D73" s="3" t="str">
        <f>FIXED(VLOOKUP($A73,'Full Sample-No Sub'!$A:$R,D$1,0),2)</f>
        <v>0.21</v>
      </c>
      <c r="E73" s="3" t="str">
        <f>FIXED(VLOOKUP($A73,'Full Sample-No Sub'!$A:$R,E$1,0),2)</f>
        <v>0.00</v>
      </c>
      <c r="F73" s="3" t="str">
        <f>FIXED(VLOOKUP($A73,'Full Sample-No Sub'!$A:$R,F$1,0),2)</f>
        <v>1.00</v>
      </c>
      <c r="G73" s="9" t="str">
        <f>FIXED(VLOOKUP($A73,'Full Sample-No Sub'!$A:$R,G$1,0),2)</f>
        <v>0.63</v>
      </c>
      <c r="H73" s="3" t="str">
        <f>FIXED(VLOOKUP($A73,'Full Sample-No Sub'!$A:$R,H$1,0),2)</f>
        <v>0.21</v>
      </c>
      <c r="I73" s="3" t="str">
        <f>FIXED(VLOOKUP($A73,'Full Sample-No Sub'!$A:$R,I$1,0),2)</f>
        <v>0.00</v>
      </c>
      <c r="J73" s="13" t="str">
        <f>FIXED(VLOOKUP($A73,'Full Sample-No Sub'!$A:$R,J$1,0),2)</f>
        <v>1.00</v>
      </c>
      <c r="K73" s="9" t="str">
        <f>FIXED(VLOOKUP($A73,'Full Sample-No Sub'!$A:$R,K$1,0),2)</f>
        <v>0.66</v>
      </c>
      <c r="L73" s="3" t="str">
        <f>FIXED(VLOOKUP($A73,'Full Sample-No Sub'!$A:$R,L$1,0),2)</f>
        <v>0.21</v>
      </c>
      <c r="M73" s="3" t="str">
        <f>FIXED(VLOOKUP($A73,'Full Sample-No Sub'!$A:$R,M$1,0),2)</f>
        <v>0.00</v>
      </c>
      <c r="N73" s="13" t="str">
        <f>FIXED(VLOOKUP($A73,'Full Sample-No Sub'!$A:$R,N$1,0),2)</f>
        <v>1.00</v>
      </c>
      <c r="O73" s="9" t="str">
        <f>FIXED(VLOOKUP($A73,'Full Sample-Townhouse'!$A:$R,O$1,0),2)</f>
        <v>0.55</v>
      </c>
      <c r="P73" s="3" t="str">
        <f>FIXED(VLOOKUP($A73,'Full Sample-Townhouse'!$A:$R,P$1,0),2)</f>
        <v>0.19</v>
      </c>
      <c r="Q73" s="3" t="str">
        <f>FIXED(VLOOKUP($A73,'Full Sample-Townhouse'!$A:$R,Q$1,0),2)</f>
        <v>0.00</v>
      </c>
      <c r="R73" s="3" t="str">
        <f>FIXED(VLOOKUP($A73,'Full Sample-Townhouse'!$A:$R,R$1,0),2)</f>
        <v>1.00</v>
      </c>
      <c r="S73" s="9" t="str">
        <f>FIXED(VLOOKUP($A73,'Full Sample-Townhouse'!$A:$R,S$1,0),2)</f>
        <v>0.53</v>
      </c>
      <c r="T73" s="3" t="str">
        <f>FIXED(VLOOKUP($A73,'Full Sample-Townhouse'!$A:$R,T$1,0),2)</f>
        <v>0.19</v>
      </c>
      <c r="U73" s="3" t="str">
        <f>FIXED(VLOOKUP($A73,'Full Sample-Townhouse'!$A:$R,U$1,0),2)</f>
        <v>0.00</v>
      </c>
      <c r="V73" s="13" t="str">
        <f>FIXED(VLOOKUP($A73,'Full Sample-Townhouse'!$A:$R,V$1,0),2)</f>
        <v>1.00</v>
      </c>
      <c r="W73" s="9" t="str">
        <f>FIXED(VLOOKUP($A73,'Full Sample-Townhouse'!$A:$R,W$1,0),2)</f>
        <v>0.57</v>
      </c>
      <c r="X73" s="3" t="str">
        <f>FIXED(VLOOKUP($A73,'Full Sample-Townhouse'!$A:$R,X$1,0),2)</f>
        <v>0.20</v>
      </c>
      <c r="Y73" s="3" t="str">
        <f>FIXED(VLOOKUP($A73,'Full Sample-Townhouse'!$A:$R,Y$1,0),2)</f>
        <v>0.00</v>
      </c>
      <c r="Z73" s="3" t="str">
        <f>FIXED(VLOOKUP($A73,'Full Sample-Townhouse'!$A:$R,Z$1,0),2)</f>
        <v>1.00</v>
      </c>
      <c r="AA73" s="9" t="str">
        <f>FIXED(VLOOKUP($A73,'Full Sample-Single Family'!$A:$R,AA$1,0),2)</f>
        <v>0.75</v>
      </c>
      <c r="AB73" s="3" t="str">
        <f>FIXED(VLOOKUP($A73,'Full Sample-Single Family'!$A:$R,AB$1,0),2)</f>
        <v>0.17</v>
      </c>
      <c r="AC73" s="3" t="str">
        <f>FIXED(VLOOKUP($A73,'Full Sample-Single Family'!$A:$R,AC$1,0),2)</f>
        <v>0.00</v>
      </c>
      <c r="AD73" s="3" t="str">
        <f>FIXED(VLOOKUP($A73,'Full Sample-Single Family'!$A:$R,AD$1,0),2)</f>
        <v>1.00</v>
      </c>
      <c r="AE73" s="9" t="str">
        <f>FIXED(VLOOKUP($A73,'Full Sample-Single Family'!$A:$R,AE$1,0),2)</f>
        <v>0.74</v>
      </c>
      <c r="AF73" s="3" t="str">
        <f>FIXED(VLOOKUP($A73,'Full Sample-Single Family'!$A:$R,AF$1,0),2)</f>
        <v>0.16</v>
      </c>
      <c r="AG73" s="3" t="str">
        <f>FIXED(VLOOKUP($A73,'Full Sample-Single Family'!$A:$R,AG$1,0),2)</f>
        <v>0.00</v>
      </c>
      <c r="AH73" s="13" t="str">
        <f>FIXED(VLOOKUP($A73,'Full Sample-Single Family'!$A:$R,AH$1,0),2)</f>
        <v>1.00</v>
      </c>
      <c r="AI73" s="9" t="str">
        <f>FIXED(VLOOKUP($A73,'Full Sample-Single Family'!$A:$R,AI$1,0),2)</f>
        <v>0.76</v>
      </c>
      <c r="AJ73" s="3" t="str">
        <f>FIXED(VLOOKUP($A73,'Full Sample-Single Family'!$A:$R,AJ$1,0),2)</f>
        <v>0.17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40" x14ac:dyDescent="0.25">
      <c r="A74" t="s">
        <v>49</v>
      </c>
      <c r="B74" t="s">
        <v>129</v>
      </c>
      <c r="C74" s="9" t="str">
        <f>FIXED(VLOOKUP($A74,'Full Sample-No Sub'!$A:$R,C$1,0),2)</f>
        <v>0.36</v>
      </c>
      <c r="D74" s="3" t="str">
        <f>FIXED(VLOOKUP($A74,'Full Sample-No Sub'!$A:$R,D$1,0),2)</f>
        <v>0.21</v>
      </c>
      <c r="E74" s="3" t="str">
        <f>FIXED(VLOOKUP($A74,'Full Sample-No Sub'!$A:$R,E$1,0),2)</f>
        <v>0.00</v>
      </c>
      <c r="F74" s="3" t="str">
        <f>FIXED(VLOOKUP($A74,'Full Sample-No Sub'!$A:$R,F$1,0),2)</f>
        <v>1.00</v>
      </c>
      <c r="G74" s="9" t="str">
        <f>FIXED(VLOOKUP($A74,'Full Sample-No Sub'!$A:$R,G$1,0),2)</f>
        <v>0.37</v>
      </c>
      <c r="H74" s="3" t="str">
        <f>FIXED(VLOOKUP($A74,'Full Sample-No Sub'!$A:$R,H$1,0),2)</f>
        <v>0.21</v>
      </c>
      <c r="I74" s="3" t="str">
        <f>FIXED(VLOOKUP($A74,'Full Sample-No Sub'!$A:$R,I$1,0),2)</f>
        <v>0.00</v>
      </c>
      <c r="J74" s="13" t="str">
        <f>FIXED(VLOOKUP($A74,'Full Sample-No Sub'!$A:$R,J$1,0),2)</f>
        <v>1.00</v>
      </c>
      <c r="K74" s="9" t="str">
        <f>FIXED(VLOOKUP($A74,'Full Sample-No Sub'!$A:$R,K$1,0),2)</f>
        <v>0.34</v>
      </c>
      <c r="L74" s="3" t="str">
        <f>FIXED(VLOOKUP($A74,'Full Sample-No Sub'!$A:$R,L$1,0),2)</f>
        <v>0.21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FIXED(VLOOKUP($A74,'Full Sample-Townhouse'!$A:$R,O$1,0),2)</f>
        <v>0.45</v>
      </c>
      <c r="P74" s="3" t="str">
        <f>FIXED(VLOOKUP($A74,'Full Sample-Townhouse'!$A:$R,P$1,0),2)</f>
        <v>0.19</v>
      </c>
      <c r="Q74" s="3" t="str">
        <f>FIXED(VLOOKUP($A74,'Full Sample-Townhouse'!$A:$R,Q$1,0),2)</f>
        <v>0.00</v>
      </c>
      <c r="R74" s="3" t="str">
        <f>FIXED(VLOOKUP($A74,'Full Sample-Townhouse'!$A:$R,R$1,0),2)</f>
        <v>1.00</v>
      </c>
      <c r="S74" s="9" t="str">
        <f>FIXED(VLOOKUP($A74,'Full Sample-Townhouse'!$A:$R,S$1,0),2)</f>
        <v>0.47</v>
      </c>
      <c r="T74" s="3" t="str">
        <f>FIXED(VLOOKUP($A74,'Full Sample-Townhouse'!$A:$R,T$1,0),2)</f>
        <v>0.19</v>
      </c>
      <c r="U74" s="3" t="str">
        <f>FIXED(VLOOKUP($A74,'Full Sample-Townhouse'!$A:$R,U$1,0),2)</f>
        <v>0.00</v>
      </c>
      <c r="V74" s="13" t="str">
        <f>FIXED(VLOOKUP($A74,'Full Sample-Townhouse'!$A:$R,V$1,0),2)</f>
        <v>1.00</v>
      </c>
      <c r="W74" s="9" t="str">
        <f>FIXED(VLOOKUP($A74,'Full Sample-Townhouse'!$A:$R,W$1,0),2)</f>
        <v>0.43</v>
      </c>
      <c r="X74" s="3" t="str">
        <f>FIXED(VLOOKUP($A74,'Full Sample-Townhouse'!$A:$R,X$1,0),2)</f>
        <v>0.20</v>
      </c>
      <c r="Y74" s="3" t="str">
        <f>FIXED(VLOOKUP($A74,'Full Sample-Townhouse'!$A:$R,Y$1,0),2)</f>
        <v>0.00</v>
      </c>
      <c r="Z74" s="3" t="str">
        <f>FIXED(VLOOKUP($A74,'Full Sample-Townhouse'!$A:$R,Z$1,0),2)</f>
        <v>1.00</v>
      </c>
      <c r="AA74" s="9" t="str">
        <f>FIXED(VLOOKUP($A74,'Full Sample-Single Family'!$A:$R,AA$1,0),2)</f>
        <v>0.25</v>
      </c>
      <c r="AB74" s="3" t="str">
        <f>FIXED(VLOOKUP($A74,'Full Sample-Single Family'!$A:$R,AB$1,0),2)</f>
        <v>0.17</v>
      </c>
      <c r="AC74" s="3" t="str">
        <f>FIXED(VLOOKUP($A74,'Full Sample-Single Family'!$A:$R,AC$1,0),2)</f>
        <v>0.00</v>
      </c>
      <c r="AD74" s="3" t="str">
        <f>FIXED(VLOOKUP($A74,'Full Sample-Single Family'!$A:$R,AD$1,0),2)</f>
        <v>1.00</v>
      </c>
      <c r="AE74" s="9" t="str">
        <f>FIXED(VLOOKUP($A74,'Full Sample-Single Family'!$A:$R,AE$1,0),2)</f>
        <v>0.26</v>
      </c>
      <c r="AF74" s="3" t="str">
        <f>FIXED(VLOOKUP($A74,'Full Sample-Single Family'!$A:$R,AF$1,0),2)</f>
        <v>0.16</v>
      </c>
      <c r="AG74" s="3" t="str">
        <f>FIXED(VLOOKUP($A74,'Full Sample-Single Family'!$A:$R,AG$1,0),2)</f>
        <v>0.00</v>
      </c>
      <c r="AH74" s="13" t="str">
        <f>FIXED(VLOOKUP($A74,'Full Sample-Single Family'!$A:$R,AH$1,0),2)</f>
        <v>1.00</v>
      </c>
      <c r="AI74" s="9" t="str">
        <f>FIXED(VLOOKUP($A74,'Full Sample-Single Family'!$A:$R,AI$1,0),2)</f>
        <v>0.24</v>
      </c>
      <c r="AJ74" s="3" t="str">
        <f>FIXED(VLOOKUP($A74,'Full Sample-Single Family'!$A:$R,AJ$1,0),2)</f>
        <v>0.17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40" x14ac:dyDescent="0.25">
      <c r="C75" s="9"/>
      <c r="G75" s="9"/>
      <c r="J75" s="13"/>
      <c r="K75" s="9"/>
      <c r="N75" s="13"/>
      <c r="O75" s="9"/>
      <c r="P75" s="3"/>
      <c r="Q75" s="3"/>
      <c r="R75" s="3"/>
      <c r="S75" s="9"/>
      <c r="T75" s="3"/>
      <c r="U75" s="3"/>
      <c r="V75" s="13"/>
      <c r="W75" s="9"/>
      <c r="X75" s="3"/>
      <c r="Y75" s="3"/>
      <c r="Z75" s="3"/>
      <c r="AA75" s="9"/>
      <c r="AB75" s="3"/>
      <c r="AC75" s="3"/>
      <c r="AD75" s="3"/>
      <c r="AE75" s="9"/>
      <c r="AF75" s="3"/>
      <c r="AG75" s="3"/>
      <c r="AH75" s="13"/>
      <c r="AI75" s="9"/>
      <c r="AJ75" s="3"/>
      <c r="AK75" s="3"/>
      <c r="AL75" s="3"/>
    </row>
    <row r="76" spans="1:40" x14ac:dyDescent="0.25">
      <c r="A76" t="s">
        <v>186</v>
      </c>
      <c r="B76" t="s">
        <v>187</v>
      </c>
      <c r="C76" s="28">
        <f>'Full Sample-No Sub'!B3</f>
        <v>50356</v>
      </c>
      <c r="D76" s="29"/>
      <c r="E76" s="29"/>
      <c r="F76" s="29"/>
      <c r="G76" s="28">
        <f>'Full Sample-No Sub'!H3</f>
        <v>29028</v>
      </c>
      <c r="H76" s="29"/>
      <c r="I76" s="29"/>
      <c r="J76" s="30"/>
      <c r="K76" s="28">
        <f>'Full Sample-No Sub'!N3</f>
        <v>21328</v>
      </c>
      <c r="L76" s="29"/>
      <c r="M76" s="29"/>
      <c r="N76" s="30"/>
      <c r="O76" s="28">
        <f>'Full Sample-Townhouse'!B3</f>
        <v>27394</v>
      </c>
      <c r="P76" s="29"/>
      <c r="Q76" s="29"/>
      <c r="R76" s="29"/>
      <c r="S76" s="28">
        <f>'Full Sample-Townhouse'!H3</f>
        <v>15766</v>
      </c>
      <c r="T76" s="29"/>
      <c r="U76" s="29"/>
      <c r="V76" s="30"/>
      <c r="W76" s="28">
        <f>'Full Sample-Townhouse'!N3</f>
        <v>11628</v>
      </c>
      <c r="X76" s="29"/>
      <c r="Y76" s="29"/>
      <c r="Z76" s="29"/>
      <c r="AA76" s="28">
        <f>'Full Sample-Single Family'!B3</f>
        <v>22962</v>
      </c>
      <c r="AB76" s="29"/>
      <c r="AC76" s="29"/>
      <c r="AD76" s="29"/>
      <c r="AE76" s="28">
        <f>'Full Sample-Single Family'!H3</f>
        <v>13262</v>
      </c>
      <c r="AF76" s="29"/>
      <c r="AG76" s="29"/>
      <c r="AH76" s="30"/>
      <c r="AI76" s="28">
        <f>'Full Sample-Single Family'!N3</f>
        <v>9700</v>
      </c>
      <c r="AJ76" s="29"/>
      <c r="AK76" s="29"/>
      <c r="AL76" s="29"/>
    </row>
    <row r="77" spans="1:40" x14ac:dyDescent="0.25"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40" x14ac:dyDescent="0.25">
      <c r="K78" s="27"/>
      <c r="O78" s="3"/>
      <c r="P78" s="3"/>
      <c r="Q78" s="3"/>
      <c r="R78" s="3"/>
      <c r="S78" s="3"/>
      <c r="T78" s="3"/>
      <c r="U78" s="3"/>
      <c r="V78" s="3"/>
      <c r="W78" s="3"/>
      <c r="X78" s="27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27"/>
      <c r="AK78" s="3"/>
      <c r="AL78" s="3"/>
      <c r="AN78" s="1"/>
    </row>
    <row r="79" spans="1:40" x14ac:dyDescent="0.25"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40" x14ac:dyDescent="0.25">
      <c r="A80" t="s">
        <v>17</v>
      </c>
      <c r="B80" t="s">
        <v>101</v>
      </c>
      <c r="C80" s="3" t="str">
        <f>FIXED(VLOOKUP($A80,'Full Sample-No Sub'!$A:$R,C$1,0),2)</f>
        <v>164.86</v>
      </c>
      <c r="D80" s="3" t="str">
        <f>FIXED(VLOOKUP($A80,'Full Sample-No Sub'!$A:$R,D$1,0),2)</f>
        <v>229.84</v>
      </c>
      <c r="E80" s="3" t="str">
        <f>FIXED(VLOOKUP($A80,'Full Sample-No Sub'!$A:$R,E$1,0),2)</f>
        <v>0.00</v>
      </c>
      <c r="F80" s="3" t="str">
        <f>FIXED(VLOOKUP($A80,'Full Sample-No Sub'!$A:$R,F$1,0),2)</f>
        <v>5,000.00</v>
      </c>
      <c r="G80" s="3" t="str">
        <f>FIXED(VLOOKUP($A80,'Full Sample-No Sub'!$A:$R,G$1,0),2)</f>
        <v>162.65</v>
      </c>
      <c r="H80" s="3" t="str">
        <f>FIXED(VLOOKUP($A80,'Full Sample-No Sub'!$A:$R,H$1,0),2)</f>
        <v>229.69</v>
      </c>
      <c r="I80" s="3" t="str">
        <f>FIXED(VLOOKUP($A80,'Full Sample-No Sub'!$A:$R,I$1,0),2)</f>
        <v>0.00</v>
      </c>
      <c r="J80" s="3" t="str">
        <f>FIXED(VLOOKUP($A80,'Full Sample-No Sub'!$A:$R,J$1,0),2)</f>
        <v>5,000.00</v>
      </c>
      <c r="K80" s="3" t="str">
        <f>FIXED(VLOOKUP($A80,'Full Sample-No Sub'!$A:$R,K$1,0),2)</f>
        <v>167.88</v>
      </c>
      <c r="L80" s="3" t="str">
        <f>FIXED(VLOOKUP($A80,'Full Sample-No Sub'!$A:$R,L$1,0),2)</f>
        <v>230.02</v>
      </c>
      <c r="M80" s="3" t="str">
        <f>FIXED(VLOOKUP($A80,'Full Sample-No Sub'!$A:$R,M$1,0),2)</f>
        <v>0.00</v>
      </c>
      <c r="N80" s="3" t="str">
        <f>FIXED(VLOOKUP($A80,'Full Sample-No Sub'!$A:$R,N$1,0),2)</f>
        <v>3,200.00</v>
      </c>
      <c r="O80" s="3" t="str">
        <f>FIXED(VLOOKUP($A80,'Full Sample-Townhouse'!$A:$R,O$1,0),2)</f>
        <v>26.55</v>
      </c>
      <c r="P80" s="3" t="str">
        <f>FIXED(VLOOKUP($A80,'Full Sample-Townhouse'!$A:$R,P$1,0),2)</f>
        <v>96.92</v>
      </c>
      <c r="Q80" s="3" t="str">
        <f>FIXED(VLOOKUP($A80,'Full Sample-Townhouse'!$A:$R,Q$1,0),2)</f>
        <v>0.00</v>
      </c>
      <c r="R80" s="3" t="str">
        <f>FIXED(VLOOKUP($A80,'Full Sample-Townhouse'!$A:$R,R$1,0),2)</f>
        <v>1,380.00</v>
      </c>
      <c r="S80" s="3" t="str">
        <f>FIXED(VLOOKUP($A80,'Full Sample-Townhouse'!$A:$R,S$1,0),2)</f>
        <v>22.54</v>
      </c>
      <c r="T80" s="3" t="str">
        <f>FIXED(VLOOKUP($A80,'Full Sample-Townhouse'!$A:$R,T$1,0),2)</f>
        <v>89.25</v>
      </c>
      <c r="U80" s="3" t="str">
        <f>FIXED(VLOOKUP($A80,'Full Sample-Townhouse'!$A:$R,U$1,0),2)</f>
        <v>0.00</v>
      </c>
      <c r="V80" s="3" t="str">
        <f>FIXED(VLOOKUP($A80,'Full Sample-Townhouse'!$A:$R,V$1,0),2)</f>
        <v>942.00</v>
      </c>
      <c r="W80" s="3" t="str">
        <f>FIXED(VLOOKUP($A80,'Full Sample-Townhouse'!$A:$R,W$1,0),2)</f>
        <v>31.99</v>
      </c>
      <c r="X80" s="3" t="str">
        <f>FIXED(VLOOKUP($A80,'Full Sample-Townhouse'!$A:$R,X$1,0),2)</f>
        <v>106.21</v>
      </c>
      <c r="Y80" s="3" t="str">
        <f>FIXED(VLOOKUP($A80,'Full Sample-Townhouse'!$A:$R,Y$1,0),2)</f>
        <v>0.00</v>
      </c>
      <c r="Z80" s="3" t="str">
        <f>FIXED(VLOOKUP($A80,'Full Sample-Townhouse'!$A:$R,Z$1,0),2)</f>
        <v>1,380.00</v>
      </c>
      <c r="AA80" s="3" t="str">
        <f>FIXED(VLOOKUP($A80,'Full Sample-Single Family'!$A:$R,AA$1,0),2)</f>
        <v>329.87</v>
      </c>
      <c r="AB80" s="3" t="str">
        <f>FIXED(VLOOKUP($A80,'Full Sample-Single Family'!$A:$R,AB$1,0),2)</f>
        <v>233.66</v>
      </c>
      <c r="AC80" s="3" t="str">
        <f>FIXED(VLOOKUP($A80,'Full Sample-Single Family'!$A:$R,AC$1,0),2)</f>
        <v>0.00</v>
      </c>
      <c r="AD80" s="3" t="str">
        <f>FIXED(VLOOKUP($A80,'Full Sample-Single Family'!$A:$R,AD$1,0),2)</f>
        <v>5,000.00</v>
      </c>
      <c r="AE80" s="3" t="str">
        <f>FIXED(VLOOKUP($A80,'Full Sample-Single Family'!$A:$R,AE$1,0),2)</f>
        <v>329.21</v>
      </c>
      <c r="AF80" s="3" t="str">
        <f>FIXED(VLOOKUP($A80,'Full Sample-Single Family'!$A:$R,AF$1,0),2)</f>
        <v>234.37</v>
      </c>
      <c r="AG80" s="3" t="str">
        <f>FIXED(VLOOKUP($A80,'Full Sample-Single Family'!$A:$R,AG$1,0),2)</f>
        <v>0.00</v>
      </c>
      <c r="AH80" s="3" t="str">
        <f>FIXED(VLOOKUP($A80,'Full Sample-Single Family'!$A:$R,AH$1,0),2)</f>
        <v>5,000.00</v>
      </c>
      <c r="AI80" s="3" t="str">
        <f>FIXED(VLOOKUP($A80,'Full Sample-Single Family'!$A:$R,AI$1,0),2)</f>
        <v>330.77</v>
      </c>
      <c r="AJ80" s="3" t="str">
        <f>FIXED(VLOOKUP($A80,'Full Sample-Single Family'!$A:$R,AJ$1,0),2)</f>
        <v>232.69</v>
      </c>
      <c r="AK80" s="3" t="e" vm="1">
        <f>FIXED(VLOOKUP($A80,'Full Sample-Townhouse'!$A:$R,AK$1,0),2)</f>
        <v>#VALUE!</v>
      </c>
      <c r="AL80" s="3" t="e" vm="1">
        <f>FIXED(VLOOKUP($A80,'Full Sample-Townhouse'!$A:$R,AL$1,0),2)</f>
        <v>#VALUE!</v>
      </c>
    </row>
    <row r="81" spans="1:40" x14ac:dyDescent="0.25">
      <c r="A81" t="s">
        <v>32</v>
      </c>
      <c r="B81" s="4" t="s">
        <v>116</v>
      </c>
      <c r="C81" s="3" t="str">
        <f>FIXED(VLOOKUP($A81,'Full Sample-No Sub'!$A:$R,C$1,0),2)</f>
        <v>0.46</v>
      </c>
      <c r="D81" s="3" t="str">
        <f>FIXED(VLOOKUP($A81,'Full Sample-No Sub'!$A:$R,D$1,0),2)</f>
        <v>0.50</v>
      </c>
      <c r="E81" s="3" t="str">
        <f>FIXED(VLOOKUP($A81,'Full Sample-No Sub'!$A:$R,E$1,0),2)</f>
        <v>0.00</v>
      </c>
      <c r="F81" s="3" t="str">
        <f>FIXED(VLOOKUP($A81,'Full Sample-No Sub'!$A:$R,F$1,0),2)</f>
        <v>1.00</v>
      </c>
      <c r="G81" s="3" t="str">
        <f>FIXED(VLOOKUP($A81,'Full Sample-No Sub'!$A:$R,G$1,0),2)</f>
        <v>0.46</v>
      </c>
      <c r="H81" s="3" t="str">
        <f>FIXED(VLOOKUP($A81,'Full Sample-No Sub'!$A:$R,H$1,0),2)</f>
        <v>0.50</v>
      </c>
      <c r="I81" s="3" t="str">
        <f>FIXED(VLOOKUP($A81,'Full Sample-No Sub'!$A:$R,I$1,0),2)</f>
        <v>0.00</v>
      </c>
      <c r="J81" s="3" t="str">
        <f>FIXED(VLOOKUP($A81,'Full Sample-No Sub'!$A:$R,J$1,0),2)</f>
        <v>1.00</v>
      </c>
      <c r="K81" s="3" t="str">
        <f>FIXED(VLOOKUP($A81,'Full Sample-No Sub'!$A:$R,K$1,0),2)</f>
        <v>0.46</v>
      </c>
      <c r="L81" s="3" t="str">
        <f>FIXED(VLOOKUP($A81,'Full Sample-No Sub'!$A:$R,L$1,0),2)</f>
        <v>0.50</v>
      </c>
      <c r="M81" s="3" t="str">
        <f>FIXED(VLOOKUP($A81,'Full Sample-No Sub'!$A:$R,M$1,0),2)</f>
        <v>0.00</v>
      </c>
      <c r="N81" s="3" t="str">
        <f>FIXED(VLOOKUP($A81,'Full Sample-No Sub'!$A:$R,N$1,0),2)</f>
        <v>1.00</v>
      </c>
      <c r="O81" s="3" t="str">
        <f>FIXED(VLOOKUP($A81,'Full Sample-Townhouse'!$A:$R,O$1,0),2)</f>
        <v>0.00</v>
      </c>
      <c r="P81" s="3" t="str">
        <f>FIXED(VLOOKUP($A81,'Full Sample-Townhouse'!$A:$R,P$1,0),2)</f>
        <v>0.04</v>
      </c>
      <c r="Q81" s="3" t="str">
        <f>FIXED(VLOOKUP($A81,'Full Sample-Townhouse'!$A:$R,Q$1,0),2)</f>
        <v>0.00</v>
      </c>
      <c r="R81" s="3" t="str">
        <f>FIXED(VLOOKUP($A81,'Full Sample-Townhouse'!$A:$R,R$1,0),2)</f>
        <v>1.00</v>
      </c>
      <c r="S81" s="3" t="str">
        <f>FIXED(VLOOKUP($A81,'Full Sample-Townhouse'!$A:$R,S$1,0),2)</f>
        <v>0.00</v>
      </c>
      <c r="T81" s="3" t="str">
        <f>FIXED(VLOOKUP($A81,'Full Sample-Townhouse'!$A:$R,T$1,0),2)</f>
        <v>0.04</v>
      </c>
      <c r="U81" s="3" t="str">
        <f>FIXED(VLOOKUP($A81,'Full Sample-Townhouse'!$A:$R,U$1,0),2)</f>
        <v>0.00</v>
      </c>
      <c r="V81" s="3" t="str">
        <f>FIXED(VLOOKUP($A81,'Full Sample-Townhouse'!$A:$R,V$1,0),2)</f>
        <v>1.00</v>
      </c>
      <c r="W81" s="3" t="str">
        <f>FIXED(VLOOKUP($A81,'Full Sample-Townhouse'!$A:$R,W$1,0),2)</f>
        <v>0.00</v>
      </c>
      <c r="X81" s="3" t="str">
        <f>FIXED(VLOOKUP($A81,'Full Sample-Townhouse'!$A:$R,X$1,0),2)</f>
        <v>0.04</v>
      </c>
      <c r="Y81" s="3" t="str">
        <f>FIXED(VLOOKUP($A81,'Full Sample-Townhouse'!$A:$R,Y$1,0),2)</f>
        <v>0.00</v>
      </c>
      <c r="Z81" s="3" t="str">
        <f>FIXED(VLOOKUP($A81,'Full Sample-Townhouse'!$A:$R,Z$1,0),2)</f>
        <v>1.00</v>
      </c>
      <c r="AA81" s="3" t="str">
        <f>FIXED(VLOOKUP($A81,'Full Sample-Single Family'!$A:$R,AA$1,0),2)</f>
        <v>1.00</v>
      </c>
      <c r="AB81" s="3" t="str">
        <f>FIXED(VLOOKUP($A81,'Full Sample-Single Family'!$A:$R,AB$1,0),2)</f>
        <v>0.02</v>
      </c>
      <c r="AC81" s="3" t="str">
        <f>FIXED(VLOOKUP($A81,'Full Sample-Single Family'!$A:$R,AC$1,0),2)</f>
        <v>0.00</v>
      </c>
      <c r="AD81" s="3" t="str">
        <f>FIXED(VLOOKUP($A81,'Full Sample-Single Family'!$A:$R,AD$1,0),2)</f>
        <v>1.00</v>
      </c>
      <c r="AE81" s="3" t="str">
        <f>FIXED(VLOOKUP($A81,'Full Sample-Single Family'!$A:$R,AE$1,0),2)</f>
        <v>1.00</v>
      </c>
      <c r="AF81" s="3" t="str">
        <f>FIXED(VLOOKUP($A81,'Full Sample-Single Family'!$A:$R,AF$1,0),2)</f>
        <v>0.02</v>
      </c>
      <c r="AG81" s="3" t="str">
        <f>FIXED(VLOOKUP($A81,'Full Sample-Single Family'!$A:$R,AG$1,0),2)</f>
        <v>0.00</v>
      </c>
      <c r="AH81" s="3" t="str">
        <f>FIXED(VLOOKUP($A81,'Full Sample-Single Family'!$A:$R,AH$1,0),2)</f>
        <v>1.00</v>
      </c>
      <c r="AI81" s="3" t="str">
        <f>FIXED(VLOOKUP($A81,'Full Sample-Single Family'!$A:$R,AI$1,0),2)</f>
        <v>1.00</v>
      </c>
      <c r="AJ81" s="3" t="str">
        <f>FIXED(VLOOKUP($A81,'Full Sample-Single Family'!$A:$R,AJ$1,0),2)</f>
        <v>0.01</v>
      </c>
      <c r="AK81" s="3" t="e" vm="1">
        <f>FIXED(VLOOKUP($A81,'Full Sample-Townhouse'!$A:$R,AK$1,0),2)</f>
        <v>#VALUE!</v>
      </c>
      <c r="AL81" s="3" t="e" vm="1">
        <f>FIXED(VLOOKUP($A81,'Full Sample-Townhouse'!$A:$R,AL$1,0),2)</f>
        <v>#VALUE!</v>
      </c>
    </row>
    <row r="82" spans="1:40" x14ac:dyDescent="0.25">
      <c r="A82" t="s">
        <v>35</v>
      </c>
      <c r="B82" t="s">
        <v>119</v>
      </c>
      <c r="C82" s="3" t="str">
        <f>FIXED(VLOOKUP($A82,'Full Sample-No Sub'!$A:$R,C$1,0),2)</f>
        <v>3.04</v>
      </c>
      <c r="D82" s="3" t="str">
        <f>FIXED(VLOOKUP($A82,'Full Sample-No Sub'!$A:$R,D$1,0),2)</f>
        <v>9.19</v>
      </c>
      <c r="E82" s="3" t="str">
        <f>FIXED(VLOOKUP($A82,'Full Sample-No Sub'!$A:$R,E$1,0),2)</f>
        <v>0.00</v>
      </c>
      <c r="F82" s="3" t="str">
        <f>FIXED(VLOOKUP($A82,'Full Sample-No Sub'!$A:$R,F$1,0),2)</f>
        <v>94.00</v>
      </c>
      <c r="G82" s="3" t="str">
        <f>FIXED(VLOOKUP($A82,'Full Sample-No Sub'!$A:$R,G$1,0),2)</f>
        <v>2.82</v>
      </c>
      <c r="H82" s="3" t="str">
        <f>FIXED(VLOOKUP($A82,'Full Sample-No Sub'!$A:$R,H$1,0),2)</f>
        <v>8.78</v>
      </c>
      <c r="I82" s="3" t="str">
        <f>FIXED(VLOOKUP($A82,'Full Sample-No Sub'!$A:$R,I$1,0),2)</f>
        <v>0.00</v>
      </c>
      <c r="J82" s="3" t="str">
        <f>FIXED(VLOOKUP($A82,'Full Sample-No Sub'!$A:$R,J$1,0),2)</f>
        <v>88.00</v>
      </c>
      <c r="K82" s="3" t="str">
        <f>FIXED(VLOOKUP($A82,'Full Sample-No Sub'!$A:$R,K$1,0),2)</f>
        <v>3.34</v>
      </c>
      <c r="L82" s="3" t="str">
        <f>FIXED(VLOOKUP($A82,'Full Sample-No Sub'!$A:$R,L$1,0),2)</f>
        <v>9.70</v>
      </c>
      <c r="M82" s="3" t="str">
        <f>FIXED(VLOOKUP($A82,'Full Sample-No Sub'!$A:$R,M$1,0),2)</f>
        <v>0.00</v>
      </c>
      <c r="N82" s="3" t="str">
        <f>FIXED(VLOOKUP($A82,'Full Sample-No Sub'!$A:$R,N$1,0),2)</f>
        <v>94.00</v>
      </c>
      <c r="O82" s="3" t="str">
        <f>FIXED(VLOOKUP($A82,'Full Sample-Townhouse'!$A:$R,O$1,0),2)</f>
        <v>1.44</v>
      </c>
      <c r="P82" s="3" t="str">
        <f>FIXED(VLOOKUP($A82,'Full Sample-Townhouse'!$A:$R,P$1,0),2)</f>
        <v>4.04</v>
      </c>
      <c r="Q82" s="3" t="str">
        <f>FIXED(VLOOKUP($A82,'Full Sample-Townhouse'!$A:$R,Q$1,0),2)</f>
        <v>0.00</v>
      </c>
      <c r="R82" s="3" t="str">
        <f>FIXED(VLOOKUP($A82,'Full Sample-Townhouse'!$A:$R,R$1,0),2)</f>
        <v>57.00</v>
      </c>
      <c r="S82" s="3" t="str">
        <f>FIXED(VLOOKUP($A82,'Full Sample-Townhouse'!$A:$R,S$1,0),2)</f>
        <v>1.37</v>
      </c>
      <c r="T82" s="3" t="str">
        <f>FIXED(VLOOKUP($A82,'Full Sample-Townhouse'!$A:$R,T$1,0),2)</f>
        <v>3.87</v>
      </c>
      <c r="U82" s="3" t="str">
        <f>FIXED(VLOOKUP($A82,'Full Sample-Townhouse'!$A:$R,U$1,0),2)</f>
        <v>0.00</v>
      </c>
      <c r="V82" s="3" t="str">
        <f>FIXED(VLOOKUP($A82,'Full Sample-Townhouse'!$A:$R,V$1,0),2)</f>
        <v>57.00</v>
      </c>
      <c r="W82" s="3" t="str">
        <f>FIXED(VLOOKUP($A82,'Full Sample-Townhouse'!$A:$R,W$1,0),2)</f>
        <v>1.54</v>
      </c>
      <c r="X82" s="3" t="str">
        <f>FIXED(VLOOKUP($A82,'Full Sample-Townhouse'!$A:$R,X$1,0),2)</f>
        <v>4.25</v>
      </c>
      <c r="Y82" s="3" t="str">
        <f>FIXED(VLOOKUP($A82,'Full Sample-Townhouse'!$A:$R,Y$1,0),2)</f>
        <v>0.00</v>
      </c>
      <c r="Z82" s="3" t="str">
        <f>FIXED(VLOOKUP($A82,'Full Sample-Townhouse'!$A:$R,Z$1,0),2)</f>
        <v>45.00</v>
      </c>
      <c r="AA82" s="3" t="str">
        <f>FIXED(VLOOKUP($A82,'Full Sample-Single Family'!$A:$R,AA$1,0),2)</f>
        <v>4.94</v>
      </c>
      <c r="AB82" s="3" t="str">
        <f>FIXED(VLOOKUP($A82,'Full Sample-Single Family'!$A:$R,AB$1,0),2)</f>
        <v>12.61</v>
      </c>
      <c r="AC82" s="3" t="str">
        <f>FIXED(VLOOKUP($A82,'Full Sample-Single Family'!$A:$R,AC$1,0),2)</f>
        <v>0.00</v>
      </c>
      <c r="AD82" s="3" t="str">
        <f>FIXED(VLOOKUP($A82,'Full Sample-Single Family'!$A:$R,AD$1,0),2)</f>
        <v>94.00</v>
      </c>
      <c r="AE82" s="3" t="str">
        <f>FIXED(VLOOKUP($A82,'Full Sample-Single Family'!$A:$R,AE$1,0),2)</f>
        <v>4.54</v>
      </c>
      <c r="AF82" s="3" t="str">
        <f>FIXED(VLOOKUP($A82,'Full Sample-Single Family'!$A:$R,AF$1,0),2)</f>
        <v>12.06</v>
      </c>
      <c r="AG82" s="3" t="str">
        <f>FIXED(VLOOKUP($A82,'Full Sample-Single Family'!$A:$R,AG$1,0),2)</f>
        <v>0.00</v>
      </c>
      <c r="AH82" s="3" t="str">
        <f>FIXED(VLOOKUP($A82,'Full Sample-Single Family'!$A:$R,AH$1,0),2)</f>
        <v>88.00</v>
      </c>
      <c r="AI82" s="3" t="str">
        <f>FIXED(VLOOKUP($A82,'Full Sample-Single Family'!$A:$R,AI$1,0),2)</f>
        <v>5.49</v>
      </c>
      <c r="AJ82" s="3" t="str">
        <f>FIXED(VLOOKUP($A82,'Full Sample-Single Family'!$A:$R,AJ$1,0),2)</f>
        <v>13.30</v>
      </c>
      <c r="AK82" s="3" t="e" vm="1">
        <f>FIXED(VLOOKUP($A82,'Full Sample-Townhouse'!$A:$R,AK$1,0),2)</f>
        <v>#VALUE!</v>
      </c>
      <c r="AL82" s="3" t="e" vm="1">
        <f>FIXED(VLOOKUP($A82,'Full Sample-Townhouse'!$A:$R,AL$1,0),2)</f>
        <v>#VALUE!</v>
      </c>
    </row>
    <row r="83" spans="1:40" x14ac:dyDescent="0.25">
      <c r="A83" t="s">
        <v>37</v>
      </c>
      <c r="B83" t="s">
        <v>137</v>
      </c>
      <c r="C83" s="3" t="str">
        <f>FIXED(VLOOKUP($A83,'Full Sample-No Sub'!$A:$R,C$1,0),2)</f>
        <v>3.14</v>
      </c>
      <c r="D83" s="3" t="str">
        <f>FIXED(VLOOKUP($A83,'Full Sample-No Sub'!$A:$R,D$1,0),2)</f>
        <v>5.99</v>
      </c>
      <c r="E83" s="3" t="str">
        <f>FIXED(VLOOKUP($A83,'Full Sample-No Sub'!$A:$R,E$1,0),2)</f>
        <v>0.01</v>
      </c>
      <c r="F83" s="3" t="str">
        <f>FIXED(VLOOKUP($A83,'Full Sample-No Sub'!$A:$R,F$1,0),2)</f>
        <v>128.92</v>
      </c>
      <c r="G83" s="3" t="str">
        <f>FIXED(VLOOKUP($A83,'Full Sample-No Sub'!$A:$R,G$1,0),2)</f>
        <v>3.14</v>
      </c>
      <c r="H83" s="3" t="str">
        <f>FIXED(VLOOKUP($A83,'Full Sample-No Sub'!$A:$R,H$1,0),2)</f>
        <v>5.92</v>
      </c>
      <c r="I83" s="3" t="str">
        <f>FIXED(VLOOKUP($A83,'Full Sample-No Sub'!$A:$R,I$1,0),2)</f>
        <v>0.01</v>
      </c>
      <c r="J83" s="3" t="str">
        <f>FIXED(VLOOKUP($A83,'Full Sample-No Sub'!$A:$R,J$1,0),2)</f>
        <v>128.92</v>
      </c>
      <c r="K83" s="3" t="str">
        <f>FIXED(VLOOKUP($A83,'Full Sample-No Sub'!$A:$R,K$1,0),2)</f>
        <v>3.14</v>
      </c>
      <c r="L83" s="3" t="str">
        <f>FIXED(VLOOKUP($A83,'Full Sample-No Sub'!$A:$R,L$1,0),2)</f>
        <v>6.07</v>
      </c>
      <c r="M83" s="3" t="str">
        <f>FIXED(VLOOKUP($A83,'Full Sample-No Sub'!$A:$R,M$1,0),2)</f>
        <v>0.01</v>
      </c>
      <c r="N83" s="3" t="str">
        <f>FIXED(VLOOKUP($A83,'Full Sample-No Sub'!$A:$R,N$1,0),2)</f>
        <v>111.97</v>
      </c>
      <c r="O83" s="3" t="str">
        <f>FIXED(VLOOKUP($A83,'Full Sample-Townhouse'!$A:$R,O$1,0),2)</f>
        <v>4.97</v>
      </c>
      <c r="P83" s="3" t="str">
        <f>FIXED(VLOOKUP($A83,'Full Sample-Townhouse'!$A:$R,P$1,0),2)</f>
        <v>6.91</v>
      </c>
      <c r="Q83" s="3" t="str">
        <f>FIXED(VLOOKUP($A83,'Full Sample-Townhouse'!$A:$R,Q$1,0),2)</f>
        <v>0.01</v>
      </c>
      <c r="R83" s="3" t="str">
        <f>FIXED(VLOOKUP($A83,'Full Sample-Townhouse'!$A:$R,R$1,0),2)</f>
        <v>111.97</v>
      </c>
      <c r="S83" s="3" t="str">
        <f>FIXED(VLOOKUP($A83,'Full Sample-Townhouse'!$A:$R,S$1,0),2)</f>
        <v>4.95</v>
      </c>
      <c r="T83" s="3" t="str">
        <f>FIXED(VLOOKUP($A83,'Full Sample-Townhouse'!$A:$R,T$1,0),2)</f>
        <v>6.86</v>
      </c>
      <c r="U83" s="3" t="str">
        <f>FIXED(VLOOKUP($A83,'Full Sample-Townhouse'!$A:$R,U$1,0),2)</f>
        <v>0.01</v>
      </c>
      <c r="V83" s="3" t="str">
        <f>FIXED(VLOOKUP($A83,'Full Sample-Townhouse'!$A:$R,V$1,0),2)</f>
        <v>52.78</v>
      </c>
      <c r="W83" s="3" t="str">
        <f>FIXED(VLOOKUP($A83,'Full Sample-Townhouse'!$A:$R,W$1,0),2)</f>
        <v>4.99</v>
      </c>
      <c r="X83" s="3" t="str">
        <f>FIXED(VLOOKUP($A83,'Full Sample-Townhouse'!$A:$R,X$1,0),2)</f>
        <v>6.99</v>
      </c>
      <c r="Y83" s="3" t="str">
        <f>FIXED(VLOOKUP($A83,'Full Sample-Townhouse'!$A:$R,Y$1,0),2)</f>
        <v>0.01</v>
      </c>
      <c r="Z83" s="3" t="str">
        <f>FIXED(VLOOKUP($A83,'Full Sample-Townhouse'!$A:$R,Z$1,0),2)</f>
        <v>111.97</v>
      </c>
      <c r="AA83" s="3" t="str">
        <f>FIXED(VLOOKUP($A83,'Full Sample-Single Family'!$A:$R,AA$1,0),2)</f>
        <v>0.95</v>
      </c>
      <c r="AB83" s="3" t="str">
        <f>FIXED(VLOOKUP($A83,'Full Sample-Single Family'!$A:$R,AB$1,0),2)</f>
        <v>3.57</v>
      </c>
      <c r="AC83" s="3" t="str">
        <f>FIXED(VLOOKUP($A83,'Full Sample-Single Family'!$A:$R,AC$1,0),2)</f>
        <v>0.02</v>
      </c>
      <c r="AD83" s="3" t="str">
        <f>FIXED(VLOOKUP($A83,'Full Sample-Single Family'!$A:$R,AD$1,0),2)</f>
        <v>128.92</v>
      </c>
      <c r="AE83" s="3" t="str">
        <f>FIXED(VLOOKUP($A83,'Full Sample-Single Family'!$A:$R,AE$1,0),2)</f>
        <v>0.97</v>
      </c>
      <c r="AF83" s="3" t="str">
        <f>FIXED(VLOOKUP($A83,'Full Sample-Single Family'!$A:$R,AF$1,0),2)</f>
        <v>3.51</v>
      </c>
      <c r="AG83" s="3" t="str">
        <f>FIXED(VLOOKUP($A83,'Full Sample-Single Family'!$A:$R,AG$1,0),2)</f>
        <v>0.02</v>
      </c>
      <c r="AH83" s="3" t="str">
        <f>FIXED(VLOOKUP($A83,'Full Sample-Single Family'!$A:$R,AH$1,0),2)</f>
        <v>128.92</v>
      </c>
      <c r="AI83" s="3" t="str">
        <f>FIXED(VLOOKUP($A83,'Full Sample-Single Family'!$A:$R,AI$1,0),2)</f>
        <v>0.92</v>
      </c>
      <c r="AJ83" s="3" t="str">
        <f>FIXED(VLOOKUP($A83,'Full Sample-Single Family'!$A:$R,AJ$1,0),2)</f>
        <v>3.66</v>
      </c>
      <c r="AK83" s="3" t="e" vm="1">
        <f>FIXED(VLOOKUP($A83,'Full Sample-Townhouse'!$A:$R,AK$1,0),2)</f>
        <v>#VALUE!</v>
      </c>
      <c r="AL83" s="3" t="e" vm="1">
        <f>FIXED(VLOOKUP($A83,'Full Sample-Townhouse'!$A:$R,AL$1,0),2)</f>
        <v>#VALUE!</v>
      </c>
    </row>
    <row r="84" spans="1:40" x14ac:dyDescent="0.25">
      <c r="A84" t="s">
        <v>36</v>
      </c>
      <c r="B84" t="s">
        <v>120</v>
      </c>
      <c r="C84" s="3" t="str">
        <f>FIXED(VLOOKUP($A84,'Full Sample-No Sub'!$A:$R,C$1,0),2)</f>
        <v>301.75</v>
      </c>
      <c r="D84" s="3" t="str">
        <f>FIXED(VLOOKUP($A84,'Full Sample-No Sub'!$A:$R,D$1,0),2)</f>
        <v>558.99</v>
      </c>
      <c r="E84" s="3" t="str">
        <f>FIXED(VLOOKUP($A84,'Full Sample-No Sub'!$A:$R,E$1,0),2)</f>
        <v>0.00</v>
      </c>
      <c r="F84" s="3" t="str">
        <f>FIXED(VLOOKUP($A84,'Full Sample-No Sub'!$A:$R,F$1,0),2)</f>
        <v>4,021.00</v>
      </c>
      <c r="G84" s="3" t="str">
        <f>FIXED(VLOOKUP($A84,'Full Sample-No Sub'!$A:$R,G$1,0),2)</f>
        <v>0.00</v>
      </c>
      <c r="H84" s="3" t="str">
        <f>FIXED(VLOOKUP($A84,'Full Sample-No Sub'!$A:$R,H$1,0),2)</f>
        <v>0.00</v>
      </c>
      <c r="I84" s="3" t="str">
        <f>FIXED(VLOOKUP($A84,'Full Sample-No Sub'!$A:$R,I$1,0),2)</f>
        <v>0.00</v>
      </c>
      <c r="J84" s="3" t="str">
        <f>FIXED(VLOOKUP($A84,'Full Sample-No Sub'!$A:$R,J$1,0),2)</f>
        <v>0.00</v>
      </c>
      <c r="K84" s="3" t="str">
        <f>FIXED(VLOOKUP($A84,'Full Sample-No Sub'!$A:$R,K$1,0),2)</f>
        <v>301.75</v>
      </c>
      <c r="L84" s="3" t="str">
        <f>FIXED(VLOOKUP($A84,'Full Sample-No Sub'!$A:$R,L$1,0),2)</f>
        <v>558.99</v>
      </c>
      <c r="M84" s="3" t="str">
        <f>FIXED(VLOOKUP($A84,'Full Sample-No Sub'!$A:$R,M$1,0),2)</f>
        <v>0.00</v>
      </c>
      <c r="N84" s="3" t="str">
        <f>FIXED(VLOOKUP($A84,'Full Sample-No Sub'!$A:$R,N$1,0),2)</f>
        <v>4,021.00</v>
      </c>
      <c r="O84" s="3" t="str">
        <f>FIXED(VLOOKUP($A84,'Full Sample-Townhouse'!$A:$R,O$1,0),2)</f>
        <v>311.77</v>
      </c>
      <c r="P84" s="3" t="str">
        <f>FIXED(VLOOKUP($A84,'Full Sample-Townhouse'!$A:$R,P$1,0),2)</f>
        <v>571.95</v>
      </c>
      <c r="Q84" s="3" t="str">
        <f>FIXED(VLOOKUP($A84,'Full Sample-Townhouse'!$A:$R,Q$1,0),2)</f>
        <v>0.00</v>
      </c>
      <c r="R84" s="3" t="str">
        <f>FIXED(VLOOKUP($A84,'Full Sample-Townhouse'!$A:$R,R$1,0),2)</f>
        <v>4,021.00</v>
      </c>
      <c r="S84" s="3" t="str">
        <f>FIXED(VLOOKUP($A84,'Full Sample-Townhouse'!$A:$R,S$1,0),2)</f>
        <v>0.00</v>
      </c>
      <c r="T84" s="3" t="str">
        <f>FIXED(VLOOKUP($A84,'Full Sample-Townhouse'!$A:$R,T$1,0),2)</f>
        <v>0.00</v>
      </c>
      <c r="U84" s="3" t="str">
        <f>FIXED(VLOOKUP($A84,'Full Sample-Townhouse'!$A:$R,U$1,0),2)</f>
        <v>0.00</v>
      </c>
      <c r="V84" s="3" t="str">
        <f>FIXED(VLOOKUP($A84,'Full Sample-Townhouse'!$A:$R,V$1,0),2)</f>
        <v>0.00</v>
      </c>
      <c r="W84" s="3" t="str">
        <f>FIXED(VLOOKUP($A84,'Full Sample-Townhouse'!$A:$R,W$1,0),2)</f>
        <v>311.77</v>
      </c>
      <c r="X84" s="3" t="str">
        <f>FIXED(VLOOKUP($A84,'Full Sample-Townhouse'!$A:$R,X$1,0),2)</f>
        <v>571.95</v>
      </c>
      <c r="Y84" s="3" t="str">
        <f>FIXED(VLOOKUP($A84,'Full Sample-Townhouse'!$A:$R,Y$1,0),2)</f>
        <v>0.00</v>
      </c>
      <c r="Z84" s="3" t="str">
        <f>FIXED(VLOOKUP($A84,'Full Sample-Townhouse'!$A:$R,Z$1,0),2)</f>
        <v>4,021.00</v>
      </c>
      <c r="AA84" s="3" t="str">
        <f>FIXED(VLOOKUP($A84,'Full Sample-Single Family'!$A:$R,AA$1,0),2)</f>
        <v>289.73</v>
      </c>
      <c r="AB84" s="3" t="str">
        <f>FIXED(VLOOKUP($A84,'Full Sample-Single Family'!$A:$R,AB$1,0),2)</f>
        <v>542.82</v>
      </c>
      <c r="AC84" s="3" t="str">
        <f>FIXED(VLOOKUP($A84,'Full Sample-Single Family'!$A:$R,AC$1,0),2)</f>
        <v>0.00</v>
      </c>
      <c r="AD84" s="3" t="str">
        <f>FIXED(VLOOKUP($A84,'Full Sample-Single Family'!$A:$R,AD$1,0),2)</f>
        <v>4,021.00</v>
      </c>
      <c r="AE84" s="3" t="str">
        <f>FIXED(VLOOKUP($A84,'Full Sample-Single Family'!$A:$R,AE$1,0),2)</f>
        <v>0.00</v>
      </c>
      <c r="AF84" s="3" t="str">
        <f>FIXED(VLOOKUP($A84,'Full Sample-Single Family'!$A:$R,AF$1,0),2)</f>
        <v>0.00</v>
      </c>
      <c r="AG84" s="3" t="str">
        <f>FIXED(VLOOKUP($A84,'Full Sample-Single Family'!$A:$R,AG$1,0),2)</f>
        <v>0.00</v>
      </c>
      <c r="AH84" s="3" t="str">
        <f>FIXED(VLOOKUP($A84,'Full Sample-Single Family'!$A:$R,AH$1,0),2)</f>
        <v>0.00</v>
      </c>
      <c r="AI84" s="3" t="str">
        <f>FIXED(VLOOKUP($A84,'Full Sample-Single Family'!$A:$R,AI$1,0),2)</f>
        <v>289.73</v>
      </c>
      <c r="AJ84" s="3" t="str">
        <f>FIXED(VLOOKUP($A84,'Full Sample-Single Family'!$A:$R,AJ$1,0),2)</f>
        <v>542.82</v>
      </c>
      <c r="AK84" s="3" t="e" vm="1">
        <f>FIXED(VLOOKUP($A84,'Full Sample-Townhouse'!$A:$R,AK$1,0),2)</f>
        <v>#VALUE!</v>
      </c>
      <c r="AL84" s="3" t="e" vm="1">
        <f>FIXED(VLOOKUP($A84,'Full Sample-Townhouse'!$A:$R,AL$1,0),2)</f>
        <v>#VALUE!</v>
      </c>
    </row>
    <row r="85" spans="1:40" x14ac:dyDescent="0.25">
      <c r="A85" t="s">
        <v>55</v>
      </c>
      <c r="B85" s="4" t="s">
        <v>133</v>
      </c>
      <c r="C85" s="3" t="e">
        <f>FIXED(VLOOKUP($A85,'Full Sample-No Sub'!$A:$R,C$1,0),2)</f>
        <v>#N/A</v>
      </c>
      <c r="D85" s="3" t="e">
        <f>FIXED(VLOOKUP($A85,'Full Sample-No Sub'!$A:$R,D$1,0),2)</f>
        <v>#N/A</v>
      </c>
      <c r="E85" s="3" t="e">
        <f>FIXED(VLOOKUP($A85,'Full Sample-No Sub'!$A:$R,E$1,0),2)</f>
        <v>#N/A</v>
      </c>
      <c r="F85" s="3" t="e">
        <f>FIXED(VLOOKUP($A85,'Full Sample-No Sub'!$A:$R,F$1,0),2)</f>
        <v>#N/A</v>
      </c>
      <c r="G85" s="3" t="e">
        <f>FIXED(VLOOKUP($A85,'Full Sample-No Sub'!$A:$R,G$1,0),2)</f>
        <v>#N/A</v>
      </c>
      <c r="H85" s="3" t="e">
        <f>FIXED(VLOOKUP($A85,'Full Sample-No Sub'!$A:$R,H$1,0),2)</f>
        <v>#N/A</v>
      </c>
      <c r="I85" s="3" t="e">
        <f>FIXED(VLOOKUP($A85,'Full Sample-No Sub'!$A:$R,I$1,0),2)</f>
        <v>#N/A</v>
      </c>
      <c r="J85" s="3" t="e">
        <f>FIXED(VLOOKUP($A85,'Full Sample-No Sub'!$A:$R,J$1,0),2)</f>
        <v>#N/A</v>
      </c>
      <c r="K85" s="3" t="e">
        <f>FIXED(VLOOKUP($A85,'Full Sample-No Sub'!$A:$R,K$1,0),2)</f>
        <v>#N/A</v>
      </c>
      <c r="L85" s="3" t="e">
        <f>FIXED(VLOOKUP($A85,'Full Sample-No Sub'!$A:$R,L$1,0),2)</f>
        <v>#N/A</v>
      </c>
      <c r="M85" s="3" t="e">
        <f>FIXED(VLOOKUP($A85,'Full Sample-No Sub'!$A:$R,M$1,0),2)</f>
        <v>#N/A</v>
      </c>
      <c r="N85" s="3" t="e">
        <f>FIXED(VLOOKUP($A85,'Full Sample-No Sub'!$A:$R,N$1,0),2)</f>
        <v>#N/A</v>
      </c>
      <c r="O85" s="3" t="e">
        <f>FIXED(VLOOKUP($A85,'Full Sample-Townhouse'!$A:$R,O$1,0),2)</f>
        <v>#N/A</v>
      </c>
      <c r="P85" s="3" t="e">
        <f>FIXED(VLOOKUP($A85,'Full Sample-Townhouse'!$A:$R,P$1,0),2)</f>
        <v>#N/A</v>
      </c>
      <c r="Q85" s="3" t="e">
        <f>FIXED(VLOOKUP($A85,'Full Sample-Townhouse'!$A:$R,Q$1,0),2)</f>
        <v>#N/A</v>
      </c>
      <c r="R85" s="3" t="e">
        <f>FIXED(VLOOKUP($A85,'Full Sample-Townhouse'!$A:$R,R$1,0),2)</f>
        <v>#N/A</v>
      </c>
      <c r="S85" s="3" t="e">
        <f>FIXED(VLOOKUP($A85,'Full Sample-Townhouse'!$A:$R,S$1,0),2)</f>
        <v>#N/A</v>
      </c>
      <c r="T85" s="3" t="e">
        <f>FIXED(VLOOKUP($A85,'Full Sample-Townhouse'!$A:$R,T$1,0),2)</f>
        <v>#N/A</v>
      </c>
      <c r="U85" s="3" t="e">
        <f>FIXED(VLOOKUP($A85,'Full Sample-Townhouse'!$A:$R,U$1,0),2)</f>
        <v>#N/A</v>
      </c>
      <c r="V85" s="3" t="e">
        <f>FIXED(VLOOKUP($A85,'Full Sample-Townhouse'!$A:$R,V$1,0),2)</f>
        <v>#N/A</v>
      </c>
      <c r="W85" s="3" t="e">
        <f>FIXED(VLOOKUP($A85,'Full Sample-Townhouse'!$A:$R,W$1,0),2)</f>
        <v>#N/A</v>
      </c>
      <c r="X85" s="3" t="e">
        <f>FIXED(VLOOKUP($A85,'Full Sample-Townhouse'!$A:$R,X$1,0),2)</f>
        <v>#N/A</v>
      </c>
      <c r="Y85" s="3" t="e">
        <f>FIXED(VLOOKUP($A85,'Full Sample-Townhouse'!$A:$R,Y$1,0),2)</f>
        <v>#N/A</v>
      </c>
      <c r="Z85" s="3" t="e">
        <f>FIXED(VLOOKUP($A85,'Full Sample-Townhouse'!$A:$R,Z$1,0),2)</f>
        <v>#N/A</v>
      </c>
      <c r="AA85" s="3" t="e">
        <f>FIXED(VLOOKUP($A85,'Full Sample-Single Family'!$A:$R,AA$1,0),2)</f>
        <v>#N/A</v>
      </c>
      <c r="AB85" s="3" t="e">
        <f>FIXED(VLOOKUP($A85,'Full Sample-Single Family'!$A:$R,AB$1,0),2)</f>
        <v>#N/A</v>
      </c>
      <c r="AC85" s="3" t="e">
        <f>FIXED(VLOOKUP($A85,'Full Sample-Single Family'!$A:$R,AC$1,0),2)</f>
        <v>#N/A</v>
      </c>
      <c r="AD85" s="3" t="e">
        <f>FIXED(VLOOKUP($A85,'Full Sample-Single Family'!$A:$R,AD$1,0),2)</f>
        <v>#N/A</v>
      </c>
      <c r="AE85" s="3" t="e">
        <f>FIXED(VLOOKUP($A85,'Full Sample-Single Family'!$A:$R,AE$1,0),2)</f>
        <v>#N/A</v>
      </c>
      <c r="AF85" s="3" t="e">
        <f>FIXED(VLOOKUP($A85,'Full Sample-Single Family'!$A:$R,AF$1,0),2)</f>
        <v>#N/A</v>
      </c>
      <c r="AG85" s="3" t="e">
        <f>FIXED(VLOOKUP($A85,'Full Sample-Single Family'!$A:$R,AG$1,0),2)</f>
        <v>#N/A</v>
      </c>
      <c r="AH85" s="3" t="e">
        <f>FIXED(VLOOKUP($A85,'Full Sample-Single Family'!$A:$R,AH$1,0),2)</f>
        <v>#N/A</v>
      </c>
      <c r="AI85" s="3" t="e">
        <f>FIXED(VLOOKUP($A85,'Full Sample-Single Family'!$A:$R,AI$1,0),2)</f>
        <v>#N/A</v>
      </c>
      <c r="AJ85" s="3" t="e">
        <f>FIXED(VLOOKUP($A85,'Full Sample-Single Family'!$A:$R,AJ$1,0),2)</f>
        <v>#N/A</v>
      </c>
      <c r="AK85" s="3" t="e">
        <f>FIXED(VLOOKUP($A85,'Full Sample-Townhouse'!$A:$R,AK$1,0),2)</f>
        <v>#N/A</v>
      </c>
      <c r="AL85" s="3" t="e">
        <f>FIXED(VLOOKUP($A85,'Full Sample-Townhouse'!$A:$R,AL$1,0),2)</f>
        <v>#N/A</v>
      </c>
    </row>
    <row r="86" spans="1:40" x14ac:dyDescent="0.25">
      <c r="A86" t="s">
        <v>56</v>
      </c>
      <c r="B86" t="s">
        <v>125</v>
      </c>
      <c r="C86" s="3" t="str">
        <f>FIXED(VLOOKUP($A86,'Full Sample-No Sub'!$A:$R,C$1,0),2)</f>
        <v>0.54</v>
      </c>
      <c r="D86" s="3" t="str">
        <f>FIXED(VLOOKUP($A86,'Full Sample-No Sub'!$A:$R,D$1,0),2)</f>
        <v>0.50</v>
      </c>
      <c r="E86" s="3" t="str">
        <f>FIXED(VLOOKUP($A86,'Full Sample-No Sub'!$A:$R,E$1,0),2)</f>
        <v>0.00</v>
      </c>
      <c r="F86" s="3" t="str">
        <f>FIXED(VLOOKUP($A86,'Full Sample-No Sub'!$A:$R,F$1,0),2)</f>
        <v>1.00</v>
      </c>
      <c r="G86" s="3" t="str">
        <f>FIXED(VLOOKUP($A86,'Full Sample-No Sub'!$A:$R,G$1,0),2)</f>
        <v>0.54</v>
      </c>
      <c r="H86" s="3" t="str">
        <f>FIXED(VLOOKUP($A86,'Full Sample-No Sub'!$A:$R,H$1,0),2)</f>
        <v>0.50</v>
      </c>
      <c r="I86" s="3" t="str">
        <f>FIXED(VLOOKUP($A86,'Full Sample-No Sub'!$A:$R,I$1,0),2)</f>
        <v>0.00</v>
      </c>
      <c r="J86" s="3" t="str">
        <f>FIXED(VLOOKUP($A86,'Full Sample-No Sub'!$A:$R,J$1,0),2)</f>
        <v>1.00</v>
      </c>
      <c r="K86" s="3" t="str">
        <f>FIXED(VLOOKUP($A86,'Full Sample-No Sub'!$A:$R,K$1,0),2)</f>
        <v>0.55</v>
      </c>
      <c r="L86" s="3" t="str">
        <f>FIXED(VLOOKUP($A86,'Full Sample-No Sub'!$A:$R,L$1,0),2)</f>
        <v>0.50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FIXED(VLOOKUP($A86,'Full Sample-Townhouse'!$A:$R,O$1,0),2)</f>
        <v>1.00</v>
      </c>
      <c r="P86" s="3" t="str">
        <f>FIXED(VLOOKUP($A86,'Full Sample-Townhouse'!$A:$R,P$1,0),2)</f>
        <v>0.00</v>
      </c>
      <c r="Q86" s="3" t="str">
        <f>FIXED(VLOOKUP($A86,'Full Sample-Townhouse'!$A:$R,Q$1,0),2)</f>
        <v>1.00</v>
      </c>
      <c r="R86" s="3" t="str">
        <f>FIXED(VLOOKUP($A86,'Full Sample-Townhouse'!$A:$R,R$1,0),2)</f>
        <v>1.00</v>
      </c>
      <c r="S86" s="3" t="str">
        <f>FIXED(VLOOKUP($A86,'Full Sample-Townhouse'!$A:$R,S$1,0),2)</f>
        <v>1.00</v>
      </c>
      <c r="T86" s="3" t="str">
        <f>FIXED(VLOOKUP($A86,'Full Sample-Townhouse'!$A:$R,T$1,0),2)</f>
        <v>0.00</v>
      </c>
      <c r="U86" s="3" t="str">
        <f>FIXED(VLOOKUP($A86,'Full Sample-Townhouse'!$A:$R,U$1,0),2)</f>
        <v>1.00</v>
      </c>
      <c r="V86" s="3" t="str">
        <f>FIXED(VLOOKUP($A86,'Full Sample-Townhouse'!$A:$R,V$1,0),2)</f>
        <v>1.00</v>
      </c>
      <c r="W86" s="3" t="str">
        <f>FIXED(VLOOKUP($A86,'Full Sample-Townhouse'!$A:$R,W$1,0),2)</f>
        <v>1.00</v>
      </c>
      <c r="X86" s="3" t="str">
        <f>FIXED(VLOOKUP($A86,'Full Sample-Townhouse'!$A:$R,X$1,0),2)</f>
        <v>0.00</v>
      </c>
      <c r="Y86" s="3" t="str">
        <f>FIXED(VLOOKUP($A86,'Full Sample-Townhouse'!$A:$R,Y$1,0),2)</f>
        <v>1.00</v>
      </c>
      <c r="Z86" s="3" t="str">
        <f>FIXED(VLOOKUP($A86,'Full Sample-Townhouse'!$A:$R,Z$1,0),2)</f>
        <v>1.00</v>
      </c>
      <c r="AA86" s="3" t="str">
        <f>FIXED(VLOOKUP($A86,'Full Sample-Single Family'!$A:$R,AA$1,0),2)</f>
        <v>0.00</v>
      </c>
      <c r="AB86" s="3" t="str">
        <f>FIXED(VLOOKUP($A86,'Full Sample-Single Family'!$A:$R,AB$1,0),2)</f>
        <v>0.00</v>
      </c>
      <c r="AC86" s="3" t="str">
        <f>FIXED(VLOOKUP($A86,'Full Sample-Single Family'!$A:$R,AC$1,0),2)</f>
        <v>0.00</v>
      </c>
      <c r="AD86" s="3" t="str">
        <f>FIXED(VLOOKUP($A86,'Full Sample-Single Family'!$A:$R,AD$1,0),2)</f>
        <v>0.00</v>
      </c>
      <c r="AE86" s="3" t="str">
        <f>FIXED(VLOOKUP($A86,'Full Sample-Single Family'!$A:$R,AE$1,0),2)</f>
        <v>0.00</v>
      </c>
      <c r="AF86" s="3" t="str">
        <f>FIXED(VLOOKUP($A86,'Full Sample-Single Family'!$A:$R,AF$1,0),2)</f>
        <v>0.00</v>
      </c>
      <c r="AG86" s="3" t="str">
        <f>FIXED(VLOOKUP($A86,'Full Sample-Single Family'!$A:$R,AG$1,0),2)</f>
        <v>0.00</v>
      </c>
      <c r="AH86" s="3" t="str">
        <f>FIXED(VLOOKUP($A86,'Full Sample-Single Family'!$A:$R,AH$1,0),2)</f>
        <v>0.00</v>
      </c>
      <c r="AI86" s="3" t="str">
        <f>FIXED(VLOOKUP($A86,'Full Sample-Single Family'!$A:$R,AI$1,0),2)</f>
        <v>0.00</v>
      </c>
      <c r="AJ86" s="3" t="str">
        <f>FIXED(VLOOKUP($A86,'Full Sample-Single Family'!$A:$R,AJ$1,0),2)</f>
        <v>0.00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40" x14ac:dyDescent="0.25">
      <c r="A87" t="s">
        <v>57</v>
      </c>
      <c r="B87" s="4" t="s">
        <v>134</v>
      </c>
      <c r="C87" s="3" t="str">
        <f>FIXED(VLOOKUP($A87,'Full Sample-No Sub'!$A:$R,C$1,0),2)</f>
        <v>0.46</v>
      </c>
      <c r="D87" s="3" t="str">
        <f>FIXED(VLOOKUP($A87,'Full Sample-No Sub'!$A:$R,D$1,0),2)</f>
        <v>0.50</v>
      </c>
      <c r="E87" s="3" t="str">
        <f>FIXED(VLOOKUP($A87,'Full Sample-No Sub'!$A:$R,E$1,0),2)</f>
        <v>0.00</v>
      </c>
      <c r="F87" s="3" t="str">
        <f>FIXED(VLOOKUP($A87,'Full Sample-No Sub'!$A:$R,F$1,0),2)</f>
        <v>1.00</v>
      </c>
      <c r="G87" s="3" t="str">
        <f>FIXED(VLOOKUP($A87,'Full Sample-No Sub'!$A:$R,G$1,0),2)</f>
        <v>0.46</v>
      </c>
      <c r="H87" s="3" t="str">
        <f>FIXED(VLOOKUP($A87,'Full Sample-No Sub'!$A:$R,H$1,0),2)</f>
        <v>0.50</v>
      </c>
      <c r="I87" s="3" t="str">
        <f>FIXED(VLOOKUP($A87,'Full Sample-No Sub'!$A:$R,I$1,0),2)</f>
        <v>0.00</v>
      </c>
      <c r="J87" s="3" t="str">
        <f>FIXED(VLOOKUP($A87,'Full Sample-No Sub'!$A:$R,J$1,0),2)</f>
        <v>1.00</v>
      </c>
      <c r="K87" s="3" t="str">
        <f>FIXED(VLOOKUP($A87,'Full Sample-No Sub'!$A:$R,K$1,0),2)</f>
        <v>0.46</v>
      </c>
      <c r="L87" s="3" t="str">
        <f>FIXED(VLOOKUP($A87,'Full Sample-No Sub'!$A:$R,L$1,0),2)</f>
        <v>0.50</v>
      </c>
      <c r="M87" s="3" t="str">
        <f>FIXED(VLOOKUP($A87,'Full Sample-No Sub'!$A:$R,M$1,0),2)</f>
        <v>0.00</v>
      </c>
      <c r="N87" s="3" t="str">
        <f>FIXED(VLOOKUP($A87,'Full Sample-No Sub'!$A:$R,N$1,0),2)</f>
        <v>1.00</v>
      </c>
      <c r="O87" s="3" t="str">
        <f>FIXED(VLOOKUP($A87,'Full Sample-Townhouse'!$A:$R,O$1,0),2)</f>
        <v>0.00</v>
      </c>
      <c r="P87" s="3" t="str">
        <f>FIXED(VLOOKUP($A87,'Full Sample-Townhouse'!$A:$R,P$1,0),2)</f>
        <v>0.00</v>
      </c>
      <c r="Q87" s="3" t="str">
        <f>FIXED(VLOOKUP($A87,'Full Sample-Townhouse'!$A:$R,Q$1,0),2)</f>
        <v>0.00</v>
      </c>
      <c r="R87" s="3" t="str">
        <f>FIXED(VLOOKUP($A87,'Full Sample-Townhouse'!$A:$R,R$1,0),2)</f>
        <v>0.00</v>
      </c>
      <c r="S87" s="3" t="str">
        <f>FIXED(VLOOKUP($A87,'Full Sample-Townhouse'!$A:$R,S$1,0),2)</f>
        <v>0.00</v>
      </c>
      <c r="T87" s="3" t="str">
        <f>FIXED(VLOOKUP($A87,'Full Sample-Townhouse'!$A:$R,T$1,0),2)</f>
        <v>0.00</v>
      </c>
      <c r="U87" s="3" t="str">
        <f>FIXED(VLOOKUP($A87,'Full Sample-Townhouse'!$A:$R,U$1,0),2)</f>
        <v>0.00</v>
      </c>
      <c r="V87" s="3" t="str">
        <f>FIXED(VLOOKUP($A87,'Full Sample-Townhouse'!$A:$R,V$1,0),2)</f>
        <v>0.00</v>
      </c>
      <c r="W87" s="3" t="str">
        <f>FIXED(VLOOKUP($A87,'Full Sample-Townhouse'!$A:$R,W$1,0),2)</f>
        <v>0.00</v>
      </c>
      <c r="X87" s="3" t="str">
        <f>FIXED(VLOOKUP($A87,'Full Sample-Townhouse'!$A:$R,X$1,0),2)</f>
        <v>0.00</v>
      </c>
      <c r="Y87" s="3" t="str">
        <f>FIXED(VLOOKUP($A87,'Full Sample-Townhouse'!$A:$R,Y$1,0),2)</f>
        <v>0.00</v>
      </c>
      <c r="Z87" s="3" t="str">
        <f>FIXED(VLOOKUP($A87,'Full Sample-Townhouse'!$A:$R,Z$1,0),2)</f>
        <v>0.00</v>
      </c>
      <c r="AA87" s="3" t="str">
        <f>FIXED(VLOOKUP($A87,'Full Sample-Single Family'!$A:$R,AA$1,0),2)</f>
        <v>1.00</v>
      </c>
      <c r="AB87" s="3" t="str">
        <f>FIXED(VLOOKUP($A87,'Full Sample-Single Family'!$A:$R,AB$1,0),2)</f>
        <v>0.00</v>
      </c>
      <c r="AC87" s="3" t="str">
        <f>FIXED(VLOOKUP($A87,'Full Sample-Single Family'!$A:$R,AC$1,0),2)</f>
        <v>1.00</v>
      </c>
      <c r="AD87" s="3" t="str">
        <f>FIXED(VLOOKUP($A87,'Full Sample-Single Family'!$A:$R,AD$1,0),2)</f>
        <v>1.00</v>
      </c>
      <c r="AE87" s="3" t="str">
        <f>FIXED(VLOOKUP($A87,'Full Sample-Single Family'!$A:$R,AE$1,0),2)</f>
        <v>1.00</v>
      </c>
      <c r="AF87" s="3" t="str">
        <f>FIXED(VLOOKUP($A87,'Full Sample-Single Family'!$A:$R,AF$1,0),2)</f>
        <v>0.00</v>
      </c>
      <c r="AG87" s="3" t="str">
        <f>FIXED(VLOOKUP($A87,'Full Sample-Single Family'!$A:$R,AG$1,0),2)</f>
        <v>1.00</v>
      </c>
      <c r="AH87" s="3" t="str">
        <f>FIXED(VLOOKUP($A87,'Full Sample-Single Family'!$A:$R,AH$1,0),2)</f>
        <v>1.00</v>
      </c>
      <c r="AI87" s="3" t="str">
        <f>FIXED(VLOOKUP($A87,'Full Sample-Single Family'!$A:$R,AI$1,0),2)</f>
        <v>1.00</v>
      </c>
      <c r="AJ87" s="3" t="str">
        <f>FIXED(VLOOKUP($A87,'Full Sample-Single Family'!$A:$R,AJ$1,0),2)</f>
        <v>0.00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40" x14ac:dyDescent="0.25">
      <c r="A88" t="s">
        <v>53</v>
      </c>
      <c r="B88" t="s">
        <v>183</v>
      </c>
      <c r="C88" s="9" t="str">
        <f>FIXED(VLOOKUP($A88,'Full Sample-No Sub'!$A:$R,C$1,0),2)</f>
        <v>2,361,461.00</v>
      </c>
      <c r="D88" s="3" t="str">
        <f>FIXED(VLOOKUP($A88,'Full Sample-No Sub'!$A:$R,D$1,0),2)</f>
        <v>7,599.49</v>
      </c>
      <c r="E88" s="3" t="str">
        <f>FIXED(VLOOKUP($A88,'Full Sample-No Sub'!$A:$R,E$1,0),2)</f>
        <v>2,350,907.00</v>
      </c>
      <c r="F88" s="3" t="str">
        <f>FIXED(VLOOKUP($A88,'Full Sample-No Sub'!$A:$R,F$1,0),2)</f>
        <v>2,400,056.00</v>
      </c>
      <c r="G88" s="9" t="str">
        <f>FIXED(VLOOKUP($A88,'Full Sample-No Sub'!$A:$R,G$1,0),2)</f>
        <v>2,361,502.00</v>
      </c>
      <c r="H88" s="3" t="str">
        <f>FIXED(VLOOKUP($A88,'Full Sample-No Sub'!$A:$R,H$1,0),2)</f>
        <v>7,544.91</v>
      </c>
      <c r="I88" s="3" t="str">
        <f>FIXED(VLOOKUP($A88,'Full Sample-No Sub'!$A:$R,I$1,0),2)</f>
        <v>2,350,907.00</v>
      </c>
      <c r="J88" s="13" t="str">
        <f>FIXED(VLOOKUP($A88,'Full Sample-No Sub'!$A:$R,J$1,0),2)</f>
        <v>2,400,056.00</v>
      </c>
      <c r="K88" s="9" t="str">
        <f>FIXED(VLOOKUP($A88,'Full Sample-No Sub'!$A:$R,K$1,0),2)</f>
        <v>2,361,405.00</v>
      </c>
      <c r="L88" s="3" t="str">
        <f>FIXED(VLOOKUP($A88,'Full Sample-No Sub'!$A:$R,L$1,0),2)</f>
        <v>7,672.97</v>
      </c>
      <c r="M88" s="3" t="str">
        <f>FIXED(VLOOKUP($A88,'Full Sample-No Sub'!$A:$R,M$1,0),2)</f>
        <v>2,350,907.00</v>
      </c>
      <c r="N88" s="13" t="str">
        <f>FIXED(VLOOKUP($A88,'Full Sample-No Sub'!$A:$R,N$1,0),2)</f>
        <v>2,400,056.00</v>
      </c>
      <c r="O88" s="9" t="str">
        <f>FIXED(VLOOKUP($A88,'Full Sample-Townhouse'!$A:$R,O$1,0),2)</f>
        <v>2,359,781.00</v>
      </c>
      <c r="P88" s="3" t="str">
        <f>FIXED(VLOOKUP($A88,'Full Sample-Townhouse'!$A:$R,P$1,0),2)</f>
        <v>6,929.19</v>
      </c>
      <c r="Q88" s="3" t="str">
        <f>FIXED(VLOOKUP($A88,'Full Sample-Townhouse'!$A:$R,Q$1,0),2)</f>
        <v>2,351,041.00</v>
      </c>
      <c r="R88" s="3" t="str">
        <f>FIXED(VLOOKUP($A88,'Full Sample-Townhouse'!$A:$R,R$1,0),2)</f>
        <v>2,400,056.00</v>
      </c>
      <c r="S88" s="9" t="str">
        <f>FIXED(VLOOKUP($A88,'Full Sample-Townhouse'!$A:$R,S$1,0),2)</f>
        <v>2,359,859.00</v>
      </c>
      <c r="T88" s="3" t="str">
        <f>FIXED(VLOOKUP($A88,'Full Sample-Townhouse'!$A:$R,T$1,0),2)</f>
        <v>6,988.36</v>
      </c>
      <c r="U88" s="3" t="str">
        <f>FIXED(VLOOKUP($A88,'Full Sample-Townhouse'!$A:$R,U$1,0),2)</f>
        <v>2,351,041.00</v>
      </c>
      <c r="V88" s="13" t="str">
        <f>FIXED(VLOOKUP($A88,'Full Sample-Townhouse'!$A:$R,V$1,0),2)</f>
        <v>2,400,056.00</v>
      </c>
      <c r="W88" s="9" t="str">
        <f>FIXED(VLOOKUP($A88,'Full Sample-Townhouse'!$A:$R,W$1,0),2)</f>
        <v>2,359,674.00</v>
      </c>
      <c r="X88" s="3" t="str">
        <f>FIXED(VLOOKUP($A88,'Full Sample-Townhouse'!$A:$R,X$1,0),2)</f>
        <v>6,847.01</v>
      </c>
      <c r="Y88" s="3" t="str">
        <f>FIXED(VLOOKUP($A88,'Full Sample-Townhouse'!$A:$R,Y$1,0),2)</f>
        <v>2,351,041.00</v>
      </c>
      <c r="Z88" s="3" t="str">
        <f>FIXED(VLOOKUP($A88,'Full Sample-Townhouse'!$A:$R,Z$1,0),2)</f>
        <v>2,400,056.00</v>
      </c>
      <c r="AA88" s="9" t="str">
        <f>FIXED(VLOOKUP($A88,'Full Sample-Single Family'!$A:$R,AA$1,0),2)</f>
        <v>2,363,465.00</v>
      </c>
      <c r="AB88" s="3" t="str">
        <f>FIXED(VLOOKUP($A88,'Full Sample-Single Family'!$A:$R,AB$1,0),2)</f>
        <v>7,873.16</v>
      </c>
      <c r="AC88" s="3" t="str">
        <f>FIXED(VLOOKUP($A88,'Full Sample-Single Family'!$A:$R,AC$1,0),2)</f>
        <v>2,350,907.00</v>
      </c>
      <c r="AD88" s="3" t="str">
        <f>FIXED(VLOOKUP($A88,'Full Sample-Single Family'!$A:$R,AD$1,0),2)</f>
        <v>2,399,920.00</v>
      </c>
      <c r="AE88" s="9" t="str">
        <f>FIXED(VLOOKUP($A88,'Full Sample-Single Family'!$A:$R,AE$1,0),2)</f>
        <v>2,363,456.00</v>
      </c>
      <c r="AF88" s="3" t="str">
        <f>FIXED(VLOOKUP($A88,'Full Sample-Single Family'!$A:$R,AF$1,0),2)</f>
        <v>7,714.92</v>
      </c>
      <c r="AG88" s="3" t="str">
        <f>FIXED(VLOOKUP($A88,'Full Sample-Single Family'!$A:$R,AG$1,0),2)</f>
        <v>2,350,907.00</v>
      </c>
      <c r="AH88" s="13" t="str">
        <f>FIXED(VLOOKUP($A88,'Full Sample-Single Family'!$A:$R,AH$1,0),2)</f>
        <v>2,399,920.00</v>
      </c>
      <c r="AI88" s="9" t="str">
        <f>FIXED(VLOOKUP($A88,'Full Sample-Single Family'!$A:$R,AI$1,0),2)</f>
        <v>2,363,479.00</v>
      </c>
      <c r="AJ88" s="3" t="str">
        <f>FIXED(VLOOKUP($A88,'Full Sample-Single Family'!$A:$R,AJ$1,0),2)</f>
        <v>8,084.88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40" x14ac:dyDescent="0.25">
      <c r="A89" t="s">
        <v>54</v>
      </c>
      <c r="B89" t="s">
        <v>184</v>
      </c>
      <c r="C89" s="9" t="str">
        <f>FIXED(VLOOKUP($A89,'Full Sample-No Sub'!$A:$R,C$1,0),2)</f>
        <v>612,697.30</v>
      </c>
      <c r="D89" s="3" t="str">
        <f>FIXED(VLOOKUP($A89,'Full Sample-No Sub'!$A:$R,D$1,0),2)</f>
        <v>13,315.95</v>
      </c>
      <c r="E89" s="3" t="str">
        <f>FIXED(VLOOKUP($A89,'Full Sample-No Sub'!$A:$R,E$1,0),2)</f>
        <v>579,824.20</v>
      </c>
      <c r="F89" s="3" t="str">
        <f>FIXED(VLOOKUP($A89,'Full Sample-No Sub'!$A:$R,F$1,0),2)</f>
        <v>638,667.70</v>
      </c>
      <c r="G89" s="9" t="str">
        <f>FIXED(VLOOKUP($A89,'Full Sample-No Sub'!$A:$R,G$1,0),2)</f>
        <v>612,481.20</v>
      </c>
      <c r="H89" s="3" t="str">
        <f>FIXED(VLOOKUP($A89,'Full Sample-No Sub'!$A:$R,H$1,0),2)</f>
        <v>13,221.91</v>
      </c>
      <c r="I89" s="3" t="str">
        <f>FIXED(VLOOKUP($A89,'Full Sample-No Sub'!$A:$R,I$1,0),2)</f>
        <v>579,824.20</v>
      </c>
      <c r="J89" s="13" t="str">
        <f>FIXED(VLOOKUP($A89,'Full Sample-No Sub'!$A:$R,J$1,0),2)</f>
        <v>638,667.70</v>
      </c>
      <c r="K89" s="9" t="str">
        <f>FIXED(VLOOKUP($A89,'Full Sample-No Sub'!$A:$R,K$1,0),2)</f>
        <v>612,991.50</v>
      </c>
      <c r="L89" s="3" t="str">
        <f>FIXED(VLOOKUP($A89,'Full Sample-No Sub'!$A:$R,L$1,0),2)</f>
        <v>13,437.62</v>
      </c>
      <c r="M89" s="3" t="str">
        <f>FIXED(VLOOKUP($A89,'Full Sample-No Sub'!$A:$R,M$1,0),2)</f>
        <v>579,905.60</v>
      </c>
      <c r="N89" s="13" t="str">
        <f>FIXED(VLOOKUP($A89,'Full Sample-No Sub'!$A:$R,N$1,0),2)</f>
        <v>638,597.20</v>
      </c>
      <c r="O89" s="9" t="str">
        <f>FIXED(VLOOKUP($A89,'Full Sample-Townhouse'!$A:$R,O$1,0),2)</f>
        <v>614,132.10</v>
      </c>
      <c r="P89" s="3" t="str">
        <f>FIXED(VLOOKUP($A89,'Full Sample-Townhouse'!$A:$R,P$1,0),2)</f>
        <v>11,659.79</v>
      </c>
      <c r="Q89" s="3" t="str">
        <f>FIXED(VLOOKUP($A89,'Full Sample-Townhouse'!$A:$R,Q$1,0),2)</f>
        <v>580,446.10</v>
      </c>
      <c r="R89" s="3" t="str">
        <f>FIXED(VLOOKUP($A89,'Full Sample-Townhouse'!$A:$R,R$1,0),2)</f>
        <v>637,819.70</v>
      </c>
      <c r="S89" s="9" t="str">
        <f>FIXED(VLOOKUP($A89,'Full Sample-Townhouse'!$A:$R,S$1,0),2)</f>
        <v>614,074.90</v>
      </c>
      <c r="T89" s="3" t="str">
        <f>FIXED(VLOOKUP($A89,'Full Sample-Townhouse'!$A:$R,T$1,0),2)</f>
        <v>11,554.02</v>
      </c>
      <c r="U89" s="3" t="str">
        <f>FIXED(VLOOKUP($A89,'Full Sample-Townhouse'!$A:$R,U$1,0),2)</f>
        <v>580,446.10</v>
      </c>
      <c r="V89" s="13" t="str">
        <f>FIXED(VLOOKUP($A89,'Full Sample-Townhouse'!$A:$R,V$1,0),2)</f>
        <v>637,819.70</v>
      </c>
      <c r="W89" s="9" t="str">
        <f>FIXED(VLOOKUP($A89,'Full Sample-Townhouse'!$A:$R,W$1,0),2)</f>
        <v>614,209.70</v>
      </c>
      <c r="X89" s="3" t="str">
        <f>FIXED(VLOOKUP($A89,'Full Sample-Townhouse'!$A:$R,X$1,0),2)</f>
        <v>11,801.75</v>
      </c>
      <c r="Y89" s="3" t="str">
        <f>FIXED(VLOOKUP($A89,'Full Sample-Townhouse'!$A:$R,Y$1,0),2)</f>
        <v>580,446.10</v>
      </c>
      <c r="Z89" s="3" t="str">
        <f>FIXED(VLOOKUP($A89,'Full Sample-Townhouse'!$A:$R,Z$1,0),2)</f>
        <v>637,819.70</v>
      </c>
      <c r="AA89" s="9" t="str">
        <f>FIXED(VLOOKUP($A89,'Full Sample-Single Family'!$A:$R,AA$1,0),2)</f>
        <v>610,985.60</v>
      </c>
      <c r="AB89" s="3" t="str">
        <f>FIXED(VLOOKUP($A89,'Full Sample-Single Family'!$A:$R,AB$1,0),2)</f>
        <v>14,875.62</v>
      </c>
      <c r="AC89" s="3" t="str">
        <f>FIXED(VLOOKUP($A89,'Full Sample-Single Family'!$A:$R,AC$1,0),2)</f>
        <v>579,824.20</v>
      </c>
      <c r="AD89" s="3" t="str">
        <f>FIXED(VLOOKUP($A89,'Full Sample-Single Family'!$A:$R,AD$1,0),2)</f>
        <v>638,667.70</v>
      </c>
      <c r="AE89" s="9" t="str">
        <f>FIXED(VLOOKUP($A89,'Full Sample-Single Family'!$A:$R,AE$1,0),2)</f>
        <v>610,586.60</v>
      </c>
      <c r="AF89" s="3" t="str">
        <f>FIXED(VLOOKUP($A89,'Full Sample-Single Family'!$A:$R,AF$1,0),2)</f>
        <v>14,742.77</v>
      </c>
      <c r="AG89" s="3" t="str">
        <f>FIXED(VLOOKUP($A89,'Full Sample-Single Family'!$A:$R,AG$1,0),2)</f>
        <v>579,824.20</v>
      </c>
      <c r="AH89" s="13" t="str">
        <f>FIXED(VLOOKUP($A89,'Full Sample-Single Family'!$A:$R,AH$1,0),2)</f>
        <v>638,667.70</v>
      </c>
      <c r="AI89" s="9" t="str">
        <f>FIXED(VLOOKUP($A89,'Full Sample-Single Family'!$A:$R,AI$1,0),2)</f>
        <v>611,531.10</v>
      </c>
      <c r="AJ89" s="3" t="str">
        <f>FIXED(VLOOKUP($A89,'Full Sample-Single Family'!$A:$R,AJ$1,0),2)</f>
        <v>15,039.02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40" x14ac:dyDescent="0.25">
      <c r="A90" t="s">
        <v>61</v>
      </c>
      <c r="B90" t="s">
        <v>320</v>
      </c>
      <c r="C90" s="9" t="str">
        <f>FIXED(VLOOKUP($A90,'Full Sample-No Sub'!$A:$R,C$1,0),2)</f>
        <v>2,019.05</v>
      </c>
      <c r="D90" s="3" t="str">
        <f>FIXED(VLOOKUP($A90,'Full Sample-No Sub'!$A:$R,D$1,0),2)</f>
        <v>2.01</v>
      </c>
      <c r="E90" s="3" t="str">
        <f>FIXED(VLOOKUP($A90,'Full Sample-No Sub'!$A:$R,E$1,0),2)</f>
        <v>2,016.00</v>
      </c>
      <c r="F90" s="3" t="str">
        <f>FIXED(VLOOKUP($A90,'Full Sample-No Sub'!$A:$R,F$1,0),2)</f>
        <v>2,023.00</v>
      </c>
      <c r="G90" s="9" t="str">
        <f>FIXED(VLOOKUP($A90,'Full Sample-No Sub'!$A:$R,G$1,0),2)</f>
        <v>2,017.57</v>
      </c>
      <c r="H90" s="3" t="str">
        <f>FIXED(VLOOKUP($A90,'Full Sample-No Sub'!$A:$R,H$1,0),2)</f>
        <v>1.17</v>
      </c>
      <c r="I90" s="3" t="str">
        <f>FIXED(VLOOKUP($A90,'Full Sample-No Sub'!$A:$R,I$1,0),2)</f>
        <v>2,016.00</v>
      </c>
      <c r="J90" s="13" t="str">
        <f>FIXED(VLOOKUP($A90,'Full Sample-No Sub'!$A:$R,J$1,0),2)</f>
        <v>2,020.00</v>
      </c>
      <c r="K90" s="9" t="str">
        <f>FIXED(VLOOKUP($A90,'Full Sample-No Sub'!$A:$R,K$1,0),2)</f>
        <v>2,021.06</v>
      </c>
      <c r="L90" s="3" t="str">
        <f>FIXED(VLOOKUP($A90,'Full Sample-No Sub'!$A:$R,L$1,0),2)</f>
        <v>0.79</v>
      </c>
      <c r="M90" s="3" t="str">
        <f>FIXED(VLOOKUP($A90,'Full Sample-No Sub'!$A:$R,M$1,0),2)</f>
        <v>2,020.00</v>
      </c>
      <c r="N90" s="13" t="str">
        <f>FIXED(VLOOKUP($A90,'Full Sample-No Sub'!$A:$R,N$1,0),2)</f>
        <v>2,023.00</v>
      </c>
      <c r="O90" s="9" t="str">
        <f>FIXED(VLOOKUP($A90,'Full Sample-Townhouse'!$A:$R,O$1,0),2)</f>
        <v>2,019.06</v>
      </c>
      <c r="P90" s="3" t="str">
        <f>FIXED(VLOOKUP($A90,'Full Sample-Townhouse'!$A:$R,P$1,0),2)</f>
        <v>2.01</v>
      </c>
      <c r="Q90" s="3" t="str">
        <f>FIXED(VLOOKUP($A90,'Full Sample-Townhouse'!$A:$R,Q$1,0),2)</f>
        <v>2,016.00</v>
      </c>
      <c r="R90" s="3" t="str">
        <f>FIXED(VLOOKUP($A90,'Full Sample-Townhouse'!$A:$R,R$1,0),2)</f>
        <v>2,023.00</v>
      </c>
      <c r="S90" s="9" t="str">
        <f>FIXED(VLOOKUP($A90,'Full Sample-Townhouse'!$A:$R,S$1,0),2)</f>
        <v>2,017.57</v>
      </c>
      <c r="T90" s="3" t="str">
        <f>FIXED(VLOOKUP($A90,'Full Sample-Townhouse'!$A:$R,T$1,0),2)</f>
        <v>1.17</v>
      </c>
      <c r="U90" s="3" t="str">
        <f>FIXED(VLOOKUP($A90,'Full Sample-Townhouse'!$A:$R,U$1,0),2)</f>
        <v>2,016.00</v>
      </c>
      <c r="V90" s="13" t="str">
        <f>FIXED(VLOOKUP($A90,'Full Sample-Townhouse'!$A:$R,V$1,0),2)</f>
        <v>2,020.00</v>
      </c>
      <c r="W90" s="9" t="str">
        <f>FIXED(VLOOKUP($A90,'Full Sample-Townhouse'!$A:$R,W$1,0),2)</f>
        <v>2,021.08</v>
      </c>
      <c r="X90" s="3" t="str">
        <f>FIXED(VLOOKUP($A90,'Full Sample-Townhouse'!$A:$R,X$1,0),2)</f>
        <v>0.76</v>
      </c>
      <c r="Y90" s="3" t="str">
        <f>FIXED(VLOOKUP($A90,'Full Sample-Townhouse'!$A:$R,Y$1,0),2)</f>
        <v>2,020.00</v>
      </c>
      <c r="Z90" s="3" t="str">
        <f>FIXED(VLOOKUP($A90,'Full Sample-Townhouse'!$A:$R,Z$1,0),2)</f>
        <v>2,023.00</v>
      </c>
      <c r="AA90" s="9" t="str">
        <f>FIXED(VLOOKUP($A90,'Full Sample-Single Family'!$A:$R,AA$1,0),2)</f>
        <v>2,019.04</v>
      </c>
      <c r="AB90" s="3" t="str">
        <f>FIXED(VLOOKUP($A90,'Full Sample-Single Family'!$A:$R,AB$1,0),2)</f>
        <v>2.01</v>
      </c>
      <c r="AC90" s="3" t="str">
        <f>FIXED(VLOOKUP($A90,'Full Sample-Single Family'!$A:$R,AC$1,0),2)</f>
        <v>2,016.00</v>
      </c>
      <c r="AD90" s="3" t="str">
        <f>FIXED(VLOOKUP($A90,'Full Sample-Single Family'!$A:$R,AD$1,0),2)</f>
        <v>2,023.00</v>
      </c>
      <c r="AE90" s="9" t="str">
        <f>FIXED(VLOOKUP($A90,'Full Sample-Single Family'!$A:$R,AE$1,0),2)</f>
        <v>2,017.57</v>
      </c>
      <c r="AF90" s="3" t="str">
        <f>FIXED(VLOOKUP($A90,'Full Sample-Single Family'!$A:$R,AF$1,0),2)</f>
        <v>1.18</v>
      </c>
      <c r="AG90" s="3" t="str">
        <f>FIXED(VLOOKUP($A90,'Full Sample-Single Family'!$A:$R,AG$1,0),2)</f>
        <v>2,016.00</v>
      </c>
      <c r="AH90" s="13" t="str">
        <f>FIXED(VLOOKUP($A90,'Full Sample-Single Family'!$A:$R,AH$1,0),2)</f>
        <v>2,020.00</v>
      </c>
      <c r="AI90" s="9" t="str">
        <f>FIXED(VLOOKUP($A90,'Full Sample-Single Family'!$A:$R,AI$1,0),2)</f>
        <v>2,021.04</v>
      </c>
      <c r="AJ90" s="3" t="str">
        <f>FIXED(VLOOKUP($A90,'Full Sample-Single Family'!$A:$R,AJ$1,0),2)</f>
        <v>0.83</v>
      </c>
      <c r="AK90" s="3" t="e" vm="1">
        <f>FIXED(VLOOKUP($A90,'Full Sample-Townhouse'!$A:$R,AK$1,0),2)</f>
        <v>#VALUE!</v>
      </c>
      <c r="AL90" s="3" t="e" vm="1">
        <f>FIXED(VLOOKUP($A90,'Full Sample-Townhouse'!$A:$R,AL$1,0),2)</f>
        <v>#VALUE!</v>
      </c>
    </row>
    <row r="91" spans="1:40" x14ac:dyDescent="0.25">
      <c r="A91" t="s">
        <v>190</v>
      </c>
      <c r="B91" t="s">
        <v>191</v>
      </c>
      <c r="C91" s="9" t="str">
        <f>FIXED(VLOOKUP($A91,'Full Sample-No Sub'!$A:$R,C$1,0),2)</f>
        <v>8,954.73</v>
      </c>
      <c r="D91" s="3" t="str">
        <f>FIXED(VLOOKUP($A91,'Full Sample-No Sub'!$A:$R,D$1,0),2)</f>
        <v>89,060.98</v>
      </c>
      <c r="E91" s="3" t="str">
        <f>FIXED(VLOOKUP($A91,'Full Sample-No Sub'!$A:$R,E$1,0),2)</f>
        <v>-2,010,000.00</v>
      </c>
      <c r="F91" s="3" t="str">
        <f>FIXED(VLOOKUP($A91,'Full Sample-No Sub'!$A:$R,F$1,0),2)</f>
        <v>6,900,000.00</v>
      </c>
      <c r="G91" s="9" t="str">
        <f>FIXED(VLOOKUP($A91,'Full Sample-No Sub'!$A:$R,G$1,0),2)</f>
        <v>14,558.51</v>
      </c>
      <c r="H91" s="3" t="str">
        <f>FIXED(VLOOKUP($A91,'Full Sample-No Sub'!$A:$R,H$1,0),2)</f>
        <v>68,477.86</v>
      </c>
      <c r="I91" s="3" t="str">
        <f>FIXED(VLOOKUP($A91,'Full Sample-No Sub'!$A:$R,I$1,0),2)</f>
        <v>-1,850,000.00</v>
      </c>
      <c r="J91" s="13" t="str">
        <f>FIXED(VLOOKUP($A91,'Full Sample-No Sub'!$A:$R,J$1,0),2)</f>
        <v>2,950,000.00</v>
      </c>
      <c r="K91" s="9" t="str">
        <f>FIXED(VLOOKUP($A91,'Full Sample-No Sub'!$A:$R,K$1,0),2)</f>
        <v>1,327.82</v>
      </c>
      <c r="L91" s="3" t="str">
        <f>FIXED(VLOOKUP($A91,'Full Sample-No Sub'!$A:$R,L$1,0),2)</f>
        <v>110,655.80</v>
      </c>
      <c r="M91" s="3" t="str">
        <f>FIXED(VLOOKUP($A91,'Full Sample-No Sub'!$A:$R,M$1,0),2)</f>
        <v>-2,010,000.00</v>
      </c>
      <c r="N91" s="13" t="str">
        <f>FIXED(VLOOKUP($A91,'Full Sample-No Sub'!$A:$R,N$1,0),2)</f>
        <v>6,900,000.00</v>
      </c>
      <c r="O91" s="9" t="str">
        <f>FIXED(VLOOKUP($A91,'Full Sample-Townhouse'!$A:$R,O$1,0),2)</f>
        <v>7,330.84</v>
      </c>
      <c r="P91" s="3" t="str">
        <f>FIXED(VLOOKUP($A91,'Full Sample-Townhouse'!$A:$R,P$1,0),2)</f>
        <v>47,483.40</v>
      </c>
      <c r="Q91" s="3" t="str">
        <f>FIXED(VLOOKUP($A91,'Full Sample-Townhouse'!$A:$R,Q$1,0),2)</f>
        <v>-300,000.00</v>
      </c>
      <c r="R91" s="3" t="str">
        <f>FIXED(VLOOKUP($A91,'Full Sample-Townhouse'!$A:$R,R$1,0),2)</f>
        <v>4,750,000.00</v>
      </c>
      <c r="S91" s="9" t="str">
        <f>FIXED(VLOOKUP($A91,'Full Sample-Townhouse'!$A:$R,S$1,0),2)</f>
        <v>9,604.61</v>
      </c>
      <c r="T91" s="3" t="str">
        <f>FIXED(VLOOKUP($A91,'Full Sample-Townhouse'!$A:$R,T$1,0),2)</f>
        <v>32,040.51</v>
      </c>
      <c r="U91" s="3" t="str">
        <f>FIXED(VLOOKUP($A91,'Full Sample-Townhouse'!$A:$R,U$1,0),2)</f>
        <v>-152,000.00</v>
      </c>
      <c r="V91" s="13" t="str">
        <f>FIXED(VLOOKUP($A91,'Full Sample-Townhouse'!$A:$R,V$1,0),2)</f>
        <v>750,000.00</v>
      </c>
      <c r="W91" s="9" t="str">
        <f>FIXED(VLOOKUP($A91,'Full Sample-Townhouse'!$A:$R,W$1,0),2)</f>
        <v>4,247.90</v>
      </c>
      <c r="X91" s="3" t="str">
        <f>FIXED(VLOOKUP($A91,'Full Sample-Townhouse'!$A:$R,X$1,0),2)</f>
        <v>62,477.98</v>
      </c>
      <c r="Y91" s="3"/>
      <c r="Z91" s="3"/>
      <c r="AA91" s="9" t="str">
        <f>FIXED(VLOOKUP($A91,'Full Sample-Single Family'!$A:$R,AA$1,0),2)</f>
        <v>10,892.06</v>
      </c>
      <c r="AB91" s="3" t="str">
        <f>FIXED(VLOOKUP($A91,'Full Sample-Single Family'!$A:$R,AB$1,0),2)</f>
        <v>121,236.60</v>
      </c>
      <c r="AC91" s="3" t="str">
        <f>FIXED(VLOOKUP($A91,'Full Sample-Single Family'!$A:$R,AC$1,0),2)</f>
        <v>-2,010,000.00</v>
      </c>
      <c r="AD91" s="3" t="str">
        <f>FIXED(VLOOKUP($A91,'Full Sample-Single Family'!$A:$R,AD$1,0),2)</f>
        <v>6,900,000.00</v>
      </c>
      <c r="AE91" s="9" t="str">
        <f>FIXED(VLOOKUP($A91,'Full Sample-Single Family'!$A:$R,AE$1,0),2)</f>
        <v>20,447.76</v>
      </c>
      <c r="AF91" s="3" t="str">
        <f>FIXED(VLOOKUP($A91,'Full Sample-Single Family'!$A:$R,AF$1,0),2)</f>
        <v>94,762.45</v>
      </c>
      <c r="AG91" s="3" t="str">
        <f>FIXED(VLOOKUP($A91,'Full Sample-Single Family'!$A:$R,AG$1,0),2)</f>
        <v>-1,850,000.00</v>
      </c>
      <c r="AH91" s="13" t="str">
        <f>FIXED(VLOOKUP($A91,'Full Sample-Single Family'!$A:$R,AH$1,0),2)</f>
        <v>2,950,000.00</v>
      </c>
      <c r="AI91" s="9" t="str">
        <f>FIXED(VLOOKUP($A91,'Full Sample-Single Family'!$A:$R,AI$1,0),2)</f>
        <v>-2,172.66</v>
      </c>
      <c r="AJ91" s="3" t="str">
        <f>FIXED(VLOOKUP($A91,'Full Sample-Single Family'!$A:$R,AJ$1,0),2)</f>
        <v>149,073.00</v>
      </c>
      <c r="AK91" s="3"/>
      <c r="AL91" s="3"/>
    </row>
    <row r="92" spans="1:40" x14ac:dyDescent="0.25">
      <c r="A92" t="s">
        <v>19</v>
      </c>
      <c r="B92" t="s">
        <v>322</v>
      </c>
      <c r="C92" s="9" t="str">
        <f>FIXED(VLOOKUP($A92,'Full Sample-No Sub'!$A:$R,C$1,0)/100000,2)</f>
        <v>9.39</v>
      </c>
      <c r="D92" s="3" t="str">
        <f>FIXED(VLOOKUP($A92,'Full Sample-No Sub'!$A:$R,D$1,0),2)</f>
        <v>877,392.00</v>
      </c>
      <c r="E92" s="3" t="str">
        <f>FIXED(VLOOKUP($A92,'Full Sample-No Sub'!$A:$R,E$1,0),2)</f>
        <v>85,418.51</v>
      </c>
      <c r="F92" s="3" t="str">
        <f>FIXED(VLOOKUP($A92,'Full Sample-No Sub'!$A:$R,F$1,0),2)</f>
        <v>28,197,546.00</v>
      </c>
      <c r="G92" s="9" t="str">
        <f>FIXED(VLOOKUP($A92,'Full Sample-No Sub'!$A:$R,G$1,0),2)</f>
        <v>905,079.70</v>
      </c>
      <c r="H92" s="3" t="str">
        <f>FIXED(VLOOKUP($A92,'Full Sample-No Sub'!$A:$R,H$1,0),2)</f>
        <v>841,412.60</v>
      </c>
      <c r="I92" s="3" t="str">
        <f>FIXED(VLOOKUP($A92,'Full Sample-No Sub'!$A:$R,I$1,0),2)</f>
        <v>99,684.44</v>
      </c>
      <c r="J92" s="13" t="str">
        <f>FIXED(VLOOKUP($A92,'Full Sample-No Sub'!$A:$R,J$1,0),2)</f>
        <v>28,197,546.00</v>
      </c>
      <c r="K92" s="9" t="str">
        <f>FIXED(VLOOKUP($A92,'Full Sample-No Sub'!$A:$R,K$1,0),2)</f>
        <v>986,255.60</v>
      </c>
      <c r="L92" s="3" t="str">
        <f>FIXED(VLOOKUP($A92,'Full Sample-No Sub'!$A:$R,L$1,0),2)</f>
        <v>922,075.50</v>
      </c>
      <c r="M92" s="3" t="str">
        <f>FIXED(VLOOKUP($A92,'Full Sample-No Sub'!$A:$R,M$1,0),2)</f>
        <v>85,418.51</v>
      </c>
      <c r="N92" s="13" t="str">
        <f>FIXED(VLOOKUP($A92,'Full Sample-No Sub'!$A:$R,N$1,0),2)</f>
        <v>22,166,108.00</v>
      </c>
      <c r="O92" s="9" t="str">
        <f>FIXED(VLOOKUP($A92,'Full Sample-Townhouse'!$A:$R,O$1,0),2)</f>
        <v>665,521.00</v>
      </c>
      <c r="P92" s="3" t="str">
        <f>FIXED(VLOOKUP($A92,'Full Sample-Townhouse'!$A:$R,P$1,0),2)</f>
        <v>598,934.10</v>
      </c>
      <c r="Q92" s="3" t="str">
        <f>FIXED(VLOOKUP($A92,'Full Sample-Townhouse'!$A:$R,Q$1,0),2)</f>
        <v>85,418.51</v>
      </c>
      <c r="R92" s="3" t="str">
        <f>FIXED(VLOOKUP($A92,'Full Sample-Townhouse'!$A:$R,R$1,0),2)</f>
        <v>28,197,546.00</v>
      </c>
      <c r="S92" s="9" t="str">
        <f>FIXED(VLOOKUP($A92,'Full Sample-Townhouse'!$A:$R,S$1,0),2)</f>
        <v>665,932.90</v>
      </c>
      <c r="T92" s="3" t="str">
        <f>FIXED(VLOOKUP($A92,'Full Sample-Townhouse'!$A:$R,T$1,0),2)</f>
        <v>612,313.30</v>
      </c>
      <c r="U92" s="3" t="str">
        <f>FIXED(VLOOKUP($A92,'Full Sample-Townhouse'!$A:$R,U$1,0),2)</f>
        <v>99,684.44</v>
      </c>
      <c r="V92" s="13" t="str">
        <f>FIXED(VLOOKUP($A92,'Full Sample-Townhouse'!$A:$R,V$1,0),2)</f>
        <v>28,197,546.00</v>
      </c>
      <c r="W92" s="9" t="str">
        <f>FIXED(VLOOKUP($A92,'Full Sample-Townhouse'!$A:$R,W$1,0),2)</f>
        <v>664,962.60</v>
      </c>
      <c r="X92" s="3" t="str">
        <f>FIXED(VLOOKUP($A92,'Full Sample-Townhouse'!$A:$R,X$1,0),2)</f>
        <v>580,327.00</v>
      </c>
      <c r="Y92" s="3" t="str">
        <f>FIXED(VLOOKUP($A92,'Full Sample-Townhouse'!$A:$R,Y$1,0),2)</f>
        <v>85,418.51</v>
      </c>
      <c r="Z92" s="3" t="str">
        <f>FIXED(VLOOKUP($A92,'Full Sample-Townhouse'!$A:$R,Z$1,0),2)</f>
        <v>17,256,276.00</v>
      </c>
      <c r="AA92" s="9" t="str">
        <f>FIXED(VLOOKUP($A92,'Full Sample-Single Family'!$A:$R,AA$1,0),2)</f>
        <v>1,266,276.00</v>
      </c>
      <c r="AB92" s="3" t="str">
        <f>FIXED(VLOOKUP($A92,'Full Sample-Single Family'!$A:$R,AB$1,0),2)</f>
        <v>1,031,480.00</v>
      </c>
      <c r="AC92" s="3" t="str">
        <f>FIXED(VLOOKUP($A92,'Full Sample-Single Family'!$A:$R,AC$1,0),2)</f>
        <v>168,375.10</v>
      </c>
      <c r="AD92" s="3" t="str">
        <f>FIXED(VLOOKUP($A92,'Full Sample-Single Family'!$A:$R,AD$1,0),2)</f>
        <v>23,293,838.00</v>
      </c>
      <c r="AE92" s="9" t="str">
        <f>FIXED(VLOOKUP($A92,'Full Sample-Single Family'!$A:$R,AE$1,0),2)</f>
        <v>1,189,380.00</v>
      </c>
      <c r="AF92" s="3" t="str">
        <f>FIXED(VLOOKUP($A92,'Full Sample-Single Family'!$A:$R,AF$1,0),2)</f>
        <v>977,310.80</v>
      </c>
      <c r="AG92" s="3" t="str">
        <f>FIXED(VLOOKUP($A92,'Full Sample-Single Family'!$A:$R,AG$1,0),2)</f>
        <v>168,375.10</v>
      </c>
      <c r="AH92" s="13" t="str">
        <f>FIXED(VLOOKUP($A92,'Full Sample-Single Family'!$A:$R,AH$1,0),2)</f>
        <v>23,293,838.00</v>
      </c>
      <c r="AI92" s="9" t="str">
        <f>FIXED(VLOOKUP($A92,'Full Sample-Single Family'!$A:$R,AI$1,0),2)</f>
        <v>1,371,410.00</v>
      </c>
      <c r="AJ92" s="3" t="str">
        <f>FIXED(VLOOKUP($A92,'Full Sample-Single Family'!$A:$R,AJ$1,0),2)</f>
        <v>1,092,566.00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  <c r="AN92" s="9" t="s">
        <v>308</v>
      </c>
    </row>
  </sheetData>
  <mergeCells count="23">
    <mergeCell ref="AA76:AD76"/>
    <mergeCell ref="AE76:AH76"/>
    <mergeCell ref="AI76:AL76"/>
    <mergeCell ref="W5:Z5"/>
    <mergeCell ref="AA5:AD5"/>
    <mergeCell ref="AE5:AH5"/>
    <mergeCell ref="AI5:AL5"/>
    <mergeCell ref="W76:Z76"/>
    <mergeCell ref="C76:F76"/>
    <mergeCell ref="G76:J76"/>
    <mergeCell ref="K76:N76"/>
    <mergeCell ref="O76:R76"/>
    <mergeCell ref="S76:V76"/>
    <mergeCell ref="A2:AJ2"/>
    <mergeCell ref="A3:AJ3"/>
    <mergeCell ref="C4:L4"/>
    <mergeCell ref="O4:X4"/>
    <mergeCell ref="AA4:AJ4"/>
    <mergeCell ref="C5:F5"/>
    <mergeCell ref="G5:J5"/>
    <mergeCell ref="K5:N5"/>
    <mergeCell ref="O5:R5"/>
    <mergeCell ref="S5:V5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F5C-7827-4427-BB17-8153613F5832}">
  <sheetPr codeName="Sheet25">
    <pageSetUpPr fitToPage="1"/>
  </sheetPr>
  <dimension ref="A1:AN92"/>
  <sheetViews>
    <sheetView topLeftCell="B1" workbookViewId="0">
      <selection activeCell="AA1" sqref="AA1:AJ1048576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3" width="11.7109375" style="3" bestFit="1" customWidth="1"/>
    <col min="4" max="4" width="10.140625" style="3" bestFit="1" customWidth="1"/>
    <col min="5" max="5" width="11.710937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1.7109375" style="3" hidden="1" customWidth="1"/>
    <col min="10" max="10" width="12.7109375" style="3" hidden="1" customWidth="1"/>
    <col min="11" max="11" width="11.7109375" style="3" bestFit="1" customWidth="1"/>
    <col min="12" max="12" width="10.140625" style="3" bestFit="1" customWidth="1"/>
    <col min="13" max="13" width="11.7109375" style="3" hidden="1" customWidth="1"/>
    <col min="14" max="14" width="12.7109375" style="3" hidden="1" customWidth="1"/>
    <col min="15" max="16" width="11.7109375" bestFit="1" customWidth="1"/>
    <col min="17" max="17" width="11.7109375" hidden="1" customWidth="1"/>
    <col min="18" max="18" width="12.7109375" hidden="1" customWidth="1"/>
    <col min="19" max="20" width="11.7109375" bestFit="1" customWidth="1"/>
    <col min="21" max="21" width="11.710937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2" width="11.710937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0" hidden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1" t="s">
        <v>188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1:40" ht="23.25" x14ac:dyDescent="0.35">
      <c r="A3" s="31" t="s">
        <v>189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</row>
    <row r="4" spans="1:40" x14ac:dyDescent="0.25">
      <c r="C4" s="39" t="s">
        <v>92</v>
      </c>
      <c r="D4" s="40"/>
      <c r="E4" s="40"/>
      <c r="F4" s="40"/>
      <c r="G4" s="40"/>
      <c r="H4" s="40"/>
      <c r="I4" s="40"/>
      <c r="J4" s="40"/>
      <c r="K4" s="40"/>
      <c r="L4" s="40"/>
      <c r="M4" s="10"/>
      <c r="N4" s="11"/>
      <c r="O4" s="39" t="s">
        <v>307</v>
      </c>
      <c r="P4" s="40"/>
      <c r="Q4" s="40"/>
      <c r="R4" s="40"/>
      <c r="S4" s="40"/>
      <c r="T4" s="40"/>
      <c r="U4" s="40"/>
      <c r="V4" s="40"/>
      <c r="W4" s="40"/>
      <c r="X4" s="40"/>
      <c r="AA4" s="39" t="s">
        <v>306</v>
      </c>
      <c r="AB4" s="40"/>
      <c r="AC4" s="40"/>
      <c r="AD4" s="40"/>
      <c r="AE4" s="40"/>
      <c r="AF4" s="40"/>
      <c r="AG4" s="40"/>
      <c r="AH4" s="40"/>
      <c r="AI4" s="40"/>
      <c r="AJ4" s="40"/>
    </row>
    <row r="5" spans="1:40" ht="30.75" customHeight="1" x14ac:dyDescent="0.25">
      <c r="A5" s="5"/>
      <c r="B5" s="5"/>
      <c r="C5" s="41" t="s">
        <v>92</v>
      </c>
      <c r="D5" s="42"/>
      <c r="E5" s="42"/>
      <c r="F5" s="42"/>
      <c r="G5" s="43" t="s">
        <v>94</v>
      </c>
      <c r="H5" s="44"/>
      <c r="I5" s="44"/>
      <c r="J5" s="45"/>
      <c r="K5" s="41" t="s">
        <v>93</v>
      </c>
      <c r="L5" s="42"/>
      <c r="M5" s="42"/>
      <c r="N5" s="46"/>
      <c r="O5" s="41" t="s">
        <v>92</v>
      </c>
      <c r="P5" s="42"/>
      <c r="Q5" s="42"/>
      <c r="R5" s="42"/>
      <c r="S5" s="43" t="s">
        <v>94</v>
      </c>
      <c r="T5" s="44"/>
      <c r="U5" s="44"/>
      <c r="V5" s="45"/>
      <c r="W5" s="41" t="s">
        <v>93</v>
      </c>
      <c r="X5" s="42"/>
      <c r="Y5" s="42"/>
      <c r="Z5" s="42"/>
      <c r="AA5" s="41" t="s">
        <v>92</v>
      </c>
      <c r="AB5" s="42"/>
      <c r="AC5" s="42"/>
      <c r="AD5" s="42"/>
      <c r="AE5" s="43" t="s">
        <v>94</v>
      </c>
      <c r="AF5" s="44"/>
      <c r="AG5" s="44"/>
      <c r="AH5" s="45"/>
      <c r="AI5" s="41" t="s">
        <v>93</v>
      </c>
      <c r="AJ5" s="42"/>
      <c r="AK5" s="42"/>
      <c r="AL5" s="42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Sample-Townhouse'!$A:$R,C$1,0),2)</f>
        <v>665,521.00</v>
      </c>
      <c r="D7" s="3" t="str">
        <f>FIXED(VLOOKUP($A7,'Full Sample-Townhouse'!$A:$R,D$1,0),2)</f>
        <v>598,934.10</v>
      </c>
      <c r="E7" s="3" t="str">
        <f>FIXED(VLOOKUP($A7,'Full Sample-Townhouse'!$A:$R,E$1,0),2)</f>
        <v>85,418.51</v>
      </c>
      <c r="F7" s="3" t="str">
        <f>FIXED(VLOOKUP($A7,'Full Sample-Townhouse'!$A:$R,F$1,0),2)</f>
        <v>28,197,546.00</v>
      </c>
      <c r="G7" s="9" t="str">
        <f>FIXED(VLOOKUP($A7,'Full Sample-Townhouse'!$A:$R,G$1,0),2)</f>
        <v>665,932.90</v>
      </c>
      <c r="H7" s="3" t="str">
        <f>FIXED(VLOOKUP($A7,'Full Sample-Townhouse'!$A:$R,H$1,0),2)</f>
        <v>612,313.30</v>
      </c>
      <c r="I7" s="3" t="str">
        <f>FIXED(VLOOKUP($A7,'Full Sample-Townhouse'!$A:$R,I$1,0),2)</f>
        <v>99,684.44</v>
      </c>
      <c r="J7" s="13" t="str">
        <f>FIXED(VLOOKUP($A7,'Full Sample-Townhouse'!$A:$R,J$1,0),2)</f>
        <v>28,197,546.00</v>
      </c>
      <c r="K7" s="9" t="str">
        <f>FIXED(VLOOKUP($A7,'Full Sample-Townhouse'!$A:$R,K$1,0),2)</f>
        <v>664,962.60</v>
      </c>
      <c r="L7" s="3" t="str">
        <f>FIXED(VLOOKUP($A7,'Full Sample-Townhouse'!$A:$R,L$1,0),2)</f>
        <v>580,327.00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1-Townhouse'!$A:$R,O$1,0),2)</f>
        <v>674,395.60</v>
      </c>
      <c r="P7" s="3" t="str">
        <f>FIXED(VLOOKUP($A7,'Small Sample 1-Townhouse'!$A:$R,P$1,0),2)</f>
        <v>623,780.30</v>
      </c>
      <c r="Q7" s="3" t="str">
        <f>FIXED(VLOOKUP($A7,'Small Sample 1-Townhouse'!$A:$R,Q$1,0),2)</f>
        <v>85,418.51</v>
      </c>
      <c r="R7" s="3" t="str">
        <f>FIXED(VLOOKUP($A7,'Small Sample 1-Townhouse'!$A:$R,R$1,0),2)</f>
        <v>28,197,546.00</v>
      </c>
      <c r="S7" s="9" t="str">
        <f>FIXED(VLOOKUP($A7,'Small Sample 1-Townhouse'!$A:$R,S$1,0),2)</f>
        <v>680,477.70</v>
      </c>
      <c r="T7" s="3" t="str">
        <f>FIXED(VLOOKUP($A7,'Small Sample 1-Townhouse'!$A:$R,T$1,0),2)</f>
        <v>655,421.50</v>
      </c>
      <c r="U7" s="3" t="str">
        <f>FIXED(VLOOKUP($A7,'Small Sample 1-Townhouse'!$A:$R,U$1,0),2)</f>
        <v>99,684.44</v>
      </c>
      <c r="V7" s="13" t="str">
        <f>FIXED(VLOOKUP($A7,'Small Sample 1-Townhouse'!$A:$R,V$1,0),2)</f>
        <v>28,197,546.00</v>
      </c>
      <c r="W7" s="9" t="str">
        <f>FIXED(VLOOKUP($A7,'Small Sample 1-Townhouse'!$A:$R,W$1,0),2)</f>
        <v>667,870.30</v>
      </c>
      <c r="X7" s="3" t="str">
        <f>FIXED(VLOOKUP($A7,'Small Sample 1-Townhouse'!$A:$R,X$1,0),2)</f>
        <v>587,902.30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2-Townhouse'!$A:$R,AA$1,0),2)</f>
        <v>669,215.30</v>
      </c>
      <c r="AB7" s="3" t="str">
        <f>FIXED(VLOOKUP($A7,'Small Sample 2-Townhouse'!$A:$R,AB$1,0),2)</f>
        <v>623,876.70</v>
      </c>
      <c r="AC7" s="3" t="str">
        <f>FIXED(VLOOKUP($A7,'Small Sample 2-Townhouse'!$A:$R,AC$1,0),2)</f>
        <v>85,418.51</v>
      </c>
      <c r="AD7" s="3" t="str">
        <f>FIXED(VLOOKUP($A7,'Small Sample 2-Townhouse'!$A:$R,AD$1,0),2)</f>
        <v>28,197,546.00</v>
      </c>
      <c r="AE7" s="9" t="str">
        <f>FIXED(VLOOKUP($A7,'Small Sample 2-Townhouse'!$A:$R,AE$1,0),2)</f>
        <v>669,144.10</v>
      </c>
      <c r="AF7" s="3" t="str">
        <f>FIXED(VLOOKUP($A7,'Small Sample 2-Townhouse'!$A:$R,AF$1,0),2)</f>
        <v>627,270.60</v>
      </c>
      <c r="AG7" s="3" t="str">
        <f>FIXED(VLOOKUP($A7,'Small Sample 2-Townhouse'!$A:$R,AG$1,0),2)</f>
        <v>99,684.44</v>
      </c>
      <c r="AH7" s="13" t="str">
        <f>FIXED(VLOOKUP($A7,'Small Sample 2-Townhouse'!$A:$R,AH$1,0),2)</f>
        <v>28,197,546.00</v>
      </c>
      <c r="AI7" s="9" t="str">
        <f>FIXED(VLOOKUP($A7,'Small Sample 2-Townhouse'!$A:$R,AI$1,0),2)</f>
        <v>669,336.20</v>
      </c>
      <c r="AJ7" s="3" t="str">
        <f>FIXED(VLOOKUP($A7,'Small Sample 2-Townhouse'!$A:$R,AJ$1,0),2)</f>
        <v>618,112.20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308</v>
      </c>
    </row>
    <row r="8" spans="1:40" x14ac:dyDescent="0.25">
      <c r="A8" t="s">
        <v>20</v>
      </c>
      <c r="B8" t="s">
        <v>104</v>
      </c>
      <c r="C8" s="9" t="str">
        <f>FIXED(VLOOKUP($A8,'Full Sample-Townhouse'!$A:$R,C$1,0),2)</f>
        <v>656,708.10</v>
      </c>
      <c r="D8" s="3" t="str">
        <f>FIXED(VLOOKUP($A8,'Full Sample-Townhouse'!$A:$R,D$1,0),2)</f>
        <v>572,075.50</v>
      </c>
      <c r="E8" s="3" t="str">
        <f>FIXED(VLOOKUP($A8,'Full Sample-Townhouse'!$A:$R,E$1,0),2)</f>
        <v>85,418.51</v>
      </c>
      <c r="F8" s="3" t="str">
        <f>FIXED(VLOOKUP($A8,'Full Sample-Townhouse'!$A:$R,F$1,0),2)</f>
        <v>28,197,546.00</v>
      </c>
      <c r="G8" s="9" t="str">
        <f>FIXED(VLOOKUP($A8,'Full Sample-Townhouse'!$A:$R,G$1,0),2)</f>
        <v>654,242.70</v>
      </c>
      <c r="H8" s="3" t="str">
        <f>FIXED(VLOOKUP($A8,'Full Sample-Townhouse'!$A:$R,H$1,0),2)</f>
        <v>590,711.30</v>
      </c>
      <c r="I8" s="3" t="str">
        <f>FIXED(VLOOKUP($A8,'Full Sample-Townhouse'!$A:$R,I$1,0),2)</f>
        <v>118,448.60</v>
      </c>
      <c r="J8" s="13" t="str">
        <f>FIXED(VLOOKUP($A8,'Full Sample-Townhouse'!$A:$R,J$1,0),2)</f>
        <v>28,197,546.00</v>
      </c>
      <c r="K8" s="9" t="str">
        <f>FIXED(VLOOKUP($A8,'Full Sample-Townhouse'!$A:$R,K$1,0),2)</f>
        <v>660,050.90</v>
      </c>
      <c r="L8" s="3" t="str">
        <f>FIXED(VLOOKUP($A8,'Full Sample-Townhouse'!$A:$R,L$1,0),2)</f>
        <v>545,800.00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1-Townhouse'!$A:$R,O$1,0),2)</f>
        <v>665,547.90</v>
      </c>
      <c r="P8" s="3" t="str">
        <f>FIXED(VLOOKUP($A8,'Small Sample 1-Townhouse'!$A:$R,P$1,0),2)</f>
        <v>595,737.20</v>
      </c>
      <c r="Q8" s="3" t="str">
        <f>FIXED(VLOOKUP($A8,'Small Sample 1-Townhouse'!$A:$R,Q$1,0),2)</f>
        <v>85,418.51</v>
      </c>
      <c r="R8" s="3" t="str">
        <f>FIXED(VLOOKUP($A8,'Small Sample 1-Townhouse'!$A:$R,R$1,0),2)</f>
        <v>28,197,546.00</v>
      </c>
      <c r="S8" s="9" t="str">
        <f>FIXED(VLOOKUP($A8,'Small Sample 1-Townhouse'!$A:$R,S$1,0),2)</f>
        <v>667,891.50</v>
      </c>
      <c r="T8" s="3" t="str">
        <f>FIXED(VLOOKUP($A8,'Small Sample 1-Townhouse'!$A:$R,T$1,0),2)</f>
        <v>633,233.60</v>
      </c>
      <c r="U8" s="3" t="str">
        <f>FIXED(VLOOKUP($A8,'Small Sample 1-Townhouse'!$A:$R,U$1,0),2)</f>
        <v>118,448.60</v>
      </c>
      <c r="V8" s="13" t="str">
        <f>FIXED(VLOOKUP($A8,'Small Sample 1-Townhouse'!$A:$R,V$1,0),2)</f>
        <v>28,197,546.00</v>
      </c>
      <c r="W8" s="9" t="str">
        <f>FIXED(VLOOKUP($A8,'Small Sample 1-Townhouse'!$A:$R,W$1,0),2)</f>
        <v>663,033.50</v>
      </c>
      <c r="X8" s="3" t="str">
        <f>FIXED(VLOOKUP($A8,'Small Sample 1-Townhouse'!$A:$R,X$1,0),2)</f>
        <v>552,704.40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2-Townhouse'!$A:$R,AA$1,0),2)</f>
        <v>659,024.20</v>
      </c>
      <c r="AB8" s="3" t="str">
        <f>FIXED(VLOOKUP($A8,'Small Sample 2-Townhouse'!$A:$R,AB$1,0),2)</f>
        <v>596,047.20</v>
      </c>
      <c r="AC8" s="3" t="str">
        <f>FIXED(VLOOKUP($A8,'Small Sample 2-Townhouse'!$A:$R,AC$1,0),2)</f>
        <v>85,418.51</v>
      </c>
      <c r="AD8" s="3" t="str">
        <f>FIXED(VLOOKUP($A8,'Small Sample 2-Townhouse'!$A:$R,AD$1,0),2)</f>
        <v>28,197,546.00</v>
      </c>
      <c r="AE8" s="9" t="str">
        <f>FIXED(VLOOKUP($A8,'Small Sample 2-Townhouse'!$A:$R,AE$1,0),2)</f>
        <v>657,169.30</v>
      </c>
      <c r="AF8" s="3" t="str">
        <f>FIXED(VLOOKUP($A8,'Small Sample 2-Townhouse'!$A:$R,AF$1,0),2)</f>
        <v>605,216.70</v>
      </c>
      <c r="AG8" s="3" t="str">
        <f>FIXED(VLOOKUP($A8,'Small Sample 2-Townhouse'!$A:$R,AG$1,0),2)</f>
        <v>118,448.60</v>
      </c>
      <c r="AH8" s="13" t="str">
        <f>FIXED(VLOOKUP($A8,'Small Sample 2-Townhouse'!$A:$R,AH$1,0),2)</f>
        <v>28,197,546.00</v>
      </c>
      <c r="AI8" s="9" t="str">
        <f>FIXED(VLOOKUP($A8,'Small Sample 2-Townhouse'!$A:$R,AI$1,0),2)</f>
        <v>662,171.00</v>
      </c>
      <c r="AJ8" s="3" t="str">
        <f>FIXED(VLOOKUP($A8,'Small Sample 2-Townhouse'!$A:$R,AJ$1,0),2)</f>
        <v>580,180.10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Sample-Townhouse'!$A:$R,C$1,0),2)</f>
        <v>7,330.84</v>
      </c>
      <c r="D9" s="3" t="str">
        <f>FIXED(VLOOKUP($A9,'Full Sample-Townhouse'!$A:$R,D$1,0),2)</f>
        <v>47,483.40</v>
      </c>
      <c r="E9" s="3" t="str">
        <f>FIXED(VLOOKUP($A9,'Full Sample-Townhouse'!$A:$R,E$1,0),2)</f>
        <v>-300,000.00</v>
      </c>
      <c r="F9" s="3" t="str">
        <f>FIXED(VLOOKUP($A9,'Full Sample-Townhouse'!$A:$R,F$1,0),2)</f>
        <v>4,750,000.00</v>
      </c>
      <c r="G9" s="9" t="str">
        <f>FIXED(VLOOKUP($A9,'Full Sample-Townhouse'!$A:$R,G$1,0),2)</f>
        <v>9,604.61</v>
      </c>
      <c r="H9" s="3" t="str">
        <f>FIXED(VLOOKUP($A9,'Full Sample-Townhouse'!$A:$R,H$1,0),2)</f>
        <v>32,040.51</v>
      </c>
      <c r="I9" s="3" t="str">
        <f>FIXED(VLOOKUP($A9,'Full Sample-Townhouse'!$A:$R,I$1,0),2)</f>
        <v>-152,000.00</v>
      </c>
      <c r="J9" s="13" t="str">
        <f>FIXED(VLOOKUP($A9,'Full Sample-Townhouse'!$A:$R,J$1,0),2)</f>
        <v>750,000.00</v>
      </c>
      <c r="K9" s="9" t="str">
        <f>FIXED(VLOOKUP($A9,'Full Sample-Townhouse'!$A:$R,K$1,0),2)</f>
        <v>4,247.90</v>
      </c>
      <c r="L9" s="3" t="str">
        <f>FIXED(VLOOKUP($A9,'Full Sample-Townhouse'!$A:$R,L$1,0),2)</f>
        <v>62,477.98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1-Townhouse'!$A:$R,O$1,0),2)</f>
        <v>7,379.60</v>
      </c>
      <c r="P9" s="3" t="str">
        <f>FIXED(VLOOKUP($A9,'Small Sample 1-Townhouse'!$A:$R,P$1,0),2)</f>
        <v>50,229.24</v>
      </c>
      <c r="Q9" s="3" t="str">
        <f>FIXED(VLOOKUP($A9,'Small Sample 1-Townhouse'!$A:$R,Q$1,0),2)</f>
        <v>-300,000.00</v>
      </c>
      <c r="R9" s="3" t="str">
        <f>FIXED(VLOOKUP($A9,'Small Sample 1-Townhouse'!$A:$R,R$1,0),2)</f>
        <v>4,750,000.00</v>
      </c>
      <c r="S9" s="9" t="str">
        <f>FIXED(VLOOKUP($A9,'Small Sample 1-Townhouse'!$A:$R,S$1,0),2)</f>
        <v>10,355.24</v>
      </c>
      <c r="T9" s="3" t="str">
        <f>FIXED(VLOOKUP($A9,'Small Sample 1-Townhouse'!$A:$R,T$1,0),2)</f>
        <v>33,509.42</v>
      </c>
      <c r="U9" s="3" t="str">
        <f>FIXED(VLOOKUP($A9,'Small Sample 1-Townhouse'!$A:$R,U$1,0),2)</f>
        <v>-152,000.00</v>
      </c>
      <c r="V9" s="13" t="str">
        <f>FIXED(VLOOKUP($A9,'Small Sample 1-Townhouse'!$A:$R,V$1,0),2)</f>
        <v>750,000.00</v>
      </c>
      <c r="W9" s="9" t="str">
        <f>FIXED(VLOOKUP($A9,'Small Sample 1-Townhouse'!$A:$R,W$1,0),2)</f>
        <v>4,187.15</v>
      </c>
      <c r="X9" s="3" t="str">
        <f>FIXED(VLOOKUP($A9,'Small Sample 1-Townhouse'!$A:$R,X$1,0),2)</f>
        <v>63,290.02</v>
      </c>
      <c r="Y9" s="3"/>
      <c r="Z9" s="3"/>
      <c r="AA9" s="9" t="str">
        <f>FIXED(VLOOKUP($A9,'Small Sample 2-Townhouse'!$A:$R,AA$1,0),2)</f>
        <v>8,509.35</v>
      </c>
      <c r="AB9" s="3" t="str">
        <f>FIXED(VLOOKUP($A9,'Small Sample 2-Townhouse'!$A:$R,AB$1,0),2)</f>
        <v>48,083.46</v>
      </c>
      <c r="AC9" s="3" t="str">
        <f>FIXED(VLOOKUP($A9,'Small Sample 2-Townhouse'!$A:$R,AC$1,0),2)</f>
        <v>-300,000.00</v>
      </c>
      <c r="AD9" s="3" t="str">
        <f>FIXED(VLOOKUP($A9,'Small Sample 2-Townhouse'!$A:$R,AD$1,0),2)</f>
        <v>4,750,000.00</v>
      </c>
      <c r="AE9" s="9" t="str">
        <f>FIXED(VLOOKUP($A9,'Small Sample 2-Townhouse'!$A:$R,AE$1,0),2)</f>
        <v>9,828.59</v>
      </c>
      <c r="AF9" s="3" t="str">
        <f>FIXED(VLOOKUP($A9,'Small Sample 2-Townhouse'!$A:$R,AF$1,0),2)</f>
        <v>32,780.83</v>
      </c>
      <c r="AG9" s="3" t="str">
        <f>FIXED(VLOOKUP($A9,'Small Sample 2-Townhouse'!$A:$R,AG$1,0),2)</f>
        <v>-152,000.00</v>
      </c>
      <c r="AH9" s="13" t="str">
        <f>FIXED(VLOOKUP($A9,'Small Sample 2-Townhouse'!$A:$R,AH$1,0),2)</f>
        <v>750,000.00</v>
      </c>
      <c r="AI9" s="9" t="str">
        <f>FIXED(VLOOKUP($A9,'Small Sample 2-Townhouse'!$A:$R,AI$1,0),2)</f>
        <v>6,271.19</v>
      </c>
      <c r="AJ9" s="3" t="str">
        <f>FIXED(VLOOKUP($A9,'Small Sample 2-Townhouse'!$A:$R,AJ$1,0),2)</f>
        <v>66,361.25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Sample-Townhouse'!$A:$R,C$1,0),2)</f>
        <v>1.33</v>
      </c>
      <c r="D10" s="3" t="str">
        <f>FIXED(VLOOKUP($A10,'Full Sample-Townhouse'!$A:$R,D$1,0),2)</f>
        <v>0.56</v>
      </c>
      <c r="E10" s="3" t="str">
        <f>FIXED(VLOOKUP($A10,'Full Sample-Townhouse'!$A:$R,E$1,0),2)</f>
        <v>1.00</v>
      </c>
      <c r="F10" s="3" t="str">
        <f>FIXED(VLOOKUP($A10,'Full Sample-Townhouse'!$A:$R,F$1,0),2)</f>
        <v>5.00</v>
      </c>
      <c r="G10" s="9" t="str">
        <f>FIXED(VLOOKUP($A10,'Full Sample-Townhouse'!$A:$R,G$1,0),2)</f>
        <v>1.33</v>
      </c>
      <c r="H10" s="3" t="str">
        <f>FIXED(VLOOKUP($A10,'Full Sample-Townhouse'!$A:$R,H$1,0),2)</f>
        <v>0.56</v>
      </c>
      <c r="I10" s="3" t="str">
        <f>FIXED(VLOOKUP($A10,'Full Sample-Townhouse'!$A:$R,I$1,0),2)</f>
        <v>1.00</v>
      </c>
      <c r="J10" s="13" t="str">
        <f>FIXED(VLOOKUP($A10,'Full Sample-Townhouse'!$A:$R,J$1,0),2)</f>
        <v>5.00</v>
      </c>
      <c r="K10" s="9" t="str">
        <f>FIXED(VLOOKUP($A10,'Full Sample-Townhouse'!$A:$R,K$1,0),2)</f>
        <v>1.33</v>
      </c>
      <c r="L10" s="3" t="str">
        <f>FIXED(VLOOKUP($A10,'Full Sample-Townhouse'!$A:$R,L$1,0),2)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1-Townhouse'!$A:$R,O$1,0),2)</f>
        <v>1.18</v>
      </c>
      <c r="P10" s="3" t="str">
        <f>FIXED(VLOOKUP($A10,'Small Sample 1-Townhouse'!$A:$R,P$1,0),2)</f>
        <v>0.43</v>
      </c>
      <c r="Q10" s="3" t="str">
        <f>FIXED(VLOOKUP($A10,'Small Sample 1-Townhouse'!$A:$R,Q$1,0),2)</f>
        <v>1.00</v>
      </c>
      <c r="R10" s="3" t="str">
        <f>FIXED(VLOOKUP($A10,'Small Sample 1-Townhouse'!$A:$R,R$1,0),2)</f>
        <v>5.00</v>
      </c>
      <c r="S10" s="9" t="str">
        <f>FIXED(VLOOKUP($A10,'Small Sample 1-Townhouse'!$A:$R,S$1,0),2)</f>
        <v>1.07</v>
      </c>
      <c r="T10" s="3" t="str">
        <f>FIXED(VLOOKUP($A10,'Small Sample 1-Townhouse'!$A:$R,T$1,0),2)</f>
        <v>0.27</v>
      </c>
      <c r="U10" s="3" t="str">
        <f>FIXED(VLOOKUP($A10,'Small Sample 1-Townhouse'!$A:$R,U$1,0),2)</f>
        <v>1.00</v>
      </c>
      <c r="V10" s="13" t="str">
        <f>FIXED(VLOOKUP($A10,'Small Sample 1-Townhouse'!$A:$R,V$1,0),2)</f>
        <v>4.00</v>
      </c>
      <c r="W10" s="9" t="str">
        <f>FIXED(VLOOKUP($A10,'Small Sample 1-Townhouse'!$A:$R,W$1,0),2)</f>
        <v>1.30</v>
      </c>
      <c r="X10" s="3" t="str">
        <f>FIXED(VLOOKUP($A10,'Small Sample 1-Townhouse'!$A:$R,X$1,0),2)</f>
        <v>0.53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2-Townhouse'!$A:$R,AA$1,0),2)</f>
        <v>1.18</v>
      </c>
      <c r="AB10" s="3" t="str">
        <f>FIXED(VLOOKUP($A10,'Small Sample 2-Townhouse'!$A:$R,AB$1,0),2)</f>
        <v>0.43</v>
      </c>
      <c r="AC10" s="3" t="str">
        <f>FIXED(VLOOKUP($A10,'Small Sample 2-Townhouse'!$A:$R,AC$1,0),2)</f>
        <v>1.00</v>
      </c>
      <c r="AD10" s="3" t="str">
        <f>FIXED(VLOOKUP($A10,'Small Sample 2-Townhouse'!$A:$R,AD$1,0),2)</f>
        <v>5.00</v>
      </c>
      <c r="AE10" s="9" t="str">
        <f>FIXED(VLOOKUP($A10,'Small Sample 2-Townhouse'!$A:$R,AE$1,0),2)</f>
        <v>1.26</v>
      </c>
      <c r="AF10" s="3" t="str">
        <f>FIXED(VLOOKUP($A10,'Small Sample 2-Townhouse'!$A:$R,AF$1,0),2)</f>
        <v>0.50</v>
      </c>
      <c r="AG10" s="3" t="str">
        <f>FIXED(VLOOKUP($A10,'Small Sample 2-Townhouse'!$A:$R,AG$1,0),2)</f>
        <v>1.00</v>
      </c>
      <c r="AH10" s="13" t="str">
        <f>FIXED(VLOOKUP($A10,'Small Sample 2-Townhouse'!$A:$R,AH$1,0),2)</f>
        <v>5.00</v>
      </c>
      <c r="AI10" s="9" t="str">
        <f>FIXED(VLOOKUP($A10,'Small Sample 2-Townhouse'!$A:$R,AI$1,0),2)</f>
        <v>1.04</v>
      </c>
      <c r="AJ10" s="3" t="str">
        <f>FIXED(VLOOKUP($A10,'Small Sample 2-Townhouse'!$A:$R,AJ$1,0),2)</f>
        <v>0.20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Sample-Townhouse'!$A:$R,C$1,0),2)</f>
        <v>0.42</v>
      </c>
      <c r="D11" s="3" t="str">
        <f>FIXED(VLOOKUP($A11,'Full Sample-Townhouse'!$A:$R,D$1,0),2)</f>
        <v>0.49</v>
      </c>
      <c r="E11" s="3" t="str">
        <f>FIXED(VLOOKUP($A11,'Full Sample-Townhouse'!$A:$R,E$1,0),2)</f>
        <v>0.00</v>
      </c>
      <c r="F11" s="3" t="str">
        <f>FIXED(VLOOKUP($A11,'Full Sample-Townhouse'!$A:$R,F$1,0),2)</f>
        <v>1.00</v>
      </c>
      <c r="G11" s="9" t="str">
        <f>FIXED(VLOOKUP($A11,'Full Sample-Townhouse'!$A:$R,G$1,0),2)</f>
        <v>0.00</v>
      </c>
      <c r="H11" s="3" t="str">
        <f>FIXED(VLOOKUP($A11,'Full Sample-Townhouse'!$A:$R,H$1,0),2)</f>
        <v>0.00</v>
      </c>
      <c r="I11" s="3" t="str">
        <f>FIXED(VLOOKUP($A11,'Full Sample-Townhouse'!$A:$R,I$1,0),2)</f>
        <v>0.00</v>
      </c>
      <c r="J11" s="13" t="str">
        <f>FIXED(VLOOKUP($A11,'Full Sample-Townhouse'!$A:$R,J$1,0),2)</f>
        <v>0.00</v>
      </c>
      <c r="K11" s="9" t="str">
        <f>FIXED(VLOOKUP($A11,'Full Sample-Townhouse'!$A:$R,K$1,0),2)</f>
        <v>1.00</v>
      </c>
      <c r="L11" s="3" t="str">
        <f>FIXED(VLOOKUP($A11,'Full Sample-Townhouse'!$A:$R,L$1,0),2)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1-Townhouse'!$A:$R,O$1,0),2)</f>
        <v>0.48</v>
      </c>
      <c r="P11" s="3" t="str">
        <f>FIXED(VLOOKUP($A11,'Small Sample 1-Townhouse'!$A:$R,P$1,0),2)</f>
        <v>0.50</v>
      </c>
      <c r="Q11" s="3" t="str">
        <f>FIXED(VLOOKUP($A11,'Small Sample 1-Townhouse'!$A:$R,Q$1,0),2)</f>
        <v>0.00</v>
      </c>
      <c r="R11" s="3" t="str">
        <f>FIXED(VLOOKUP($A11,'Small Sample 1-Townhouse'!$A:$R,R$1,0),2)</f>
        <v>1.00</v>
      </c>
      <c r="S11" s="9" t="str">
        <f>FIXED(VLOOKUP($A11,'Small Sample 1-Townhouse'!$A:$R,S$1,0),2)</f>
        <v>0.00</v>
      </c>
      <c r="T11" s="3" t="str">
        <f>FIXED(VLOOKUP($A11,'Small Sample 1-Townhouse'!$A:$R,T$1,0),2)</f>
        <v>0.00</v>
      </c>
      <c r="U11" s="3" t="str">
        <f>FIXED(VLOOKUP($A11,'Small Sample 1-Townhouse'!$A:$R,U$1,0),2)</f>
        <v>0.00</v>
      </c>
      <c r="V11" s="13" t="str">
        <f>FIXED(VLOOKUP($A11,'Small Sample 1-Townhouse'!$A:$R,V$1,0),2)</f>
        <v>0.00</v>
      </c>
      <c r="W11" s="9" t="str">
        <f>FIXED(VLOOKUP($A11,'Small Sample 1-Townhouse'!$A:$R,W$1,0),2)</f>
        <v>1.00</v>
      </c>
      <c r="X11" s="3" t="str">
        <f>FIXED(VLOOKUP($A11,'Small Sample 1-Townhouse'!$A:$R,X$1,0),2)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2-Townhouse'!$A:$R,AA$1,0),2)</f>
        <v>0.37</v>
      </c>
      <c r="AB11" s="3" t="str">
        <f>FIXED(VLOOKUP($A11,'Small Sample 2-Townhouse'!$A:$R,AB$1,0),2)</f>
        <v>0.48</v>
      </c>
      <c r="AC11" s="3" t="str">
        <f>FIXED(VLOOKUP($A11,'Small Sample 2-Townhouse'!$A:$R,AC$1,0),2)</f>
        <v>0.00</v>
      </c>
      <c r="AD11" s="3" t="str">
        <f>FIXED(VLOOKUP($A11,'Small Sample 2-Townhouse'!$A:$R,AD$1,0),2)</f>
        <v>1.00</v>
      </c>
      <c r="AE11" s="9" t="str">
        <f>FIXED(VLOOKUP($A11,'Small Sample 2-Townhouse'!$A:$R,AE$1,0),2)</f>
        <v>0.00</v>
      </c>
      <c r="AF11" s="3" t="str">
        <f>FIXED(VLOOKUP($A11,'Small Sample 2-Townhouse'!$A:$R,AF$1,0),2)</f>
        <v>0.00</v>
      </c>
      <c r="AG11" s="3" t="str">
        <f>FIXED(VLOOKUP($A11,'Small Sample 2-Townhouse'!$A:$R,AG$1,0),2)</f>
        <v>0.00</v>
      </c>
      <c r="AH11" s="13" t="str">
        <f>FIXED(VLOOKUP($A11,'Small Sample 2-Townhouse'!$A:$R,AH$1,0),2)</f>
        <v>0.00</v>
      </c>
      <c r="AI11" s="9" t="str">
        <f>FIXED(VLOOKUP($A11,'Small Sample 2-Townhouse'!$A:$R,AI$1,0),2)</f>
        <v>1.00</v>
      </c>
      <c r="AJ11" s="3" t="str">
        <f>FIXED(VLOOKUP($A11,'Small Sample 2-Townhouse'!$A:$R,AJ$1,0),2)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Sample-Townhouse'!$A:$R,C$1,0),2)</f>
        <v>0.38</v>
      </c>
      <c r="D12" s="3" t="str">
        <f>FIXED(VLOOKUP($A12,'Full Sample-Townhouse'!$A:$R,D$1,0),2)</f>
        <v>0.49</v>
      </c>
      <c r="E12" s="3" t="str">
        <f>FIXED(VLOOKUP($A12,'Full Sample-Townhouse'!$A:$R,E$1,0),2)</f>
        <v>0.00</v>
      </c>
      <c r="F12" s="3" t="str">
        <f>FIXED(VLOOKUP($A12,'Full Sample-Townhouse'!$A:$R,F$1,0),2)</f>
        <v>1.00</v>
      </c>
      <c r="G12" s="9" t="str">
        <f>FIXED(VLOOKUP($A12,'Full Sample-Townhouse'!$A:$R,G$1,0),2)</f>
        <v>0.00</v>
      </c>
      <c r="H12" s="3" t="str">
        <f>FIXED(VLOOKUP($A12,'Full Sample-Townhouse'!$A:$R,H$1,0),2)</f>
        <v>0.04</v>
      </c>
      <c r="I12" s="3" t="str">
        <f>FIXED(VLOOKUP($A12,'Full Sample-Townhouse'!$A:$R,I$1,0),2)</f>
        <v>0.00</v>
      </c>
      <c r="J12" s="13" t="str">
        <f>FIXED(VLOOKUP($A12,'Full Sample-Townhouse'!$A:$R,J$1,0),2)</f>
        <v>1.00</v>
      </c>
      <c r="K12" s="9" t="str">
        <f>FIXED(VLOOKUP($A12,'Full Sample-Townhouse'!$A:$R,K$1,0),2)</f>
        <v>0.90</v>
      </c>
      <c r="L12" s="3" t="str">
        <f>FIXED(VLOOKUP($A12,'Full Sample-Townhouse'!$A:$R,L$1,0),2)</f>
        <v>0.30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1-Townhouse'!$A:$R,O$1,0),2)</f>
        <v>0.43</v>
      </c>
      <c r="P12" s="3" t="str">
        <f>FIXED(VLOOKUP($A12,'Small Sample 1-Townhouse'!$A:$R,P$1,0),2)</f>
        <v>0.50</v>
      </c>
      <c r="Q12" s="3" t="str">
        <f>FIXED(VLOOKUP($A12,'Small Sample 1-Townhouse'!$A:$R,Q$1,0),2)</f>
        <v>0.00</v>
      </c>
      <c r="R12" s="3" t="str">
        <f>FIXED(VLOOKUP($A12,'Small Sample 1-Townhouse'!$A:$R,R$1,0),2)</f>
        <v>1.00</v>
      </c>
      <c r="S12" s="9" t="str">
        <f>FIXED(VLOOKUP($A12,'Small Sample 1-Townhouse'!$A:$R,S$1,0),2)</f>
        <v>0.00</v>
      </c>
      <c r="T12" s="3" t="str">
        <f>FIXED(VLOOKUP($A12,'Small Sample 1-Townhouse'!$A:$R,T$1,0),2)</f>
        <v>0.04</v>
      </c>
      <c r="U12" s="3" t="str">
        <f>FIXED(VLOOKUP($A12,'Small Sample 1-Townhouse'!$A:$R,U$1,0),2)</f>
        <v>0.00</v>
      </c>
      <c r="V12" s="13" t="str">
        <f>FIXED(VLOOKUP($A12,'Small Sample 1-Townhouse'!$A:$R,V$1,0),2)</f>
        <v>1.00</v>
      </c>
      <c r="W12" s="9" t="str">
        <f>FIXED(VLOOKUP($A12,'Small Sample 1-Townhouse'!$A:$R,W$1,0),2)</f>
        <v>0.90</v>
      </c>
      <c r="X12" s="3" t="str">
        <f>FIXED(VLOOKUP($A12,'Small Sample 1-Townhouse'!$A:$R,X$1,0),2)</f>
        <v>0.31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2-Townhouse'!$A:$R,AA$1,0),2)</f>
        <v>0.34</v>
      </c>
      <c r="AB12" s="3" t="str">
        <f>FIXED(VLOOKUP($A12,'Small Sample 2-Townhouse'!$A:$R,AB$1,0),2)</f>
        <v>0.47</v>
      </c>
      <c r="AC12" s="3" t="str">
        <f>FIXED(VLOOKUP($A12,'Small Sample 2-Townhouse'!$A:$R,AC$1,0),2)</f>
        <v>0.00</v>
      </c>
      <c r="AD12" s="3" t="str">
        <f>FIXED(VLOOKUP($A12,'Small Sample 2-Townhouse'!$A:$R,AD$1,0),2)</f>
        <v>1.00</v>
      </c>
      <c r="AE12" s="9" t="str">
        <f>FIXED(VLOOKUP($A12,'Small Sample 2-Townhouse'!$A:$R,AE$1,0),2)</f>
        <v>0.00</v>
      </c>
      <c r="AF12" s="3" t="str">
        <f>FIXED(VLOOKUP($A12,'Small Sample 2-Townhouse'!$A:$R,AF$1,0),2)</f>
        <v>0.04</v>
      </c>
      <c r="AG12" s="3" t="str">
        <f>FIXED(VLOOKUP($A12,'Small Sample 2-Townhouse'!$A:$R,AG$1,0),2)</f>
        <v>0.00</v>
      </c>
      <c r="AH12" s="13" t="str">
        <f>FIXED(VLOOKUP($A12,'Small Sample 2-Townhouse'!$A:$R,AH$1,0),2)</f>
        <v>1.00</v>
      </c>
      <c r="AI12" s="9" t="str">
        <f>FIXED(VLOOKUP($A12,'Small Sample 2-Townhouse'!$A:$R,AI$1,0),2)</f>
        <v>0.91</v>
      </c>
      <c r="AJ12" s="3" t="str">
        <f>FIXED(VLOOKUP($A12,'Small Sample 2-Townhouse'!$A:$R,AJ$1,0),2)</f>
        <v>0.29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Sample-Townhouse'!$A:$R,C$1,0),2)</f>
        <v>46.08</v>
      </c>
      <c r="D13" s="3" t="str">
        <f>FIXED(VLOOKUP($A13,'Full Sample-Townhouse'!$A:$R,D$1,0),2)</f>
        <v>60.64</v>
      </c>
      <c r="E13" s="3" t="str">
        <f>FIXED(VLOOKUP($A13,'Full Sample-Townhouse'!$A:$R,E$1,0),2)</f>
        <v>0.00</v>
      </c>
      <c r="F13" s="3" t="str">
        <f>FIXED(VLOOKUP($A13,'Full Sample-Townhouse'!$A:$R,F$1,0),2)</f>
        <v>946.00</v>
      </c>
      <c r="G13" s="9" t="str">
        <f>FIXED(VLOOKUP($A13,'Full Sample-Townhouse'!$A:$R,G$1,0),2)</f>
        <v>50.72</v>
      </c>
      <c r="H13" s="3" t="str">
        <f>FIXED(VLOOKUP($A13,'Full Sample-Townhouse'!$A:$R,H$1,0),2)</f>
        <v>58.35</v>
      </c>
      <c r="I13" s="3" t="str">
        <f>FIXED(VLOOKUP($A13,'Full Sample-Townhouse'!$A:$R,I$1,0),2)</f>
        <v>0.00</v>
      </c>
      <c r="J13" s="13" t="str">
        <f>FIXED(VLOOKUP($A13,'Full Sample-Townhouse'!$A:$R,J$1,0),2)</f>
        <v>785.00</v>
      </c>
      <c r="K13" s="9" t="str">
        <f>FIXED(VLOOKUP($A13,'Full Sample-Townhouse'!$A:$R,K$1,0),2)</f>
        <v>39.79</v>
      </c>
      <c r="L13" s="3" t="str">
        <f>FIXED(VLOOKUP($A13,'Full Sample-Townhouse'!$A:$R,L$1,0),2)</f>
        <v>63.08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1-Townhouse'!$A:$R,O$1,0),2)</f>
        <v>45.39</v>
      </c>
      <c r="P13" s="3" t="str">
        <f>FIXED(VLOOKUP($A13,'Small Sample 1-Townhouse'!$A:$R,P$1,0),2)</f>
        <v>61.39</v>
      </c>
      <c r="Q13" s="3" t="str">
        <f>FIXED(VLOOKUP($A13,'Small Sample 1-Townhouse'!$A:$R,Q$1,0),2)</f>
        <v>0.00</v>
      </c>
      <c r="R13" s="3" t="str">
        <f>FIXED(VLOOKUP($A13,'Small Sample 1-Townhouse'!$A:$R,R$1,0),2)</f>
        <v>946.00</v>
      </c>
      <c r="S13" s="9" t="str">
        <f>FIXED(VLOOKUP($A13,'Small Sample 1-Townhouse'!$A:$R,S$1,0),2)</f>
        <v>50.74</v>
      </c>
      <c r="T13" s="3" t="str">
        <f>FIXED(VLOOKUP($A13,'Small Sample 1-Townhouse'!$A:$R,T$1,0),2)</f>
        <v>59.23</v>
      </c>
      <c r="U13" s="3" t="str">
        <f>FIXED(VLOOKUP($A13,'Small Sample 1-Townhouse'!$A:$R,U$1,0),2)</f>
        <v>0.00</v>
      </c>
      <c r="V13" s="13" t="str">
        <f>FIXED(VLOOKUP($A13,'Small Sample 1-Townhouse'!$A:$R,V$1,0),2)</f>
        <v>785.00</v>
      </c>
      <c r="W13" s="9" t="str">
        <f>FIXED(VLOOKUP($A13,'Small Sample 1-Townhouse'!$A:$R,W$1,0),2)</f>
        <v>39.64</v>
      </c>
      <c r="X13" s="3" t="str">
        <f>FIXED(VLOOKUP($A13,'Small Sample 1-Townhouse'!$A:$R,X$1,0),2)</f>
        <v>63.12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2-Townhouse'!$A:$R,AA$1,0),2)</f>
        <v>48.42</v>
      </c>
      <c r="AB13" s="3" t="str">
        <f>FIXED(VLOOKUP($A13,'Small Sample 2-Townhouse'!$A:$R,AB$1,0),2)</f>
        <v>62.40</v>
      </c>
      <c r="AC13" s="3" t="str">
        <f>FIXED(VLOOKUP($A13,'Small Sample 2-Townhouse'!$A:$R,AC$1,0),2)</f>
        <v>0.00</v>
      </c>
      <c r="AD13" s="3" t="str">
        <f>FIXED(VLOOKUP($A13,'Small Sample 2-Townhouse'!$A:$R,AD$1,0),2)</f>
        <v>946.00</v>
      </c>
      <c r="AE13" s="9" t="str">
        <f>FIXED(VLOOKUP($A13,'Small Sample 2-Townhouse'!$A:$R,AE$1,0),2)</f>
        <v>51.75</v>
      </c>
      <c r="AF13" s="3" t="str">
        <f>FIXED(VLOOKUP($A13,'Small Sample 2-Townhouse'!$A:$R,AF$1,0),2)</f>
        <v>59.21</v>
      </c>
      <c r="AG13" s="3" t="str">
        <f>FIXED(VLOOKUP($A13,'Small Sample 2-Townhouse'!$A:$R,AG$1,0),2)</f>
        <v>0.00</v>
      </c>
      <c r="AH13" s="13" t="str">
        <f>FIXED(VLOOKUP($A13,'Small Sample 2-Townhouse'!$A:$R,AH$1,0),2)</f>
        <v>785.00</v>
      </c>
      <c r="AI13" s="9" t="str">
        <f>FIXED(VLOOKUP($A13,'Small Sample 2-Townhouse'!$A:$R,AI$1,0),2)</f>
        <v>42.76</v>
      </c>
      <c r="AJ13" s="3" t="str">
        <f>FIXED(VLOOKUP($A13,'Small Sample 2-Townhouse'!$A:$R,AJ$1,0),2)</f>
        <v>67.09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320</v>
      </c>
      <c r="C14" s="9" t="str">
        <f>FIXED(VLOOKUP($A14,'Full Sample-Townhouse'!$A:$R,C$1,0),2)</f>
        <v>2,019.06</v>
      </c>
      <c r="D14" s="3" t="str">
        <f>FIXED(VLOOKUP($A14,'Full Sample-Townhouse'!$A:$R,D$1,0),2)</f>
        <v>2.01</v>
      </c>
      <c r="E14" s="3" t="str">
        <f>FIXED(VLOOKUP($A14,'Full Sample-Townhouse'!$A:$R,E$1,0),2)</f>
        <v>2,016.00</v>
      </c>
      <c r="F14" s="3" t="str">
        <f>FIXED(VLOOKUP($A14,'Full Sample-Townhouse'!$A:$R,F$1,0),2)</f>
        <v>2,023.00</v>
      </c>
      <c r="G14" s="9" t="str">
        <f>FIXED(VLOOKUP($A14,'Full Sample-Townhouse'!$A:$R,G$1,0),2)</f>
        <v>2,017.57</v>
      </c>
      <c r="H14" s="3" t="str">
        <f>FIXED(VLOOKUP($A14,'Full Sample-Townhouse'!$A:$R,H$1,0),2)</f>
        <v>1.17</v>
      </c>
      <c r="I14" s="3" t="str">
        <f>FIXED(VLOOKUP($A14,'Full Sample-Townhouse'!$A:$R,I$1,0),2)</f>
        <v>2,016.00</v>
      </c>
      <c r="J14" s="13" t="str">
        <f>FIXED(VLOOKUP($A14,'Full Sample-Townhouse'!$A:$R,J$1,0),2)</f>
        <v>2,020.00</v>
      </c>
      <c r="K14" s="9" t="str">
        <f>FIXED(VLOOKUP($A14,'Full Sample-Townhouse'!$A:$R,K$1,0),2)</f>
        <v>2,021.08</v>
      </c>
      <c r="L14" s="3" t="str">
        <f>FIXED(VLOOKUP($A14,'Full Sample-Townhouse'!$A:$R,L$1,0),2)</f>
        <v>0.76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1-Townhouse'!$A:$R,O$1,0),2)</f>
        <v>2,019.32</v>
      </c>
      <c r="P14" s="3" t="str">
        <f>FIXED(VLOOKUP($A14,'Small Sample 1-Townhouse'!$A:$R,P$1,0),2)</f>
        <v>1.98</v>
      </c>
      <c r="Q14" s="3" t="str">
        <f>FIXED(VLOOKUP($A14,'Small Sample 1-Townhouse'!$A:$R,Q$1,0),2)</f>
        <v>2,016.00</v>
      </c>
      <c r="R14" s="3" t="str">
        <f>FIXED(VLOOKUP($A14,'Small Sample 1-Townhouse'!$A:$R,R$1,0),2)</f>
        <v>2,023.00</v>
      </c>
      <c r="S14" s="9" t="str">
        <f>FIXED(VLOOKUP($A14,'Small Sample 1-Townhouse'!$A:$R,S$1,0),2)</f>
        <v>2,017.66</v>
      </c>
      <c r="T14" s="3" t="str">
        <f>FIXED(VLOOKUP($A14,'Small Sample 1-Townhouse'!$A:$R,T$1,0),2)</f>
        <v>1.16</v>
      </c>
      <c r="U14" s="3" t="str">
        <f>FIXED(VLOOKUP($A14,'Small Sample 1-Townhouse'!$A:$R,U$1,0),2)</f>
        <v>2,016.00</v>
      </c>
      <c r="V14" s="13" t="str">
        <f>FIXED(VLOOKUP($A14,'Small Sample 1-Townhouse'!$A:$R,V$1,0),2)</f>
        <v>2,020.00</v>
      </c>
      <c r="W14" s="9" t="str">
        <f>FIXED(VLOOKUP($A14,'Small Sample 1-Townhouse'!$A:$R,W$1,0),2)</f>
        <v>2,021.10</v>
      </c>
      <c r="X14" s="3" t="str">
        <f>FIXED(VLOOKUP($A14,'Small Sample 1-Townhouse'!$A:$R,X$1,0),2)</f>
        <v>0.75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2-Townhouse'!$A:$R,AA$1,0),2)</f>
        <v>2,018.82</v>
      </c>
      <c r="AB14" s="3" t="str">
        <f>FIXED(VLOOKUP($A14,'Small Sample 2-Townhouse'!$A:$R,AB$1,0),2)</f>
        <v>2.00</v>
      </c>
      <c r="AC14" s="3" t="str">
        <f>FIXED(VLOOKUP($A14,'Small Sample 2-Townhouse'!$A:$R,AC$1,0),2)</f>
        <v>2,016.00</v>
      </c>
      <c r="AD14" s="3" t="str">
        <f>FIXED(VLOOKUP($A14,'Small Sample 2-Townhouse'!$A:$R,AD$1,0),2)</f>
        <v>2,023.00</v>
      </c>
      <c r="AE14" s="9" t="str">
        <f>FIXED(VLOOKUP($A14,'Small Sample 2-Townhouse'!$A:$R,AE$1,0),2)</f>
        <v>2,017.50</v>
      </c>
      <c r="AF14" s="3" t="str">
        <f>FIXED(VLOOKUP($A14,'Small Sample 2-Townhouse'!$A:$R,AF$1,0),2)</f>
        <v>1.16</v>
      </c>
      <c r="AG14" s="3" t="str">
        <f>FIXED(VLOOKUP($A14,'Small Sample 2-Townhouse'!$A:$R,AG$1,0),2)</f>
        <v>2,016.00</v>
      </c>
      <c r="AH14" s="13" t="str">
        <f>FIXED(VLOOKUP($A14,'Small Sample 2-Townhouse'!$A:$R,AH$1,0),2)</f>
        <v>2,020.00</v>
      </c>
      <c r="AI14" s="9" t="str">
        <f>FIXED(VLOOKUP($A14,'Small Sample 2-Townhouse'!$A:$R,AI$1,0),2)</f>
        <v>2,021.05</v>
      </c>
      <c r="AJ14" s="3" t="str">
        <f>FIXED(VLOOKUP($A14,'Small Sample 2-Townhouse'!$A:$R,AJ$1,0),2)</f>
        <v>0.76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Sample-Townhouse'!$A:$R,C$1,0),2)</f>
        <v>1.51</v>
      </c>
      <c r="D15" s="3" t="str">
        <f>FIXED(VLOOKUP($A15,'Full Sample-Townhouse'!$A:$R,D$1,0),2)</f>
        <v>0.56</v>
      </c>
      <c r="E15" s="3" t="str">
        <f>FIXED(VLOOKUP($A15,'Full Sample-Townhouse'!$A:$R,E$1,0),2)</f>
        <v>0.00</v>
      </c>
      <c r="F15" s="3" t="str">
        <f>FIXED(VLOOKUP($A15,'Full Sample-Townhouse'!$A:$R,F$1,0),2)</f>
        <v>6.00</v>
      </c>
      <c r="G15" s="9" t="str">
        <f>FIXED(VLOOKUP($A15,'Full Sample-Townhouse'!$A:$R,G$1,0),2)</f>
        <v>1.51</v>
      </c>
      <c r="H15" s="3" t="str">
        <f>FIXED(VLOOKUP($A15,'Full Sample-Townhouse'!$A:$R,H$1,0),2)</f>
        <v>0.55</v>
      </c>
      <c r="I15" s="3" t="str">
        <f>FIXED(VLOOKUP($A15,'Full Sample-Townhouse'!$A:$R,I$1,0),2)</f>
        <v>0.00</v>
      </c>
      <c r="J15" s="13" t="str">
        <f>FIXED(VLOOKUP($A15,'Full Sample-Townhouse'!$A:$R,J$1,0),2)</f>
        <v>5.00</v>
      </c>
      <c r="K15" s="9" t="str">
        <f>FIXED(VLOOKUP($A15,'Full Sample-Townhouse'!$A:$R,K$1,0),2)</f>
        <v>1.50</v>
      </c>
      <c r="L15" s="3" t="str">
        <f>FIXED(VLOOKUP($A15,'Full Sample-Townhouse'!$A:$R,L$1,0),2)</f>
        <v>0.56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1-Townhouse'!$A:$R,O$1,0),2)</f>
        <v>1.49</v>
      </c>
      <c r="P15" s="3" t="str">
        <f>FIXED(VLOOKUP($A15,'Small Sample 1-Townhouse'!$A:$R,P$1,0),2)</f>
        <v>0.55</v>
      </c>
      <c r="Q15" s="3" t="str">
        <f>FIXED(VLOOKUP($A15,'Small Sample 1-Townhouse'!$A:$R,Q$1,0),2)</f>
        <v>0.00</v>
      </c>
      <c r="R15" s="3" t="str">
        <f>FIXED(VLOOKUP($A15,'Small Sample 1-Townhouse'!$A:$R,R$1,0),2)</f>
        <v>6.00</v>
      </c>
      <c r="S15" s="9" t="str">
        <f>FIXED(VLOOKUP($A15,'Small Sample 1-Townhouse'!$A:$R,S$1,0),2)</f>
        <v>1.48</v>
      </c>
      <c r="T15" s="3" t="str">
        <f>FIXED(VLOOKUP($A15,'Small Sample 1-Townhouse'!$A:$R,T$1,0),2)</f>
        <v>0.55</v>
      </c>
      <c r="U15" s="3" t="str">
        <f>FIXED(VLOOKUP($A15,'Small Sample 1-Townhouse'!$A:$R,U$1,0),2)</f>
        <v>0.00</v>
      </c>
      <c r="V15" s="13" t="str">
        <f>FIXED(VLOOKUP($A15,'Small Sample 1-Townhouse'!$A:$R,V$1,0),2)</f>
        <v>4.00</v>
      </c>
      <c r="W15" s="9" t="str">
        <f>FIXED(VLOOKUP($A15,'Small Sample 1-Townhouse'!$A:$R,W$1,0),2)</f>
        <v>1.50</v>
      </c>
      <c r="X15" s="3" t="str">
        <f>FIXED(VLOOKUP($A15,'Small Sample 1-Townhouse'!$A:$R,X$1,0),2)</f>
        <v>0.56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2-Townhouse'!$A:$R,AA$1,0),2)</f>
        <v>1.49</v>
      </c>
      <c r="AB15" s="3" t="str">
        <f>FIXED(VLOOKUP($A15,'Small Sample 2-Townhouse'!$A:$R,AB$1,0),2)</f>
        <v>0.55</v>
      </c>
      <c r="AC15" s="3" t="str">
        <f>FIXED(VLOOKUP($A15,'Small Sample 2-Townhouse'!$A:$R,AC$1,0),2)</f>
        <v>0.00</v>
      </c>
      <c r="AD15" s="3" t="str">
        <f>FIXED(VLOOKUP($A15,'Small Sample 2-Townhouse'!$A:$R,AD$1,0),2)</f>
        <v>6.00</v>
      </c>
      <c r="AE15" s="9" t="str">
        <f>FIXED(VLOOKUP($A15,'Small Sample 2-Townhouse'!$A:$R,AE$1,0),2)</f>
        <v>1.50</v>
      </c>
      <c r="AF15" s="3" t="str">
        <f>FIXED(VLOOKUP($A15,'Small Sample 2-Townhouse'!$A:$R,AF$1,0),2)</f>
        <v>0.55</v>
      </c>
      <c r="AG15" s="3" t="str">
        <f>FIXED(VLOOKUP($A15,'Small Sample 2-Townhouse'!$A:$R,AG$1,0),2)</f>
        <v>0.00</v>
      </c>
      <c r="AH15" s="13" t="str">
        <f>FIXED(VLOOKUP($A15,'Small Sample 2-Townhouse'!$A:$R,AH$1,0),2)</f>
        <v>5.00</v>
      </c>
      <c r="AI15" s="9" t="str">
        <f>FIXED(VLOOKUP($A15,'Small Sample 2-Townhouse'!$A:$R,AI$1,0),2)</f>
        <v>1.48</v>
      </c>
      <c r="AJ15" s="3" t="str">
        <f>FIXED(VLOOKUP($A15,'Small Sample 2-Townhouse'!$A:$R,AJ$1,0),2)</f>
        <v>0.55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Sample-Townhouse'!$A:$R,C$1,0),2)</f>
        <v>0.18</v>
      </c>
      <c r="D16" s="3" t="str">
        <f>FIXED(VLOOKUP($A16,'Full Sample-Townhouse'!$A:$R,D$1,0),2)</f>
        <v>0.39</v>
      </c>
      <c r="E16" s="3" t="str">
        <f>FIXED(VLOOKUP($A16,'Full Sample-Townhouse'!$A:$R,E$1,0),2)</f>
        <v>0.00</v>
      </c>
      <c r="F16" s="3" t="str">
        <f>FIXED(VLOOKUP($A16,'Full Sample-Townhouse'!$A:$R,F$1,0),2)</f>
        <v>5.00</v>
      </c>
      <c r="G16" s="9" t="str">
        <f>FIXED(VLOOKUP($A16,'Full Sample-Townhouse'!$A:$R,G$1,0),2)</f>
        <v>0.18</v>
      </c>
      <c r="H16" s="3" t="str">
        <f>FIXED(VLOOKUP($A16,'Full Sample-Townhouse'!$A:$R,H$1,0),2)</f>
        <v>0.39</v>
      </c>
      <c r="I16" s="3" t="str">
        <f>FIXED(VLOOKUP($A16,'Full Sample-Townhouse'!$A:$R,I$1,0),2)</f>
        <v>0.00</v>
      </c>
      <c r="J16" s="13" t="str">
        <f>FIXED(VLOOKUP($A16,'Full Sample-Townhouse'!$A:$R,J$1,0),2)</f>
        <v>5.00</v>
      </c>
      <c r="K16" s="9" t="str">
        <f>FIXED(VLOOKUP($A16,'Full Sample-Townhouse'!$A:$R,K$1,0),2)</f>
        <v>0.18</v>
      </c>
      <c r="L16" s="3" t="str">
        <f>FIXED(VLOOKUP($A16,'Full Sample-Townhouse'!$A:$R,L$1,0),2)</f>
        <v>0.39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1-Townhouse'!$A:$R,O$1,0),2)</f>
        <v>0.17</v>
      </c>
      <c r="P16" s="3" t="str">
        <f>FIXED(VLOOKUP($A16,'Small Sample 1-Townhouse'!$A:$R,P$1,0),2)</f>
        <v>0.38</v>
      </c>
      <c r="Q16" s="3" t="str">
        <f>FIXED(VLOOKUP($A16,'Small Sample 1-Townhouse'!$A:$R,Q$1,0),2)</f>
        <v>0.00</v>
      </c>
      <c r="R16" s="3" t="str">
        <f>FIXED(VLOOKUP($A16,'Small Sample 1-Townhouse'!$A:$R,R$1,0),2)</f>
        <v>4.00</v>
      </c>
      <c r="S16" s="9" t="str">
        <f>FIXED(VLOOKUP($A16,'Small Sample 1-Townhouse'!$A:$R,S$1,0),2)</f>
        <v>0.16</v>
      </c>
      <c r="T16" s="3" t="str">
        <f>FIXED(VLOOKUP($A16,'Small Sample 1-Townhouse'!$A:$R,T$1,0),2)</f>
        <v>0.37</v>
      </c>
      <c r="U16" s="3" t="str">
        <f>FIXED(VLOOKUP($A16,'Small Sample 1-Townhouse'!$A:$R,U$1,0),2)</f>
        <v>0.00</v>
      </c>
      <c r="V16" s="13" t="str">
        <f>FIXED(VLOOKUP($A16,'Small Sample 1-Townhouse'!$A:$R,V$1,0),2)</f>
        <v>2.00</v>
      </c>
      <c r="W16" s="9" t="str">
        <f>FIXED(VLOOKUP($A16,'Small Sample 1-Townhouse'!$A:$R,W$1,0),2)</f>
        <v>0.17</v>
      </c>
      <c r="X16" s="3" t="str">
        <f>FIXED(VLOOKUP($A16,'Small Sample 1-Townhouse'!$A:$R,X$1,0),2)</f>
        <v>0.39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2-Townhouse'!$A:$R,AA$1,0),2)</f>
        <v>0.17</v>
      </c>
      <c r="AB16" s="3" t="str">
        <f>FIXED(VLOOKUP($A16,'Small Sample 2-Townhouse'!$A:$R,AB$1,0),2)</f>
        <v>0.38</v>
      </c>
      <c r="AC16" s="3" t="str">
        <f>FIXED(VLOOKUP($A16,'Small Sample 2-Townhouse'!$A:$R,AC$1,0),2)</f>
        <v>0.00</v>
      </c>
      <c r="AD16" s="3" t="str">
        <f>FIXED(VLOOKUP($A16,'Small Sample 2-Townhouse'!$A:$R,AD$1,0),2)</f>
        <v>5.00</v>
      </c>
      <c r="AE16" s="9" t="str">
        <f>FIXED(VLOOKUP($A16,'Small Sample 2-Townhouse'!$A:$R,AE$1,0),2)</f>
        <v>0.18</v>
      </c>
      <c r="AF16" s="3" t="str">
        <f>FIXED(VLOOKUP($A16,'Small Sample 2-Townhouse'!$A:$R,AF$1,0),2)</f>
        <v>0.39</v>
      </c>
      <c r="AG16" s="3" t="str">
        <f>FIXED(VLOOKUP($A16,'Small Sample 2-Townhouse'!$A:$R,AG$1,0),2)</f>
        <v>0.00</v>
      </c>
      <c r="AH16" s="13" t="str">
        <f>FIXED(VLOOKUP($A16,'Small Sample 2-Townhouse'!$A:$R,AH$1,0),2)</f>
        <v>5.00</v>
      </c>
      <c r="AI16" s="9" t="str">
        <f>FIXED(VLOOKUP($A16,'Small Sample 2-Townhouse'!$A:$R,AI$1,0),2)</f>
        <v>0.16</v>
      </c>
      <c r="AJ16" s="3" t="str">
        <f>FIXED(VLOOKUP($A16,'Small Sample 2-Townhouse'!$A:$R,AJ$1,0),2)</f>
        <v>0.37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Sample-Townhouse'!$A:$R,C$1,0),2)</f>
        <v>1.82</v>
      </c>
      <c r="D17" s="3" t="str">
        <f>FIXED(VLOOKUP($A17,'Full Sample-Townhouse'!$A:$R,D$1,0),2)</f>
        <v>0.92</v>
      </c>
      <c r="E17" s="3" t="str">
        <f>FIXED(VLOOKUP($A17,'Full Sample-Townhouse'!$A:$R,E$1,0),2)</f>
        <v>0.00</v>
      </c>
      <c r="F17" s="3" t="str">
        <f>FIXED(VLOOKUP($A17,'Full Sample-Townhouse'!$A:$R,F$1,0),2)</f>
        <v>8.00</v>
      </c>
      <c r="G17" s="9" t="str">
        <f>FIXED(VLOOKUP($A17,'Full Sample-Townhouse'!$A:$R,G$1,0),2)</f>
        <v>1.83</v>
      </c>
      <c r="H17" s="3" t="str">
        <f>FIXED(VLOOKUP($A17,'Full Sample-Townhouse'!$A:$R,H$1,0),2)</f>
        <v>0.92</v>
      </c>
      <c r="I17" s="3" t="str">
        <f>FIXED(VLOOKUP($A17,'Full Sample-Townhouse'!$A:$R,I$1,0),2)</f>
        <v>0.00</v>
      </c>
      <c r="J17" s="13" t="str">
        <f>FIXED(VLOOKUP($A17,'Full Sample-Townhouse'!$A:$R,J$1,0),2)</f>
        <v>5.00</v>
      </c>
      <c r="K17" s="9" t="str">
        <f>FIXED(VLOOKUP($A17,'Full Sample-Townhouse'!$A:$R,K$1,0),2)</f>
        <v>1.81</v>
      </c>
      <c r="L17" s="3" t="str">
        <f>FIXED(VLOOKUP($A17,'Full Sample-Townhouse'!$A:$R,L$1,0),2)</f>
        <v>0.92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1-Townhouse'!$A:$R,O$1,0),2)</f>
        <v>1.79</v>
      </c>
      <c r="P17" s="3" t="str">
        <f>FIXED(VLOOKUP($A17,'Small Sample 1-Townhouse'!$A:$R,P$1,0),2)</f>
        <v>0.92</v>
      </c>
      <c r="Q17" s="3" t="str">
        <f>FIXED(VLOOKUP($A17,'Small Sample 1-Townhouse'!$A:$R,Q$1,0),2)</f>
        <v>0.00</v>
      </c>
      <c r="R17" s="3" t="str">
        <f>FIXED(VLOOKUP($A17,'Small Sample 1-Townhouse'!$A:$R,R$1,0),2)</f>
        <v>8.00</v>
      </c>
      <c r="S17" s="9" t="str">
        <f>FIXED(VLOOKUP($A17,'Small Sample 1-Townhouse'!$A:$R,S$1,0),2)</f>
        <v>1.78</v>
      </c>
      <c r="T17" s="3" t="str">
        <f>FIXED(VLOOKUP($A17,'Small Sample 1-Townhouse'!$A:$R,T$1,0),2)</f>
        <v>0.92</v>
      </c>
      <c r="U17" s="3" t="str">
        <f>FIXED(VLOOKUP($A17,'Small Sample 1-Townhouse'!$A:$R,U$1,0),2)</f>
        <v>0.00</v>
      </c>
      <c r="V17" s="13" t="str">
        <f>FIXED(VLOOKUP($A17,'Small Sample 1-Townhouse'!$A:$R,V$1,0),2)</f>
        <v>5.00</v>
      </c>
      <c r="W17" s="9" t="str">
        <f>FIXED(VLOOKUP($A17,'Small Sample 1-Townhouse'!$A:$R,W$1,0),2)</f>
        <v>1.81</v>
      </c>
      <c r="X17" s="3" t="str">
        <f>FIXED(VLOOKUP($A17,'Small Sample 1-Townhouse'!$A:$R,X$1,0),2)</f>
        <v>0.93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2-Townhouse'!$A:$R,AA$1,0),2)</f>
        <v>1.79</v>
      </c>
      <c r="AB17" s="3" t="str">
        <f>FIXED(VLOOKUP($A17,'Small Sample 2-Townhouse'!$A:$R,AB$1,0),2)</f>
        <v>0.92</v>
      </c>
      <c r="AC17" s="3" t="str">
        <f>FIXED(VLOOKUP($A17,'Small Sample 2-Townhouse'!$A:$R,AC$1,0),2)</f>
        <v>0.00</v>
      </c>
      <c r="AD17" s="3" t="str">
        <f>FIXED(VLOOKUP($A17,'Small Sample 2-Townhouse'!$A:$R,AD$1,0),2)</f>
        <v>8.00</v>
      </c>
      <c r="AE17" s="9" t="str">
        <f>FIXED(VLOOKUP($A17,'Small Sample 2-Townhouse'!$A:$R,AE$1,0),2)</f>
        <v>1.82</v>
      </c>
      <c r="AF17" s="3" t="str">
        <f>FIXED(VLOOKUP($A17,'Small Sample 2-Townhouse'!$A:$R,AF$1,0),2)</f>
        <v>0.92</v>
      </c>
      <c r="AG17" s="3" t="str">
        <f>FIXED(VLOOKUP($A17,'Small Sample 2-Townhouse'!$A:$R,AG$1,0),2)</f>
        <v>0.00</v>
      </c>
      <c r="AH17" s="13" t="str">
        <f>FIXED(VLOOKUP($A17,'Small Sample 2-Townhouse'!$A:$R,AH$1,0),2)</f>
        <v>5.00</v>
      </c>
      <c r="AI17" s="9" t="str">
        <f>FIXED(VLOOKUP($A17,'Small Sample 2-Townhouse'!$A:$R,AI$1,0),2)</f>
        <v>1.75</v>
      </c>
      <c r="AJ17" s="3" t="str">
        <f>FIXED(VLOOKUP($A17,'Small Sample 2-Townhouse'!$A:$R,AJ$1,0),2)</f>
        <v>0.92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Sample-Townhouse'!$A:$R,C$1,0),2)</f>
        <v>0.26</v>
      </c>
      <c r="D18" s="3" t="str">
        <f>FIXED(VLOOKUP($A18,'Full Sample-Townhouse'!$A:$R,D$1,0),2)</f>
        <v>0.44</v>
      </c>
      <c r="E18" s="3" t="str">
        <f>FIXED(VLOOKUP($A18,'Full Sample-Townhouse'!$A:$R,E$1,0),2)</f>
        <v>0.00</v>
      </c>
      <c r="F18" s="3" t="str">
        <f>FIXED(VLOOKUP($A18,'Full Sample-Townhouse'!$A:$R,F$1,0),2)</f>
        <v>1.00</v>
      </c>
      <c r="G18" s="9" t="str">
        <f>FIXED(VLOOKUP($A18,'Full Sample-Townhouse'!$A:$R,G$1,0),2)</f>
        <v>0.28</v>
      </c>
      <c r="H18" s="3" t="str">
        <f>FIXED(VLOOKUP($A18,'Full Sample-Townhouse'!$A:$R,H$1,0),2)</f>
        <v>0.45</v>
      </c>
      <c r="I18" s="3" t="str">
        <f>FIXED(VLOOKUP($A18,'Full Sample-Townhouse'!$A:$R,I$1,0),2)</f>
        <v>0.00</v>
      </c>
      <c r="J18" s="13" t="str">
        <f>FIXED(VLOOKUP($A18,'Full Sample-Townhouse'!$A:$R,J$1,0),2)</f>
        <v>1.00</v>
      </c>
      <c r="K18" s="9" t="str">
        <f>FIXED(VLOOKUP($A18,'Full Sample-Townhouse'!$A:$R,K$1,0),2)</f>
        <v>0.24</v>
      </c>
      <c r="L18" s="3" t="str">
        <f>FIXED(VLOOKUP($A18,'Full Sample-Townhouse'!$A:$R,L$1,0),2)</f>
        <v>0.43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1-Townhouse'!$A:$R,O$1,0),2)</f>
        <v>0.26</v>
      </c>
      <c r="P18" s="3" t="str">
        <f>FIXED(VLOOKUP($A18,'Small Sample 1-Townhouse'!$A:$R,P$1,0),2)</f>
        <v>0.44</v>
      </c>
      <c r="Q18" s="3" t="str">
        <f>FIXED(VLOOKUP($A18,'Small Sample 1-Townhouse'!$A:$R,Q$1,0),2)</f>
        <v>0.00</v>
      </c>
      <c r="R18" s="3" t="str">
        <f>FIXED(VLOOKUP($A18,'Small Sample 1-Townhouse'!$A:$R,R$1,0),2)</f>
        <v>1.00</v>
      </c>
      <c r="S18" s="9" t="str">
        <f>FIXED(VLOOKUP($A18,'Small Sample 1-Townhouse'!$A:$R,S$1,0),2)</f>
        <v>0.28</v>
      </c>
      <c r="T18" s="3" t="str">
        <f>FIXED(VLOOKUP($A18,'Small Sample 1-Townhouse'!$A:$R,T$1,0),2)</f>
        <v>0.45</v>
      </c>
      <c r="U18" s="3" t="str">
        <f>FIXED(VLOOKUP($A18,'Small Sample 1-Townhouse'!$A:$R,U$1,0),2)</f>
        <v>0.00</v>
      </c>
      <c r="V18" s="13" t="str">
        <f>FIXED(VLOOKUP($A18,'Small Sample 1-Townhouse'!$A:$R,V$1,0),2)</f>
        <v>1.00</v>
      </c>
      <c r="W18" s="9" t="str">
        <f>FIXED(VLOOKUP($A18,'Small Sample 1-Townhouse'!$A:$R,W$1,0),2)</f>
        <v>0.25</v>
      </c>
      <c r="X18" s="3" t="str">
        <f>FIXED(VLOOKUP($A18,'Small Sample 1-Townhouse'!$A:$R,X$1,0),2)</f>
        <v>0.43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2-Townhouse'!$A:$R,AA$1,0),2)</f>
        <v>0.26</v>
      </c>
      <c r="AB18" s="3" t="str">
        <f>FIXED(VLOOKUP($A18,'Small Sample 2-Townhouse'!$A:$R,AB$1,0),2)</f>
        <v>0.44</v>
      </c>
      <c r="AC18" s="3" t="str">
        <f>FIXED(VLOOKUP($A18,'Small Sample 2-Townhouse'!$A:$R,AC$1,0),2)</f>
        <v>0.00</v>
      </c>
      <c r="AD18" s="3" t="str">
        <f>FIXED(VLOOKUP($A18,'Small Sample 2-Townhouse'!$A:$R,AD$1,0),2)</f>
        <v>1.00</v>
      </c>
      <c r="AE18" s="9" t="str">
        <f>FIXED(VLOOKUP($A18,'Small Sample 2-Townhouse'!$A:$R,AE$1,0),2)</f>
        <v>0.28</v>
      </c>
      <c r="AF18" s="3" t="str">
        <f>FIXED(VLOOKUP($A18,'Small Sample 2-Townhouse'!$A:$R,AF$1,0),2)</f>
        <v>0.45</v>
      </c>
      <c r="AG18" s="3" t="str">
        <f>FIXED(VLOOKUP($A18,'Small Sample 2-Townhouse'!$A:$R,AG$1,0),2)</f>
        <v>0.00</v>
      </c>
      <c r="AH18" s="13" t="str">
        <f>FIXED(VLOOKUP($A18,'Small Sample 2-Townhouse'!$A:$R,AH$1,0),2)</f>
        <v>1.00</v>
      </c>
      <c r="AI18" s="9" t="str">
        <f>FIXED(VLOOKUP($A18,'Small Sample 2-Townhouse'!$A:$R,AI$1,0),2)</f>
        <v>0.24</v>
      </c>
      <c r="AJ18" s="3" t="str">
        <f>FIXED(VLOOKUP($A18,'Small Sample 2-Townhouse'!$A:$R,AJ$1,0),2)</f>
        <v>0.43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Sample-Townhouse'!$A:$R,C$1,0),2)</f>
        <v>0.21</v>
      </c>
      <c r="D19" s="3" t="str">
        <f>FIXED(VLOOKUP($A19,'Full Sample-Townhouse'!$A:$R,D$1,0),2)</f>
        <v>0.41</v>
      </c>
      <c r="E19" s="3" t="str">
        <f>FIXED(VLOOKUP($A19,'Full Sample-Townhouse'!$A:$R,E$1,0),2)</f>
        <v>0.00</v>
      </c>
      <c r="F19" s="3" t="str">
        <f>FIXED(VLOOKUP($A19,'Full Sample-Townhouse'!$A:$R,F$1,0),2)</f>
        <v>1.00</v>
      </c>
      <c r="G19" s="9" t="str">
        <f>FIXED(VLOOKUP($A19,'Full Sample-Townhouse'!$A:$R,G$1,0),2)</f>
        <v>0.22</v>
      </c>
      <c r="H19" s="3" t="str">
        <f>FIXED(VLOOKUP($A19,'Full Sample-Townhouse'!$A:$R,H$1,0),2)</f>
        <v>0.41</v>
      </c>
      <c r="I19" s="3" t="str">
        <f>FIXED(VLOOKUP($A19,'Full Sample-Townhouse'!$A:$R,I$1,0),2)</f>
        <v>0.00</v>
      </c>
      <c r="J19" s="13" t="str">
        <f>FIXED(VLOOKUP($A19,'Full Sample-Townhouse'!$A:$R,J$1,0),2)</f>
        <v>1.00</v>
      </c>
      <c r="K19" s="9" t="str">
        <f>FIXED(VLOOKUP($A19,'Full Sample-Townhouse'!$A:$R,K$1,0),2)</f>
        <v>0.21</v>
      </c>
      <c r="L19" s="3" t="str">
        <f>FIXED(VLOOKUP($A19,'Full Sample-Townhouse'!$A:$R,L$1,0),2)</f>
        <v>0.41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1-Townhouse'!$A:$R,O$1,0),2)</f>
        <v>0.20</v>
      </c>
      <c r="P19" s="3" t="str">
        <f>FIXED(VLOOKUP($A19,'Small Sample 1-Townhouse'!$A:$R,P$1,0),2)</f>
        <v>0.40</v>
      </c>
      <c r="Q19" s="3" t="str">
        <f>FIXED(VLOOKUP($A19,'Small Sample 1-Townhouse'!$A:$R,Q$1,0),2)</f>
        <v>0.00</v>
      </c>
      <c r="R19" s="3" t="str">
        <f>FIXED(VLOOKUP($A19,'Small Sample 1-Townhouse'!$A:$R,R$1,0),2)</f>
        <v>1.00</v>
      </c>
      <c r="S19" s="9" t="str">
        <f>FIXED(VLOOKUP($A19,'Small Sample 1-Townhouse'!$A:$R,S$1,0),2)</f>
        <v>0.19</v>
      </c>
      <c r="T19" s="3" t="str">
        <f>FIXED(VLOOKUP($A19,'Small Sample 1-Townhouse'!$A:$R,T$1,0),2)</f>
        <v>0.39</v>
      </c>
      <c r="U19" s="3" t="str">
        <f>FIXED(VLOOKUP($A19,'Small Sample 1-Townhouse'!$A:$R,U$1,0),2)</f>
        <v>0.00</v>
      </c>
      <c r="V19" s="13" t="str">
        <f>FIXED(VLOOKUP($A19,'Small Sample 1-Townhouse'!$A:$R,V$1,0),2)</f>
        <v>1.00</v>
      </c>
      <c r="W19" s="9" t="str">
        <f>FIXED(VLOOKUP($A19,'Small Sample 1-Townhouse'!$A:$R,W$1,0),2)</f>
        <v>0.21</v>
      </c>
      <c r="X19" s="3" t="str">
        <f>FIXED(VLOOKUP($A19,'Small Sample 1-Townhouse'!$A:$R,X$1,0),2)</f>
        <v>0.41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2-Townhouse'!$A:$R,AA$1,0),2)</f>
        <v>0.20</v>
      </c>
      <c r="AB19" s="3" t="str">
        <f>FIXED(VLOOKUP($A19,'Small Sample 2-Townhouse'!$A:$R,AB$1,0),2)</f>
        <v>0.40</v>
      </c>
      <c r="AC19" s="3" t="str">
        <f>FIXED(VLOOKUP($A19,'Small Sample 2-Townhouse'!$A:$R,AC$1,0),2)</f>
        <v>0.00</v>
      </c>
      <c r="AD19" s="3" t="str">
        <f>FIXED(VLOOKUP($A19,'Small Sample 2-Townhouse'!$A:$R,AD$1,0),2)</f>
        <v>1.00</v>
      </c>
      <c r="AE19" s="9" t="str">
        <f>FIXED(VLOOKUP($A19,'Small Sample 2-Townhouse'!$A:$R,AE$1,0),2)</f>
        <v>0.21</v>
      </c>
      <c r="AF19" s="3" t="str">
        <f>FIXED(VLOOKUP($A19,'Small Sample 2-Townhouse'!$A:$R,AF$1,0),2)</f>
        <v>0.41</v>
      </c>
      <c r="AG19" s="3" t="str">
        <f>FIXED(VLOOKUP($A19,'Small Sample 2-Townhouse'!$A:$R,AG$1,0),2)</f>
        <v>0.00</v>
      </c>
      <c r="AH19" s="13" t="str">
        <f>FIXED(VLOOKUP($A19,'Small Sample 2-Townhouse'!$A:$R,AH$1,0),2)</f>
        <v>1.00</v>
      </c>
      <c r="AI19" s="9" t="str">
        <f>FIXED(VLOOKUP($A19,'Small Sample 2-Townhouse'!$A:$R,AI$1,0),2)</f>
        <v>0.18</v>
      </c>
      <c r="AJ19" s="3" t="str">
        <f>FIXED(VLOOKUP($A19,'Small Sample 2-Townhouse'!$A:$R,AJ$1,0),2)</f>
        <v>0.38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Sample-Townhouse'!$A:$R,C$1,0),2)</f>
        <v>0.52</v>
      </c>
      <c r="D20" s="3" t="str">
        <f>FIXED(VLOOKUP($A20,'Full Sample-Townhouse'!$A:$R,D$1,0),2)</f>
        <v>0.50</v>
      </c>
      <c r="E20" s="3" t="str">
        <f>FIXED(VLOOKUP($A20,'Full Sample-Townhouse'!$A:$R,E$1,0),2)</f>
        <v>0.00</v>
      </c>
      <c r="F20" s="3" t="str">
        <f>FIXED(VLOOKUP($A20,'Full Sample-Townhouse'!$A:$R,F$1,0),2)</f>
        <v>1.00</v>
      </c>
      <c r="G20" s="9" t="str">
        <f>FIXED(VLOOKUP($A20,'Full Sample-Townhouse'!$A:$R,G$1,0),2)</f>
        <v>0.51</v>
      </c>
      <c r="H20" s="3" t="str">
        <f>FIXED(VLOOKUP($A20,'Full Sample-Townhouse'!$A:$R,H$1,0),2)</f>
        <v>0.50</v>
      </c>
      <c r="I20" s="3" t="str">
        <f>FIXED(VLOOKUP($A20,'Full Sample-Townhouse'!$A:$R,I$1,0),2)</f>
        <v>0.00</v>
      </c>
      <c r="J20" s="13" t="str">
        <f>FIXED(VLOOKUP($A20,'Full Sample-Townhouse'!$A:$R,J$1,0),2)</f>
        <v>1.00</v>
      </c>
      <c r="K20" s="9" t="str">
        <f>FIXED(VLOOKUP($A20,'Full Sample-Townhouse'!$A:$R,K$1,0),2)</f>
        <v>0.55</v>
      </c>
      <c r="L20" s="3" t="str">
        <f>FIXED(VLOOKUP($A20,'Full Sample-Townhouse'!$A:$R,L$1,0),2)</f>
        <v>0.50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1-Townhouse'!$A:$R,O$1,0),2)</f>
        <v>0.54</v>
      </c>
      <c r="P20" s="3" t="str">
        <f>FIXED(VLOOKUP($A20,'Small Sample 1-Townhouse'!$A:$R,P$1,0),2)</f>
        <v>0.50</v>
      </c>
      <c r="Q20" s="3" t="str">
        <f>FIXED(VLOOKUP($A20,'Small Sample 1-Townhouse'!$A:$R,Q$1,0),2)</f>
        <v>0.00</v>
      </c>
      <c r="R20" s="3" t="str">
        <f>FIXED(VLOOKUP($A20,'Small Sample 1-Townhouse'!$A:$R,R$1,0),2)</f>
        <v>1.00</v>
      </c>
      <c r="S20" s="9" t="str">
        <f>FIXED(VLOOKUP($A20,'Small Sample 1-Townhouse'!$A:$R,S$1,0),2)</f>
        <v>0.53</v>
      </c>
      <c r="T20" s="3" t="str">
        <f>FIXED(VLOOKUP($A20,'Small Sample 1-Townhouse'!$A:$R,T$1,0),2)</f>
        <v>0.50</v>
      </c>
      <c r="U20" s="3" t="str">
        <f>FIXED(VLOOKUP($A20,'Small Sample 1-Townhouse'!$A:$R,U$1,0),2)</f>
        <v>0.00</v>
      </c>
      <c r="V20" s="13" t="str">
        <f>FIXED(VLOOKUP($A20,'Small Sample 1-Townhouse'!$A:$R,V$1,0),2)</f>
        <v>1.00</v>
      </c>
      <c r="W20" s="9" t="str">
        <f>FIXED(VLOOKUP($A20,'Small Sample 1-Townhouse'!$A:$R,W$1,0),2)</f>
        <v>0.55</v>
      </c>
      <c r="X20" s="3" t="str">
        <f>FIXED(VLOOKUP($A20,'Small Sample 1-Townhouse'!$A:$R,X$1,0),2)</f>
        <v>0.50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2-Townhouse'!$A:$R,AA$1,0),2)</f>
        <v>0.54</v>
      </c>
      <c r="AB20" s="3" t="str">
        <f>FIXED(VLOOKUP($A20,'Small Sample 2-Townhouse'!$A:$R,AB$1,0),2)</f>
        <v>0.50</v>
      </c>
      <c r="AC20" s="3" t="str">
        <f>FIXED(VLOOKUP($A20,'Small Sample 2-Townhouse'!$A:$R,AC$1,0),2)</f>
        <v>0.00</v>
      </c>
      <c r="AD20" s="3" t="str">
        <f>FIXED(VLOOKUP($A20,'Small Sample 2-Townhouse'!$A:$R,AD$1,0),2)</f>
        <v>1.00</v>
      </c>
      <c r="AE20" s="9" t="str">
        <f>FIXED(VLOOKUP($A20,'Small Sample 2-Townhouse'!$A:$R,AE$1,0),2)</f>
        <v>0.52</v>
      </c>
      <c r="AF20" s="3" t="str">
        <f>FIXED(VLOOKUP($A20,'Small Sample 2-Townhouse'!$A:$R,AF$1,0),2)</f>
        <v>0.50</v>
      </c>
      <c r="AG20" s="3" t="str">
        <f>FIXED(VLOOKUP($A20,'Small Sample 2-Townhouse'!$A:$R,AG$1,0),2)</f>
        <v>0.00</v>
      </c>
      <c r="AH20" s="13" t="str">
        <f>FIXED(VLOOKUP($A20,'Small Sample 2-Townhouse'!$A:$R,AH$1,0),2)</f>
        <v>1.00</v>
      </c>
      <c r="AI20" s="9" t="str">
        <f>FIXED(VLOOKUP($A20,'Small Sample 2-Townhouse'!$A:$R,AI$1,0),2)</f>
        <v>0.58</v>
      </c>
      <c r="AJ20" s="3" t="str">
        <f>FIXED(VLOOKUP($A20,'Small Sample 2-Townhouse'!$A:$R,AJ$1,0),2)</f>
        <v>0.49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Sample-Townhouse'!$A:$R,C$1,0),2)</f>
        <v>963.24</v>
      </c>
      <c r="D21" s="3" t="str">
        <f>FIXED(VLOOKUP($A21,'Full Sample-Townhouse'!$A:$R,D$1,0),2)</f>
        <v>437.59</v>
      </c>
      <c r="E21" s="3" t="str">
        <f>FIXED(VLOOKUP($A21,'Full Sample-Townhouse'!$A:$R,E$1,0),2)</f>
        <v>175.00</v>
      </c>
      <c r="F21" s="3" t="str">
        <f>FIXED(VLOOKUP($A21,'Full Sample-Townhouse'!$A:$R,F$1,0),2)</f>
        <v>11,155.00</v>
      </c>
      <c r="G21" s="9" t="str">
        <f>FIXED(VLOOKUP($A21,'Full Sample-Townhouse'!$A:$R,G$1,0),2)</f>
        <v>965.70</v>
      </c>
      <c r="H21" s="3" t="str">
        <f>FIXED(VLOOKUP($A21,'Full Sample-Townhouse'!$A:$R,H$1,0),2)</f>
        <v>434.99</v>
      </c>
      <c r="I21" s="3" t="str">
        <f>FIXED(VLOOKUP($A21,'Full Sample-Townhouse'!$A:$R,I$1,0),2)</f>
        <v>195.00</v>
      </c>
      <c r="J21" s="13" t="str">
        <f>FIXED(VLOOKUP($A21,'Full Sample-Townhouse'!$A:$R,J$1,0),2)</f>
        <v>7,582.00</v>
      </c>
      <c r="K21" s="9" t="str">
        <f>FIXED(VLOOKUP($A21,'Full Sample-Townhouse'!$A:$R,K$1,0),2)</f>
        <v>959.90</v>
      </c>
      <c r="L21" s="3" t="str">
        <f>FIXED(VLOOKUP($A21,'Full Sample-Townhouse'!$A:$R,L$1,0),2)</f>
        <v>441.09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1-Townhouse'!$A:$R,O$1,0),2)</f>
        <v>954.88</v>
      </c>
      <c r="P21" s="3" t="str">
        <f>FIXED(VLOOKUP($A21,'Small Sample 1-Townhouse'!$A:$R,P$1,0),2)</f>
        <v>439.69</v>
      </c>
      <c r="Q21" s="3" t="str">
        <f>FIXED(VLOOKUP($A21,'Small Sample 1-Townhouse'!$A:$R,Q$1,0),2)</f>
        <v>175.00</v>
      </c>
      <c r="R21" s="3" t="str">
        <f>FIXED(VLOOKUP($A21,'Small Sample 1-Townhouse'!$A:$R,R$1,0),2)</f>
        <v>11,155.00</v>
      </c>
      <c r="S21" s="9" t="str">
        <f>FIXED(VLOOKUP($A21,'Small Sample 1-Townhouse'!$A:$R,S$1,0),2)</f>
        <v>951.60</v>
      </c>
      <c r="T21" s="3" t="str">
        <f>FIXED(VLOOKUP($A21,'Small Sample 1-Townhouse'!$A:$R,T$1,0),2)</f>
        <v>437.76</v>
      </c>
      <c r="U21" s="3" t="str">
        <f>FIXED(VLOOKUP($A21,'Small Sample 1-Townhouse'!$A:$R,U$1,0),2)</f>
        <v>195.00</v>
      </c>
      <c r="V21" s="13" t="str">
        <f>FIXED(VLOOKUP($A21,'Small Sample 1-Townhouse'!$A:$R,V$1,0),2)</f>
        <v>7,582.00</v>
      </c>
      <c r="W21" s="9" t="str">
        <f>FIXED(VLOOKUP($A21,'Small Sample 1-Townhouse'!$A:$R,W$1,0),2)</f>
        <v>958.40</v>
      </c>
      <c r="X21" s="3" t="str">
        <f>FIXED(VLOOKUP($A21,'Small Sample 1-Townhouse'!$A:$R,X$1,0),2)</f>
        <v>441.73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2-Townhouse'!$A:$R,AA$1,0),2)</f>
        <v>954.60</v>
      </c>
      <c r="AB21" s="3" t="str">
        <f>FIXED(VLOOKUP($A21,'Small Sample 2-Townhouse'!$A:$R,AB$1,0),2)</f>
        <v>439.85</v>
      </c>
      <c r="AC21" s="3" t="str">
        <f>FIXED(VLOOKUP($A21,'Small Sample 2-Townhouse'!$A:$R,AC$1,0),2)</f>
        <v>175.00</v>
      </c>
      <c r="AD21" s="3" t="str">
        <f>FIXED(VLOOKUP($A21,'Small Sample 2-Townhouse'!$A:$R,AD$1,0),2)</f>
        <v>11,155.00</v>
      </c>
      <c r="AE21" s="9" t="str">
        <f>FIXED(VLOOKUP($A21,'Small Sample 2-Townhouse'!$A:$R,AE$1,0),2)</f>
        <v>962.37</v>
      </c>
      <c r="AF21" s="3" t="str">
        <f>FIXED(VLOOKUP($A21,'Small Sample 2-Townhouse'!$A:$R,AF$1,0),2)</f>
        <v>436.01</v>
      </c>
      <c r="AG21" s="3" t="str">
        <f>FIXED(VLOOKUP($A21,'Small Sample 2-Townhouse'!$A:$R,AG$1,0),2)</f>
        <v>195.00</v>
      </c>
      <c r="AH21" s="13" t="str">
        <f>FIXED(VLOOKUP($A21,'Small Sample 2-Townhouse'!$A:$R,AH$1,0),2)</f>
        <v>7,582.00</v>
      </c>
      <c r="AI21" s="9" t="str">
        <f>FIXED(VLOOKUP($A21,'Small Sample 2-Townhouse'!$A:$R,AI$1,0),2)</f>
        <v>941.41</v>
      </c>
      <c r="AJ21" s="3" t="str">
        <f>FIXED(VLOOKUP($A21,'Small Sample 2-Townhouse'!$A:$R,AJ$1,0),2)</f>
        <v>446.01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Sample-Townhouse'!$A:$R,C$1,0),2)</f>
        <v>35.36</v>
      </c>
      <c r="D22" s="3" t="str">
        <f>FIXED(VLOOKUP($A22,'Full Sample-Townhouse'!$A:$R,D$1,0),2)</f>
        <v>15.99</v>
      </c>
      <c r="E22" s="3" t="str">
        <f>FIXED(VLOOKUP($A22,'Full Sample-Townhouse'!$A:$R,E$1,0),2)</f>
        <v>0.00</v>
      </c>
      <c r="F22" s="3" t="str">
        <f>FIXED(VLOOKUP($A22,'Full Sample-Townhouse'!$A:$R,F$1,0),2)</f>
        <v>90.00</v>
      </c>
      <c r="G22" s="9" t="str">
        <f>FIXED(VLOOKUP($A22,'Full Sample-Townhouse'!$A:$R,G$1,0),2)</f>
        <v>34.10</v>
      </c>
      <c r="H22" s="3" t="str">
        <f>FIXED(VLOOKUP($A22,'Full Sample-Townhouse'!$A:$R,H$1,0),2)</f>
        <v>15.63</v>
      </c>
      <c r="I22" s="3" t="str">
        <f>FIXED(VLOOKUP($A22,'Full Sample-Townhouse'!$A:$R,I$1,0),2)</f>
        <v>0.00</v>
      </c>
      <c r="J22" s="13" t="str">
        <f>FIXED(VLOOKUP($A22,'Full Sample-Townhouse'!$A:$R,J$1,0),2)</f>
        <v>90.00</v>
      </c>
      <c r="K22" s="9" t="str">
        <f>FIXED(VLOOKUP($A22,'Full Sample-Townhouse'!$A:$R,K$1,0),2)</f>
        <v>37.07</v>
      </c>
      <c r="L22" s="3" t="str">
        <f>FIXED(VLOOKUP($A22,'Full Sample-Townhouse'!$A:$R,L$1,0),2)</f>
        <v>16.31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1-Townhouse'!$A:$R,O$1,0),2)</f>
        <v>35.90</v>
      </c>
      <c r="P22" s="3" t="str">
        <f>FIXED(VLOOKUP($A22,'Small Sample 1-Townhouse'!$A:$R,P$1,0),2)</f>
        <v>16.04</v>
      </c>
      <c r="Q22" s="3" t="str">
        <f>FIXED(VLOOKUP($A22,'Small Sample 1-Townhouse'!$A:$R,Q$1,0),2)</f>
        <v>0.00</v>
      </c>
      <c r="R22" s="3" t="str">
        <f>FIXED(VLOOKUP($A22,'Small Sample 1-Townhouse'!$A:$R,R$1,0),2)</f>
        <v>90.00</v>
      </c>
      <c r="S22" s="9" t="str">
        <f>FIXED(VLOOKUP($A22,'Small Sample 1-Townhouse'!$A:$R,S$1,0),2)</f>
        <v>34.77</v>
      </c>
      <c r="T22" s="3" t="str">
        <f>FIXED(VLOOKUP($A22,'Small Sample 1-Townhouse'!$A:$R,T$1,0),2)</f>
        <v>15.67</v>
      </c>
      <c r="U22" s="3" t="str">
        <f>FIXED(VLOOKUP($A22,'Small Sample 1-Townhouse'!$A:$R,U$1,0),2)</f>
        <v>0.00</v>
      </c>
      <c r="V22" s="13" t="str">
        <f>FIXED(VLOOKUP($A22,'Small Sample 1-Townhouse'!$A:$R,V$1,0),2)</f>
        <v>90.00</v>
      </c>
      <c r="W22" s="9" t="str">
        <f>FIXED(VLOOKUP($A22,'Small Sample 1-Townhouse'!$A:$R,W$1,0),2)</f>
        <v>37.10</v>
      </c>
      <c r="X22" s="3" t="str">
        <f>FIXED(VLOOKUP($A22,'Small Sample 1-Townhouse'!$A:$R,X$1,0),2)</f>
        <v>16.34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2-Townhouse'!$A:$R,AA$1,0),2)</f>
        <v>35.39</v>
      </c>
      <c r="AB22" s="3" t="str">
        <f>FIXED(VLOOKUP($A22,'Small Sample 2-Townhouse'!$A:$R,AB$1,0),2)</f>
        <v>16.09</v>
      </c>
      <c r="AC22" s="3" t="str">
        <f>FIXED(VLOOKUP($A22,'Small Sample 2-Townhouse'!$A:$R,AC$1,0),2)</f>
        <v>0.00</v>
      </c>
      <c r="AD22" s="3" t="str">
        <f>FIXED(VLOOKUP($A22,'Small Sample 2-Townhouse'!$A:$R,AD$1,0),2)</f>
        <v>90.00</v>
      </c>
      <c r="AE22" s="9" t="str">
        <f>FIXED(VLOOKUP($A22,'Small Sample 2-Townhouse'!$A:$R,AE$1,0),2)</f>
        <v>34.17</v>
      </c>
      <c r="AF22" s="3" t="str">
        <f>FIXED(VLOOKUP($A22,'Small Sample 2-Townhouse'!$A:$R,AF$1,0),2)</f>
        <v>15.67</v>
      </c>
      <c r="AG22" s="3" t="str">
        <f>FIXED(VLOOKUP($A22,'Small Sample 2-Townhouse'!$A:$R,AG$1,0),2)</f>
        <v>0.00</v>
      </c>
      <c r="AH22" s="13" t="str">
        <f>FIXED(VLOOKUP($A22,'Small Sample 2-Townhouse'!$A:$R,AH$1,0),2)</f>
        <v>90.00</v>
      </c>
      <c r="AI22" s="9" t="str">
        <f>FIXED(VLOOKUP($A22,'Small Sample 2-Townhouse'!$A:$R,AI$1,0),2)</f>
        <v>37.46</v>
      </c>
      <c r="AJ22" s="3" t="str">
        <f>FIXED(VLOOKUP($A22,'Small Sample 2-Townhouse'!$A:$R,AJ$1,0),2)</f>
        <v>16.59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Sample-Townhouse'!$A:$R,C$1,0),2)</f>
        <v>1.51</v>
      </c>
      <c r="D23" s="3" t="str">
        <f>FIXED(VLOOKUP($A23,'Full Sample-Townhouse'!$A:$R,D$1,0),2)</f>
        <v>1.01</v>
      </c>
      <c r="E23" s="3" t="str">
        <f>FIXED(VLOOKUP($A23,'Full Sample-Townhouse'!$A:$R,E$1,0),2)</f>
        <v>0.00</v>
      </c>
      <c r="F23" s="3" t="str">
        <f>FIXED(VLOOKUP($A23,'Full Sample-Townhouse'!$A:$R,F$1,0),2)</f>
        <v>8.10</v>
      </c>
      <c r="G23" s="9" t="str">
        <f>FIXED(VLOOKUP($A23,'Full Sample-Townhouse'!$A:$R,G$1,0),2)</f>
        <v>1.41</v>
      </c>
      <c r="H23" s="3" t="str">
        <f>FIXED(VLOOKUP($A23,'Full Sample-Townhouse'!$A:$R,H$1,0),2)</f>
        <v>0.96</v>
      </c>
      <c r="I23" s="3" t="str">
        <f>FIXED(VLOOKUP($A23,'Full Sample-Townhouse'!$A:$R,I$1,0),2)</f>
        <v>0.00</v>
      </c>
      <c r="J23" s="13" t="str">
        <f>FIXED(VLOOKUP($A23,'Full Sample-Townhouse'!$A:$R,J$1,0),2)</f>
        <v>8.10</v>
      </c>
      <c r="K23" s="9" t="str">
        <f>FIXED(VLOOKUP($A23,'Full Sample-Townhouse'!$A:$R,K$1,0),2)</f>
        <v>1.64</v>
      </c>
      <c r="L23" s="3" t="str">
        <f>FIXED(VLOOKUP($A23,'Full Sample-Townhouse'!$A:$R,L$1,0),2)</f>
        <v>1.06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1-Townhouse'!$A:$R,O$1,0),2)</f>
        <v>1.55</v>
      </c>
      <c r="P23" s="3" t="str">
        <f>FIXED(VLOOKUP($A23,'Small Sample 1-Townhouse'!$A:$R,P$1,0),2)</f>
        <v>1.02</v>
      </c>
      <c r="Q23" s="3" t="str">
        <f>FIXED(VLOOKUP($A23,'Small Sample 1-Townhouse'!$A:$R,Q$1,0),2)</f>
        <v>0.00</v>
      </c>
      <c r="R23" s="3" t="str">
        <f>FIXED(VLOOKUP($A23,'Small Sample 1-Townhouse'!$A:$R,R$1,0),2)</f>
        <v>8.10</v>
      </c>
      <c r="S23" s="9" t="str">
        <f>FIXED(VLOOKUP($A23,'Small Sample 1-Townhouse'!$A:$R,S$1,0),2)</f>
        <v>1.45</v>
      </c>
      <c r="T23" s="3" t="str">
        <f>FIXED(VLOOKUP($A23,'Small Sample 1-Townhouse'!$A:$R,T$1,0),2)</f>
        <v>0.97</v>
      </c>
      <c r="U23" s="3" t="str">
        <f>FIXED(VLOOKUP($A23,'Small Sample 1-Townhouse'!$A:$R,U$1,0),2)</f>
        <v>0.00</v>
      </c>
      <c r="V23" s="13" t="str">
        <f>FIXED(VLOOKUP($A23,'Small Sample 1-Townhouse'!$A:$R,V$1,0),2)</f>
        <v>8.10</v>
      </c>
      <c r="W23" s="9" t="str">
        <f>FIXED(VLOOKUP($A23,'Small Sample 1-Townhouse'!$A:$R,W$1,0),2)</f>
        <v>1.64</v>
      </c>
      <c r="X23" s="3" t="str">
        <f>FIXED(VLOOKUP($A23,'Small Sample 1-Townhouse'!$A:$R,X$1,0),2)</f>
        <v>1.07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2-Townhouse'!$A:$R,AA$1,0),2)</f>
        <v>1.51</v>
      </c>
      <c r="AB23" s="3" t="str">
        <f>FIXED(VLOOKUP($A23,'Small Sample 2-Townhouse'!$A:$R,AB$1,0),2)</f>
        <v>1.01</v>
      </c>
      <c r="AC23" s="3" t="str">
        <f>FIXED(VLOOKUP($A23,'Small Sample 2-Townhouse'!$A:$R,AC$1,0),2)</f>
        <v>0.00</v>
      </c>
      <c r="AD23" s="3" t="str">
        <f>FIXED(VLOOKUP($A23,'Small Sample 2-Townhouse'!$A:$R,AD$1,0),2)</f>
        <v>8.10</v>
      </c>
      <c r="AE23" s="9" t="str">
        <f>FIXED(VLOOKUP($A23,'Small Sample 2-Townhouse'!$A:$R,AE$1,0),2)</f>
        <v>1.41</v>
      </c>
      <c r="AF23" s="3" t="str">
        <f>FIXED(VLOOKUP($A23,'Small Sample 2-Townhouse'!$A:$R,AF$1,0),2)</f>
        <v>0.96</v>
      </c>
      <c r="AG23" s="3" t="str">
        <f>FIXED(VLOOKUP($A23,'Small Sample 2-Townhouse'!$A:$R,AG$1,0),2)</f>
        <v>0.00</v>
      </c>
      <c r="AH23" s="13" t="str">
        <f>FIXED(VLOOKUP($A23,'Small Sample 2-Townhouse'!$A:$R,AH$1,0),2)</f>
        <v>8.10</v>
      </c>
      <c r="AI23" s="9" t="str">
        <f>FIXED(VLOOKUP($A23,'Small Sample 2-Townhouse'!$A:$R,AI$1,0),2)</f>
        <v>1.68</v>
      </c>
      <c r="AJ23" s="3" t="str">
        <f>FIXED(VLOOKUP($A23,'Small Sample 2-Townhouse'!$A:$R,AJ$1,0),2)</f>
        <v>1.07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Sample-Townhouse'!$A:$R,C$1,0),2)</f>
        <v>0.00</v>
      </c>
      <c r="D24" s="3" t="str">
        <f>FIXED(VLOOKUP($A24,'Full Sample-Townhouse'!$A:$R,D$1,0),2)</f>
        <v>0.04</v>
      </c>
      <c r="E24" s="3" t="str">
        <f>FIXED(VLOOKUP($A24,'Full Sample-Townhouse'!$A:$R,E$1,0),2)</f>
        <v>0.00</v>
      </c>
      <c r="F24" s="3" t="str">
        <f>FIXED(VLOOKUP($A24,'Full Sample-Townhouse'!$A:$R,F$1,0),2)</f>
        <v>1.00</v>
      </c>
      <c r="G24" s="9" t="str">
        <f>FIXED(VLOOKUP($A24,'Full Sample-Townhouse'!$A:$R,G$1,0),2)</f>
        <v>0.00</v>
      </c>
      <c r="H24" s="3" t="str">
        <f>FIXED(VLOOKUP($A24,'Full Sample-Townhouse'!$A:$R,H$1,0),2)</f>
        <v>0.03</v>
      </c>
      <c r="I24" s="3" t="str">
        <f>FIXED(VLOOKUP($A24,'Full Sample-Townhouse'!$A:$R,I$1,0),2)</f>
        <v>0.00</v>
      </c>
      <c r="J24" s="13" t="str">
        <f>FIXED(VLOOKUP($A24,'Full Sample-Townhouse'!$A:$R,J$1,0),2)</f>
        <v>1.00</v>
      </c>
      <c r="K24" s="9" t="str">
        <f>FIXED(VLOOKUP($A24,'Full Sample-Townhouse'!$A:$R,K$1,0),2)</f>
        <v>0.00</v>
      </c>
      <c r="L24" s="3" t="str">
        <f>FIXED(VLOOKUP($A24,'Full Sample-Townhouse'!$A:$R,L$1,0),2)</f>
        <v>0.04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1-Townhouse'!$A:$R,O$1,0),2)</f>
        <v>0.00</v>
      </c>
      <c r="P24" s="3" t="str">
        <f>FIXED(VLOOKUP($A24,'Small Sample 1-Townhouse'!$A:$R,P$1,0),2)</f>
        <v>0.04</v>
      </c>
      <c r="Q24" s="3" t="str">
        <f>FIXED(VLOOKUP($A24,'Small Sample 1-Townhouse'!$A:$R,Q$1,0),2)</f>
        <v>0.00</v>
      </c>
      <c r="R24" s="3" t="str">
        <f>FIXED(VLOOKUP($A24,'Small Sample 1-Townhouse'!$A:$R,R$1,0),2)</f>
        <v>1.00</v>
      </c>
      <c r="S24" s="9" t="str">
        <f>FIXED(VLOOKUP($A24,'Small Sample 1-Townhouse'!$A:$R,S$1,0),2)</f>
        <v>0.00</v>
      </c>
      <c r="T24" s="3" t="str">
        <f>FIXED(VLOOKUP($A24,'Small Sample 1-Townhouse'!$A:$R,T$1,0),2)</f>
        <v>0.03</v>
      </c>
      <c r="U24" s="3" t="str">
        <f>FIXED(VLOOKUP($A24,'Small Sample 1-Townhouse'!$A:$R,U$1,0),2)</f>
        <v>0.00</v>
      </c>
      <c r="V24" s="13" t="str">
        <f>FIXED(VLOOKUP($A24,'Small Sample 1-Townhouse'!$A:$R,V$1,0),2)</f>
        <v>1.00</v>
      </c>
      <c r="W24" s="9" t="str">
        <f>FIXED(VLOOKUP($A24,'Small Sample 1-Townhouse'!$A:$R,W$1,0),2)</f>
        <v>0.00</v>
      </c>
      <c r="X24" s="3" t="str">
        <f>FIXED(VLOOKUP($A24,'Small Sample 1-Townhouse'!$A:$R,X$1,0),2)</f>
        <v>0.04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2-Townhouse'!$A:$R,AA$1,0),2)</f>
        <v>0.00</v>
      </c>
      <c r="AB24" s="3" t="str">
        <f>FIXED(VLOOKUP($A24,'Small Sample 2-Townhouse'!$A:$R,AB$1,0),2)</f>
        <v>0.04</v>
      </c>
      <c r="AC24" s="3" t="str">
        <f>FIXED(VLOOKUP($A24,'Small Sample 2-Townhouse'!$A:$R,AC$1,0),2)</f>
        <v>0.00</v>
      </c>
      <c r="AD24" s="3" t="str">
        <f>FIXED(VLOOKUP($A24,'Small Sample 2-Townhouse'!$A:$R,AD$1,0),2)</f>
        <v>1.00</v>
      </c>
      <c r="AE24" s="9" t="str">
        <f>FIXED(VLOOKUP($A24,'Small Sample 2-Townhouse'!$A:$R,AE$1,0),2)</f>
        <v>0.00</v>
      </c>
      <c r="AF24" s="3" t="str">
        <f>FIXED(VLOOKUP($A24,'Small Sample 2-Townhouse'!$A:$R,AF$1,0),2)</f>
        <v>0.03</v>
      </c>
      <c r="AG24" s="3" t="str">
        <f>FIXED(VLOOKUP($A24,'Small Sample 2-Townhouse'!$A:$R,AG$1,0),2)</f>
        <v>0.00</v>
      </c>
      <c r="AH24" s="13" t="str">
        <f>FIXED(VLOOKUP($A24,'Small Sample 2-Townhouse'!$A:$R,AH$1,0),2)</f>
        <v>1.00</v>
      </c>
      <c r="AI24" s="9" t="str">
        <f>FIXED(VLOOKUP($A24,'Small Sample 2-Townhouse'!$A:$R,AI$1,0),2)</f>
        <v>0.00</v>
      </c>
      <c r="AJ24" s="3" t="str">
        <f>FIXED(VLOOKUP($A24,'Small Sample 2-Townhouse'!$A:$R,AJ$1,0),2)</f>
        <v>0.04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Sample-Townhouse'!$A:$R,C$1,0),2)</f>
        <v>0.17</v>
      </c>
      <c r="D25" s="3" t="str">
        <f>FIXED(VLOOKUP($A25,'Full Sample-Townhouse'!$A:$R,D$1,0),2)</f>
        <v>0.38</v>
      </c>
      <c r="E25" s="3" t="str">
        <f>FIXED(VLOOKUP($A25,'Full Sample-Townhouse'!$A:$R,E$1,0),2)</f>
        <v>0.00</v>
      </c>
      <c r="F25" s="3" t="str">
        <f>FIXED(VLOOKUP($A25,'Full Sample-Townhouse'!$A:$R,F$1,0),2)</f>
        <v>1.00</v>
      </c>
      <c r="G25" s="9" t="str">
        <f>FIXED(VLOOKUP($A25,'Full Sample-Townhouse'!$A:$R,G$1,0),2)</f>
        <v>0.17</v>
      </c>
      <c r="H25" s="3" t="str">
        <f>FIXED(VLOOKUP($A25,'Full Sample-Townhouse'!$A:$R,H$1,0),2)</f>
        <v>0.38</v>
      </c>
      <c r="I25" s="3" t="str">
        <f>FIXED(VLOOKUP($A25,'Full Sample-Townhouse'!$A:$R,I$1,0),2)</f>
        <v>0.00</v>
      </c>
      <c r="J25" s="13" t="str">
        <f>FIXED(VLOOKUP($A25,'Full Sample-Townhouse'!$A:$R,J$1,0),2)</f>
        <v>1.00</v>
      </c>
      <c r="K25" s="9" t="str">
        <f>FIXED(VLOOKUP($A25,'Full Sample-Townhouse'!$A:$R,K$1,0),2)</f>
        <v>0.18</v>
      </c>
      <c r="L25" s="3" t="str">
        <f>FIXED(VLOOKUP($A25,'Full Sample-Townhouse'!$A:$R,L$1,0),2)</f>
        <v>0.38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1-Townhouse'!$A:$R,O$1,0),2)</f>
        <v>0.17</v>
      </c>
      <c r="P25" s="3" t="str">
        <f>FIXED(VLOOKUP($A25,'Small Sample 1-Townhouse'!$A:$R,P$1,0),2)</f>
        <v>0.38</v>
      </c>
      <c r="Q25" s="3" t="str">
        <f>FIXED(VLOOKUP($A25,'Small Sample 1-Townhouse'!$A:$R,Q$1,0),2)</f>
        <v>0.00</v>
      </c>
      <c r="R25" s="3" t="str">
        <f>FIXED(VLOOKUP($A25,'Small Sample 1-Townhouse'!$A:$R,R$1,0),2)</f>
        <v>1.00</v>
      </c>
      <c r="S25" s="9" t="str">
        <f>FIXED(VLOOKUP($A25,'Small Sample 1-Townhouse'!$A:$R,S$1,0),2)</f>
        <v>0.17</v>
      </c>
      <c r="T25" s="3" t="str">
        <f>FIXED(VLOOKUP($A25,'Small Sample 1-Townhouse'!$A:$R,T$1,0),2)</f>
        <v>0.38</v>
      </c>
      <c r="U25" s="3" t="str">
        <f>FIXED(VLOOKUP($A25,'Small Sample 1-Townhouse'!$A:$R,U$1,0),2)</f>
        <v>0.00</v>
      </c>
      <c r="V25" s="13" t="str">
        <f>FIXED(VLOOKUP($A25,'Small Sample 1-Townhouse'!$A:$R,V$1,0),2)</f>
        <v>1.00</v>
      </c>
      <c r="W25" s="9" t="str">
        <f>FIXED(VLOOKUP($A25,'Small Sample 1-Townhouse'!$A:$R,W$1,0),2)</f>
        <v>0.17</v>
      </c>
      <c r="X25" s="3" t="str">
        <f>FIXED(VLOOKUP($A25,'Small Sample 1-Townhouse'!$A:$R,X$1,0),2)</f>
        <v>0.38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2-Townhouse'!$A:$R,AA$1,0),2)</f>
        <v>0.19</v>
      </c>
      <c r="AB25" s="3" t="str">
        <f>FIXED(VLOOKUP($A25,'Small Sample 2-Townhouse'!$A:$R,AB$1,0),2)</f>
        <v>0.39</v>
      </c>
      <c r="AC25" s="3" t="str">
        <f>FIXED(VLOOKUP($A25,'Small Sample 2-Townhouse'!$A:$R,AC$1,0),2)</f>
        <v>0.00</v>
      </c>
      <c r="AD25" s="3" t="str">
        <f>FIXED(VLOOKUP($A25,'Small Sample 2-Townhouse'!$A:$R,AD$1,0),2)</f>
        <v>1.00</v>
      </c>
      <c r="AE25" s="9" t="str">
        <f>FIXED(VLOOKUP($A25,'Small Sample 2-Townhouse'!$A:$R,AE$1,0),2)</f>
        <v>0.18</v>
      </c>
      <c r="AF25" s="3" t="str">
        <f>FIXED(VLOOKUP($A25,'Small Sample 2-Townhouse'!$A:$R,AF$1,0),2)</f>
        <v>0.38</v>
      </c>
      <c r="AG25" s="3" t="str">
        <f>FIXED(VLOOKUP($A25,'Small Sample 2-Townhouse'!$A:$R,AG$1,0),2)</f>
        <v>0.00</v>
      </c>
      <c r="AH25" s="13" t="str">
        <f>FIXED(VLOOKUP($A25,'Small Sample 2-Townhouse'!$A:$R,AH$1,0),2)</f>
        <v>1.00</v>
      </c>
      <c r="AI25" s="9" t="str">
        <f>FIXED(VLOOKUP($A25,'Small Sample 2-Townhouse'!$A:$R,AI$1,0),2)</f>
        <v>0.19</v>
      </c>
      <c r="AJ25" s="3" t="str">
        <f>FIXED(VLOOKUP($A25,'Small Sample 2-Townhouse'!$A:$R,AJ$1,0),2)</f>
        <v>0.40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Sample-Townhouse'!$A:$R,C$1,0),2)</f>
        <v>0.36</v>
      </c>
      <c r="D26" s="3" t="str">
        <f>FIXED(VLOOKUP($A26,'Full Sample-Townhouse'!$A:$R,D$1,0),2)</f>
        <v>0.48</v>
      </c>
      <c r="E26" s="3" t="str">
        <f>FIXED(VLOOKUP($A26,'Full Sample-Townhouse'!$A:$R,E$1,0),2)</f>
        <v>0.00</v>
      </c>
      <c r="F26" s="3" t="str">
        <f>FIXED(VLOOKUP($A26,'Full Sample-Townhouse'!$A:$R,F$1,0),2)</f>
        <v>1.00</v>
      </c>
      <c r="G26" s="9" t="str">
        <f>FIXED(VLOOKUP($A26,'Full Sample-Townhouse'!$A:$R,G$1,0),2)</f>
        <v>0.38</v>
      </c>
      <c r="H26" s="3" t="str">
        <f>FIXED(VLOOKUP($A26,'Full Sample-Townhouse'!$A:$R,H$1,0),2)</f>
        <v>0.48</v>
      </c>
      <c r="I26" s="3" t="str">
        <f>FIXED(VLOOKUP($A26,'Full Sample-Townhouse'!$A:$R,I$1,0),2)</f>
        <v>0.00</v>
      </c>
      <c r="J26" s="13" t="str">
        <f>FIXED(VLOOKUP($A26,'Full Sample-Townhouse'!$A:$R,J$1,0),2)</f>
        <v>1.00</v>
      </c>
      <c r="K26" s="9" t="str">
        <f>FIXED(VLOOKUP($A26,'Full Sample-Townhouse'!$A:$R,K$1,0),2)</f>
        <v>0.34</v>
      </c>
      <c r="L26" s="3" t="str">
        <f>FIXED(VLOOKUP($A26,'Full Sample-Townhouse'!$A:$R,L$1,0),2)</f>
        <v>0.47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1-Townhouse'!$A:$R,O$1,0),2)</f>
        <v>0.36</v>
      </c>
      <c r="P26" s="3" t="str">
        <f>FIXED(VLOOKUP($A26,'Small Sample 1-Townhouse'!$A:$R,P$1,0),2)</f>
        <v>0.48</v>
      </c>
      <c r="Q26" s="3" t="str">
        <f>FIXED(VLOOKUP($A26,'Small Sample 1-Townhouse'!$A:$R,Q$1,0),2)</f>
        <v>0.00</v>
      </c>
      <c r="R26" s="3" t="str">
        <f>FIXED(VLOOKUP($A26,'Small Sample 1-Townhouse'!$A:$R,R$1,0),2)</f>
        <v>1.00</v>
      </c>
      <c r="S26" s="9" t="str">
        <f>FIXED(VLOOKUP($A26,'Small Sample 1-Townhouse'!$A:$R,S$1,0),2)</f>
        <v>0.38</v>
      </c>
      <c r="T26" s="3" t="str">
        <f>FIXED(VLOOKUP($A26,'Small Sample 1-Townhouse'!$A:$R,T$1,0),2)</f>
        <v>0.49</v>
      </c>
      <c r="U26" s="3" t="str">
        <f>FIXED(VLOOKUP($A26,'Small Sample 1-Townhouse'!$A:$R,U$1,0),2)</f>
        <v>0.00</v>
      </c>
      <c r="V26" s="13" t="str">
        <f>FIXED(VLOOKUP($A26,'Small Sample 1-Townhouse'!$A:$R,V$1,0),2)</f>
        <v>1.00</v>
      </c>
      <c r="W26" s="9" t="str">
        <f>FIXED(VLOOKUP($A26,'Small Sample 1-Townhouse'!$A:$R,W$1,0),2)</f>
        <v>0.34</v>
      </c>
      <c r="X26" s="3" t="str">
        <f>FIXED(VLOOKUP($A26,'Small Sample 1-Townhouse'!$A:$R,X$1,0),2)</f>
        <v>0.47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2-Townhouse'!$A:$R,AA$1,0),2)</f>
        <v>0.36</v>
      </c>
      <c r="AB26" s="3" t="str">
        <f>FIXED(VLOOKUP($A26,'Small Sample 2-Townhouse'!$A:$R,AB$1,0),2)</f>
        <v>0.48</v>
      </c>
      <c r="AC26" s="3" t="str">
        <f>FIXED(VLOOKUP($A26,'Small Sample 2-Townhouse'!$A:$R,AC$1,0),2)</f>
        <v>0.00</v>
      </c>
      <c r="AD26" s="3" t="str">
        <f>FIXED(VLOOKUP($A26,'Small Sample 2-Townhouse'!$A:$R,AD$1,0),2)</f>
        <v>1.00</v>
      </c>
      <c r="AE26" s="9" t="str">
        <f>FIXED(VLOOKUP($A26,'Small Sample 2-Townhouse'!$A:$R,AE$1,0),2)</f>
        <v>0.37</v>
      </c>
      <c r="AF26" s="3" t="str">
        <f>FIXED(VLOOKUP($A26,'Small Sample 2-Townhouse'!$A:$R,AF$1,0),2)</f>
        <v>0.48</v>
      </c>
      <c r="AG26" s="3" t="str">
        <f>FIXED(VLOOKUP($A26,'Small Sample 2-Townhouse'!$A:$R,AG$1,0),2)</f>
        <v>0.00</v>
      </c>
      <c r="AH26" s="13" t="str">
        <f>FIXED(VLOOKUP($A26,'Small Sample 2-Townhouse'!$A:$R,AH$1,0),2)</f>
        <v>1.00</v>
      </c>
      <c r="AI26" s="9" t="str">
        <f>FIXED(VLOOKUP($A26,'Small Sample 2-Townhouse'!$A:$R,AI$1,0),2)</f>
        <v>0.33</v>
      </c>
      <c r="AJ26" s="3" t="str">
        <f>FIXED(VLOOKUP($A26,'Small Sample 2-Townhouse'!$A:$R,AJ$1,0),2)</f>
        <v>0.47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Sample-Townhouse'!$A:$R,C$1,0),2)</f>
        <v>0.44</v>
      </c>
      <c r="D27" s="3" t="str">
        <f>FIXED(VLOOKUP($A27,'Full Sample-Townhouse'!$A:$R,D$1,0),2)</f>
        <v>0.50</v>
      </c>
      <c r="E27" s="3" t="str">
        <f>FIXED(VLOOKUP($A27,'Full Sample-Townhouse'!$A:$R,E$1,0),2)</f>
        <v>0.00</v>
      </c>
      <c r="F27" s="3" t="str">
        <f>FIXED(VLOOKUP($A27,'Full Sample-Townhouse'!$A:$R,F$1,0),2)</f>
        <v>1.00</v>
      </c>
      <c r="G27" s="9" t="str">
        <f>FIXED(VLOOKUP($A27,'Full Sample-Townhouse'!$A:$R,G$1,0),2)</f>
        <v>0.43</v>
      </c>
      <c r="H27" s="3" t="str">
        <f>FIXED(VLOOKUP($A27,'Full Sample-Townhouse'!$A:$R,H$1,0),2)</f>
        <v>0.49</v>
      </c>
      <c r="I27" s="3" t="str">
        <f>FIXED(VLOOKUP($A27,'Full Sample-Townhouse'!$A:$R,I$1,0),2)</f>
        <v>0.00</v>
      </c>
      <c r="J27" s="13" t="str">
        <f>FIXED(VLOOKUP($A27,'Full Sample-Townhouse'!$A:$R,J$1,0),2)</f>
        <v>1.00</v>
      </c>
      <c r="K27" s="9" t="str">
        <f>FIXED(VLOOKUP($A27,'Full Sample-Townhouse'!$A:$R,K$1,0),2)</f>
        <v>0.46</v>
      </c>
      <c r="L27" s="3" t="str">
        <f>FIXED(VLOOKUP($A27,'Full Sample-Townhouse'!$A:$R,L$1,0),2)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1-Townhouse'!$A:$R,O$1,0),2)</f>
        <v>0.44</v>
      </c>
      <c r="P27" s="3" t="str">
        <f>FIXED(VLOOKUP($A27,'Small Sample 1-Townhouse'!$A:$R,P$1,0),2)</f>
        <v>0.50</v>
      </c>
      <c r="Q27" s="3" t="str">
        <f>FIXED(VLOOKUP($A27,'Small Sample 1-Townhouse'!$A:$R,Q$1,0),2)</f>
        <v>0.00</v>
      </c>
      <c r="R27" s="3" t="str">
        <f>FIXED(VLOOKUP($A27,'Small Sample 1-Townhouse'!$A:$R,R$1,0),2)</f>
        <v>1.00</v>
      </c>
      <c r="S27" s="9" t="str">
        <f>FIXED(VLOOKUP($A27,'Small Sample 1-Townhouse'!$A:$R,S$1,0),2)</f>
        <v>0.43</v>
      </c>
      <c r="T27" s="3" t="str">
        <f>FIXED(VLOOKUP($A27,'Small Sample 1-Townhouse'!$A:$R,T$1,0),2)</f>
        <v>0.49</v>
      </c>
      <c r="U27" s="3" t="str">
        <f>FIXED(VLOOKUP($A27,'Small Sample 1-Townhouse'!$A:$R,U$1,0),2)</f>
        <v>0.00</v>
      </c>
      <c r="V27" s="13" t="str">
        <f>FIXED(VLOOKUP($A27,'Small Sample 1-Townhouse'!$A:$R,V$1,0),2)</f>
        <v>1.00</v>
      </c>
      <c r="W27" s="9" t="str">
        <f>FIXED(VLOOKUP($A27,'Small Sample 1-Townhouse'!$A:$R,W$1,0),2)</f>
        <v>0.46</v>
      </c>
      <c r="X27" s="3" t="str">
        <f>FIXED(VLOOKUP($A27,'Small Sample 1-Townhouse'!$A:$R,X$1,0),2)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2-Townhouse'!$A:$R,AA$1,0),2)</f>
        <v>0.43</v>
      </c>
      <c r="AB27" s="3" t="str">
        <f>FIXED(VLOOKUP($A27,'Small Sample 2-Townhouse'!$A:$R,AB$1,0),2)</f>
        <v>0.50</v>
      </c>
      <c r="AC27" s="3" t="str">
        <f>FIXED(VLOOKUP($A27,'Small Sample 2-Townhouse'!$A:$R,AC$1,0),2)</f>
        <v>0.00</v>
      </c>
      <c r="AD27" s="3" t="str">
        <f>FIXED(VLOOKUP($A27,'Small Sample 2-Townhouse'!$A:$R,AD$1,0),2)</f>
        <v>1.00</v>
      </c>
      <c r="AE27" s="9" t="str">
        <f>FIXED(VLOOKUP($A27,'Small Sample 2-Townhouse'!$A:$R,AE$1,0),2)</f>
        <v>0.42</v>
      </c>
      <c r="AF27" s="3" t="str">
        <f>FIXED(VLOOKUP($A27,'Small Sample 2-Townhouse'!$A:$R,AF$1,0),2)</f>
        <v>0.49</v>
      </c>
      <c r="AG27" s="3" t="str">
        <f>FIXED(VLOOKUP($A27,'Small Sample 2-Townhouse'!$A:$R,AG$1,0),2)</f>
        <v>0.00</v>
      </c>
      <c r="AH27" s="13" t="str">
        <f>FIXED(VLOOKUP($A27,'Small Sample 2-Townhouse'!$A:$R,AH$1,0),2)</f>
        <v>1.00</v>
      </c>
      <c r="AI27" s="9" t="str">
        <f>FIXED(VLOOKUP($A27,'Small Sample 2-Townhouse'!$A:$R,AI$1,0),2)</f>
        <v>0.44</v>
      </c>
      <c r="AJ27" s="3" t="str">
        <f>FIXED(VLOOKUP($A27,'Small Sample 2-Townhouse'!$A:$R,AJ$1,0),2)</f>
        <v>0.50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Sample-Townhouse'!$A:$R,C$1,0),2)</f>
        <v>0.03</v>
      </c>
      <c r="D28" s="3" t="str">
        <f>FIXED(VLOOKUP($A28,'Full Sample-Townhouse'!$A:$R,D$1,0),2)</f>
        <v>0.16</v>
      </c>
      <c r="E28" s="3" t="str">
        <f>FIXED(VLOOKUP($A28,'Full Sample-Townhouse'!$A:$R,E$1,0),2)</f>
        <v>0.00</v>
      </c>
      <c r="F28" s="3" t="str">
        <f>FIXED(VLOOKUP($A28,'Full Sample-Townhouse'!$A:$R,F$1,0),2)</f>
        <v>1.00</v>
      </c>
      <c r="G28" s="9" t="str">
        <f>FIXED(VLOOKUP($A28,'Full Sample-Townhouse'!$A:$R,G$1,0),2)</f>
        <v>0.03</v>
      </c>
      <c r="H28" s="3" t="str">
        <f>FIXED(VLOOKUP($A28,'Full Sample-Townhouse'!$A:$R,H$1,0),2)</f>
        <v>0.16</v>
      </c>
      <c r="I28" s="3" t="str">
        <f>FIXED(VLOOKUP($A28,'Full Sample-Townhouse'!$A:$R,I$1,0),2)</f>
        <v>0.00</v>
      </c>
      <c r="J28" s="13" t="str">
        <f>FIXED(VLOOKUP($A28,'Full Sample-Townhouse'!$A:$R,J$1,0),2)</f>
        <v>1.00</v>
      </c>
      <c r="K28" s="9" t="str">
        <f>FIXED(VLOOKUP($A28,'Full Sample-Townhouse'!$A:$R,K$1,0),2)</f>
        <v>0.03</v>
      </c>
      <c r="L28" s="3" t="str">
        <f>FIXED(VLOOKUP($A28,'Full Sample-Townhouse'!$A:$R,L$1,0),2)</f>
        <v>0.16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1-Townhouse'!$A:$R,O$1,0),2)</f>
        <v>0.02</v>
      </c>
      <c r="P28" s="3" t="str">
        <f>FIXED(VLOOKUP($A28,'Small Sample 1-Townhouse'!$A:$R,P$1,0),2)</f>
        <v>0.15</v>
      </c>
      <c r="Q28" s="3" t="str">
        <f>FIXED(VLOOKUP($A28,'Small Sample 1-Townhouse'!$A:$R,Q$1,0),2)</f>
        <v>0.00</v>
      </c>
      <c r="R28" s="3" t="str">
        <f>FIXED(VLOOKUP($A28,'Small Sample 1-Townhouse'!$A:$R,R$1,0),2)</f>
        <v>1.00</v>
      </c>
      <c r="S28" s="9" t="str">
        <f>FIXED(VLOOKUP($A28,'Small Sample 1-Townhouse'!$A:$R,S$1,0),2)</f>
        <v>0.02</v>
      </c>
      <c r="T28" s="3" t="str">
        <f>FIXED(VLOOKUP($A28,'Small Sample 1-Townhouse'!$A:$R,T$1,0),2)</f>
        <v>0.15</v>
      </c>
      <c r="U28" s="3" t="str">
        <f>FIXED(VLOOKUP($A28,'Small Sample 1-Townhouse'!$A:$R,U$1,0),2)</f>
        <v>0.00</v>
      </c>
      <c r="V28" s="13" t="str">
        <f>FIXED(VLOOKUP($A28,'Small Sample 1-Townhouse'!$A:$R,V$1,0),2)</f>
        <v>1.00</v>
      </c>
      <c r="W28" s="9" t="str">
        <f>FIXED(VLOOKUP($A28,'Small Sample 1-Townhouse'!$A:$R,W$1,0),2)</f>
        <v>0.02</v>
      </c>
      <c r="X28" s="3" t="str">
        <f>FIXED(VLOOKUP($A28,'Small Sample 1-Townhouse'!$A:$R,X$1,0),2)</f>
        <v>0.15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2-Townhouse'!$A:$R,AA$1,0),2)</f>
        <v>0.03</v>
      </c>
      <c r="AB28" s="3" t="str">
        <f>FIXED(VLOOKUP($A28,'Small Sample 2-Townhouse'!$A:$R,AB$1,0),2)</f>
        <v>0.17</v>
      </c>
      <c r="AC28" s="3" t="str">
        <f>FIXED(VLOOKUP($A28,'Small Sample 2-Townhouse'!$A:$R,AC$1,0),2)</f>
        <v>0.00</v>
      </c>
      <c r="AD28" s="3" t="str">
        <f>FIXED(VLOOKUP($A28,'Small Sample 2-Townhouse'!$A:$R,AD$1,0),2)</f>
        <v>1.00</v>
      </c>
      <c r="AE28" s="9" t="str">
        <f>FIXED(VLOOKUP($A28,'Small Sample 2-Townhouse'!$A:$R,AE$1,0),2)</f>
        <v>0.03</v>
      </c>
      <c r="AF28" s="3" t="str">
        <f>FIXED(VLOOKUP($A28,'Small Sample 2-Townhouse'!$A:$R,AF$1,0),2)</f>
        <v>0.16</v>
      </c>
      <c r="AG28" s="3" t="str">
        <f>FIXED(VLOOKUP($A28,'Small Sample 2-Townhouse'!$A:$R,AG$1,0),2)</f>
        <v>0.00</v>
      </c>
      <c r="AH28" s="13" t="str">
        <f>FIXED(VLOOKUP($A28,'Small Sample 2-Townhouse'!$A:$R,AH$1,0),2)</f>
        <v>1.00</v>
      </c>
      <c r="AI28" s="9" t="str">
        <f>FIXED(VLOOKUP($A28,'Small Sample 2-Townhouse'!$A:$R,AI$1,0),2)</f>
        <v>0.03</v>
      </c>
      <c r="AJ28" s="3" t="str">
        <f>FIXED(VLOOKUP($A28,'Small Sample 2-Townhouse'!$A:$R,AJ$1,0),2)</f>
        <v>0.17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Sample-Townhouse'!$A:$R,C$1,0),2)</f>
        <v>0.03</v>
      </c>
      <c r="D29" s="3" t="str">
        <f>FIXED(VLOOKUP($A29,'Full Sample-Townhouse'!$A:$R,D$1,0),2)</f>
        <v>0.17</v>
      </c>
      <c r="E29" s="3" t="str">
        <f>FIXED(VLOOKUP($A29,'Full Sample-Townhouse'!$A:$R,E$1,0),2)</f>
        <v>0.00</v>
      </c>
      <c r="F29" s="3" t="str">
        <f>FIXED(VLOOKUP($A29,'Full Sample-Townhouse'!$A:$R,F$1,0),2)</f>
        <v>1.00</v>
      </c>
      <c r="G29" s="9" t="str">
        <f>FIXED(VLOOKUP($A29,'Full Sample-Townhouse'!$A:$R,G$1,0),2)</f>
        <v>0.03</v>
      </c>
      <c r="H29" s="3" t="str">
        <f>FIXED(VLOOKUP($A29,'Full Sample-Townhouse'!$A:$R,H$1,0),2)</f>
        <v>0.17</v>
      </c>
      <c r="I29" s="3" t="str">
        <f>FIXED(VLOOKUP($A29,'Full Sample-Townhouse'!$A:$R,I$1,0),2)</f>
        <v>0.00</v>
      </c>
      <c r="J29" s="13" t="str">
        <f>FIXED(VLOOKUP($A29,'Full Sample-Townhouse'!$A:$R,J$1,0),2)</f>
        <v>1.00</v>
      </c>
      <c r="K29" s="9" t="str">
        <f>FIXED(VLOOKUP($A29,'Full Sample-Townhouse'!$A:$R,K$1,0),2)</f>
        <v>0.03</v>
      </c>
      <c r="L29" s="3" t="str">
        <f>FIXED(VLOOKUP($A29,'Full Sample-Townhouse'!$A:$R,L$1,0),2)</f>
        <v>0.16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1-Townhouse'!$A:$R,O$1,0),2)</f>
        <v>0.03</v>
      </c>
      <c r="P29" s="3" t="str">
        <f>FIXED(VLOOKUP($A29,'Small Sample 1-Townhouse'!$A:$R,P$1,0),2)</f>
        <v>0.16</v>
      </c>
      <c r="Q29" s="3" t="str">
        <f>FIXED(VLOOKUP($A29,'Small Sample 1-Townhouse'!$A:$R,Q$1,0),2)</f>
        <v>0.00</v>
      </c>
      <c r="R29" s="3" t="str">
        <f>FIXED(VLOOKUP($A29,'Small Sample 1-Townhouse'!$A:$R,R$1,0),2)</f>
        <v>1.00</v>
      </c>
      <c r="S29" s="9" t="str">
        <f>FIXED(VLOOKUP($A29,'Small Sample 1-Townhouse'!$A:$R,S$1,0),2)</f>
        <v>0.03</v>
      </c>
      <c r="T29" s="3" t="str">
        <f>FIXED(VLOOKUP($A29,'Small Sample 1-Townhouse'!$A:$R,T$1,0),2)</f>
        <v>0.17</v>
      </c>
      <c r="U29" s="3" t="str">
        <f>FIXED(VLOOKUP($A29,'Small Sample 1-Townhouse'!$A:$R,U$1,0),2)</f>
        <v>0.00</v>
      </c>
      <c r="V29" s="13" t="str">
        <f>FIXED(VLOOKUP($A29,'Small Sample 1-Townhouse'!$A:$R,V$1,0),2)</f>
        <v>1.00</v>
      </c>
      <c r="W29" s="9" t="str">
        <f>FIXED(VLOOKUP($A29,'Small Sample 1-Townhouse'!$A:$R,W$1,0),2)</f>
        <v>0.03</v>
      </c>
      <c r="X29" s="3" t="str">
        <f>FIXED(VLOOKUP($A29,'Small Sample 1-Townhouse'!$A:$R,X$1,0),2)</f>
        <v>0.16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2-Townhouse'!$A:$R,AA$1,0),2)</f>
        <v>0.03</v>
      </c>
      <c r="AB29" s="3" t="str">
        <f>FIXED(VLOOKUP($A29,'Small Sample 2-Townhouse'!$A:$R,AB$1,0),2)</f>
        <v>0.16</v>
      </c>
      <c r="AC29" s="3" t="str">
        <f>FIXED(VLOOKUP($A29,'Small Sample 2-Townhouse'!$A:$R,AC$1,0),2)</f>
        <v>0.00</v>
      </c>
      <c r="AD29" s="3" t="str">
        <f>FIXED(VLOOKUP($A29,'Small Sample 2-Townhouse'!$A:$R,AD$1,0),2)</f>
        <v>1.00</v>
      </c>
      <c r="AE29" s="9" t="str">
        <f>FIXED(VLOOKUP($A29,'Small Sample 2-Townhouse'!$A:$R,AE$1,0),2)</f>
        <v>0.03</v>
      </c>
      <c r="AF29" s="3" t="str">
        <f>FIXED(VLOOKUP($A29,'Small Sample 2-Townhouse'!$A:$R,AF$1,0),2)</f>
        <v>0.17</v>
      </c>
      <c r="AG29" s="3" t="str">
        <f>FIXED(VLOOKUP($A29,'Small Sample 2-Townhouse'!$A:$R,AG$1,0),2)</f>
        <v>0.00</v>
      </c>
      <c r="AH29" s="13" t="str">
        <f>FIXED(VLOOKUP($A29,'Small Sample 2-Townhouse'!$A:$R,AH$1,0),2)</f>
        <v>1.00</v>
      </c>
      <c r="AI29" s="9" t="str">
        <f>FIXED(VLOOKUP($A29,'Small Sample 2-Townhouse'!$A:$R,AI$1,0),2)</f>
        <v>0.02</v>
      </c>
      <c r="AJ29" s="3" t="str">
        <f>FIXED(VLOOKUP($A29,'Small Sample 2-Townhouse'!$A:$R,AJ$1,0),2)</f>
        <v>0.15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Sample-Townhouse'!$A:$R,C$1,0),2)</f>
        <v>0.01</v>
      </c>
      <c r="D30" s="3" t="str">
        <f>FIXED(VLOOKUP($A30,'Full Sample-Townhouse'!$A:$R,D$1,0),2)</f>
        <v>0.08</v>
      </c>
      <c r="E30" s="3" t="str">
        <f>FIXED(VLOOKUP($A30,'Full Sample-Townhouse'!$A:$R,E$1,0),2)</f>
        <v>0.00</v>
      </c>
      <c r="F30" s="3" t="str">
        <f>FIXED(VLOOKUP($A30,'Full Sample-Townhouse'!$A:$R,F$1,0),2)</f>
        <v>1.00</v>
      </c>
      <c r="G30" s="9" t="str">
        <f>FIXED(VLOOKUP($A30,'Full Sample-Townhouse'!$A:$R,G$1,0),2)</f>
        <v>0.01</v>
      </c>
      <c r="H30" s="3" t="str">
        <f>FIXED(VLOOKUP($A30,'Full Sample-Townhouse'!$A:$R,H$1,0),2)</f>
        <v>0.09</v>
      </c>
      <c r="I30" s="3" t="str">
        <f>FIXED(VLOOKUP($A30,'Full Sample-Townhouse'!$A:$R,I$1,0),2)</f>
        <v>0.00</v>
      </c>
      <c r="J30" s="13" t="str">
        <f>FIXED(VLOOKUP($A30,'Full Sample-Townhouse'!$A:$R,J$1,0),2)</f>
        <v>1.00</v>
      </c>
      <c r="K30" s="9" t="str">
        <f>FIXED(VLOOKUP($A30,'Full Sample-Townhouse'!$A:$R,K$1,0),2)</f>
        <v>0.01</v>
      </c>
      <c r="L30" s="3" t="str">
        <f>FIXED(VLOOKUP($A30,'Full Sample-Townhouse'!$A:$R,L$1,0),2)</f>
        <v>0.07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1-Townhouse'!$A:$R,O$1,0),2)</f>
        <v>0.01</v>
      </c>
      <c r="P30" s="3" t="str">
        <f>FIXED(VLOOKUP($A30,'Small Sample 1-Townhouse'!$A:$R,P$1,0),2)</f>
        <v>0.08</v>
      </c>
      <c r="Q30" s="3" t="str">
        <f>FIXED(VLOOKUP($A30,'Small Sample 1-Townhouse'!$A:$R,Q$1,0),2)</f>
        <v>0.00</v>
      </c>
      <c r="R30" s="3" t="str">
        <f>FIXED(VLOOKUP($A30,'Small Sample 1-Townhouse'!$A:$R,R$1,0),2)</f>
        <v>1.00</v>
      </c>
      <c r="S30" s="9" t="str">
        <f>FIXED(VLOOKUP($A30,'Small Sample 1-Townhouse'!$A:$R,S$1,0),2)</f>
        <v>0.01</v>
      </c>
      <c r="T30" s="3" t="str">
        <f>FIXED(VLOOKUP($A30,'Small Sample 1-Townhouse'!$A:$R,T$1,0),2)</f>
        <v>0.09</v>
      </c>
      <c r="U30" s="3" t="str">
        <f>FIXED(VLOOKUP($A30,'Small Sample 1-Townhouse'!$A:$R,U$1,0),2)</f>
        <v>0.00</v>
      </c>
      <c r="V30" s="13" t="str">
        <f>FIXED(VLOOKUP($A30,'Small Sample 1-Townhouse'!$A:$R,V$1,0),2)</f>
        <v>1.00</v>
      </c>
      <c r="W30" s="9" t="str">
        <f>FIXED(VLOOKUP($A30,'Small Sample 1-Townhouse'!$A:$R,W$1,0),2)</f>
        <v>0.01</v>
      </c>
      <c r="X30" s="3" t="str">
        <f>FIXED(VLOOKUP($A30,'Small Sample 1-Townhouse'!$A:$R,X$1,0),2)</f>
        <v>0.07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2-Townhouse'!$A:$R,AA$1,0),2)</f>
        <v>0.01</v>
      </c>
      <c r="AB30" s="3" t="str">
        <f>FIXED(VLOOKUP($A30,'Small Sample 2-Townhouse'!$A:$R,AB$1,0),2)</f>
        <v>0.08</v>
      </c>
      <c r="AC30" s="3" t="str">
        <f>FIXED(VLOOKUP($A30,'Small Sample 2-Townhouse'!$A:$R,AC$1,0),2)</f>
        <v>0.00</v>
      </c>
      <c r="AD30" s="3" t="str">
        <f>FIXED(VLOOKUP($A30,'Small Sample 2-Townhouse'!$A:$R,AD$1,0),2)</f>
        <v>1.00</v>
      </c>
      <c r="AE30" s="9" t="str">
        <f>FIXED(VLOOKUP($A30,'Small Sample 2-Townhouse'!$A:$R,AE$1,0),2)</f>
        <v>0.01</v>
      </c>
      <c r="AF30" s="3" t="str">
        <f>FIXED(VLOOKUP($A30,'Small Sample 2-Townhouse'!$A:$R,AF$1,0),2)</f>
        <v>0.08</v>
      </c>
      <c r="AG30" s="3" t="str">
        <f>FIXED(VLOOKUP($A30,'Small Sample 2-Townhouse'!$A:$R,AG$1,0),2)</f>
        <v>0.00</v>
      </c>
      <c r="AH30" s="13" t="str">
        <f>FIXED(VLOOKUP($A30,'Small Sample 2-Townhouse'!$A:$R,AH$1,0),2)</f>
        <v>1.00</v>
      </c>
      <c r="AI30" s="9" t="str">
        <f>FIXED(VLOOKUP($A30,'Small Sample 2-Townhouse'!$A:$R,AI$1,0),2)</f>
        <v>0.00</v>
      </c>
      <c r="AJ30" s="3" t="str">
        <f>FIXED(VLOOKUP($A30,'Small Sample 2-Townhouse'!$A:$R,AJ$1,0),2)</f>
        <v>0.06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tr">
        <f>FIXED(VLOOKUP($A31,'Full Sample-Townhouse'!$A:$R,C$1,0),2)</f>
        <v>0.17</v>
      </c>
      <c r="D31" s="3" t="str">
        <f>FIXED(VLOOKUP($A31,'Full Sample-Townhouse'!$A:$R,D$1,0),2)</f>
        <v>0.38</v>
      </c>
      <c r="E31" s="3" t="str">
        <f>FIXED(VLOOKUP($A31,'Full Sample-Townhouse'!$A:$R,E$1,0),2)</f>
        <v>0.00</v>
      </c>
      <c r="F31" s="3" t="str">
        <f>FIXED(VLOOKUP($A31,'Full Sample-Townhouse'!$A:$R,F$1,0),2)</f>
        <v>1.00</v>
      </c>
      <c r="G31" s="9" t="str">
        <f>FIXED(VLOOKUP($A31,'Full Sample-Townhouse'!$A:$R,G$1,0),2)</f>
        <v>0.18</v>
      </c>
      <c r="H31" s="3" t="str">
        <f>FIXED(VLOOKUP($A31,'Full Sample-Townhouse'!$A:$R,H$1,0),2)</f>
        <v>0.38</v>
      </c>
      <c r="I31" s="3" t="str">
        <f>FIXED(VLOOKUP($A31,'Full Sample-Townhouse'!$A:$R,I$1,0),2)</f>
        <v>0.00</v>
      </c>
      <c r="J31" s="13" t="str">
        <f>FIXED(VLOOKUP($A31,'Full Sample-Townhouse'!$A:$R,J$1,0),2)</f>
        <v>1.00</v>
      </c>
      <c r="K31" s="9" t="str">
        <f>FIXED(VLOOKUP($A31,'Full Sample-Townhouse'!$A:$R,K$1,0),2)</f>
        <v>0.16</v>
      </c>
      <c r="L31" s="3" t="str">
        <f>FIXED(VLOOKUP($A31,'Full Sample-Townhouse'!$A:$R,L$1,0),2)</f>
        <v>0.37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tr">
        <f>FIXED(VLOOKUP($A31,'Small Sample 1-Townhouse'!$A:$R,O$1,0),2)</f>
        <v>0.17</v>
      </c>
      <c r="P31" s="3" t="str">
        <f>FIXED(VLOOKUP($A31,'Small Sample 1-Townhouse'!$A:$R,P$1,0),2)</f>
        <v>0.37</v>
      </c>
      <c r="Q31" s="3" t="str">
        <f>FIXED(VLOOKUP($A31,'Small Sample 1-Townhouse'!$A:$R,Q$1,0),2)</f>
        <v>0.00</v>
      </c>
      <c r="R31" s="3" t="str">
        <f>FIXED(VLOOKUP($A31,'Small Sample 1-Townhouse'!$A:$R,R$1,0),2)</f>
        <v>1.00</v>
      </c>
      <c r="S31" s="9" t="str">
        <f>FIXED(VLOOKUP($A31,'Small Sample 1-Townhouse'!$A:$R,S$1,0),2)</f>
        <v>0.17</v>
      </c>
      <c r="T31" s="3" t="str">
        <f>FIXED(VLOOKUP($A31,'Small Sample 1-Townhouse'!$A:$R,T$1,0),2)</f>
        <v>0.38</v>
      </c>
      <c r="U31" s="3" t="str">
        <f>FIXED(VLOOKUP($A31,'Small Sample 1-Townhouse'!$A:$R,U$1,0),2)</f>
        <v>0.00</v>
      </c>
      <c r="V31" s="13" t="str">
        <f>FIXED(VLOOKUP($A31,'Small Sample 1-Townhouse'!$A:$R,V$1,0),2)</f>
        <v>1.00</v>
      </c>
      <c r="W31" s="9" t="str">
        <f>FIXED(VLOOKUP($A31,'Small Sample 1-Townhouse'!$A:$R,W$1,0),2)</f>
        <v>0.16</v>
      </c>
      <c r="X31" s="3" t="str">
        <f>FIXED(VLOOKUP($A31,'Small Sample 1-Townhouse'!$A:$R,X$1,0),2)</f>
        <v>0.37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tr">
        <f>FIXED(VLOOKUP($A31,'Small Sample 2-Townhouse'!$A:$R,AA$1,0),2)</f>
        <v>0.17</v>
      </c>
      <c r="AB31" s="3" t="str">
        <f>FIXED(VLOOKUP($A31,'Small Sample 2-Townhouse'!$A:$R,AB$1,0),2)</f>
        <v>0.37</v>
      </c>
      <c r="AC31" s="3" t="str">
        <f>FIXED(VLOOKUP($A31,'Small Sample 2-Townhouse'!$A:$R,AC$1,0),2)</f>
        <v>0.00</v>
      </c>
      <c r="AD31" s="3" t="str">
        <f>FIXED(VLOOKUP($A31,'Small Sample 2-Townhouse'!$A:$R,AD$1,0),2)</f>
        <v>1.00</v>
      </c>
      <c r="AE31" s="9" t="str">
        <f>FIXED(VLOOKUP($A31,'Small Sample 2-Townhouse'!$A:$R,AE$1,0),2)</f>
        <v>0.18</v>
      </c>
      <c r="AF31" s="3" t="str">
        <f>FIXED(VLOOKUP($A31,'Small Sample 2-Townhouse'!$A:$R,AF$1,0),2)</f>
        <v>0.38</v>
      </c>
      <c r="AG31" s="3" t="str">
        <f>FIXED(VLOOKUP($A31,'Small Sample 2-Townhouse'!$A:$R,AG$1,0),2)</f>
        <v>0.00</v>
      </c>
      <c r="AH31" s="13" t="str">
        <f>FIXED(VLOOKUP($A31,'Small Sample 2-Townhouse'!$A:$R,AH$1,0),2)</f>
        <v>1.00</v>
      </c>
      <c r="AI31" s="9" t="str">
        <f>FIXED(VLOOKUP($A31,'Small Sample 2-Townhouse'!$A:$R,AI$1,0),2)</f>
        <v>0.16</v>
      </c>
      <c r="AJ31" s="3" t="str">
        <f>FIXED(VLOOKUP($A31,'Small Sample 2-Townhouse'!$A:$R,AJ$1,0),2)</f>
        <v>0.36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tr">
        <f>FIXED(VLOOKUP($A32,'Full Sample-Townhouse'!$A:$R,C$1,0),2)</f>
        <v>0.52</v>
      </c>
      <c r="D32" s="3" t="str">
        <f>FIXED(VLOOKUP($A32,'Full Sample-Townhouse'!$A:$R,D$1,0),2)</f>
        <v>0.50</v>
      </c>
      <c r="E32" s="3" t="str">
        <f>FIXED(VLOOKUP($A32,'Full Sample-Townhouse'!$A:$R,E$1,0),2)</f>
        <v>0.00</v>
      </c>
      <c r="F32" s="3" t="str">
        <f>FIXED(VLOOKUP($A32,'Full Sample-Townhouse'!$A:$R,F$1,0),2)</f>
        <v>1.00</v>
      </c>
      <c r="G32" s="9" t="str">
        <f>FIXED(VLOOKUP($A32,'Full Sample-Townhouse'!$A:$R,G$1,0),2)</f>
        <v>0.50</v>
      </c>
      <c r="H32" s="3" t="str">
        <f>FIXED(VLOOKUP($A32,'Full Sample-Townhouse'!$A:$R,H$1,0),2)</f>
        <v>0.50</v>
      </c>
      <c r="I32" s="3" t="str">
        <f>FIXED(VLOOKUP($A32,'Full Sample-Townhouse'!$A:$R,I$1,0),2)</f>
        <v>0.00</v>
      </c>
      <c r="J32" s="13" t="str">
        <f>FIXED(VLOOKUP($A32,'Full Sample-Townhouse'!$A:$R,J$1,0),2)</f>
        <v>1.00</v>
      </c>
      <c r="K32" s="9" t="str">
        <f>FIXED(VLOOKUP($A32,'Full Sample-Townhouse'!$A:$R,K$1,0),2)</f>
        <v>0.53</v>
      </c>
      <c r="L32" s="3" t="str">
        <f>FIXED(VLOOKUP($A32,'Full Sample-Townhouse'!$A:$R,L$1,0),2)</f>
        <v>0.50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tr">
        <f>FIXED(VLOOKUP($A32,'Small Sample 1-Townhouse'!$A:$R,O$1,0),2)</f>
        <v>0.54</v>
      </c>
      <c r="P32" s="3" t="str">
        <f>FIXED(VLOOKUP($A32,'Small Sample 1-Townhouse'!$A:$R,P$1,0),2)</f>
        <v>0.50</v>
      </c>
      <c r="Q32" s="3" t="str">
        <f>FIXED(VLOOKUP($A32,'Small Sample 1-Townhouse'!$A:$R,Q$1,0),2)</f>
        <v>0.00</v>
      </c>
      <c r="R32" s="3" t="str">
        <f>FIXED(VLOOKUP($A32,'Small Sample 1-Townhouse'!$A:$R,R$1,0),2)</f>
        <v>1.00</v>
      </c>
      <c r="S32" s="9" t="str">
        <f>FIXED(VLOOKUP($A32,'Small Sample 1-Townhouse'!$A:$R,S$1,0),2)</f>
        <v>0.54</v>
      </c>
      <c r="T32" s="3" t="str">
        <f>FIXED(VLOOKUP($A32,'Small Sample 1-Townhouse'!$A:$R,T$1,0),2)</f>
        <v>0.50</v>
      </c>
      <c r="U32" s="3" t="str">
        <f>FIXED(VLOOKUP($A32,'Small Sample 1-Townhouse'!$A:$R,U$1,0),2)</f>
        <v>0.00</v>
      </c>
      <c r="V32" s="13" t="str">
        <f>FIXED(VLOOKUP($A32,'Small Sample 1-Townhouse'!$A:$R,V$1,0),2)</f>
        <v>1.00</v>
      </c>
      <c r="W32" s="9" t="str">
        <f>FIXED(VLOOKUP($A32,'Small Sample 1-Townhouse'!$A:$R,W$1,0),2)</f>
        <v>0.54</v>
      </c>
      <c r="X32" s="3" t="str">
        <f>FIXED(VLOOKUP($A32,'Small Sample 1-Townhouse'!$A:$R,X$1,0),2)</f>
        <v>0.50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tr">
        <f>FIXED(VLOOKUP($A32,'Small Sample 2-Townhouse'!$A:$R,AA$1,0),2)</f>
        <v>0.54</v>
      </c>
      <c r="AB32" s="3" t="str">
        <f>FIXED(VLOOKUP($A32,'Small Sample 2-Townhouse'!$A:$R,AB$1,0),2)</f>
        <v>0.50</v>
      </c>
      <c r="AC32" s="3" t="str">
        <f>FIXED(VLOOKUP($A32,'Small Sample 2-Townhouse'!$A:$R,AC$1,0),2)</f>
        <v>0.00</v>
      </c>
      <c r="AD32" s="3" t="str">
        <f>FIXED(VLOOKUP($A32,'Small Sample 2-Townhouse'!$A:$R,AD$1,0),2)</f>
        <v>1.00</v>
      </c>
      <c r="AE32" s="9" t="str">
        <f>FIXED(VLOOKUP($A32,'Small Sample 2-Townhouse'!$A:$R,AE$1,0),2)</f>
        <v>0.52</v>
      </c>
      <c r="AF32" s="3" t="str">
        <f>FIXED(VLOOKUP($A32,'Small Sample 2-Townhouse'!$A:$R,AF$1,0),2)</f>
        <v>0.50</v>
      </c>
      <c r="AG32" s="3" t="str">
        <f>FIXED(VLOOKUP($A32,'Small Sample 2-Townhouse'!$A:$R,AG$1,0),2)</f>
        <v>0.00</v>
      </c>
      <c r="AH32" s="13" t="str">
        <f>FIXED(VLOOKUP($A32,'Small Sample 2-Townhouse'!$A:$R,AH$1,0),2)</f>
        <v>1.00</v>
      </c>
      <c r="AI32" s="9" t="str">
        <f>FIXED(VLOOKUP($A32,'Small Sample 2-Townhouse'!$A:$R,AI$1,0),2)</f>
        <v>0.58</v>
      </c>
      <c r="AJ32" s="3" t="str">
        <f>FIXED(VLOOKUP($A32,'Small Sample 2-Townhouse'!$A:$R,AJ$1,0),2)</f>
        <v>0.49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tr">
        <f>FIXED(VLOOKUP($A33,'Full Sample-Townhouse'!$A:$R,C$1,0),2)</f>
        <v>0.32</v>
      </c>
      <c r="D33" s="3" t="str">
        <f>FIXED(VLOOKUP($A33,'Full Sample-Townhouse'!$A:$R,D$1,0),2)</f>
        <v>0.47</v>
      </c>
      <c r="E33" s="3" t="str">
        <f>FIXED(VLOOKUP($A33,'Full Sample-Townhouse'!$A:$R,E$1,0),2)</f>
        <v>0.00</v>
      </c>
      <c r="F33" s="3" t="str">
        <f>FIXED(VLOOKUP($A33,'Full Sample-Townhouse'!$A:$R,F$1,0),2)</f>
        <v>1.00</v>
      </c>
      <c r="G33" s="9" t="str">
        <f>FIXED(VLOOKUP($A33,'Full Sample-Townhouse'!$A:$R,G$1,0),2)</f>
        <v>0.32</v>
      </c>
      <c r="H33" s="3" t="str">
        <f>FIXED(VLOOKUP($A33,'Full Sample-Townhouse'!$A:$R,H$1,0),2)</f>
        <v>0.47</v>
      </c>
      <c r="I33" s="3" t="str">
        <f>FIXED(VLOOKUP($A33,'Full Sample-Townhouse'!$A:$R,I$1,0),2)</f>
        <v>0.00</v>
      </c>
      <c r="J33" s="13" t="str">
        <f>FIXED(VLOOKUP($A33,'Full Sample-Townhouse'!$A:$R,J$1,0),2)</f>
        <v>1.00</v>
      </c>
      <c r="K33" s="9" t="str">
        <f>FIXED(VLOOKUP($A33,'Full Sample-Townhouse'!$A:$R,K$1,0),2)</f>
        <v>0.31</v>
      </c>
      <c r="L33" s="3" t="str">
        <f>FIXED(VLOOKUP($A33,'Full Sample-Townhouse'!$A:$R,L$1,0),2)</f>
        <v>0.46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tr">
        <f>FIXED(VLOOKUP($A33,'Small Sample 1-Townhouse'!$A:$R,O$1,0),2)</f>
        <v>0.29</v>
      </c>
      <c r="P33" s="3" t="str">
        <f>FIXED(VLOOKUP($A33,'Small Sample 1-Townhouse'!$A:$R,P$1,0),2)</f>
        <v>0.46</v>
      </c>
      <c r="Q33" s="3" t="str">
        <f>FIXED(VLOOKUP($A33,'Small Sample 1-Townhouse'!$A:$R,Q$1,0),2)</f>
        <v>0.00</v>
      </c>
      <c r="R33" s="3" t="str">
        <f>FIXED(VLOOKUP($A33,'Small Sample 1-Townhouse'!$A:$R,R$1,0),2)</f>
        <v>1.00</v>
      </c>
      <c r="S33" s="9" t="str">
        <f>FIXED(VLOOKUP($A33,'Small Sample 1-Townhouse'!$A:$R,S$1,0),2)</f>
        <v>0.29</v>
      </c>
      <c r="T33" s="3" t="str">
        <f>FIXED(VLOOKUP($A33,'Small Sample 1-Townhouse'!$A:$R,T$1,0),2)</f>
        <v>0.45</v>
      </c>
      <c r="U33" s="3" t="str">
        <f>FIXED(VLOOKUP($A33,'Small Sample 1-Townhouse'!$A:$R,U$1,0),2)</f>
        <v>0.00</v>
      </c>
      <c r="V33" s="13" t="str">
        <f>FIXED(VLOOKUP($A33,'Small Sample 1-Townhouse'!$A:$R,V$1,0),2)</f>
        <v>1.00</v>
      </c>
      <c r="W33" s="9" t="str">
        <f>FIXED(VLOOKUP($A33,'Small Sample 1-Townhouse'!$A:$R,W$1,0),2)</f>
        <v>0.30</v>
      </c>
      <c r="X33" s="3" t="str">
        <f>FIXED(VLOOKUP($A33,'Small Sample 1-Townhouse'!$A:$R,X$1,0),2)</f>
        <v>0.46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tr">
        <f>FIXED(VLOOKUP($A33,'Small Sample 2-Townhouse'!$A:$R,AA$1,0),2)</f>
        <v>0.29</v>
      </c>
      <c r="AB33" s="3" t="str">
        <f>FIXED(VLOOKUP($A33,'Small Sample 2-Townhouse'!$A:$R,AB$1,0),2)</f>
        <v>0.46</v>
      </c>
      <c r="AC33" s="3" t="str">
        <f>FIXED(VLOOKUP($A33,'Small Sample 2-Townhouse'!$A:$R,AC$1,0),2)</f>
        <v>0.00</v>
      </c>
      <c r="AD33" s="3" t="str">
        <f>FIXED(VLOOKUP($A33,'Small Sample 2-Townhouse'!$A:$R,AD$1,0),2)</f>
        <v>1.00</v>
      </c>
      <c r="AE33" s="9" t="str">
        <f>FIXED(VLOOKUP($A33,'Small Sample 2-Townhouse'!$A:$R,AE$1,0),2)</f>
        <v>0.31</v>
      </c>
      <c r="AF33" s="3" t="str">
        <f>FIXED(VLOOKUP($A33,'Small Sample 2-Townhouse'!$A:$R,AF$1,0),2)</f>
        <v>0.46</v>
      </c>
      <c r="AG33" s="3" t="str">
        <f>FIXED(VLOOKUP($A33,'Small Sample 2-Townhouse'!$A:$R,AG$1,0),2)</f>
        <v>0.00</v>
      </c>
      <c r="AH33" s="13" t="str">
        <f>FIXED(VLOOKUP($A33,'Small Sample 2-Townhouse'!$A:$R,AH$1,0),2)</f>
        <v>1.00</v>
      </c>
      <c r="AI33" s="9" t="str">
        <f>FIXED(VLOOKUP($A33,'Small Sample 2-Townhouse'!$A:$R,AI$1,0),2)</f>
        <v>0.26</v>
      </c>
      <c r="AJ33" s="3" t="str">
        <f>FIXED(VLOOKUP($A33,'Small Sample 2-Townhouse'!$A:$R,AJ$1,0),2)</f>
        <v>0.44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tr">
        <f>FIXED(VLOOKUP($A34,'Full Sample-Townhouse'!$A:$R,C$1,0),2)</f>
        <v>0.07</v>
      </c>
      <c r="D34" s="3" t="str">
        <f>FIXED(VLOOKUP($A34,'Full Sample-Townhouse'!$A:$R,D$1,0),2)</f>
        <v>0.25</v>
      </c>
      <c r="E34" s="3" t="str">
        <f>FIXED(VLOOKUP($A34,'Full Sample-Townhouse'!$A:$R,E$1,0),2)</f>
        <v>0.00</v>
      </c>
      <c r="F34" s="3" t="str">
        <f>FIXED(VLOOKUP($A34,'Full Sample-Townhouse'!$A:$R,F$1,0),2)</f>
        <v>1.00</v>
      </c>
      <c r="G34" s="9" t="str">
        <f>FIXED(VLOOKUP($A34,'Full Sample-Townhouse'!$A:$R,G$1,0),2)</f>
        <v>0.07</v>
      </c>
      <c r="H34" s="3" t="str">
        <f>FIXED(VLOOKUP($A34,'Full Sample-Townhouse'!$A:$R,H$1,0),2)</f>
        <v>0.25</v>
      </c>
      <c r="I34" s="3" t="str">
        <f>FIXED(VLOOKUP($A34,'Full Sample-Townhouse'!$A:$R,I$1,0),2)</f>
        <v>0.00</v>
      </c>
      <c r="J34" s="13" t="str">
        <f>FIXED(VLOOKUP($A34,'Full Sample-Townhouse'!$A:$R,J$1,0),2)</f>
        <v>1.00</v>
      </c>
      <c r="K34" s="9" t="str">
        <f>FIXED(VLOOKUP($A34,'Full Sample-Townhouse'!$A:$R,K$1,0),2)</f>
        <v>0.06</v>
      </c>
      <c r="L34" s="3" t="str">
        <f>FIXED(VLOOKUP($A34,'Full Sample-Townhouse'!$A:$R,L$1,0),2)</f>
        <v>0.24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tr">
        <f>FIXED(VLOOKUP($A34,'Small Sample 1-Townhouse'!$A:$R,O$1,0),2)</f>
        <v>0.07</v>
      </c>
      <c r="P34" s="3" t="str">
        <f>FIXED(VLOOKUP($A34,'Small Sample 1-Townhouse'!$A:$R,P$1,0),2)</f>
        <v>0.25</v>
      </c>
      <c r="Q34" s="3" t="str">
        <f>FIXED(VLOOKUP($A34,'Small Sample 1-Townhouse'!$A:$R,Q$1,0),2)</f>
        <v>0.00</v>
      </c>
      <c r="R34" s="3" t="str">
        <f>FIXED(VLOOKUP($A34,'Small Sample 1-Townhouse'!$A:$R,R$1,0),2)</f>
        <v>1.00</v>
      </c>
      <c r="S34" s="9" t="str">
        <f>FIXED(VLOOKUP($A34,'Small Sample 1-Townhouse'!$A:$R,S$1,0),2)</f>
        <v>0.07</v>
      </c>
      <c r="T34" s="3" t="str">
        <f>FIXED(VLOOKUP($A34,'Small Sample 1-Townhouse'!$A:$R,T$1,0),2)</f>
        <v>0.26</v>
      </c>
      <c r="U34" s="3" t="str">
        <f>FIXED(VLOOKUP($A34,'Small Sample 1-Townhouse'!$A:$R,U$1,0),2)</f>
        <v>0.00</v>
      </c>
      <c r="V34" s="13" t="str">
        <f>FIXED(VLOOKUP($A34,'Small Sample 1-Townhouse'!$A:$R,V$1,0),2)</f>
        <v>1.00</v>
      </c>
      <c r="W34" s="9" t="str">
        <f>FIXED(VLOOKUP($A34,'Small Sample 1-Townhouse'!$A:$R,W$1,0),2)</f>
        <v>0.06</v>
      </c>
      <c r="X34" s="3" t="str">
        <f>FIXED(VLOOKUP($A34,'Small Sample 1-Townhouse'!$A:$R,X$1,0),2)</f>
        <v>0.24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tr">
        <f>FIXED(VLOOKUP($A34,'Small Sample 2-Townhouse'!$A:$R,AA$1,0),2)</f>
        <v>0.07</v>
      </c>
      <c r="AB34" s="3" t="str">
        <f>FIXED(VLOOKUP($A34,'Small Sample 2-Townhouse'!$A:$R,AB$1,0),2)</f>
        <v>0.25</v>
      </c>
      <c r="AC34" s="3" t="str">
        <f>FIXED(VLOOKUP($A34,'Small Sample 2-Townhouse'!$A:$R,AC$1,0),2)</f>
        <v>0.00</v>
      </c>
      <c r="AD34" s="3" t="str">
        <f>FIXED(VLOOKUP($A34,'Small Sample 2-Townhouse'!$A:$R,AD$1,0),2)</f>
        <v>1.00</v>
      </c>
      <c r="AE34" s="9" t="str">
        <f>FIXED(VLOOKUP($A34,'Small Sample 2-Townhouse'!$A:$R,AE$1,0),2)</f>
        <v>0.07</v>
      </c>
      <c r="AF34" s="3" t="str">
        <f>FIXED(VLOOKUP($A34,'Small Sample 2-Townhouse'!$A:$R,AF$1,0),2)</f>
        <v>0.25</v>
      </c>
      <c r="AG34" s="3" t="str">
        <f>FIXED(VLOOKUP($A34,'Small Sample 2-Townhouse'!$A:$R,AG$1,0),2)</f>
        <v>0.00</v>
      </c>
      <c r="AH34" s="13" t="str">
        <f>FIXED(VLOOKUP($A34,'Small Sample 2-Townhouse'!$A:$R,AH$1,0),2)</f>
        <v>1.00</v>
      </c>
      <c r="AI34" s="9" t="str">
        <f>FIXED(VLOOKUP($A34,'Small Sample 2-Townhouse'!$A:$R,AI$1,0),2)</f>
        <v>0.07</v>
      </c>
      <c r="AJ34" s="3" t="str">
        <f>FIXED(VLOOKUP($A34,'Small Sample 2-Townhouse'!$A:$R,AJ$1,0),2)</f>
        <v>0.25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Sample-Townhouse'!$A:$R,C$1,0),2)</f>
        <v>0.00</v>
      </c>
      <c r="D35" s="3" t="str">
        <f>FIXED(VLOOKUP($A35,'Full Sample-Townhouse'!$A:$R,D$1,0),2)</f>
        <v>0.06</v>
      </c>
      <c r="E35" s="3" t="str">
        <f>FIXED(VLOOKUP($A35,'Full Sample-Townhouse'!$A:$R,E$1,0),2)</f>
        <v>0.00</v>
      </c>
      <c r="F35" s="3" t="str">
        <f>FIXED(VLOOKUP($A35,'Full Sample-Townhouse'!$A:$R,F$1,0),2)</f>
        <v>1.00</v>
      </c>
      <c r="G35" s="9" t="str">
        <f>FIXED(VLOOKUP($A35,'Full Sample-Townhouse'!$A:$R,G$1,0),2)</f>
        <v>0.00</v>
      </c>
      <c r="H35" s="3" t="str">
        <f>FIXED(VLOOKUP($A35,'Full Sample-Townhouse'!$A:$R,H$1,0),2)</f>
        <v>0.06</v>
      </c>
      <c r="I35" s="3" t="str">
        <f>FIXED(VLOOKUP($A35,'Full Sample-Townhouse'!$A:$R,I$1,0),2)</f>
        <v>0.00</v>
      </c>
      <c r="J35" s="13" t="str">
        <f>FIXED(VLOOKUP($A35,'Full Sample-Townhouse'!$A:$R,J$1,0),2)</f>
        <v>1.00</v>
      </c>
      <c r="K35" s="9" t="str">
        <f>FIXED(VLOOKUP($A35,'Full Sample-Townhouse'!$A:$R,K$1,0),2)</f>
        <v>0.00</v>
      </c>
      <c r="L35" s="3" t="str">
        <f>FIXED(VLOOKUP($A35,'Full Sample-Townhouse'!$A:$R,L$1,0),2)</f>
        <v>0.06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1-Townhouse'!$A:$R,O$1,0),2)</f>
        <v>0.00</v>
      </c>
      <c r="P35" s="3" t="str">
        <f>FIXED(VLOOKUP($A35,'Small Sample 1-Townhouse'!$A:$R,P$1,0),2)</f>
        <v>0.05</v>
      </c>
      <c r="Q35" s="3" t="str">
        <f>FIXED(VLOOKUP($A35,'Small Sample 1-Townhouse'!$A:$R,Q$1,0),2)</f>
        <v>0.00</v>
      </c>
      <c r="R35" s="3" t="str">
        <f>FIXED(VLOOKUP($A35,'Small Sample 1-Townhouse'!$A:$R,R$1,0),2)</f>
        <v>1.00</v>
      </c>
      <c r="S35" s="9" t="str">
        <f>FIXED(VLOOKUP($A35,'Small Sample 1-Townhouse'!$A:$R,S$1,0),2)</f>
        <v>0.00</v>
      </c>
      <c r="T35" s="3" t="str">
        <f>FIXED(VLOOKUP($A35,'Small Sample 1-Townhouse'!$A:$R,T$1,0),2)</f>
        <v>0.06</v>
      </c>
      <c r="U35" s="3" t="str">
        <f>FIXED(VLOOKUP($A35,'Small Sample 1-Townhouse'!$A:$R,U$1,0),2)</f>
        <v>0.00</v>
      </c>
      <c r="V35" s="13" t="str">
        <f>FIXED(VLOOKUP($A35,'Small Sample 1-Townhouse'!$A:$R,V$1,0),2)</f>
        <v>1.00</v>
      </c>
      <c r="W35" s="9" t="str">
        <f>FIXED(VLOOKUP($A35,'Small Sample 1-Townhouse'!$A:$R,W$1,0),2)</f>
        <v>0.00</v>
      </c>
      <c r="X35" s="3" t="str">
        <f>FIXED(VLOOKUP($A35,'Small Sample 1-Townhouse'!$A:$R,X$1,0),2)</f>
        <v>0.05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2-Townhouse'!$A:$R,AA$1,0),2)</f>
        <v>0.00</v>
      </c>
      <c r="AB35" s="3" t="str">
        <f>FIXED(VLOOKUP($A35,'Small Sample 2-Townhouse'!$A:$R,AB$1,0),2)</f>
        <v>0.05</v>
      </c>
      <c r="AC35" s="3" t="str">
        <f>FIXED(VLOOKUP($A35,'Small Sample 2-Townhouse'!$A:$R,AC$1,0),2)</f>
        <v>0.00</v>
      </c>
      <c r="AD35" s="3" t="str">
        <f>FIXED(VLOOKUP($A35,'Small Sample 2-Townhouse'!$A:$R,AD$1,0),2)</f>
        <v>1.00</v>
      </c>
      <c r="AE35" s="9" t="str">
        <f>FIXED(VLOOKUP($A35,'Small Sample 2-Townhouse'!$A:$R,AE$1,0),2)</f>
        <v>0.00</v>
      </c>
      <c r="AF35" s="3" t="str">
        <f>FIXED(VLOOKUP($A35,'Small Sample 2-Townhouse'!$A:$R,AF$1,0),2)</f>
        <v>0.06</v>
      </c>
      <c r="AG35" s="3" t="str">
        <f>FIXED(VLOOKUP($A35,'Small Sample 2-Townhouse'!$A:$R,AG$1,0),2)</f>
        <v>0.00</v>
      </c>
      <c r="AH35" s="13" t="str">
        <f>FIXED(VLOOKUP($A35,'Small Sample 2-Townhouse'!$A:$R,AH$1,0),2)</f>
        <v>1.00</v>
      </c>
      <c r="AI35" s="9" t="str">
        <f>FIXED(VLOOKUP($A35,'Small Sample 2-Townhouse'!$A:$R,AI$1,0),2)</f>
        <v>0.00</v>
      </c>
      <c r="AJ35" s="3" t="str">
        <f>FIXED(VLOOKUP($A35,'Small Sample 2-Townhouse'!$A:$R,AJ$1,0),2)</f>
        <v>0.04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Sample-Townhouse'!$A:$R,C$1,0),2)</f>
        <v>0.00</v>
      </c>
      <c r="D36" s="3" t="str">
        <f>FIXED(VLOOKUP($A36,'Full Sample-Townhouse'!$A:$R,D$1,0),2)</f>
        <v>0.01</v>
      </c>
      <c r="E36" s="3" t="str">
        <f>FIXED(VLOOKUP($A36,'Full Sample-Townhouse'!$A:$R,E$1,0),2)</f>
        <v>0.00</v>
      </c>
      <c r="F36" s="3" t="str">
        <f>FIXED(VLOOKUP($A36,'Full Sample-Townhouse'!$A:$R,F$1,0),2)</f>
        <v>1.00</v>
      </c>
      <c r="G36" s="9" t="str">
        <f>FIXED(VLOOKUP($A36,'Full Sample-Townhouse'!$A:$R,G$1,0),2)</f>
        <v>0.00</v>
      </c>
      <c r="H36" s="3" t="str">
        <f>FIXED(VLOOKUP($A36,'Full Sample-Townhouse'!$A:$R,H$1,0),2)</f>
        <v>0.01</v>
      </c>
      <c r="I36" s="3" t="str">
        <f>FIXED(VLOOKUP($A36,'Full Sample-Townhouse'!$A:$R,I$1,0),2)</f>
        <v>0.00</v>
      </c>
      <c r="J36" s="13" t="str">
        <f>FIXED(VLOOKUP($A36,'Full Sample-Townhouse'!$A:$R,J$1,0),2)</f>
        <v>1.00</v>
      </c>
      <c r="K36" s="9" t="str">
        <f>FIXED(VLOOKUP($A36,'Full Sample-Townhouse'!$A:$R,K$1,0),2)</f>
        <v>0.00</v>
      </c>
      <c r="L36" s="3" t="str">
        <f>FIXED(VLOOKUP($A36,'Full Sample-Townhouse'!$A:$R,L$1,0),2)</f>
        <v>0.00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1-Townhouse'!$A:$R,O$1,0),2)</f>
        <v>0.00</v>
      </c>
      <c r="P36" s="3" t="str">
        <f>FIXED(VLOOKUP($A36,'Small Sample 1-Townhouse'!$A:$R,P$1,0),2)</f>
        <v>0.01</v>
      </c>
      <c r="Q36" s="3" t="str">
        <f>FIXED(VLOOKUP($A36,'Small Sample 1-Townhouse'!$A:$R,Q$1,0),2)</f>
        <v>0.00</v>
      </c>
      <c r="R36" s="3" t="str">
        <f>FIXED(VLOOKUP($A36,'Small Sample 1-Townhouse'!$A:$R,R$1,0),2)</f>
        <v>1.00</v>
      </c>
      <c r="S36" s="9" t="str">
        <f>FIXED(VLOOKUP($A36,'Small Sample 1-Townhouse'!$A:$R,S$1,0),2)</f>
        <v>0.00</v>
      </c>
      <c r="T36" s="3" t="str">
        <f>FIXED(VLOOKUP($A36,'Small Sample 1-Townhouse'!$A:$R,T$1,0),2)</f>
        <v>0.01</v>
      </c>
      <c r="U36" s="3" t="str">
        <f>FIXED(VLOOKUP($A36,'Small Sample 1-Townhouse'!$A:$R,U$1,0),2)</f>
        <v>0.00</v>
      </c>
      <c r="V36" s="13" t="str">
        <f>FIXED(VLOOKUP($A36,'Small Sample 1-Townhouse'!$A:$R,V$1,0),2)</f>
        <v>1.00</v>
      </c>
      <c r="W36" s="9" t="str">
        <f>FIXED(VLOOKUP($A36,'Small Sample 1-Townhouse'!$A:$R,W$1,0),2)</f>
        <v>0.00</v>
      </c>
      <c r="X36" s="3" t="str">
        <f>FIXED(VLOOKUP($A36,'Small Sample 1-Townhouse'!$A:$R,X$1,0),2)</f>
        <v>0.00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2-Townhouse'!$A:$R,AA$1,0),2)</f>
        <v>0.00</v>
      </c>
      <c r="AB36" s="3" t="str">
        <f>FIXED(VLOOKUP($A36,'Small Sample 2-Townhouse'!$A:$R,AB$1,0),2)</f>
        <v>0.01</v>
      </c>
      <c r="AC36" s="3" t="str">
        <f>FIXED(VLOOKUP($A36,'Small Sample 2-Townhouse'!$A:$R,AC$1,0),2)</f>
        <v>0.00</v>
      </c>
      <c r="AD36" s="3" t="str">
        <f>FIXED(VLOOKUP($A36,'Small Sample 2-Townhouse'!$A:$R,AD$1,0),2)</f>
        <v>1.00</v>
      </c>
      <c r="AE36" s="9" t="str">
        <f>FIXED(VLOOKUP($A36,'Small Sample 2-Townhouse'!$A:$R,AE$1,0),2)</f>
        <v>0.00</v>
      </c>
      <c r="AF36" s="3" t="str">
        <f>FIXED(VLOOKUP($A36,'Small Sample 2-Townhouse'!$A:$R,AF$1,0),2)</f>
        <v>0.01</v>
      </c>
      <c r="AG36" s="3" t="str">
        <f>FIXED(VLOOKUP($A36,'Small Sample 2-Townhouse'!$A:$R,AG$1,0),2)</f>
        <v>0.00</v>
      </c>
      <c r="AH36" s="13" t="str">
        <f>FIXED(VLOOKUP($A36,'Small Sample 2-Townhouse'!$A:$R,AH$1,0),2)</f>
        <v>1.00</v>
      </c>
      <c r="AI36" s="9" t="str">
        <f>FIXED(VLOOKUP($A36,'Small Sample 2-Townhouse'!$A:$R,AI$1,0),2)</f>
        <v>0.00</v>
      </c>
      <c r="AJ36" s="3" t="str">
        <f>FIXED(VLOOKUP($A36,'Small Sample 2-Townhouse'!$A:$R,AJ$1,0),2)</f>
        <v>0.00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Sample-Townhouse'!$A:$R,C$1,0),2)</f>
        <v>0.00</v>
      </c>
      <c r="D37" s="3" t="str">
        <f>FIXED(VLOOKUP($A37,'Full Sample-Townhouse'!$A:$R,D$1,0),2)</f>
        <v>0.00</v>
      </c>
      <c r="E37" s="3" t="str">
        <f>FIXED(VLOOKUP($A37,'Full Sample-Townhouse'!$A:$R,E$1,0),2)</f>
        <v>0.00</v>
      </c>
      <c r="F37" s="3" t="str">
        <f>FIXED(VLOOKUP($A37,'Full Sample-Townhouse'!$A:$R,F$1,0),2)</f>
        <v>0.00</v>
      </c>
      <c r="G37" s="9" t="str">
        <f>FIXED(VLOOKUP($A37,'Full Sample-Townhouse'!$A:$R,G$1,0),2)</f>
        <v>0.00</v>
      </c>
      <c r="H37" s="3" t="str">
        <f>FIXED(VLOOKUP($A37,'Full Sample-Townhouse'!$A:$R,H$1,0),2)</f>
        <v>0.00</v>
      </c>
      <c r="I37" s="3" t="str">
        <f>FIXED(VLOOKUP($A37,'Full Sample-Townhouse'!$A:$R,I$1,0),2)</f>
        <v>0.00</v>
      </c>
      <c r="J37" s="13" t="str">
        <f>FIXED(VLOOKUP($A37,'Full Sample-Townhouse'!$A:$R,J$1,0),2)</f>
        <v>0.00</v>
      </c>
      <c r="K37" s="9" t="str">
        <f>FIXED(VLOOKUP($A37,'Full Sample-Townhouse'!$A:$R,K$1,0),2)</f>
        <v>0.00</v>
      </c>
      <c r="L37" s="3" t="str">
        <f>FIXED(VLOOKUP($A37,'Full Sample-Townhouse'!$A:$R,L$1,0),2)</f>
        <v>0.00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1-Townhouse'!$A:$R,O$1,0),2)</f>
        <v>0.00</v>
      </c>
      <c r="P37" s="3" t="str">
        <f>FIXED(VLOOKUP($A37,'Small Sample 1-Townhouse'!$A:$R,P$1,0),2)</f>
        <v>0.00</v>
      </c>
      <c r="Q37" s="3" t="str">
        <f>FIXED(VLOOKUP($A37,'Small Sample 1-Townhouse'!$A:$R,Q$1,0),2)</f>
        <v>0.00</v>
      </c>
      <c r="R37" s="3" t="str">
        <f>FIXED(VLOOKUP($A37,'Small Sample 1-Townhouse'!$A:$R,R$1,0),2)</f>
        <v>0.00</v>
      </c>
      <c r="S37" s="9" t="str">
        <f>FIXED(VLOOKUP($A37,'Small Sample 1-Townhouse'!$A:$R,S$1,0),2)</f>
        <v>0.00</v>
      </c>
      <c r="T37" s="3" t="str">
        <f>FIXED(VLOOKUP($A37,'Small Sample 1-Townhouse'!$A:$R,T$1,0),2)</f>
        <v>0.00</v>
      </c>
      <c r="U37" s="3" t="str">
        <f>FIXED(VLOOKUP($A37,'Small Sample 1-Townhouse'!$A:$R,U$1,0),2)</f>
        <v>0.00</v>
      </c>
      <c r="V37" s="13" t="str">
        <f>FIXED(VLOOKUP($A37,'Small Sample 1-Townhouse'!$A:$R,V$1,0),2)</f>
        <v>0.00</v>
      </c>
      <c r="W37" s="9" t="str">
        <f>FIXED(VLOOKUP($A37,'Small Sample 1-Townhouse'!$A:$R,W$1,0),2)</f>
        <v>0.00</v>
      </c>
      <c r="X37" s="3" t="str">
        <f>FIXED(VLOOKUP($A37,'Small Sample 1-Townhouse'!$A:$R,X$1,0),2)</f>
        <v>0.00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2-Townhouse'!$A:$R,AA$1,0),2)</f>
        <v>0.00</v>
      </c>
      <c r="AB37" s="3" t="str">
        <f>FIXED(VLOOKUP($A37,'Small Sample 2-Townhouse'!$A:$R,AB$1,0),2)</f>
        <v>0.00</v>
      </c>
      <c r="AC37" s="3" t="str">
        <f>FIXED(VLOOKUP($A37,'Small Sample 2-Townhouse'!$A:$R,AC$1,0),2)</f>
        <v>0.00</v>
      </c>
      <c r="AD37" s="3" t="str">
        <f>FIXED(VLOOKUP($A37,'Small Sample 2-Townhouse'!$A:$R,AD$1,0),2)</f>
        <v>0.00</v>
      </c>
      <c r="AE37" s="9" t="str">
        <f>FIXED(VLOOKUP($A37,'Small Sample 2-Townhouse'!$A:$R,AE$1,0),2)</f>
        <v>0.00</v>
      </c>
      <c r="AF37" s="3" t="str">
        <f>FIXED(VLOOKUP($A37,'Small Sample 2-Townhouse'!$A:$R,AF$1,0),2)</f>
        <v>0.00</v>
      </c>
      <c r="AG37" s="3" t="str">
        <f>FIXED(VLOOKUP($A37,'Small Sample 2-Townhouse'!$A:$R,AG$1,0),2)</f>
        <v>0.00</v>
      </c>
      <c r="AH37" s="13" t="str">
        <f>FIXED(VLOOKUP($A37,'Small Sample 2-Townhouse'!$A:$R,AH$1,0),2)</f>
        <v>0.00</v>
      </c>
      <c r="AI37" s="9" t="str">
        <f>FIXED(VLOOKUP($A37,'Small Sample 2-Townhouse'!$A:$R,AI$1,0),2)</f>
        <v>0.00</v>
      </c>
      <c r="AJ37" s="3" t="str">
        <f>FIXED(VLOOKUP($A37,'Small Sample 2-Townhouse'!$A:$R,AJ$1,0),2)</f>
        <v>0.00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tr">
        <f>FIXED(VLOOKUP($A38,'Full Sample-Townhouse'!$A:$R,C$1,0),2)</f>
        <v>0.08</v>
      </c>
      <c r="D38" s="3" t="str">
        <f>FIXED(VLOOKUP($A38,'Full Sample-Townhouse'!$A:$R,D$1,0),2)</f>
        <v>0.28</v>
      </c>
      <c r="E38" s="3" t="str">
        <f>FIXED(VLOOKUP($A38,'Full Sample-Townhouse'!$A:$R,E$1,0),2)</f>
        <v>0.00</v>
      </c>
      <c r="F38" s="3" t="str">
        <f>FIXED(VLOOKUP($A38,'Full Sample-Townhouse'!$A:$R,F$1,0),2)</f>
        <v>1.00</v>
      </c>
      <c r="G38" s="9" t="str">
        <f>FIXED(VLOOKUP($A38,'Full Sample-Townhouse'!$A:$R,G$1,0),2)</f>
        <v>0.09</v>
      </c>
      <c r="H38" s="3" t="str">
        <f>FIXED(VLOOKUP($A38,'Full Sample-Townhouse'!$A:$R,H$1,0),2)</f>
        <v>0.28</v>
      </c>
      <c r="I38" s="3" t="str">
        <f>FIXED(VLOOKUP($A38,'Full Sample-Townhouse'!$A:$R,I$1,0),2)</f>
        <v>0.00</v>
      </c>
      <c r="J38" s="13" t="str">
        <f>FIXED(VLOOKUP($A38,'Full Sample-Townhouse'!$A:$R,J$1,0),2)</f>
        <v>1.00</v>
      </c>
      <c r="K38" s="9" t="str">
        <f>FIXED(VLOOKUP($A38,'Full Sample-Townhouse'!$A:$R,K$1,0),2)</f>
        <v>0.08</v>
      </c>
      <c r="L38" s="3" t="str">
        <f>FIXED(VLOOKUP($A38,'Full Sample-Townhouse'!$A:$R,L$1,0),2)</f>
        <v>0.27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tr">
        <f>FIXED(VLOOKUP($A38,'Small Sample 1-Townhouse'!$A:$R,O$1,0),2)</f>
        <v>0.08</v>
      </c>
      <c r="P38" s="3" t="str">
        <f>FIXED(VLOOKUP($A38,'Small Sample 1-Townhouse'!$A:$R,P$1,0),2)</f>
        <v>0.27</v>
      </c>
      <c r="Q38" s="3" t="str">
        <f>FIXED(VLOOKUP($A38,'Small Sample 1-Townhouse'!$A:$R,Q$1,0),2)</f>
        <v>0.00</v>
      </c>
      <c r="R38" s="3" t="str">
        <f>FIXED(VLOOKUP($A38,'Small Sample 1-Townhouse'!$A:$R,R$1,0),2)</f>
        <v>1.00</v>
      </c>
      <c r="S38" s="9" t="str">
        <f>FIXED(VLOOKUP($A38,'Small Sample 1-Townhouse'!$A:$R,S$1,0),2)</f>
        <v>0.08</v>
      </c>
      <c r="T38" s="3" t="str">
        <f>FIXED(VLOOKUP($A38,'Small Sample 1-Townhouse'!$A:$R,T$1,0),2)</f>
        <v>0.28</v>
      </c>
      <c r="U38" s="3" t="str">
        <f>FIXED(VLOOKUP($A38,'Small Sample 1-Townhouse'!$A:$R,U$1,0),2)</f>
        <v>0.00</v>
      </c>
      <c r="V38" s="13" t="str">
        <f>FIXED(VLOOKUP($A38,'Small Sample 1-Townhouse'!$A:$R,V$1,0),2)</f>
        <v>1.00</v>
      </c>
      <c r="W38" s="9" t="str">
        <f>FIXED(VLOOKUP($A38,'Small Sample 1-Townhouse'!$A:$R,W$1,0),2)</f>
        <v>0.08</v>
      </c>
      <c r="X38" s="3" t="str">
        <f>FIXED(VLOOKUP($A38,'Small Sample 1-Townhouse'!$A:$R,X$1,0),2)</f>
        <v>0.27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tr">
        <f>FIXED(VLOOKUP($A38,'Small Sample 2-Townhouse'!$A:$R,AA$1,0),2)</f>
        <v>0.08</v>
      </c>
      <c r="AB38" s="3" t="str">
        <f>FIXED(VLOOKUP($A38,'Small Sample 2-Townhouse'!$A:$R,AB$1,0),2)</f>
        <v>0.27</v>
      </c>
      <c r="AC38" s="3" t="str">
        <f>FIXED(VLOOKUP($A38,'Small Sample 2-Townhouse'!$A:$R,AC$1,0),2)</f>
        <v>0.00</v>
      </c>
      <c r="AD38" s="3" t="str">
        <f>FIXED(VLOOKUP($A38,'Small Sample 2-Townhouse'!$A:$R,AD$1,0),2)</f>
        <v>1.00</v>
      </c>
      <c r="AE38" s="9" t="str">
        <f>FIXED(VLOOKUP($A38,'Small Sample 2-Townhouse'!$A:$R,AE$1,0),2)</f>
        <v>0.09</v>
      </c>
      <c r="AF38" s="3" t="str">
        <f>FIXED(VLOOKUP($A38,'Small Sample 2-Townhouse'!$A:$R,AF$1,0),2)</f>
        <v>0.28</v>
      </c>
      <c r="AG38" s="3" t="str">
        <f>FIXED(VLOOKUP($A38,'Small Sample 2-Townhouse'!$A:$R,AG$1,0),2)</f>
        <v>0.00</v>
      </c>
      <c r="AH38" s="13" t="str">
        <f>FIXED(VLOOKUP($A38,'Small Sample 2-Townhouse'!$A:$R,AH$1,0),2)</f>
        <v>1.00</v>
      </c>
      <c r="AI38" s="9" t="str">
        <f>FIXED(VLOOKUP($A38,'Small Sample 2-Townhouse'!$A:$R,AI$1,0),2)</f>
        <v>0.08</v>
      </c>
      <c r="AJ38" s="3" t="str">
        <f>FIXED(VLOOKUP($A38,'Small Sample 2-Townhouse'!$A:$R,AJ$1,0),2)</f>
        <v>0.27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Sample-Townhouse'!$A:$R,C$1,0),2)</f>
        <v>0.11</v>
      </c>
      <c r="D39" s="3" t="str">
        <f>FIXED(VLOOKUP($A39,'Full Sample-Townhouse'!$A:$R,D$1,0),2)</f>
        <v>0.31</v>
      </c>
      <c r="E39" s="3" t="str">
        <f>FIXED(VLOOKUP($A39,'Full Sample-Townhouse'!$A:$R,E$1,0),2)</f>
        <v>0.00</v>
      </c>
      <c r="F39" s="3" t="str">
        <f>FIXED(VLOOKUP($A39,'Full Sample-Townhouse'!$A:$R,F$1,0),2)</f>
        <v>1.00</v>
      </c>
      <c r="G39" s="9" t="str">
        <f>FIXED(VLOOKUP($A39,'Full Sample-Townhouse'!$A:$R,G$1,0),2)</f>
        <v>0.11</v>
      </c>
      <c r="H39" s="3" t="str">
        <f>FIXED(VLOOKUP($A39,'Full Sample-Townhouse'!$A:$R,H$1,0),2)</f>
        <v>0.32</v>
      </c>
      <c r="I39" s="3" t="str">
        <f>FIXED(VLOOKUP($A39,'Full Sample-Townhouse'!$A:$R,I$1,0),2)</f>
        <v>0.00</v>
      </c>
      <c r="J39" s="13" t="str">
        <f>FIXED(VLOOKUP($A39,'Full Sample-Townhouse'!$A:$R,J$1,0),2)</f>
        <v>1.00</v>
      </c>
      <c r="K39" s="9" t="str">
        <f>FIXED(VLOOKUP($A39,'Full Sample-Townhouse'!$A:$R,K$1,0),2)</f>
        <v>0.11</v>
      </c>
      <c r="L39" s="3" t="str">
        <f>FIXED(VLOOKUP($A39,'Full Sample-Townhouse'!$A:$R,L$1,0),2)</f>
        <v>0.31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1-Townhouse'!$A:$R,O$1,0),2)</f>
        <v>0.10</v>
      </c>
      <c r="P39" s="3" t="str">
        <f>FIXED(VLOOKUP($A39,'Small Sample 1-Townhouse'!$A:$R,P$1,0),2)</f>
        <v>0.30</v>
      </c>
      <c r="Q39" s="3" t="str">
        <f>FIXED(VLOOKUP($A39,'Small Sample 1-Townhouse'!$A:$R,Q$1,0),2)</f>
        <v>0.00</v>
      </c>
      <c r="R39" s="3" t="str">
        <f>FIXED(VLOOKUP($A39,'Small Sample 1-Townhouse'!$A:$R,R$1,0),2)</f>
        <v>1.00</v>
      </c>
      <c r="S39" s="9" t="str">
        <f>FIXED(VLOOKUP($A39,'Small Sample 1-Townhouse'!$A:$R,S$1,0),2)</f>
        <v>0.10</v>
      </c>
      <c r="T39" s="3" t="str">
        <f>FIXED(VLOOKUP($A39,'Small Sample 1-Townhouse'!$A:$R,T$1,0),2)</f>
        <v>0.30</v>
      </c>
      <c r="U39" s="3" t="str">
        <f>FIXED(VLOOKUP($A39,'Small Sample 1-Townhouse'!$A:$R,U$1,0),2)</f>
        <v>0.00</v>
      </c>
      <c r="V39" s="13" t="str">
        <f>FIXED(VLOOKUP($A39,'Small Sample 1-Townhouse'!$A:$R,V$1,0),2)</f>
        <v>1.00</v>
      </c>
      <c r="W39" s="9" t="str">
        <f>FIXED(VLOOKUP($A39,'Small Sample 1-Townhouse'!$A:$R,W$1,0),2)</f>
        <v>0.11</v>
      </c>
      <c r="X39" s="3" t="str">
        <f>FIXED(VLOOKUP($A39,'Small Sample 1-Townhouse'!$A:$R,X$1,0),2)</f>
        <v>0.31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2-Townhouse'!$A:$R,AA$1,0),2)</f>
        <v>0.10</v>
      </c>
      <c r="AB39" s="3" t="str">
        <f>FIXED(VLOOKUP($A39,'Small Sample 2-Townhouse'!$A:$R,AB$1,0),2)</f>
        <v>0.30</v>
      </c>
      <c r="AC39" s="3" t="str">
        <f>FIXED(VLOOKUP($A39,'Small Sample 2-Townhouse'!$A:$R,AC$1,0),2)</f>
        <v>0.00</v>
      </c>
      <c r="AD39" s="3" t="str">
        <f>FIXED(VLOOKUP($A39,'Small Sample 2-Townhouse'!$A:$R,AD$1,0),2)</f>
        <v>1.00</v>
      </c>
      <c r="AE39" s="9" t="str">
        <f>FIXED(VLOOKUP($A39,'Small Sample 2-Townhouse'!$A:$R,AE$1,0),2)</f>
        <v>0.11</v>
      </c>
      <c r="AF39" s="3" t="str">
        <f>FIXED(VLOOKUP($A39,'Small Sample 2-Townhouse'!$A:$R,AF$1,0),2)</f>
        <v>0.31</v>
      </c>
      <c r="AG39" s="3" t="str">
        <f>FIXED(VLOOKUP($A39,'Small Sample 2-Townhouse'!$A:$R,AG$1,0),2)</f>
        <v>0.00</v>
      </c>
      <c r="AH39" s="13" t="str">
        <f>FIXED(VLOOKUP($A39,'Small Sample 2-Townhouse'!$A:$R,AH$1,0),2)</f>
        <v>1.00</v>
      </c>
      <c r="AI39" s="9" t="str">
        <f>FIXED(VLOOKUP($A39,'Small Sample 2-Townhouse'!$A:$R,AI$1,0),2)</f>
        <v>0.09</v>
      </c>
      <c r="AJ39" s="3" t="str">
        <f>FIXED(VLOOKUP($A39,'Small Sample 2-Townhouse'!$A:$R,AJ$1,0),2)</f>
        <v>0.28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Sample-Townhouse'!$A:$R,C$1,0),2)</f>
        <v>0.00</v>
      </c>
      <c r="D40" s="3" t="str">
        <f>FIXED(VLOOKUP($A40,'Full Sample-Townhouse'!$A:$R,D$1,0),2)</f>
        <v>0.02</v>
      </c>
      <c r="E40" s="3" t="str">
        <f>FIXED(VLOOKUP($A40,'Full Sample-Townhouse'!$A:$R,E$1,0),2)</f>
        <v>0.00</v>
      </c>
      <c r="F40" s="3" t="str">
        <f>FIXED(VLOOKUP($A40,'Full Sample-Townhouse'!$A:$R,F$1,0),2)</f>
        <v>1.00</v>
      </c>
      <c r="G40" s="9" t="str">
        <f>FIXED(VLOOKUP($A40,'Full Sample-Townhouse'!$A:$R,G$1,0),2)</f>
        <v>0.00</v>
      </c>
      <c r="H40" s="3" t="str">
        <f>FIXED(VLOOKUP($A40,'Full Sample-Townhouse'!$A:$R,H$1,0),2)</f>
        <v>0.02</v>
      </c>
      <c r="I40" s="3" t="str">
        <f>FIXED(VLOOKUP($A40,'Full Sample-Townhouse'!$A:$R,I$1,0),2)</f>
        <v>0.00</v>
      </c>
      <c r="J40" s="13" t="str">
        <f>FIXED(VLOOKUP($A40,'Full Sample-Townhouse'!$A:$R,J$1,0),2)</f>
        <v>1.00</v>
      </c>
      <c r="K40" s="9" t="str">
        <f>FIXED(VLOOKUP($A40,'Full Sample-Townhouse'!$A:$R,K$1,0),2)</f>
        <v>0.00</v>
      </c>
      <c r="L40" s="3" t="str">
        <f>FIXED(VLOOKUP($A40,'Full Sample-Townhouse'!$A:$R,L$1,0),2)</f>
        <v>0.03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1-Townhouse'!$A:$R,O$1,0),2)</f>
        <v>0.00</v>
      </c>
      <c r="P40" s="3" t="str">
        <f>FIXED(VLOOKUP($A40,'Small Sample 1-Townhouse'!$A:$R,P$1,0),2)</f>
        <v>0.02</v>
      </c>
      <c r="Q40" s="3" t="str">
        <f>FIXED(VLOOKUP($A40,'Small Sample 1-Townhouse'!$A:$R,Q$1,0),2)</f>
        <v>0.00</v>
      </c>
      <c r="R40" s="3" t="str">
        <f>FIXED(VLOOKUP($A40,'Small Sample 1-Townhouse'!$A:$R,R$1,0),2)</f>
        <v>1.00</v>
      </c>
      <c r="S40" s="9" t="str">
        <f>FIXED(VLOOKUP($A40,'Small Sample 1-Townhouse'!$A:$R,S$1,0),2)</f>
        <v>0.00</v>
      </c>
      <c r="T40" s="3" t="str">
        <f>FIXED(VLOOKUP($A40,'Small Sample 1-Townhouse'!$A:$R,T$1,0),2)</f>
        <v>0.02</v>
      </c>
      <c r="U40" s="3" t="str">
        <f>FIXED(VLOOKUP($A40,'Small Sample 1-Townhouse'!$A:$R,U$1,0),2)</f>
        <v>0.00</v>
      </c>
      <c r="V40" s="13" t="str">
        <f>FIXED(VLOOKUP($A40,'Small Sample 1-Townhouse'!$A:$R,V$1,0),2)</f>
        <v>1.00</v>
      </c>
      <c r="W40" s="9" t="str">
        <f>FIXED(VLOOKUP($A40,'Small Sample 1-Townhouse'!$A:$R,W$1,0),2)</f>
        <v>0.00</v>
      </c>
      <c r="X40" s="3" t="str">
        <f>FIXED(VLOOKUP($A40,'Small Sample 1-Townhouse'!$A:$R,X$1,0),2)</f>
        <v>0.03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2-Townhouse'!$A:$R,AA$1,0),2)</f>
        <v>0.00</v>
      </c>
      <c r="AB40" s="3" t="str">
        <f>FIXED(VLOOKUP($A40,'Small Sample 2-Townhouse'!$A:$R,AB$1,0),2)</f>
        <v>0.02</v>
      </c>
      <c r="AC40" s="3" t="str">
        <f>FIXED(VLOOKUP($A40,'Small Sample 2-Townhouse'!$A:$R,AC$1,0),2)</f>
        <v>0.00</v>
      </c>
      <c r="AD40" s="3" t="str">
        <f>FIXED(VLOOKUP($A40,'Small Sample 2-Townhouse'!$A:$R,AD$1,0),2)</f>
        <v>1.00</v>
      </c>
      <c r="AE40" s="9" t="str">
        <f>FIXED(VLOOKUP($A40,'Small Sample 2-Townhouse'!$A:$R,AE$1,0),2)</f>
        <v>0.00</v>
      </c>
      <c r="AF40" s="3" t="str">
        <f>FIXED(VLOOKUP($A40,'Small Sample 2-Townhouse'!$A:$R,AF$1,0),2)</f>
        <v>0.02</v>
      </c>
      <c r="AG40" s="3" t="str">
        <f>FIXED(VLOOKUP($A40,'Small Sample 2-Townhouse'!$A:$R,AG$1,0),2)</f>
        <v>0.00</v>
      </c>
      <c r="AH40" s="13" t="str">
        <f>FIXED(VLOOKUP($A40,'Small Sample 2-Townhouse'!$A:$R,AH$1,0),2)</f>
        <v>1.00</v>
      </c>
      <c r="AI40" s="9" t="str">
        <f>FIXED(VLOOKUP($A40,'Small Sample 2-Townhouse'!$A:$R,AI$1,0),2)</f>
        <v>0.00</v>
      </c>
      <c r="AJ40" s="3" t="str">
        <f>FIXED(VLOOKUP($A40,'Small Sample 2-Townhouse'!$A:$R,AJ$1,0),2)</f>
        <v>0.02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9" t="str">
        <f>FIXED(VLOOKUP($A41,'Full Sample-Townhouse'!$A:$R,C$1,0),2)</f>
        <v>0.05</v>
      </c>
      <c r="D41" s="3" t="str">
        <f>FIXED(VLOOKUP($A41,'Full Sample-Townhouse'!$A:$R,D$1,0),2)</f>
        <v>0.23</v>
      </c>
      <c r="E41" s="3" t="str">
        <f>FIXED(VLOOKUP($A41,'Full Sample-Townhouse'!$A:$R,E$1,0),2)</f>
        <v>0.00</v>
      </c>
      <c r="F41" s="3" t="str">
        <f>FIXED(VLOOKUP($A41,'Full Sample-Townhouse'!$A:$R,F$1,0),2)</f>
        <v>1.00</v>
      </c>
      <c r="G41" s="9" t="str">
        <f>FIXED(VLOOKUP($A41,'Full Sample-Townhouse'!$A:$R,G$1,0),2)</f>
        <v>0.05</v>
      </c>
      <c r="H41" s="3" t="str">
        <f>FIXED(VLOOKUP($A41,'Full Sample-Townhouse'!$A:$R,H$1,0),2)</f>
        <v>0.22</v>
      </c>
      <c r="I41" s="3" t="str">
        <f>FIXED(VLOOKUP($A41,'Full Sample-Townhouse'!$A:$R,I$1,0),2)</f>
        <v>0.00</v>
      </c>
      <c r="J41" s="13" t="str">
        <f>FIXED(VLOOKUP($A41,'Full Sample-Townhouse'!$A:$R,J$1,0),2)</f>
        <v>1.00</v>
      </c>
      <c r="K41" s="9" t="str">
        <f>FIXED(VLOOKUP($A41,'Full Sample-Townhouse'!$A:$R,K$1,0),2)</f>
        <v>0.06</v>
      </c>
      <c r="L41" s="3" t="str">
        <f>FIXED(VLOOKUP($A41,'Full Sample-Townhouse'!$A:$R,L$1,0),2)</f>
        <v>0.23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9" t="str">
        <f>FIXED(VLOOKUP($A41,'Small Sample 1-Townhouse'!$A:$R,O$1,0),2)</f>
        <v>0.06</v>
      </c>
      <c r="P41" s="3" t="str">
        <f>FIXED(VLOOKUP($A41,'Small Sample 1-Townhouse'!$A:$R,P$1,0),2)</f>
        <v>0.23</v>
      </c>
      <c r="Q41" s="3" t="str">
        <f>FIXED(VLOOKUP($A41,'Small Sample 1-Townhouse'!$A:$R,Q$1,0),2)</f>
        <v>0.00</v>
      </c>
      <c r="R41" s="3" t="str">
        <f>FIXED(VLOOKUP($A41,'Small Sample 1-Townhouse'!$A:$R,R$1,0),2)</f>
        <v>1.00</v>
      </c>
      <c r="S41" s="9" t="str">
        <f>FIXED(VLOOKUP($A41,'Small Sample 1-Townhouse'!$A:$R,S$1,0),2)</f>
        <v>0.06</v>
      </c>
      <c r="T41" s="3" t="str">
        <f>FIXED(VLOOKUP($A41,'Small Sample 1-Townhouse'!$A:$R,T$1,0),2)</f>
        <v>0.23</v>
      </c>
      <c r="U41" s="3" t="str">
        <f>FIXED(VLOOKUP($A41,'Small Sample 1-Townhouse'!$A:$R,U$1,0),2)</f>
        <v>0.00</v>
      </c>
      <c r="V41" s="13" t="str">
        <f>FIXED(VLOOKUP($A41,'Small Sample 1-Townhouse'!$A:$R,V$1,0),2)</f>
        <v>1.00</v>
      </c>
      <c r="W41" s="9" t="str">
        <f>FIXED(VLOOKUP($A41,'Small Sample 1-Townhouse'!$A:$R,W$1,0),2)</f>
        <v>0.06</v>
      </c>
      <c r="X41" s="3" t="str">
        <f>FIXED(VLOOKUP($A41,'Small Sample 1-Townhouse'!$A:$R,X$1,0),2)</f>
        <v>0.23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9" t="str">
        <f>FIXED(VLOOKUP($A41,'Small Sample 2-Townhouse'!$A:$R,AA$1,0),2)</f>
        <v>0.06</v>
      </c>
      <c r="AB41" s="3" t="str">
        <f>FIXED(VLOOKUP($A41,'Small Sample 2-Townhouse'!$A:$R,AB$1,0),2)</f>
        <v>0.23</v>
      </c>
      <c r="AC41" s="3" t="str">
        <f>FIXED(VLOOKUP($A41,'Small Sample 2-Townhouse'!$A:$R,AC$1,0),2)</f>
        <v>0.00</v>
      </c>
      <c r="AD41" s="3" t="str">
        <f>FIXED(VLOOKUP($A41,'Small Sample 2-Townhouse'!$A:$R,AD$1,0),2)</f>
        <v>1.00</v>
      </c>
      <c r="AE41" s="9" t="str">
        <f>FIXED(VLOOKUP($A41,'Small Sample 2-Townhouse'!$A:$R,AE$1,0),2)</f>
        <v>0.05</v>
      </c>
      <c r="AF41" s="3" t="str">
        <f>FIXED(VLOOKUP($A41,'Small Sample 2-Townhouse'!$A:$R,AF$1,0),2)</f>
        <v>0.22</v>
      </c>
      <c r="AG41" s="3" t="str">
        <f>FIXED(VLOOKUP($A41,'Small Sample 2-Townhouse'!$A:$R,AG$1,0),2)</f>
        <v>0.00</v>
      </c>
      <c r="AH41" s="13" t="str">
        <f>FIXED(VLOOKUP($A41,'Small Sample 2-Townhouse'!$A:$R,AH$1,0),2)</f>
        <v>1.00</v>
      </c>
      <c r="AI41" s="9" t="str">
        <f>FIXED(VLOOKUP($A41,'Small Sample 2-Townhouse'!$A:$R,AI$1,0),2)</f>
        <v>0.06</v>
      </c>
      <c r="AJ41" s="3" t="str">
        <f>FIXED(VLOOKUP($A41,'Small Sample 2-Townhouse'!$A:$R,AJ$1,0),2)</f>
        <v>0.24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Sample-Townhouse'!$A:$R,C$1,0),2)</f>
        <v>0.23</v>
      </c>
      <c r="D42" s="3" t="str">
        <f>FIXED(VLOOKUP($A42,'Full Sample-Townhouse'!$A:$R,D$1,0),2)</f>
        <v>0.42</v>
      </c>
      <c r="E42" s="3" t="str">
        <f>FIXED(VLOOKUP($A42,'Full Sample-Townhouse'!$A:$R,E$1,0),2)</f>
        <v>0.00</v>
      </c>
      <c r="F42" s="3" t="str">
        <f>FIXED(VLOOKUP($A42,'Full Sample-Townhouse'!$A:$R,F$1,0),2)</f>
        <v>1.00</v>
      </c>
      <c r="G42" s="9" t="str">
        <f>FIXED(VLOOKUP($A42,'Full Sample-Townhouse'!$A:$R,G$1,0),2)</f>
        <v>0.24</v>
      </c>
      <c r="H42" s="3" t="str">
        <f>FIXED(VLOOKUP($A42,'Full Sample-Townhouse'!$A:$R,H$1,0),2)</f>
        <v>0.43</v>
      </c>
      <c r="I42" s="3" t="str">
        <f>FIXED(VLOOKUP($A42,'Full Sample-Townhouse'!$A:$R,I$1,0),2)</f>
        <v>0.00</v>
      </c>
      <c r="J42" s="13" t="str">
        <f>FIXED(VLOOKUP($A42,'Full Sample-Townhouse'!$A:$R,J$1,0),2)</f>
        <v>1.00</v>
      </c>
      <c r="K42" s="9" t="str">
        <f>FIXED(VLOOKUP($A42,'Full Sample-Townhouse'!$A:$R,K$1,0),2)</f>
        <v>0.22</v>
      </c>
      <c r="L42" s="3" t="str">
        <f>FIXED(VLOOKUP($A42,'Full Sample-Townhouse'!$A:$R,L$1,0),2)</f>
        <v>0.41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1-Townhouse'!$A:$R,O$1,0),2)</f>
        <v>0.22</v>
      </c>
      <c r="P42" s="3" t="str">
        <f>FIXED(VLOOKUP($A42,'Small Sample 1-Townhouse'!$A:$R,P$1,0),2)</f>
        <v>0.41</v>
      </c>
      <c r="Q42" s="3" t="str">
        <f>FIXED(VLOOKUP($A42,'Small Sample 1-Townhouse'!$A:$R,Q$1,0),2)</f>
        <v>0.00</v>
      </c>
      <c r="R42" s="3" t="str">
        <f>FIXED(VLOOKUP($A42,'Small Sample 1-Townhouse'!$A:$R,R$1,0),2)</f>
        <v>1.00</v>
      </c>
      <c r="S42" s="9" t="str">
        <f>FIXED(VLOOKUP($A42,'Small Sample 1-Townhouse'!$A:$R,S$1,0),2)</f>
        <v>0.22</v>
      </c>
      <c r="T42" s="3" t="str">
        <f>FIXED(VLOOKUP($A42,'Small Sample 1-Townhouse'!$A:$R,T$1,0),2)</f>
        <v>0.41</v>
      </c>
      <c r="U42" s="3" t="str">
        <f>FIXED(VLOOKUP($A42,'Small Sample 1-Townhouse'!$A:$R,U$1,0),2)</f>
        <v>0.00</v>
      </c>
      <c r="V42" s="13" t="str">
        <f>FIXED(VLOOKUP($A42,'Small Sample 1-Townhouse'!$A:$R,V$1,0),2)</f>
        <v>1.00</v>
      </c>
      <c r="W42" s="9" t="str">
        <f>FIXED(VLOOKUP($A42,'Small Sample 1-Townhouse'!$A:$R,W$1,0),2)</f>
        <v>0.22</v>
      </c>
      <c r="X42" s="3" t="str">
        <f>FIXED(VLOOKUP($A42,'Small Sample 1-Townhouse'!$A:$R,X$1,0),2)</f>
        <v>0.41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2-Townhouse'!$A:$R,AA$1,0),2)</f>
        <v>0.22</v>
      </c>
      <c r="AB42" s="3" t="str">
        <f>FIXED(VLOOKUP($A42,'Small Sample 2-Townhouse'!$A:$R,AB$1,0),2)</f>
        <v>0.41</v>
      </c>
      <c r="AC42" s="3" t="str">
        <f>FIXED(VLOOKUP($A42,'Small Sample 2-Townhouse'!$A:$R,AC$1,0),2)</f>
        <v>0.00</v>
      </c>
      <c r="AD42" s="3" t="str">
        <f>FIXED(VLOOKUP($A42,'Small Sample 2-Townhouse'!$A:$R,AD$1,0),2)</f>
        <v>1.00</v>
      </c>
      <c r="AE42" s="9" t="str">
        <f>FIXED(VLOOKUP($A42,'Small Sample 2-Townhouse'!$A:$R,AE$1,0),2)</f>
        <v>0.23</v>
      </c>
      <c r="AF42" s="3" t="str">
        <f>FIXED(VLOOKUP($A42,'Small Sample 2-Townhouse'!$A:$R,AF$1,0),2)</f>
        <v>0.42</v>
      </c>
      <c r="AG42" s="3" t="str">
        <f>FIXED(VLOOKUP($A42,'Small Sample 2-Townhouse'!$A:$R,AG$1,0),2)</f>
        <v>0.00</v>
      </c>
      <c r="AH42" s="13" t="str">
        <f>FIXED(VLOOKUP($A42,'Small Sample 2-Townhouse'!$A:$R,AH$1,0),2)</f>
        <v>1.00</v>
      </c>
      <c r="AI42" s="9" t="str">
        <f>FIXED(VLOOKUP($A42,'Small Sample 2-Townhouse'!$A:$R,AI$1,0),2)</f>
        <v>0.20</v>
      </c>
      <c r="AJ42" s="3" t="str">
        <f>FIXED(VLOOKUP($A42,'Small Sample 2-Townhouse'!$A:$R,AJ$1,0),2)</f>
        <v>0.40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Sample-Townhouse'!$A:$R,C$1,0),2)</f>
        <v>0.29</v>
      </c>
      <c r="D43" s="3" t="str">
        <f>FIXED(VLOOKUP($A43,'Full Sample-Townhouse'!$A:$R,D$1,0),2)</f>
        <v>0.45</v>
      </c>
      <c r="E43" s="3" t="str">
        <f>FIXED(VLOOKUP($A43,'Full Sample-Townhouse'!$A:$R,E$1,0),2)</f>
        <v>0.00</v>
      </c>
      <c r="F43" s="3" t="str">
        <f>FIXED(VLOOKUP($A43,'Full Sample-Townhouse'!$A:$R,F$1,0),2)</f>
        <v>1.00</v>
      </c>
      <c r="G43" s="9" t="str">
        <f>FIXED(VLOOKUP($A43,'Full Sample-Townhouse'!$A:$R,G$1,0),2)</f>
        <v>0.28</v>
      </c>
      <c r="H43" s="3" t="str">
        <f>FIXED(VLOOKUP($A43,'Full Sample-Townhouse'!$A:$R,H$1,0),2)</f>
        <v>0.45</v>
      </c>
      <c r="I43" s="3" t="str">
        <f>FIXED(VLOOKUP($A43,'Full Sample-Townhouse'!$A:$R,I$1,0),2)</f>
        <v>0.00</v>
      </c>
      <c r="J43" s="13" t="str">
        <f>FIXED(VLOOKUP($A43,'Full Sample-Townhouse'!$A:$R,J$1,0),2)</f>
        <v>1.00</v>
      </c>
      <c r="K43" s="9" t="str">
        <f>FIXED(VLOOKUP($A43,'Full Sample-Townhouse'!$A:$R,K$1,0),2)</f>
        <v>0.30</v>
      </c>
      <c r="L43" s="3" t="str">
        <f>FIXED(VLOOKUP($A43,'Full Sample-Townhouse'!$A:$R,L$1,0),2)</f>
        <v>0.46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1-Townhouse'!$A:$R,O$1,0),2)</f>
        <v>0.29</v>
      </c>
      <c r="P43" s="3" t="str">
        <f>FIXED(VLOOKUP($A43,'Small Sample 1-Townhouse'!$A:$R,P$1,0),2)</f>
        <v>0.46</v>
      </c>
      <c r="Q43" s="3" t="str">
        <f>FIXED(VLOOKUP($A43,'Small Sample 1-Townhouse'!$A:$R,Q$1,0),2)</f>
        <v>0.00</v>
      </c>
      <c r="R43" s="3" t="str">
        <f>FIXED(VLOOKUP($A43,'Small Sample 1-Townhouse'!$A:$R,R$1,0),2)</f>
        <v>1.00</v>
      </c>
      <c r="S43" s="9" t="str">
        <f>FIXED(VLOOKUP($A43,'Small Sample 1-Townhouse'!$A:$R,S$1,0),2)</f>
        <v>0.29</v>
      </c>
      <c r="T43" s="3" t="str">
        <f>FIXED(VLOOKUP($A43,'Small Sample 1-Townhouse'!$A:$R,T$1,0),2)</f>
        <v>0.45</v>
      </c>
      <c r="U43" s="3" t="str">
        <f>FIXED(VLOOKUP($A43,'Small Sample 1-Townhouse'!$A:$R,U$1,0),2)</f>
        <v>0.00</v>
      </c>
      <c r="V43" s="13" t="str">
        <f>FIXED(VLOOKUP($A43,'Small Sample 1-Townhouse'!$A:$R,V$1,0),2)</f>
        <v>1.00</v>
      </c>
      <c r="W43" s="9" t="str">
        <f>FIXED(VLOOKUP($A43,'Small Sample 1-Townhouse'!$A:$R,W$1,0),2)</f>
        <v>0.30</v>
      </c>
      <c r="X43" s="3" t="str">
        <f>FIXED(VLOOKUP($A43,'Small Sample 1-Townhouse'!$A:$R,X$1,0),2)</f>
        <v>0.46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2-Townhouse'!$A:$R,AA$1,0),2)</f>
        <v>0.29</v>
      </c>
      <c r="AB43" s="3" t="str">
        <f>FIXED(VLOOKUP($A43,'Small Sample 2-Townhouse'!$A:$R,AB$1,0),2)</f>
        <v>0.46</v>
      </c>
      <c r="AC43" s="3" t="str">
        <f>FIXED(VLOOKUP($A43,'Small Sample 2-Townhouse'!$A:$R,AC$1,0),2)</f>
        <v>0.00</v>
      </c>
      <c r="AD43" s="3" t="str">
        <f>FIXED(VLOOKUP($A43,'Small Sample 2-Townhouse'!$A:$R,AD$1,0),2)</f>
        <v>1.00</v>
      </c>
      <c r="AE43" s="9" t="str">
        <f>FIXED(VLOOKUP($A43,'Small Sample 2-Townhouse'!$A:$R,AE$1,0),2)</f>
        <v>0.28</v>
      </c>
      <c r="AF43" s="3" t="str">
        <f>FIXED(VLOOKUP($A43,'Small Sample 2-Townhouse'!$A:$R,AF$1,0),2)</f>
        <v>0.45</v>
      </c>
      <c r="AG43" s="3" t="str">
        <f>FIXED(VLOOKUP($A43,'Small Sample 2-Townhouse'!$A:$R,AG$1,0),2)</f>
        <v>0.00</v>
      </c>
      <c r="AH43" s="13" t="str">
        <f>FIXED(VLOOKUP($A43,'Small Sample 2-Townhouse'!$A:$R,AH$1,0),2)</f>
        <v>1.00</v>
      </c>
      <c r="AI43" s="9" t="str">
        <f>FIXED(VLOOKUP($A43,'Small Sample 2-Townhouse'!$A:$R,AI$1,0),2)</f>
        <v>0.31</v>
      </c>
      <c r="AJ43" s="3" t="str">
        <f>FIXED(VLOOKUP($A43,'Small Sample 2-Townhouse'!$A:$R,AJ$1,0),2)</f>
        <v>0.46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Sample-Townhouse'!$A:$R,C$1,0),2)</f>
        <v>0.07</v>
      </c>
      <c r="D44" s="3" t="str">
        <f>FIXED(VLOOKUP($A44,'Full Sample-Townhouse'!$A:$R,D$1,0),2)</f>
        <v>0.25</v>
      </c>
      <c r="E44" s="3" t="str">
        <f>FIXED(VLOOKUP($A44,'Full Sample-Townhouse'!$A:$R,E$1,0),2)</f>
        <v>0.00</v>
      </c>
      <c r="F44" s="3" t="str">
        <f>FIXED(VLOOKUP($A44,'Full Sample-Townhouse'!$A:$R,F$1,0),2)</f>
        <v>1.00</v>
      </c>
      <c r="G44" s="9" t="str">
        <f>FIXED(VLOOKUP($A44,'Full Sample-Townhouse'!$A:$R,G$1,0),2)</f>
        <v>0.07</v>
      </c>
      <c r="H44" s="3" t="str">
        <f>FIXED(VLOOKUP($A44,'Full Sample-Townhouse'!$A:$R,H$1,0),2)</f>
        <v>0.25</v>
      </c>
      <c r="I44" s="3" t="str">
        <f>FIXED(VLOOKUP($A44,'Full Sample-Townhouse'!$A:$R,I$1,0),2)</f>
        <v>0.00</v>
      </c>
      <c r="J44" s="13" t="str">
        <f>FIXED(VLOOKUP($A44,'Full Sample-Townhouse'!$A:$R,J$1,0),2)</f>
        <v>1.00</v>
      </c>
      <c r="K44" s="9" t="str">
        <f>FIXED(VLOOKUP($A44,'Full Sample-Townhouse'!$A:$R,K$1,0),2)</f>
        <v>0.07</v>
      </c>
      <c r="L44" s="3" t="str">
        <f>FIXED(VLOOKUP($A44,'Full Sample-Townhouse'!$A:$R,L$1,0),2)</f>
        <v>0.25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1-Townhouse'!$A:$R,O$1,0),2)</f>
        <v>0.07</v>
      </c>
      <c r="P44" s="3" t="str">
        <f>FIXED(VLOOKUP($A44,'Small Sample 1-Townhouse'!$A:$R,P$1,0),2)</f>
        <v>0.26</v>
      </c>
      <c r="Q44" s="3" t="str">
        <f>FIXED(VLOOKUP($A44,'Small Sample 1-Townhouse'!$A:$R,Q$1,0),2)</f>
        <v>0.00</v>
      </c>
      <c r="R44" s="3" t="str">
        <f>FIXED(VLOOKUP($A44,'Small Sample 1-Townhouse'!$A:$R,R$1,0),2)</f>
        <v>1.00</v>
      </c>
      <c r="S44" s="9" t="str">
        <f>FIXED(VLOOKUP($A44,'Small Sample 1-Townhouse'!$A:$R,S$1,0),2)</f>
        <v>0.08</v>
      </c>
      <c r="T44" s="3" t="str">
        <f>FIXED(VLOOKUP($A44,'Small Sample 1-Townhouse'!$A:$R,T$1,0),2)</f>
        <v>0.26</v>
      </c>
      <c r="U44" s="3" t="str">
        <f>FIXED(VLOOKUP($A44,'Small Sample 1-Townhouse'!$A:$R,U$1,0),2)</f>
        <v>0.00</v>
      </c>
      <c r="V44" s="13" t="str">
        <f>FIXED(VLOOKUP($A44,'Small Sample 1-Townhouse'!$A:$R,V$1,0),2)</f>
        <v>1.00</v>
      </c>
      <c r="W44" s="9" t="str">
        <f>FIXED(VLOOKUP($A44,'Small Sample 1-Townhouse'!$A:$R,W$1,0),2)</f>
        <v>0.07</v>
      </c>
      <c r="X44" s="3" t="str">
        <f>FIXED(VLOOKUP($A44,'Small Sample 1-Townhouse'!$A:$R,X$1,0),2)</f>
        <v>0.25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2-Townhouse'!$A:$R,AA$1,0),2)</f>
        <v>0.07</v>
      </c>
      <c r="AB44" s="3" t="str">
        <f>FIXED(VLOOKUP($A44,'Small Sample 2-Townhouse'!$A:$R,AB$1,0),2)</f>
        <v>0.26</v>
      </c>
      <c r="AC44" s="3" t="str">
        <f>FIXED(VLOOKUP($A44,'Small Sample 2-Townhouse'!$A:$R,AC$1,0),2)</f>
        <v>0.00</v>
      </c>
      <c r="AD44" s="3" t="str">
        <f>FIXED(VLOOKUP($A44,'Small Sample 2-Townhouse'!$A:$R,AD$1,0),2)</f>
        <v>1.00</v>
      </c>
      <c r="AE44" s="9" t="str">
        <f>FIXED(VLOOKUP($A44,'Small Sample 2-Townhouse'!$A:$R,AE$1,0),2)</f>
        <v>0.07</v>
      </c>
      <c r="AF44" s="3" t="str">
        <f>FIXED(VLOOKUP($A44,'Small Sample 2-Townhouse'!$A:$R,AF$1,0),2)</f>
        <v>0.25</v>
      </c>
      <c r="AG44" s="3" t="str">
        <f>FIXED(VLOOKUP($A44,'Small Sample 2-Townhouse'!$A:$R,AG$1,0),2)</f>
        <v>0.00</v>
      </c>
      <c r="AH44" s="13" t="str">
        <f>FIXED(VLOOKUP($A44,'Small Sample 2-Townhouse'!$A:$R,AH$1,0),2)</f>
        <v>1.00</v>
      </c>
      <c r="AI44" s="9" t="str">
        <f>FIXED(VLOOKUP($A44,'Small Sample 2-Townhouse'!$A:$R,AI$1,0),2)</f>
        <v>0.07</v>
      </c>
      <c r="AJ44" s="3" t="str">
        <f>FIXED(VLOOKUP($A44,'Small Sample 2-Townhouse'!$A:$R,AJ$1,0),2)</f>
        <v>0.26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Sample-Townhouse'!$A:$R,C$1,0),2)</f>
        <v>0.20</v>
      </c>
      <c r="D45" s="3" t="str">
        <f>FIXED(VLOOKUP($A45,'Full Sample-Townhouse'!$A:$R,D$1,0),2)</f>
        <v>0.40</v>
      </c>
      <c r="E45" s="3" t="str">
        <f>FIXED(VLOOKUP($A45,'Full Sample-Townhouse'!$A:$R,E$1,0),2)</f>
        <v>0.00</v>
      </c>
      <c r="F45" s="3" t="str">
        <f>FIXED(VLOOKUP($A45,'Full Sample-Townhouse'!$A:$R,F$1,0),2)</f>
        <v>1.00</v>
      </c>
      <c r="G45" s="9" t="str">
        <f>FIXED(VLOOKUP($A45,'Full Sample-Townhouse'!$A:$R,G$1,0),2)</f>
        <v>0.19</v>
      </c>
      <c r="H45" s="3" t="str">
        <f>FIXED(VLOOKUP($A45,'Full Sample-Townhouse'!$A:$R,H$1,0),2)</f>
        <v>0.39</v>
      </c>
      <c r="I45" s="3" t="str">
        <f>FIXED(VLOOKUP($A45,'Full Sample-Townhouse'!$A:$R,I$1,0),2)</f>
        <v>0.00</v>
      </c>
      <c r="J45" s="13" t="str">
        <f>FIXED(VLOOKUP($A45,'Full Sample-Townhouse'!$A:$R,J$1,0),2)</f>
        <v>1.00</v>
      </c>
      <c r="K45" s="9" t="str">
        <f>FIXED(VLOOKUP($A45,'Full Sample-Townhouse'!$A:$R,K$1,0),2)</f>
        <v>0.20</v>
      </c>
      <c r="L45" s="3" t="str">
        <f>FIXED(VLOOKUP($A45,'Full Sample-Townhouse'!$A:$R,L$1,0),2)</f>
        <v>0.40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1-Townhouse'!$A:$R,O$1,0),2)</f>
        <v>0.20</v>
      </c>
      <c r="P45" s="3" t="str">
        <f>FIXED(VLOOKUP($A45,'Small Sample 1-Townhouse'!$A:$R,P$1,0),2)</f>
        <v>0.40</v>
      </c>
      <c r="Q45" s="3" t="str">
        <f>FIXED(VLOOKUP($A45,'Small Sample 1-Townhouse'!$A:$R,Q$1,0),2)</f>
        <v>0.00</v>
      </c>
      <c r="R45" s="3" t="str">
        <f>FIXED(VLOOKUP($A45,'Small Sample 1-Townhouse'!$A:$R,R$1,0),2)</f>
        <v>1.00</v>
      </c>
      <c r="S45" s="9" t="str">
        <f>FIXED(VLOOKUP($A45,'Small Sample 1-Townhouse'!$A:$R,S$1,0),2)</f>
        <v>0.20</v>
      </c>
      <c r="T45" s="3" t="str">
        <f>FIXED(VLOOKUP($A45,'Small Sample 1-Townhouse'!$A:$R,T$1,0),2)</f>
        <v>0.40</v>
      </c>
      <c r="U45" s="3" t="str">
        <f>FIXED(VLOOKUP($A45,'Small Sample 1-Townhouse'!$A:$R,U$1,0),2)</f>
        <v>0.00</v>
      </c>
      <c r="V45" s="13" t="str">
        <f>FIXED(VLOOKUP($A45,'Small Sample 1-Townhouse'!$A:$R,V$1,0),2)</f>
        <v>1.00</v>
      </c>
      <c r="W45" s="9" t="str">
        <f>FIXED(VLOOKUP($A45,'Small Sample 1-Townhouse'!$A:$R,W$1,0),2)</f>
        <v>0.21</v>
      </c>
      <c r="X45" s="3" t="str">
        <f>FIXED(VLOOKUP($A45,'Small Sample 1-Townhouse'!$A:$R,X$1,0),2)</f>
        <v>0.40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2-Townhouse'!$A:$R,AA$1,0),2)</f>
        <v>0.20</v>
      </c>
      <c r="AB45" s="3" t="str">
        <f>FIXED(VLOOKUP($A45,'Small Sample 2-Townhouse'!$A:$R,AB$1,0),2)</f>
        <v>0.40</v>
      </c>
      <c r="AC45" s="3" t="str">
        <f>FIXED(VLOOKUP($A45,'Small Sample 2-Townhouse'!$A:$R,AC$1,0),2)</f>
        <v>0.00</v>
      </c>
      <c r="AD45" s="3" t="str">
        <f>FIXED(VLOOKUP($A45,'Small Sample 2-Townhouse'!$A:$R,AD$1,0),2)</f>
        <v>1.00</v>
      </c>
      <c r="AE45" s="9" t="str">
        <f>FIXED(VLOOKUP($A45,'Small Sample 2-Townhouse'!$A:$R,AE$1,0),2)</f>
        <v>0.19</v>
      </c>
      <c r="AF45" s="3" t="str">
        <f>FIXED(VLOOKUP($A45,'Small Sample 2-Townhouse'!$A:$R,AF$1,0),2)</f>
        <v>0.40</v>
      </c>
      <c r="AG45" s="3" t="str">
        <f>FIXED(VLOOKUP($A45,'Small Sample 2-Townhouse'!$A:$R,AG$1,0),2)</f>
        <v>0.00</v>
      </c>
      <c r="AH45" s="13" t="str">
        <f>FIXED(VLOOKUP($A45,'Small Sample 2-Townhouse'!$A:$R,AH$1,0),2)</f>
        <v>1.00</v>
      </c>
      <c r="AI45" s="9" t="str">
        <f>FIXED(VLOOKUP($A45,'Small Sample 2-Townhouse'!$A:$R,AI$1,0),2)</f>
        <v>0.22</v>
      </c>
      <c r="AJ45" s="3" t="str">
        <f>FIXED(VLOOKUP($A45,'Small Sample 2-Townhouse'!$A:$R,AJ$1,0),2)</f>
        <v>0.41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Sample-Townhouse'!$A:$R,C$1,0),2)</f>
        <v>0.06</v>
      </c>
      <c r="D46" s="3" t="str">
        <f>FIXED(VLOOKUP($A46,'Full Sample-Townhouse'!$A:$R,D$1,0),2)</f>
        <v>0.23</v>
      </c>
      <c r="E46" s="3" t="str">
        <f>FIXED(VLOOKUP($A46,'Full Sample-Townhouse'!$A:$R,E$1,0),2)</f>
        <v>0.00</v>
      </c>
      <c r="F46" s="3" t="str">
        <f>FIXED(VLOOKUP($A46,'Full Sample-Townhouse'!$A:$R,F$1,0),2)</f>
        <v>1.00</v>
      </c>
      <c r="G46" s="9" t="str">
        <f>FIXED(VLOOKUP($A46,'Full Sample-Townhouse'!$A:$R,G$1,0),2)</f>
        <v>0.06</v>
      </c>
      <c r="H46" s="3" t="str">
        <f>FIXED(VLOOKUP($A46,'Full Sample-Townhouse'!$A:$R,H$1,0),2)</f>
        <v>0.24</v>
      </c>
      <c r="I46" s="3" t="str">
        <f>FIXED(VLOOKUP($A46,'Full Sample-Townhouse'!$A:$R,I$1,0),2)</f>
        <v>0.00</v>
      </c>
      <c r="J46" s="13" t="str">
        <f>FIXED(VLOOKUP($A46,'Full Sample-Townhouse'!$A:$R,J$1,0),2)</f>
        <v>1.00</v>
      </c>
      <c r="K46" s="9" t="str">
        <f>FIXED(VLOOKUP($A46,'Full Sample-Townhouse'!$A:$R,K$1,0),2)</f>
        <v>0.05</v>
      </c>
      <c r="L46" s="3" t="str">
        <f>FIXED(VLOOKUP($A46,'Full Sample-Townhouse'!$A:$R,L$1,0),2)</f>
        <v>0.22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1-Townhouse'!$A:$R,O$1,0),2)</f>
        <v>0.06</v>
      </c>
      <c r="P46" s="3" t="str">
        <f>FIXED(VLOOKUP($A46,'Small Sample 1-Townhouse'!$A:$R,P$1,0),2)</f>
        <v>0.23</v>
      </c>
      <c r="Q46" s="3" t="str">
        <f>FIXED(VLOOKUP($A46,'Small Sample 1-Townhouse'!$A:$R,Q$1,0),2)</f>
        <v>0.00</v>
      </c>
      <c r="R46" s="3" t="str">
        <f>FIXED(VLOOKUP($A46,'Small Sample 1-Townhouse'!$A:$R,R$1,0),2)</f>
        <v>1.00</v>
      </c>
      <c r="S46" s="9" t="str">
        <f>FIXED(VLOOKUP($A46,'Small Sample 1-Townhouse'!$A:$R,S$1,0),2)</f>
        <v>0.07</v>
      </c>
      <c r="T46" s="3" t="str">
        <f>FIXED(VLOOKUP($A46,'Small Sample 1-Townhouse'!$A:$R,T$1,0),2)</f>
        <v>0.25</v>
      </c>
      <c r="U46" s="3" t="str">
        <f>FIXED(VLOOKUP($A46,'Small Sample 1-Townhouse'!$A:$R,U$1,0),2)</f>
        <v>0.00</v>
      </c>
      <c r="V46" s="13" t="str">
        <f>FIXED(VLOOKUP($A46,'Small Sample 1-Townhouse'!$A:$R,V$1,0),2)</f>
        <v>1.00</v>
      </c>
      <c r="W46" s="9" t="str">
        <f>FIXED(VLOOKUP($A46,'Small Sample 1-Townhouse'!$A:$R,W$1,0),2)</f>
        <v>0.05</v>
      </c>
      <c r="X46" s="3" t="str">
        <f>FIXED(VLOOKUP($A46,'Small Sample 1-Townhouse'!$A:$R,X$1,0),2)</f>
        <v>0.22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2-Townhouse'!$A:$R,AA$1,0),2)</f>
        <v>0.06</v>
      </c>
      <c r="AB46" s="3" t="str">
        <f>FIXED(VLOOKUP($A46,'Small Sample 2-Townhouse'!$A:$R,AB$1,0),2)</f>
        <v>0.24</v>
      </c>
      <c r="AC46" s="3" t="str">
        <f>FIXED(VLOOKUP($A46,'Small Sample 2-Townhouse'!$A:$R,AC$1,0),2)</f>
        <v>0.00</v>
      </c>
      <c r="AD46" s="3" t="str">
        <f>FIXED(VLOOKUP($A46,'Small Sample 2-Townhouse'!$A:$R,AD$1,0),2)</f>
        <v>1.00</v>
      </c>
      <c r="AE46" s="9" t="str">
        <f>FIXED(VLOOKUP($A46,'Small Sample 2-Townhouse'!$A:$R,AE$1,0),2)</f>
        <v>0.06</v>
      </c>
      <c r="AF46" s="3" t="str">
        <f>FIXED(VLOOKUP($A46,'Small Sample 2-Townhouse'!$A:$R,AF$1,0),2)</f>
        <v>0.24</v>
      </c>
      <c r="AG46" s="3" t="str">
        <f>FIXED(VLOOKUP($A46,'Small Sample 2-Townhouse'!$A:$R,AG$1,0),2)</f>
        <v>0.00</v>
      </c>
      <c r="AH46" s="13" t="str">
        <f>FIXED(VLOOKUP($A46,'Small Sample 2-Townhouse'!$A:$R,AH$1,0),2)</f>
        <v>1.00</v>
      </c>
      <c r="AI46" s="9" t="str">
        <f>FIXED(VLOOKUP($A46,'Small Sample 2-Townhouse'!$A:$R,AI$1,0),2)</f>
        <v>0.05</v>
      </c>
      <c r="AJ46" s="3" t="str">
        <f>FIXED(VLOOKUP($A46,'Small Sample 2-Townhouse'!$A:$R,AJ$1,0),2)</f>
        <v>0.22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Sample-Townhouse'!$A:$R,C$1,0),2)</f>
        <v>12.49</v>
      </c>
      <c r="D47" s="3" t="str">
        <f>FIXED(VLOOKUP($A47,'Full Sample-Townhouse'!$A:$R,D$1,0),2)</f>
        <v>42.00</v>
      </c>
      <c r="E47" s="3" t="str">
        <f>FIXED(VLOOKUP($A47,'Full Sample-Townhouse'!$A:$R,E$1,0),2)</f>
        <v>0.00</v>
      </c>
      <c r="F47" s="3" t="str">
        <f>FIXED(VLOOKUP($A47,'Full Sample-Townhouse'!$A:$R,F$1,0),2)</f>
        <v>1,000.00</v>
      </c>
      <c r="G47" s="9" t="str">
        <f>FIXED(VLOOKUP($A47,'Full Sample-Townhouse'!$A:$R,G$1,0),2)</f>
        <v>12.01</v>
      </c>
      <c r="H47" s="3" t="str">
        <f>FIXED(VLOOKUP($A47,'Full Sample-Townhouse'!$A:$R,H$1,0),2)</f>
        <v>39.95</v>
      </c>
      <c r="I47" s="3" t="str">
        <f>FIXED(VLOOKUP($A47,'Full Sample-Townhouse'!$A:$R,I$1,0),2)</f>
        <v>0.00</v>
      </c>
      <c r="J47" s="13" t="str">
        <f>FIXED(VLOOKUP($A47,'Full Sample-Townhouse'!$A:$R,J$1,0),2)</f>
        <v>651.00</v>
      </c>
      <c r="K47" s="9" t="str">
        <f>FIXED(VLOOKUP($A47,'Full Sample-Townhouse'!$A:$R,K$1,0),2)</f>
        <v>13.14</v>
      </c>
      <c r="L47" s="3" t="str">
        <f>FIXED(VLOOKUP($A47,'Full Sample-Townhouse'!$A:$R,L$1,0),2)</f>
        <v>44.63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1-Townhouse'!$A:$R,O$1,0),2)</f>
        <v>11.62</v>
      </c>
      <c r="P47" s="3" t="str">
        <f>FIXED(VLOOKUP($A47,'Small Sample 1-Townhouse'!$A:$R,P$1,0),2)</f>
        <v>41.28</v>
      </c>
      <c r="Q47" s="3" t="str">
        <f>FIXED(VLOOKUP($A47,'Small Sample 1-Townhouse'!$A:$R,Q$1,0),2)</f>
        <v>0.00</v>
      </c>
      <c r="R47" s="3" t="str">
        <f>FIXED(VLOOKUP($A47,'Small Sample 1-Townhouse'!$A:$R,R$1,0),2)</f>
        <v>1,000.00</v>
      </c>
      <c r="S47" s="9" t="str">
        <f>FIXED(VLOOKUP($A47,'Small Sample 1-Townhouse'!$A:$R,S$1,0),2)</f>
        <v>10.45</v>
      </c>
      <c r="T47" s="3" t="str">
        <f>FIXED(VLOOKUP($A47,'Small Sample 1-Townhouse'!$A:$R,T$1,0),2)</f>
        <v>38.48</v>
      </c>
      <c r="U47" s="3" t="str">
        <f>FIXED(VLOOKUP($A47,'Small Sample 1-Townhouse'!$A:$R,U$1,0),2)</f>
        <v>0.00</v>
      </c>
      <c r="V47" s="13" t="str">
        <f>FIXED(VLOOKUP($A47,'Small Sample 1-Townhouse'!$A:$R,V$1,0),2)</f>
        <v>631.00</v>
      </c>
      <c r="W47" s="9" t="str">
        <f>FIXED(VLOOKUP($A47,'Small Sample 1-Townhouse'!$A:$R,W$1,0),2)</f>
        <v>12.87</v>
      </c>
      <c r="X47" s="3" t="str">
        <f>FIXED(VLOOKUP($A47,'Small Sample 1-Townhouse'!$A:$R,X$1,0),2)</f>
        <v>44.05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2-Townhouse'!$A:$R,AA$1,0),2)</f>
        <v>11.29</v>
      </c>
      <c r="AB47" s="3" t="str">
        <f>FIXED(VLOOKUP($A47,'Small Sample 2-Townhouse'!$A:$R,AB$1,0),2)</f>
        <v>40.40</v>
      </c>
      <c r="AC47" s="3" t="str">
        <f>FIXED(VLOOKUP($A47,'Small Sample 2-Townhouse'!$A:$R,AC$1,0),2)</f>
        <v>0.00</v>
      </c>
      <c r="AD47" s="3" t="str">
        <f>FIXED(VLOOKUP($A47,'Small Sample 2-Townhouse'!$A:$R,AD$1,0),2)</f>
        <v>1,000.00</v>
      </c>
      <c r="AE47" s="9" t="str">
        <f>FIXED(VLOOKUP($A47,'Small Sample 2-Townhouse'!$A:$R,AE$1,0),2)</f>
        <v>11.47</v>
      </c>
      <c r="AF47" s="3" t="str">
        <f>FIXED(VLOOKUP($A47,'Small Sample 2-Townhouse'!$A:$R,AF$1,0),2)</f>
        <v>39.10</v>
      </c>
      <c r="AG47" s="3" t="str">
        <f>FIXED(VLOOKUP($A47,'Small Sample 2-Townhouse'!$A:$R,AG$1,0),2)</f>
        <v>0.00</v>
      </c>
      <c r="AH47" s="13" t="str">
        <f>FIXED(VLOOKUP($A47,'Small Sample 2-Townhouse'!$A:$R,AH$1,0),2)</f>
        <v>651.00</v>
      </c>
      <c r="AI47" s="9" t="str">
        <f>FIXED(VLOOKUP($A47,'Small Sample 2-Townhouse'!$A:$R,AI$1,0),2)</f>
        <v>10.99</v>
      </c>
      <c r="AJ47" s="3" t="str">
        <f>FIXED(VLOOKUP($A47,'Small Sample 2-Townhouse'!$A:$R,AJ$1,0),2)</f>
        <v>42.51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Sample-Townhouse'!$A:$R,C$1,0),2)</f>
        <v>0.10</v>
      </c>
      <c r="D48" s="3" t="str">
        <f>FIXED(VLOOKUP($A48,'Full Sample-Townhouse'!$A:$R,D$1,0),2)</f>
        <v>0.30</v>
      </c>
      <c r="E48" s="3" t="str">
        <f>FIXED(VLOOKUP($A48,'Full Sample-Townhouse'!$A:$R,E$1,0),2)</f>
        <v>0.00</v>
      </c>
      <c r="F48" s="3" t="str">
        <f>FIXED(VLOOKUP($A48,'Full Sample-Townhouse'!$A:$R,F$1,0),2)</f>
        <v>1.00</v>
      </c>
      <c r="G48" s="9" t="str">
        <f>FIXED(VLOOKUP($A48,'Full Sample-Townhouse'!$A:$R,G$1,0),2)</f>
        <v>0.10</v>
      </c>
      <c r="H48" s="3" t="str">
        <f>FIXED(VLOOKUP($A48,'Full Sample-Townhouse'!$A:$R,H$1,0),2)</f>
        <v>0.31</v>
      </c>
      <c r="I48" s="3" t="str">
        <f>FIXED(VLOOKUP($A48,'Full Sample-Townhouse'!$A:$R,I$1,0),2)</f>
        <v>0.00</v>
      </c>
      <c r="J48" s="13" t="str">
        <f>FIXED(VLOOKUP($A48,'Full Sample-Townhouse'!$A:$R,J$1,0),2)</f>
        <v>1.00</v>
      </c>
      <c r="K48" s="9" t="str">
        <f>FIXED(VLOOKUP($A48,'Full Sample-Townhouse'!$A:$R,K$1,0),2)</f>
        <v>0.10</v>
      </c>
      <c r="L48" s="3" t="str">
        <f>FIXED(VLOOKUP($A48,'Full Sample-Townhouse'!$A:$R,L$1,0),2)</f>
        <v>0.30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1-Townhouse'!$A:$R,O$1,0),2)</f>
        <v>0.10</v>
      </c>
      <c r="P48" s="3" t="str">
        <f>FIXED(VLOOKUP($A48,'Small Sample 1-Townhouse'!$A:$R,P$1,0),2)</f>
        <v>0.30</v>
      </c>
      <c r="Q48" s="3" t="str">
        <f>FIXED(VLOOKUP($A48,'Small Sample 1-Townhouse'!$A:$R,Q$1,0),2)</f>
        <v>0.00</v>
      </c>
      <c r="R48" s="3" t="str">
        <f>FIXED(VLOOKUP($A48,'Small Sample 1-Townhouse'!$A:$R,R$1,0),2)</f>
        <v>1.00</v>
      </c>
      <c r="S48" s="9" t="str">
        <f>FIXED(VLOOKUP($A48,'Small Sample 1-Townhouse'!$A:$R,S$1,0),2)</f>
        <v>0.11</v>
      </c>
      <c r="T48" s="3" t="str">
        <f>FIXED(VLOOKUP($A48,'Small Sample 1-Townhouse'!$A:$R,T$1,0),2)</f>
        <v>0.31</v>
      </c>
      <c r="U48" s="3" t="str">
        <f>FIXED(VLOOKUP($A48,'Small Sample 1-Townhouse'!$A:$R,U$1,0),2)</f>
        <v>0.00</v>
      </c>
      <c r="V48" s="13" t="str">
        <f>FIXED(VLOOKUP($A48,'Small Sample 1-Townhouse'!$A:$R,V$1,0),2)</f>
        <v>1.00</v>
      </c>
      <c r="W48" s="9" t="str">
        <f>FIXED(VLOOKUP($A48,'Small Sample 1-Townhouse'!$A:$R,W$1,0),2)</f>
        <v>0.10</v>
      </c>
      <c r="X48" s="3" t="str">
        <f>FIXED(VLOOKUP($A48,'Small Sample 1-Townhouse'!$A:$R,X$1,0),2)</f>
        <v>0.30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2-Townhouse'!$A:$R,AA$1,0),2)</f>
        <v>0.10</v>
      </c>
      <c r="AB48" s="3" t="str">
        <f>FIXED(VLOOKUP($A48,'Small Sample 2-Townhouse'!$A:$R,AB$1,0),2)</f>
        <v>0.30</v>
      </c>
      <c r="AC48" s="3" t="str">
        <f>FIXED(VLOOKUP($A48,'Small Sample 2-Townhouse'!$A:$R,AC$1,0),2)</f>
        <v>0.00</v>
      </c>
      <c r="AD48" s="3" t="str">
        <f>FIXED(VLOOKUP($A48,'Small Sample 2-Townhouse'!$A:$R,AD$1,0),2)</f>
        <v>1.00</v>
      </c>
      <c r="AE48" s="9" t="str">
        <f>FIXED(VLOOKUP($A48,'Small Sample 2-Townhouse'!$A:$R,AE$1,0),2)</f>
        <v>0.10</v>
      </c>
      <c r="AF48" s="3" t="str">
        <f>FIXED(VLOOKUP($A48,'Small Sample 2-Townhouse'!$A:$R,AF$1,0),2)</f>
        <v>0.31</v>
      </c>
      <c r="AG48" s="3" t="str">
        <f>FIXED(VLOOKUP($A48,'Small Sample 2-Townhouse'!$A:$R,AG$1,0),2)</f>
        <v>0.00</v>
      </c>
      <c r="AH48" s="13" t="str">
        <f>FIXED(VLOOKUP($A48,'Small Sample 2-Townhouse'!$A:$R,AH$1,0),2)</f>
        <v>1.00</v>
      </c>
      <c r="AI48" s="9" t="str">
        <f>FIXED(VLOOKUP($A48,'Small Sample 2-Townhouse'!$A:$R,AI$1,0),2)</f>
        <v>0.10</v>
      </c>
      <c r="AJ48" s="3" t="str">
        <f>FIXED(VLOOKUP($A48,'Small Sample 2-Townhouse'!$A:$R,AJ$1,0),2)</f>
        <v>0.30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38" x14ac:dyDescent="0.25">
      <c r="A49" t="s">
        <v>75</v>
      </c>
      <c r="B49" s="4" t="s">
        <v>151</v>
      </c>
      <c r="C49" s="9" t="str">
        <f>FIXED(VLOOKUP($A49,'Full Sample-Townhouse'!$A:$R,C$1,0),2)</f>
        <v>0.44</v>
      </c>
      <c r="D49" s="3" t="str">
        <f>FIXED(VLOOKUP($A49,'Full Sample-Townhouse'!$A:$R,D$1,0),2)</f>
        <v>0.50</v>
      </c>
      <c r="E49" s="3" t="str">
        <f>FIXED(VLOOKUP($A49,'Full Sample-Townhouse'!$A:$R,E$1,0),2)</f>
        <v>0.00</v>
      </c>
      <c r="F49" s="3" t="str">
        <f>FIXED(VLOOKUP($A49,'Full Sample-Townhouse'!$A:$R,F$1,0),2)</f>
        <v>1.00</v>
      </c>
      <c r="G49" s="9" t="str">
        <f>FIXED(VLOOKUP($A49,'Full Sample-Townhouse'!$A:$R,G$1,0),2)</f>
        <v>0.43</v>
      </c>
      <c r="H49" s="3" t="str">
        <f>FIXED(VLOOKUP($A49,'Full Sample-Townhouse'!$A:$R,H$1,0),2)</f>
        <v>0.50</v>
      </c>
      <c r="I49" s="3" t="str">
        <f>FIXED(VLOOKUP($A49,'Full Sample-Townhouse'!$A:$R,I$1,0),2)</f>
        <v>0.00</v>
      </c>
      <c r="J49" s="13" t="str">
        <f>FIXED(VLOOKUP($A49,'Full Sample-Townhouse'!$A:$R,J$1,0),2)</f>
        <v>1.00</v>
      </c>
      <c r="K49" s="9" t="str">
        <f>FIXED(VLOOKUP($A49,'Full Sample-Townhouse'!$A:$R,K$1,0),2)</f>
        <v>0.45</v>
      </c>
      <c r="L49" s="3" t="str">
        <f>FIXED(VLOOKUP($A49,'Full Sample-Townhouse'!$A:$R,L$1,0),2)</f>
        <v>0.50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1-Townhouse'!$A:$R,O$1,0),2)</f>
        <v>0.46</v>
      </c>
      <c r="P49" s="3" t="str">
        <f>FIXED(VLOOKUP($A49,'Small Sample 1-Townhouse'!$A:$R,P$1,0),2)</f>
        <v>0.50</v>
      </c>
      <c r="Q49" s="3" t="str">
        <f>FIXED(VLOOKUP($A49,'Small Sample 1-Townhouse'!$A:$R,Q$1,0),2)</f>
        <v>0.00</v>
      </c>
      <c r="R49" s="3" t="str">
        <f>FIXED(VLOOKUP($A49,'Small Sample 1-Townhouse'!$A:$R,R$1,0),2)</f>
        <v>1.00</v>
      </c>
      <c r="S49" s="9" t="str">
        <f>FIXED(VLOOKUP($A49,'Small Sample 1-Townhouse'!$A:$R,S$1,0),2)</f>
        <v>0.46</v>
      </c>
      <c r="T49" s="3" t="str">
        <f>FIXED(VLOOKUP($A49,'Small Sample 1-Townhouse'!$A:$R,T$1,0),2)</f>
        <v>0.50</v>
      </c>
      <c r="U49" s="3" t="str">
        <f>FIXED(VLOOKUP($A49,'Small Sample 1-Townhouse'!$A:$R,U$1,0),2)</f>
        <v>0.00</v>
      </c>
      <c r="V49" s="13" t="str">
        <f>FIXED(VLOOKUP($A49,'Small Sample 1-Townhouse'!$A:$R,V$1,0),2)</f>
        <v>1.00</v>
      </c>
      <c r="W49" s="9" t="str">
        <f>FIXED(VLOOKUP($A49,'Small Sample 1-Townhouse'!$A:$R,W$1,0),2)</f>
        <v>0.45</v>
      </c>
      <c r="X49" s="3" t="str">
        <f>FIXED(VLOOKUP($A49,'Small Sample 1-Townhouse'!$A:$R,X$1,0),2)</f>
        <v>0.50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2-Townhouse'!$A:$R,AA$1,0),2)</f>
        <v>0.46</v>
      </c>
      <c r="AB49" s="3" t="str">
        <f>FIXED(VLOOKUP($A49,'Small Sample 2-Townhouse'!$A:$R,AB$1,0),2)</f>
        <v>0.50</v>
      </c>
      <c r="AC49" s="3" t="str">
        <f>FIXED(VLOOKUP($A49,'Small Sample 2-Townhouse'!$A:$R,AC$1,0),2)</f>
        <v>0.00</v>
      </c>
      <c r="AD49" s="3" t="str">
        <f>FIXED(VLOOKUP($A49,'Small Sample 2-Townhouse'!$A:$R,AD$1,0),2)</f>
        <v>1.00</v>
      </c>
      <c r="AE49" s="9" t="str">
        <f>FIXED(VLOOKUP($A49,'Small Sample 2-Townhouse'!$A:$R,AE$1,0),2)</f>
        <v>0.44</v>
      </c>
      <c r="AF49" s="3" t="str">
        <f>FIXED(VLOOKUP($A49,'Small Sample 2-Townhouse'!$A:$R,AF$1,0),2)</f>
        <v>0.50</v>
      </c>
      <c r="AG49" s="3" t="str">
        <f>FIXED(VLOOKUP($A49,'Small Sample 2-Townhouse'!$A:$R,AG$1,0),2)</f>
        <v>0.00</v>
      </c>
      <c r="AH49" s="13" t="str">
        <f>FIXED(VLOOKUP($A49,'Small Sample 2-Townhouse'!$A:$R,AH$1,0),2)</f>
        <v>1.00</v>
      </c>
      <c r="AI49" s="9" t="str">
        <f>FIXED(VLOOKUP($A49,'Small Sample 2-Townhouse'!$A:$R,AI$1,0),2)</f>
        <v>0.48</v>
      </c>
      <c r="AJ49" s="3" t="str">
        <f>FIXED(VLOOKUP($A49,'Small Sample 2-Townhouse'!$A:$R,AJ$1,0),2)</f>
        <v>0.50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38" x14ac:dyDescent="0.25">
      <c r="A50" t="s">
        <v>76</v>
      </c>
      <c r="B50" s="4" t="s">
        <v>152</v>
      </c>
      <c r="C50" s="9" t="str">
        <f>FIXED(VLOOKUP($A50,'Full Sample-Townhouse'!$A:$R,C$1,0),2)</f>
        <v>0.44</v>
      </c>
      <c r="D50" s="3" t="str">
        <f>FIXED(VLOOKUP($A50,'Full Sample-Townhouse'!$A:$R,D$1,0),2)</f>
        <v>0.50</v>
      </c>
      <c r="E50" s="3" t="str">
        <f>FIXED(VLOOKUP($A50,'Full Sample-Townhouse'!$A:$R,E$1,0),2)</f>
        <v>0.00</v>
      </c>
      <c r="F50" s="3" t="str">
        <f>FIXED(VLOOKUP($A50,'Full Sample-Townhouse'!$A:$R,F$1,0),2)</f>
        <v>1.00</v>
      </c>
      <c r="G50" s="9" t="str">
        <f>FIXED(VLOOKUP($A50,'Full Sample-Townhouse'!$A:$R,G$1,0),2)</f>
        <v>0.45</v>
      </c>
      <c r="H50" s="3" t="str">
        <f>FIXED(VLOOKUP($A50,'Full Sample-Townhouse'!$A:$R,H$1,0),2)</f>
        <v>0.50</v>
      </c>
      <c r="I50" s="3" t="str">
        <f>FIXED(VLOOKUP($A50,'Full Sample-Townhouse'!$A:$R,I$1,0),2)</f>
        <v>0.00</v>
      </c>
      <c r="J50" s="13" t="str">
        <f>FIXED(VLOOKUP($A50,'Full Sample-Townhouse'!$A:$R,J$1,0),2)</f>
        <v>1.00</v>
      </c>
      <c r="K50" s="9" t="str">
        <f>FIXED(VLOOKUP($A50,'Full Sample-Townhouse'!$A:$R,K$1,0),2)</f>
        <v>0.43</v>
      </c>
      <c r="L50" s="3" t="str">
        <f>FIXED(VLOOKUP($A50,'Full Sample-Townhouse'!$A:$R,L$1,0),2)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1-Townhouse'!$A:$R,O$1,0),2)</f>
        <v>0.42</v>
      </c>
      <c r="P50" s="3" t="str">
        <f>FIXED(VLOOKUP($A50,'Small Sample 1-Townhouse'!$A:$R,P$1,0),2)</f>
        <v>0.49</v>
      </c>
      <c r="Q50" s="3" t="str">
        <f>FIXED(VLOOKUP($A50,'Small Sample 1-Townhouse'!$A:$R,Q$1,0),2)</f>
        <v>0.00</v>
      </c>
      <c r="R50" s="3" t="str">
        <f>FIXED(VLOOKUP($A50,'Small Sample 1-Townhouse'!$A:$R,R$1,0),2)</f>
        <v>1.00</v>
      </c>
      <c r="S50" s="9" t="str">
        <f>FIXED(VLOOKUP($A50,'Small Sample 1-Townhouse'!$A:$R,S$1,0),2)</f>
        <v>0.42</v>
      </c>
      <c r="T50" s="3" t="str">
        <f>FIXED(VLOOKUP($A50,'Small Sample 1-Townhouse'!$A:$R,T$1,0),2)</f>
        <v>0.49</v>
      </c>
      <c r="U50" s="3" t="str">
        <f>FIXED(VLOOKUP($A50,'Small Sample 1-Townhouse'!$A:$R,U$1,0),2)</f>
        <v>0.00</v>
      </c>
      <c r="V50" s="13" t="str">
        <f>FIXED(VLOOKUP($A50,'Small Sample 1-Townhouse'!$A:$R,V$1,0),2)</f>
        <v>1.00</v>
      </c>
      <c r="W50" s="9" t="str">
        <f>FIXED(VLOOKUP($A50,'Small Sample 1-Townhouse'!$A:$R,W$1,0),2)</f>
        <v>0.43</v>
      </c>
      <c r="X50" s="3" t="str">
        <f>FIXED(VLOOKUP($A50,'Small Sample 1-Townhouse'!$A:$R,X$1,0),2)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2-Townhouse'!$A:$R,AA$1,0),2)</f>
        <v>0.42</v>
      </c>
      <c r="AB50" s="3" t="str">
        <f>FIXED(VLOOKUP($A50,'Small Sample 2-Townhouse'!$A:$R,AB$1,0),2)</f>
        <v>0.49</v>
      </c>
      <c r="AC50" s="3" t="str">
        <f>FIXED(VLOOKUP($A50,'Small Sample 2-Townhouse'!$A:$R,AC$1,0),2)</f>
        <v>0.00</v>
      </c>
      <c r="AD50" s="3" t="str">
        <f>FIXED(VLOOKUP($A50,'Small Sample 2-Townhouse'!$A:$R,AD$1,0),2)</f>
        <v>1.00</v>
      </c>
      <c r="AE50" s="9" t="str">
        <f>FIXED(VLOOKUP($A50,'Small Sample 2-Townhouse'!$A:$R,AE$1,0),2)</f>
        <v>0.44</v>
      </c>
      <c r="AF50" s="3" t="str">
        <f>FIXED(VLOOKUP($A50,'Small Sample 2-Townhouse'!$A:$R,AF$1,0),2)</f>
        <v>0.50</v>
      </c>
      <c r="AG50" s="3" t="str">
        <f>FIXED(VLOOKUP($A50,'Small Sample 2-Townhouse'!$A:$R,AG$1,0),2)</f>
        <v>0.00</v>
      </c>
      <c r="AH50" s="13" t="str">
        <f>FIXED(VLOOKUP($A50,'Small Sample 2-Townhouse'!$A:$R,AH$1,0),2)</f>
        <v>1.00</v>
      </c>
      <c r="AI50" s="9" t="str">
        <f>FIXED(VLOOKUP($A50,'Small Sample 2-Townhouse'!$A:$R,AI$1,0),2)</f>
        <v>0.40</v>
      </c>
      <c r="AJ50" s="3" t="str">
        <f>FIXED(VLOOKUP($A50,'Small Sample 2-Townhouse'!$A:$R,AJ$1,0),2)</f>
        <v>0.49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38" x14ac:dyDescent="0.25">
      <c r="A51" t="s">
        <v>77</v>
      </c>
      <c r="B51" s="4" t="s">
        <v>153</v>
      </c>
      <c r="C51" s="9" t="str">
        <f>FIXED(VLOOKUP($A51,'Full Sample-Townhouse'!$A:$R,C$1,0),2)</f>
        <v>0.01</v>
      </c>
      <c r="D51" s="3" t="str">
        <f>FIXED(VLOOKUP($A51,'Full Sample-Townhouse'!$A:$R,D$1,0),2)</f>
        <v>0.09</v>
      </c>
      <c r="E51" s="3" t="str">
        <f>FIXED(VLOOKUP($A51,'Full Sample-Townhouse'!$A:$R,E$1,0),2)</f>
        <v>0.00</v>
      </c>
      <c r="F51" s="3" t="str">
        <f>FIXED(VLOOKUP($A51,'Full Sample-Townhouse'!$A:$R,F$1,0),2)</f>
        <v>1.00</v>
      </c>
      <c r="G51" s="9" t="str">
        <f>FIXED(VLOOKUP($A51,'Full Sample-Townhouse'!$A:$R,G$1,0),2)</f>
        <v>0.01</v>
      </c>
      <c r="H51" s="3" t="str">
        <f>FIXED(VLOOKUP($A51,'Full Sample-Townhouse'!$A:$R,H$1,0),2)</f>
        <v>0.09</v>
      </c>
      <c r="I51" s="3" t="str">
        <f>FIXED(VLOOKUP($A51,'Full Sample-Townhouse'!$A:$R,I$1,0),2)</f>
        <v>0.00</v>
      </c>
      <c r="J51" s="13" t="str">
        <f>FIXED(VLOOKUP($A51,'Full Sample-Townhouse'!$A:$R,J$1,0),2)</f>
        <v>1.00</v>
      </c>
      <c r="K51" s="9" t="str">
        <f>FIXED(VLOOKUP($A51,'Full Sample-Townhouse'!$A:$R,K$1,0),2)</f>
        <v>0.01</v>
      </c>
      <c r="L51" s="3" t="str">
        <f>FIXED(VLOOKUP($A51,'Full Sample-Townhouse'!$A:$R,L$1,0),2)</f>
        <v>0.10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1-Townhouse'!$A:$R,O$1,0),2)</f>
        <v>0.01</v>
      </c>
      <c r="P51" s="3" t="str">
        <f>FIXED(VLOOKUP($A51,'Small Sample 1-Townhouse'!$A:$R,P$1,0),2)</f>
        <v>0.10</v>
      </c>
      <c r="Q51" s="3" t="str">
        <f>FIXED(VLOOKUP($A51,'Small Sample 1-Townhouse'!$A:$R,Q$1,0),2)</f>
        <v>0.00</v>
      </c>
      <c r="R51" s="3" t="str">
        <f>FIXED(VLOOKUP($A51,'Small Sample 1-Townhouse'!$A:$R,R$1,0),2)</f>
        <v>1.00</v>
      </c>
      <c r="S51" s="9" t="str">
        <f>FIXED(VLOOKUP($A51,'Small Sample 1-Townhouse'!$A:$R,S$1,0),2)</f>
        <v>0.01</v>
      </c>
      <c r="T51" s="3" t="str">
        <f>FIXED(VLOOKUP($A51,'Small Sample 1-Townhouse'!$A:$R,T$1,0),2)</f>
        <v>0.09</v>
      </c>
      <c r="U51" s="3" t="str">
        <f>FIXED(VLOOKUP($A51,'Small Sample 1-Townhouse'!$A:$R,U$1,0),2)</f>
        <v>0.00</v>
      </c>
      <c r="V51" s="13" t="str">
        <f>FIXED(VLOOKUP($A51,'Small Sample 1-Townhouse'!$A:$R,V$1,0),2)</f>
        <v>1.00</v>
      </c>
      <c r="W51" s="9" t="str">
        <f>FIXED(VLOOKUP($A51,'Small Sample 1-Townhouse'!$A:$R,W$1,0),2)</f>
        <v>0.01</v>
      </c>
      <c r="X51" s="3" t="str">
        <f>FIXED(VLOOKUP($A51,'Small Sample 1-Townhouse'!$A:$R,X$1,0),2)</f>
        <v>0.10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2-Townhouse'!$A:$R,AA$1,0),2)</f>
        <v>0.01</v>
      </c>
      <c r="AB51" s="3" t="str">
        <f>FIXED(VLOOKUP($A51,'Small Sample 2-Townhouse'!$A:$R,AB$1,0),2)</f>
        <v>0.10</v>
      </c>
      <c r="AC51" s="3" t="str">
        <f>FIXED(VLOOKUP($A51,'Small Sample 2-Townhouse'!$A:$R,AC$1,0),2)</f>
        <v>0.00</v>
      </c>
      <c r="AD51" s="3" t="str">
        <f>FIXED(VLOOKUP($A51,'Small Sample 2-Townhouse'!$A:$R,AD$1,0),2)</f>
        <v>1.00</v>
      </c>
      <c r="AE51" s="9" t="str">
        <f>FIXED(VLOOKUP($A51,'Small Sample 2-Townhouse'!$A:$R,AE$1,0),2)</f>
        <v>0.01</v>
      </c>
      <c r="AF51" s="3" t="str">
        <f>FIXED(VLOOKUP($A51,'Small Sample 2-Townhouse'!$A:$R,AF$1,0),2)</f>
        <v>0.09</v>
      </c>
      <c r="AG51" s="3" t="str">
        <f>FIXED(VLOOKUP($A51,'Small Sample 2-Townhouse'!$A:$R,AG$1,0),2)</f>
        <v>0.00</v>
      </c>
      <c r="AH51" s="13" t="str">
        <f>FIXED(VLOOKUP($A51,'Small Sample 2-Townhouse'!$A:$R,AH$1,0),2)</f>
        <v>1.00</v>
      </c>
      <c r="AI51" s="9" t="str">
        <f>FIXED(VLOOKUP($A51,'Small Sample 2-Townhouse'!$A:$R,AI$1,0),2)</f>
        <v>0.01</v>
      </c>
      <c r="AJ51" s="3" t="str">
        <f>FIXED(VLOOKUP($A51,'Small Sample 2-Townhouse'!$A:$R,AJ$1,0),2)</f>
        <v>0.10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38" x14ac:dyDescent="0.25">
      <c r="A52" t="s">
        <v>78</v>
      </c>
      <c r="B52" s="4" t="s">
        <v>154</v>
      </c>
      <c r="C52" s="9" t="str">
        <f>FIXED(VLOOKUP($A52,'Full Sample-Townhouse'!$A:$R,C$1,0),2)</f>
        <v>0.01</v>
      </c>
      <c r="D52" s="3" t="str">
        <f>FIXED(VLOOKUP($A52,'Full Sample-Townhouse'!$A:$R,D$1,0),2)</f>
        <v>0.09</v>
      </c>
      <c r="E52" s="3" t="str">
        <f>FIXED(VLOOKUP($A52,'Full Sample-Townhouse'!$A:$R,E$1,0),2)</f>
        <v>0.00</v>
      </c>
      <c r="F52" s="3" t="str">
        <f>FIXED(VLOOKUP($A52,'Full Sample-Townhouse'!$A:$R,F$1,0),2)</f>
        <v>1.00</v>
      </c>
      <c r="G52" s="9" t="str">
        <f>FIXED(VLOOKUP($A52,'Full Sample-Townhouse'!$A:$R,G$1,0),2)</f>
        <v>0.01</v>
      </c>
      <c r="H52" s="3" t="str">
        <f>FIXED(VLOOKUP($A52,'Full Sample-Townhouse'!$A:$R,H$1,0),2)</f>
        <v>0.09</v>
      </c>
      <c r="I52" s="3" t="str">
        <f>FIXED(VLOOKUP($A52,'Full Sample-Townhouse'!$A:$R,I$1,0),2)</f>
        <v>0.00</v>
      </c>
      <c r="J52" s="13" t="str">
        <f>FIXED(VLOOKUP($A52,'Full Sample-Townhouse'!$A:$R,J$1,0),2)</f>
        <v>1.00</v>
      </c>
      <c r="K52" s="9" t="str">
        <f>FIXED(VLOOKUP($A52,'Full Sample-Townhouse'!$A:$R,K$1,0),2)</f>
        <v>0.01</v>
      </c>
      <c r="L52" s="3" t="str">
        <f>FIXED(VLOOKUP($A52,'Full Sample-Townhouse'!$A:$R,L$1,0),2)</f>
        <v>0.10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1-Townhouse'!$A:$R,O$1,0),2)</f>
        <v>0.01</v>
      </c>
      <c r="P52" s="3" t="str">
        <f>FIXED(VLOOKUP($A52,'Small Sample 1-Townhouse'!$A:$R,P$1,0),2)</f>
        <v>0.09</v>
      </c>
      <c r="Q52" s="3" t="str">
        <f>FIXED(VLOOKUP($A52,'Small Sample 1-Townhouse'!$A:$R,Q$1,0),2)</f>
        <v>0.00</v>
      </c>
      <c r="R52" s="3" t="str">
        <f>FIXED(VLOOKUP($A52,'Small Sample 1-Townhouse'!$A:$R,R$1,0),2)</f>
        <v>1.00</v>
      </c>
      <c r="S52" s="9" t="str">
        <f>FIXED(VLOOKUP($A52,'Small Sample 1-Townhouse'!$A:$R,S$1,0),2)</f>
        <v>0.01</v>
      </c>
      <c r="T52" s="3" t="str">
        <f>FIXED(VLOOKUP($A52,'Small Sample 1-Townhouse'!$A:$R,T$1,0),2)</f>
        <v>0.09</v>
      </c>
      <c r="U52" s="3" t="str">
        <f>FIXED(VLOOKUP($A52,'Small Sample 1-Townhouse'!$A:$R,U$1,0),2)</f>
        <v>0.00</v>
      </c>
      <c r="V52" s="13" t="str">
        <f>FIXED(VLOOKUP($A52,'Small Sample 1-Townhouse'!$A:$R,V$1,0),2)</f>
        <v>1.00</v>
      </c>
      <c r="W52" s="9" t="str">
        <f>FIXED(VLOOKUP($A52,'Small Sample 1-Townhouse'!$A:$R,W$1,0),2)</f>
        <v>0.01</v>
      </c>
      <c r="X52" s="3" t="str">
        <f>FIXED(VLOOKUP($A52,'Small Sample 1-Townhouse'!$A:$R,X$1,0),2)</f>
        <v>0.10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2-Townhouse'!$A:$R,AA$1,0),2)</f>
        <v>0.01</v>
      </c>
      <c r="AB52" s="3" t="str">
        <f>FIXED(VLOOKUP($A52,'Small Sample 2-Townhouse'!$A:$R,AB$1,0),2)</f>
        <v>0.09</v>
      </c>
      <c r="AC52" s="3" t="str">
        <f>FIXED(VLOOKUP($A52,'Small Sample 2-Townhouse'!$A:$R,AC$1,0),2)</f>
        <v>0.00</v>
      </c>
      <c r="AD52" s="3" t="str">
        <f>FIXED(VLOOKUP($A52,'Small Sample 2-Townhouse'!$A:$R,AD$1,0),2)</f>
        <v>1.00</v>
      </c>
      <c r="AE52" s="9" t="str">
        <f>FIXED(VLOOKUP($A52,'Small Sample 2-Townhouse'!$A:$R,AE$1,0),2)</f>
        <v>0.01</v>
      </c>
      <c r="AF52" s="3" t="str">
        <f>FIXED(VLOOKUP($A52,'Small Sample 2-Townhouse'!$A:$R,AF$1,0),2)</f>
        <v>0.09</v>
      </c>
      <c r="AG52" s="3" t="str">
        <f>FIXED(VLOOKUP($A52,'Small Sample 2-Townhouse'!$A:$R,AG$1,0),2)</f>
        <v>0.00</v>
      </c>
      <c r="AH52" s="13" t="str">
        <f>FIXED(VLOOKUP($A52,'Small Sample 2-Townhouse'!$A:$R,AH$1,0),2)</f>
        <v>1.00</v>
      </c>
      <c r="AI52" s="9" t="str">
        <f>FIXED(VLOOKUP($A52,'Small Sample 2-Townhouse'!$A:$R,AI$1,0),2)</f>
        <v>0.01</v>
      </c>
      <c r="AJ52" s="3" t="str">
        <f>FIXED(VLOOKUP($A52,'Small Sample 2-Townhouse'!$A:$R,AJ$1,0),2)</f>
        <v>0.09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38" x14ac:dyDescent="0.25">
      <c r="A53" t="s">
        <v>170</v>
      </c>
      <c r="B53" s="4" t="s">
        <v>176</v>
      </c>
      <c r="C53" s="9" t="str">
        <f>FIXED(VLOOKUP($A53,'Full Sample-Townhouse'!$A:$R,C$1,0),2)</f>
        <v>0.00</v>
      </c>
      <c r="D53" s="3" t="str">
        <f>FIXED(VLOOKUP($A53,'Full Sample-Townhouse'!$A:$R,D$1,0),2)</f>
        <v>0.03</v>
      </c>
      <c r="E53" s="3" t="str">
        <f>FIXED(VLOOKUP($A53,'Full Sample-Townhouse'!$A:$R,E$1,0),2)</f>
        <v>0.00</v>
      </c>
      <c r="F53" s="3" t="str">
        <f>FIXED(VLOOKUP($A53,'Full Sample-Townhouse'!$A:$R,F$1,0),2)</f>
        <v>1.00</v>
      </c>
      <c r="G53" s="9" t="str">
        <f>FIXED(VLOOKUP($A53,'Full Sample-Townhouse'!$A:$R,G$1,0),2)</f>
        <v>0.00</v>
      </c>
      <c r="H53" s="3" t="str">
        <f>FIXED(VLOOKUP($A53,'Full Sample-Townhouse'!$A:$R,H$1,0),2)</f>
        <v>0.03</v>
      </c>
      <c r="I53" s="3" t="str">
        <f>FIXED(VLOOKUP($A53,'Full Sample-Townhouse'!$A:$R,I$1,0),2)</f>
        <v>0.00</v>
      </c>
      <c r="J53" s="13" t="str">
        <f>FIXED(VLOOKUP($A53,'Full Sample-Townhouse'!$A:$R,J$1,0),2)</f>
        <v>1.00</v>
      </c>
      <c r="K53" s="9" t="str">
        <f>FIXED(VLOOKUP($A53,'Full Sample-Townhouse'!$A:$R,K$1,0),2)</f>
        <v>0.00</v>
      </c>
      <c r="L53" s="3" t="str">
        <f>FIXED(VLOOKUP($A53,'Full Sample-Townhouse'!$A:$R,L$1,0),2)</f>
        <v>0.03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1-Townhouse'!$A:$R,O$1,0),2)</f>
        <v>0.00</v>
      </c>
      <c r="P53" s="3" t="str">
        <f>FIXED(VLOOKUP($A53,'Small Sample 1-Townhouse'!$A:$R,P$1,0),2)</f>
        <v>0.04</v>
      </c>
      <c r="Q53" s="3" t="str">
        <f>FIXED(VLOOKUP($A53,'Small Sample 1-Townhouse'!$A:$R,Q$1,0),2)</f>
        <v>0.00</v>
      </c>
      <c r="R53" s="3" t="str">
        <f>FIXED(VLOOKUP($A53,'Small Sample 1-Townhouse'!$A:$R,R$1,0),2)</f>
        <v>1.00</v>
      </c>
      <c r="S53" s="9" t="str">
        <f>FIXED(VLOOKUP($A53,'Small Sample 1-Townhouse'!$A:$R,S$1,0),2)</f>
        <v>0.00</v>
      </c>
      <c r="T53" s="3" t="str">
        <f>FIXED(VLOOKUP($A53,'Small Sample 1-Townhouse'!$A:$R,T$1,0),2)</f>
        <v>0.04</v>
      </c>
      <c r="U53" s="3" t="str">
        <f>FIXED(VLOOKUP($A53,'Small Sample 1-Townhouse'!$A:$R,U$1,0),2)</f>
        <v>0.00</v>
      </c>
      <c r="V53" s="13" t="str">
        <f>FIXED(VLOOKUP($A53,'Small Sample 1-Townhouse'!$A:$R,V$1,0),2)</f>
        <v>1.00</v>
      </c>
      <c r="W53" s="9" t="str">
        <f>FIXED(VLOOKUP($A53,'Small Sample 1-Townhouse'!$A:$R,W$1,0),2)</f>
        <v>0.00</v>
      </c>
      <c r="X53" s="3" t="str">
        <f>FIXED(VLOOKUP($A53,'Small Sample 1-Townhouse'!$A:$R,X$1,0),2)</f>
        <v>0.03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2-Townhouse'!$A:$R,AA$1,0),2)</f>
        <v>0.00</v>
      </c>
      <c r="AB53" s="3" t="str">
        <f>FIXED(VLOOKUP($A53,'Small Sample 2-Townhouse'!$A:$R,AB$1,0),2)</f>
        <v>0.04</v>
      </c>
      <c r="AC53" s="3" t="str">
        <f>FIXED(VLOOKUP($A53,'Small Sample 2-Townhouse'!$A:$R,AC$1,0),2)</f>
        <v>0.00</v>
      </c>
      <c r="AD53" s="3" t="str">
        <f>FIXED(VLOOKUP($A53,'Small Sample 2-Townhouse'!$A:$R,AD$1,0),2)</f>
        <v>1.00</v>
      </c>
      <c r="AE53" s="9" t="str">
        <f>FIXED(VLOOKUP($A53,'Small Sample 2-Townhouse'!$A:$R,AE$1,0),2)</f>
        <v>0.00</v>
      </c>
      <c r="AF53" s="3" t="str">
        <f>FIXED(VLOOKUP($A53,'Small Sample 2-Townhouse'!$A:$R,AF$1,0),2)</f>
        <v>0.03</v>
      </c>
      <c r="AG53" s="3" t="str">
        <f>FIXED(VLOOKUP($A53,'Small Sample 2-Townhouse'!$A:$R,AG$1,0),2)</f>
        <v>0.00</v>
      </c>
      <c r="AH53" s="13" t="str">
        <f>FIXED(VLOOKUP($A53,'Small Sample 2-Townhouse'!$A:$R,AH$1,0),2)</f>
        <v>1.00</v>
      </c>
      <c r="AI53" s="9" t="str">
        <f>FIXED(VLOOKUP($A53,'Small Sample 2-Townhouse'!$A:$R,AI$1,0),2)</f>
        <v>0.00</v>
      </c>
      <c r="AJ53" s="3" t="str">
        <f>FIXED(VLOOKUP($A53,'Small Sample 2-Townhouse'!$A:$R,AJ$1,0),2)</f>
        <v>0.04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38" x14ac:dyDescent="0.25">
      <c r="A54" t="s">
        <v>52</v>
      </c>
      <c r="B54" s="4" t="s">
        <v>132</v>
      </c>
      <c r="C54" s="9" t="str">
        <f>FIXED(VLOOKUP($A54,'Full Sample-Townhouse'!$A:$R,C$1,0),2)</f>
        <v>0.37</v>
      </c>
      <c r="D54" s="3" t="str">
        <f>FIXED(VLOOKUP($A54,'Full Sample-Townhouse'!$A:$R,D$1,0),2)</f>
        <v>0.48</v>
      </c>
      <c r="E54" s="3" t="str">
        <f>FIXED(VLOOKUP($A54,'Full Sample-Townhouse'!$A:$R,E$1,0),2)</f>
        <v>0.00</v>
      </c>
      <c r="F54" s="3" t="str">
        <f>FIXED(VLOOKUP($A54,'Full Sample-Townhouse'!$A:$R,F$1,0),2)</f>
        <v>1.00</v>
      </c>
      <c r="G54" s="9" t="str">
        <f>FIXED(VLOOKUP($A54,'Full Sample-Townhouse'!$A:$R,G$1,0),2)</f>
        <v>0.36</v>
      </c>
      <c r="H54" s="3" t="str">
        <f>FIXED(VLOOKUP($A54,'Full Sample-Townhouse'!$A:$R,H$1,0),2)</f>
        <v>0.48</v>
      </c>
      <c r="I54" s="3" t="str">
        <f>FIXED(VLOOKUP($A54,'Full Sample-Townhouse'!$A:$R,I$1,0),2)</f>
        <v>0.00</v>
      </c>
      <c r="J54" s="13" t="str">
        <f>FIXED(VLOOKUP($A54,'Full Sample-Townhouse'!$A:$R,J$1,0),2)</f>
        <v>1.00</v>
      </c>
      <c r="K54" s="9" t="str">
        <f>FIXED(VLOOKUP($A54,'Full Sample-Townhouse'!$A:$R,K$1,0),2)</f>
        <v>0.39</v>
      </c>
      <c r="L54" s="3" t="str">
        <f>FIXED(VLOOKUP($A54,'Full Sample-Townhouse'!$A:$R,L$1,0),2)</f>
        <v>0.49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1-Townhouse'!$A:$R,O$1,0),2)</f>
        <v>0.38</v>
      </c>
      <c r="P54" s="3" t="str">
        <f>FIXED(VLOOKUP($A54,'Small Sample 1-Townhouse'!$A:$R,P$1,0),2)</f>
        <v>0.49</v>
      </c>
      <c r="Q54" s="3" t="str">
        <f>FIXED(VLOOKUP($A54,'Small Sample 1-Townhouse'!$A:$R,Q$1,0),2)</f>
        <v>0.00</v>
      </c>
      <c r="R54" s="3" t="str">
        <f>FIXED(VLOOKUP($A54,'Small Sample 1-Townhouse'!$A:$R,R$1,0),2)</f>
        <v>1.00</v>
      </c>
      <c r="S54" s="9" t="str">
        <f>FIXED(VLOOKUP($A54,'Small Sample 1-Townhouse'!$A:$R,S$1,0),2)</f>
        <v>0.37</v>
      </c>
      <c r="T54" s="3" t="str">
        <f>FIXED(VLOOKUP($A54,'Small Sample 1-Townhouse'!$A:$R,T$1,0),2)</f>
        <v>0.48</v>
      </c>
      <c r="U54" s="3" t="str">
        <f>FIXED(VLOOKUP($A54,'Small Sample 1-Townhouse'!$A:$R,U$1,0),2)</f>
        <v>0.00</v>
      </c>
      <c r="V54" s="13" t="str">
        <f>FIXED(VLOOKUP($A54,'Small Sample 1-Townhouse'!$A:$R,V$1,0),2)</f>
        <v>1.00</v>
      </c>
      <c r="W54" s="9" t="str">
        <f>FIXED(VLOOKUP($A54,'Small Sample 1-Townhouse'!$A:$R,W$1,0),2)</f>
        <v>0.39</v>
      </c>
      <c r="X54" s="3" t="str">
        <f>FIXED(VLOOKUP($A54,'Small Sample 1-Townhouse'!$A:$R,X$1,0),2)</f>
        <v>0.49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2-Townhouse'!$A:$R,AA$1,0),2)</f>
        <v>0.36</v>
      </c>
      <c r="AB54" s="3" t="str">
        <f>FIXED(VLOOKUP($A54,'Small Sample 2-Townhouse'!$A:$R,AB$1,0),2)</f>
        <v>0.48</v>
      </c>
      <c r="AC54" s="3" t="str">
        <f>FIXED(VLOOKUP($A54,'Small Sample 2-Townhouse'!$A:$R,AC$1,0),2)</f>
        <v>0.00</v>
      </c>
      <c r="AD54" s="3" t="str">
        <f>FIXED(VLOOKUP($A54,'Small Sample 2-Townhouse'!$A:$R,AD$1,0),2)</f>
        <v>1.00</v>
      </c>
      <c r="AE54" s="9" t="str">
        <f>FIXED(VLOOKUP($A54,'Small Sample 2-Townhouse'!$A:$R,AE$1,0),2)</f>
        <v>0.36</v>
      </c>
      <c r="AF54" s="3" t="str">
        <f>FIXED(VLOOKUP($A54,'Small Sample 2-Townhouse'!$A:$R,AF$1,0),2)</f>
        <v>0.48</v>
      </c>
      <c r="AG54" s="3" t="str">
        <f>FIXED(VLOOKUP($A54,'Small Sample 2-Townhouse'!$A:$R,AG$1,0),2)</f>
        <v>0.00</v>
      </c>
      <c r="AH54" s="13" t="str">
        <f>FIXED(VLOOKUP($A54,'Small Sample 2-Townhouse'!$A:$R,AH$1,0),2)</f>
        <v>1.00</v>
      </c>
      <c r="AI54" s="9" t="str">
        <f>FIXED(VLOOKUP($A54,'Small Sample 2-Townhouse'!$A:$R,AI$1,0),2)</f>
        <v>0.36</v>
      </c>
      <c r="AJ54" s="3" t="str">
        <f>FIXED(VLOOKUP($A54,'Small Sample 2-Townhouse'!$A:$R,AJ$1,0),2)</f>
        <v>0.48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38" x14ac:dyDescent="0.25">
      <c r="A55" t="s">
        <v>51</v>
      </c>
      <c r="B55" t="s">
        <v>131</v>
      </c>
      <c r="C55" s="9" t="str">
        <f>FIXED(VLOOKUP($A55,'Full Sample-Townhouse'!$A:$R,C$1,0),2)</f>
        <v>1.22</v>
      </c>
      <c r="D55" s="3" t="str">
        <f>FIXED(VLOOKUP($A55,'Full Sample-Townhouse'!$A:$R,D$1,0),2)</f>
        <v>1.82</v>
      </c>
      <c r="E55" s="3" t="str">
        <f>FIXED(VLOOKUP($A55,'Full Sample-Townhouse'!$A:$R,E$1,0),2)</f>
        <v>0.00</v>
      </c>
      <c r="F55" s="3" t="str">
        <f>FIXED(VLOOKUP($A55,'Full Sample-Townhouse'!$A:$R,F$1,0),2)</f>
        <v>36.00</v>
      </c>
      <c r="G55" s="9" t="str">
        <f>FIXED(VLOOKUP($A55,'Full Sample-Townhouse'!$A:$R,G$1,0),2)</f>
        <v>1.21</v>
      </c>
      <c r="H55" s="3" t="str">
        <f>FIXED(VLOOKUP($A55,'Full Sample-Townhouse'!$A:$R,H$1,0),2)</f>
        <v>1.81</v>
      </c>
      <c r="I55" s="3" t="str">
        <f>FIXED(VLOOKUP($A55,'Full Sample-Townhouse'!$A:$R,I$1,0),2)</f>
        <v>0.00</v>
      </c>
      <c r="J55" s="13" t="str">
        <f>FIXED(VLOOKUP($A55,'Full Sample-Townhouse'!$A:$R,J$1,0),2)</f>
        <v>36.00</v>
      </c>
      <c r="K55" s="9" t="str">
        <f>FIXED(VLOOKUP($A55,'Full Sample-Townhouse'!$A:$R,K$1,0),2)</f>
        <v>1.24</v>
      </c>
      <c r="L55" s="3" t="str">
        <f>FIXED(VLOOKUP($A55,'Full Sample-Townhouse'!$A:$R,L$1,0),2)</f>
        <v>1.84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1-Townhouse'!$A:$R,O$1,0),2)</f>
        <v>1.27</v>
      </c>
      <c r="P55" s="3" t="str">
        <f>FIXED(VLOOKUP($A55,'Small Sample 1-Townhouse'!$A:$R,P$1,0),2)</f>
        <v>1.84</v>
      </c>
      <c r="Q55" s="3" t="str">
        <f>FIXED(VLOOKUP($A55,'Small Sample 1-Townhouse'!$A:$R,Q$1,0),2)</f>
        <v>0.00</v>
      </c>
      <c r="R55" s="3" t="str">
        <f>FIXED(VLOOKUP($A55,'Small Sample 1-Townhouse'!$A:$R,R$1,0),2)</f>
        <v>36.00</v>
      </c>
      <c r="S55" s="9" t="str">
        <f>FIXED(VLOOKUP($A55,'Small Sample 1-Townhouse'!$A:$R,S$1,0),2)</f>
        <v>1.28</v>
      </c>
      <c r="T55" s="3" t="str">
        <f>FIXED(VLOOKUP($A55,'Small Sample 1-Townhouse'!$A:$R,T$1,0),2)</f>
        <v>1.83</v>
      </c>
      <c r="U55" s="3" t="str">
        <f>FIXED(VLOOKUP($A55,'Small Sample 1-Townhouse'!$A:$R,U$1,0),2)</f>
        <v>0.00</v>
      </c>
      <c r="V55" s="13" t="str">
        <f>FIXED(VLOOKUP($A55,'Small Sample 1-Townhouse'!$A:$R,V$1,0),2)</f>
        <v>36.00</v>
      </c>
      <c r="W55" s="9" t="str">
        <f>FIXED(VLOOKUP($A55,'Small Sample 1-Townhouse'!$A:$R,W$1,0),2)</f>
        <v>1.25</v>
      </c>
      <c r="X55" s="3" t="str">
        <f>FIXED(VLOOKUP($A55,'Small Sample 1-Townhouse'!$A:$R,X$1,0),2)</f>
        <v>1.84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2-Townhouse'!$A:$R,AA$1,0),2)</f>
        <v>1.28</v>
      </c>
      <c r="AB55" s="3" t="str">
        <f>FIXED(VLOOKUP($A55,'Small Sample 2-Townhouse'!$A:$R,AB$1,0),2)</f>
        <v>1.86</v>
      </c>
      <c r="AC55" s="3" t="str">
        <f>FIXED(VLOOKUP($A55,'Small Sample 2-Townhouse'!$A:$R,AC$1,0),2)</f>
        <v>0.00</v>
      </c>
      <c r="AD55" s="3" t="str">
        <f>FIXED(VLOOKUP($A55,'Small Sample 2-Townhouse'!$A:$R,AD$1,0),2)</f>
        <v>36.00</v>
      </c>
      <c r="AE55" s="9" t="str">
        <f>FIXED(VLOOKUP($A55,'Small Sample 2-Townhouse'!$A:$R,AE$1,0),2)</f>
        <v>1.23</v>
      </c>
      <c r="AF55" s="3" t="str">
        <f>FIXED(VLOOKUP($A55,'Small Sample 2-Townhouse'!$A:$R,AF$1,0),2)</f>
        <v>1.83</v>
      </c>
      <c r="AG55" s="3" t="str">
        <f>FIXED(VLOOKUP($A55,'Small Sample 2-Townhouse'!$A:$R,AG$1,0),2)</f>
        <v>0.00</v>
      </c>
      <c r="AH55" s="13" t="str">
        <f>FIXED(VLOOKUP($A55,'Small Sample 2-Townhouse'!$A:$R,AH$1,0),2)</f>
        <v>36.00</v>
      </c>
      <c r="AI55" s="9" t="str">
        <f>FIXED(VLOOKUP($A55,'Small Sample 2-Townhouse'!$A:$R,AI$1,0),2)</f>
        <v>1.36</v>
      </c>
      <c r="AJ55" s="3" t="str">
        <f>FIXED(VLOOKUP($A55,'Small Sample 2-Townhouse'!$A:$R,AJ$1,0),2)</f>
        <v>1.91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38" x14ac:dyDescent="0.25">
      <c r="A56" t="s">
        <v>38</v>
      </c>
      <c r="B56" t="s">
        <v>185</v>
      </c>
      <c r="C56" s="9" t="str">
        <f>FIXED(VLOOKUP($A56,'Full Sample-Townhouse'!$A:$R,C$1,0),2)</f>
        <v>1.77</v>
      </c>
      <c r="D56" s="3" t="str">
        <f>FIXED(VLOOKUP($A56,'Full Sample-Townhouse'!$A:$R,D$1,0),2)</f>
        <v>2.27</v>
      </c>
      <c r="E56" s="3" t="str">
        <f>FIXED(VLOOKUP($A56,'Full Sample-Townhouse'!$A:$R,E$1,0),2)</f>
        <v>0.00</v>
      </c>
      <c r="F56" s="3" t="str">
        <f>FIXED(VLOOKUP($A56,'Full Sample-Townhouse'!$A:$R,F$1,0),2)</f>
        <v>12.79</v>
      </c>
      <c r="G56" s="9" t="str">
        <f>FIXED(VLOOKUP($A56,'Full Sample-Townhouse'!$A:$R,G$1,0),2)</f>
        <v>1.81</v>
      </c>
      <c r="H56" s="3" t="str">
        <f>FIXED(VLOOKUP($A56,'Full Sample-Townhouse'!$A:$R,H$1,0),2)</f>
        <v>2.32</v>
      </c>
      <c r="I56" s="3" t="str">
        <f>FIXED(VLOOKUP($A56,'Full Sample-Townhouse'!$A:$R,I$1,0),2)</f>
        <v>0.00</v>
      </c>
      <c r="J56" s="13" t="str">
        <f>FIXED(VLOOKUP($A56,'Full Sample-Townhouse'!$A:$R,J$1,0),2)</f>
        <v>12.79</v>
      </c>
      <c r="K56" s="9" t="str">
        <f>FIXED(VLOOKUP($A56,'Full Sample-Townhouse'!$A:$R,K$1,0),2)</f>
        <v>1.72</v>
      </c>
      <c r="L56" s="3" t="str">
        <f>FIXED(VLOOKUP($A56,'Full Sample-Townhouse'!$A:$R,L$1,0),2)</f>
        <v>2.20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1-Townhouse'!$A:$R,O$1,0),2)</f>
        <v>1.71</v>
      </c>
      <c r="P56" s="3" t="str">
        <f>FIXED(VLOOKUP($A56,'Small Sample 1-Townhouse'!$A:$R,P$1,0),2)</f>
        <v>2.22</v>
      </c>
      <c r="Q56" s="3" t="str">
        <f>FIXED(VLOOKUP($A56,'Small Sample 1-Townhouse'!$A:$R,Q$1,0),2)</f>
        <v>0.00</v>
      </c>
      <c r="R56" s="3" t="str">
        <f>FIXED(VLOOKUP($A56,'Small Sample 1-Townhouse'!$A:$R,R$1,0),2)</f>
        <v>12.79</v>
      </c>
      <c r="S56" s="9" t="str">
        <f>FIXED(VLOOKUP($A56,'Small Sample 1-Townhouse'!$A:$R,S$1,0),2)</f>
        <v>1.70</v>
      </c>
      <c r="T56" s="3" t="str">
        <f>FIXED(VLOOKUP($A56,'Small Sample 1-Townhouse'!$A:$R,T$1,0),2)</f>
        <v>2.24</v>
      </c>
      <c r="U56" s="3" t="str">
        <f>FIXED(VLOOKUP($A56,'Small Sample 1-Townhouse'!$A:$R,U$1,0),2)</f>
        <v>0.00</v>
      </c>
      <c r="V56" s="13" t="str">
        <f>FIXED(VLOOKUP($A56,'Small Sample 1-Townhouse'!$A:$R,V$1,0),2)</f>
        <v>12.79</v>
      </c>
      <c r="W56" s="9" t="str">
        <f>FIXED(VLOOKUP($A56,'Small Sample 1-Townhouse'!$A:$R,W$1,0),2)</f>
        <v>1.72</v>
      </c>
      <c r="X56" s="3" t="str">
        <f>FIXED(VLOOKUP($A56,'Small Sample 1-Townhouse'!$A:$R,X$1,0),2)</f>
        <v>2.20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2-Townhouse'!$A:$R,AA$1,0),2)</f>
        <v>1.71</v>
      </c>
      <c r="AB56" s="3" t="str">
        <f>FIXED(VLOOKUP($A56,'Small Sample 2-Townhouse'!$A:$R,AB$1,0),2)</f>
        <v>2.22</v>
      </c>
      <c r="AC56" s="3" t="str">
        <f>FIXED(VLOOKUP($A56,'Small Sample 2-Townhouse'!$A:$R,AC$1,0),2)</f>
        <v>0.00</v>
      </c>
      <c r="AD56" s="3" t="str">
        <f>FIXED(VLOOKUP($A56,'Small Sample 2-Townhouse'!$A:$R,AD$1,0),2)</f>
        <v>12.79</v>
      </c>
      <c r="AE56" s="9" t="str">
        <f>FIXED(VLOOKUP($A56,'Small Sample 2-Townhouse'!$A:$R,AE$1,0),2)</f>
        <v>1.79</v>
      </c>
      <c r="AF56" s="3" t="str">
        <f>FIXED(VLOOKUP($A56,'Small Sample 2-Townhouse'!$A:$R,AF$1,0),2)</f>
        <v>2.31</v>
      </c>
      <c r="AG56" s="3" t="str">
        <f>FIXED(VLOOKUP($A56,'Small Sample 2-Townhouse'!$A:$R,AG$1,0),2)</f>
        <v>0.00</v>
      </c>
      <c r="AH56" s="13" t="str">
        <f>FIXED(VLOOKUP($A56,'Small Sample 2-Townhouse'!$A:$R,AH$1,0),2)</f>
        <v>12.79</v>
      </c>
      <c r="AI56" s="9" t="str">
        <f>FIXED(VLOOKUP($A56,'Small Sample 2-Townhouse'!$A:$R,AI$1,0),2)</f>
        <v>1.58</v>
      </c>
      <c r="AJ56" s="3" t="str">
        <f>FIXED(VLOOKUP($A56,'Small Sample 2-Townhouse'!$A:$R,AJ$1,0),2)</f>
        <v>2.04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38" x14ac:dyDescent="0.25">
      <c r="A57" t="s">
        <v>39</v>
      </c>
      <c r="B57" t="s">
        <v>177</v>
      </c>
      <c r="C57" s="9" t="str">
        <f>FIXED(VLOOKUP($A57,'Full Sample-Townhouse'!$A:$R,C$1,0),2)</f>
        <v>0.34</v>
      </c>
      <c r="D57" s="3" t="str">
        <f>FIXED(VLOOKUP($A57,'Full Sample-Townhouse'!$A:$R,D$1,0),2)</f>
        <v>0.27</v>
      </c>
      <c r="E57" s="3" t="str">
        <f>FIXED(VLOOKUP($A57,'Full Sample-Townhouse'!$A:$R,E$1,0),2)</f>
        <v>0.00</v>
      </c>
      <c r="F57" s="3" t="str">
        <f>FIXED(VLOOKUP($A57,'Full Sample-Townhouse'!$A:$R,F$1,0),2)</f>
        <v>2.17</v>
      </c>
      <c r="G57" s="9" t="str">
        <f>FIXED(VLOOKUP($A57,'Full Sample-Townhouse'!$A:$R,G$1,0),2)</f>
        <v>0.34</v>
      </c>
      <c r="H57" s="3" t="str">
        <f>FIXED(VLOOKUP($A57,'Full Sample-Townhouse'!$A:$R,H$1,0),2)</f>
        <v>0.27</v>
      </c>
      <c r="I57" s="3" t="str">
        <f>FIXED(VLOOKUP($A57,'Full Sample-Townhouse'!$A:$R,I$1,0),2)</f>
        <v>0.01</v>
      </c>
      <c r="J57" s="13" t="str">
        <f>FIXED(VLOOKUP($A57,'Full Sample-Townhouse'!$A:$R,J$1,0),2)</f>
        <v>1.75</v>
      </c>
      <c r="K57" s="9" t="str">
        <f>FIXED(VLOOKUP($A57,'Full Sample-Townhouse'!$A:$R,K$1,0),2)</f>
        <v>0.35</v>
      </c>
      <c r="L57" s="3" t="str">
        <f>FIXED(VLOOKUP($A57,'Full Sample-Townhouse'!$A:$R,L$1,0),2)</f>
        <v>0.28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1-Townhouse'!$A:$R,O$1,0),2)</f>
        <v>0.34</v>
      </c>
      <c r="P57" s="3" t="str">
        <f>FIXED(VLOOKUP($A57,'Small Sample 1-Townhouse'!$A:$R,P$1,0),2)</f>
        <v>0.27</v>
      </c>
      <c r="Q57" s="3" t="str">
        <f>FIXED(VLOOKUP($A57,'Small Sample 1-Townhouse'!$A:$R,Q$1,0),2)</f>
        <v>0.00</v>
      </c>
      <c r="R57" s="3" t="str">
        <f>FIXED(VLOOKUP($A57,'Small Sample 1-Townhouse'!$A:$R,R$1,0),2)</f>
        <v>2.17</v>
      </c>
      <c r="S57" s="9" t="str">
        <f>FIXED(VLOOKUP($A57,'Small Sample 1-Townhouse'!$A:$R,S$1,0),2)</f>
        <v>0.33</v>
      </c>
      <c r="T57" s="3" t="str">
        <f>FIXED(VLOOKUP($A57,'Small Sample 1-Townhouse'!$A:$R,T$1,0),2)</f>
        <v>0.26</v>
      </c>
      <c r="U57" s="3" t="str">
        <f>FIXED(VLOOKUP($A57,'Small Sample 1-Townhouse'!$A:$R,U$1,0),2)</f>
        <v>0.01</v>
      </c>
      <c r="V57" s="13" t="str">
        <f>FIXED(VLOOKUP($A57,'Small Sample 1-Townhouse'!$A:$R,V$1,0),2)</f>
        <v>1.75</v>
      </c>
      <c r="W57" s="9" t="str">
        <f>FIXED(VLOOKUP($A57,'Small Sample 1-Townhouse'!$A:$R,W$1,0),2)</f>
        <v>0.35</v>
      </c>
      <c r="X57" s="3" t="str">
        <f>FIXED(VLOOKUP($A57,'Small Sample 1-Townhouse'!$A:$R,X$1,0),2)</f>
        <v>0.28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2-Townhouse'!$A:$R,AA$1,0),2)</f>
        <v>0.34</v>
      </c>
      <c r="AB57" s="3" t="str">
        <f>FIXED(VLOOKUP($A57,'Small Sample 2-Townhouse'!$A:$R,AB$1,0),2)</f>
        <v>0.27</v>
      </c>
      <c r="AC57" s="3" t="str">
        <f>FIXED(VLOOKUP($A57,'Small Sample 2-Townhouse'!$A:$R,AC$1,0),2)</f>
        <v>0.00</v>
      </c>
      <c r="AD57" s="3" t="str">
        <f>FIXED(VLOOKUP($A57,'Small Sample 2-Townhouse'!$A:$R,AD$1,0),2)</f>
        <v>2.17</v>
      </c>
      <c r="AE57" s="9" t="str">
        <f>FIXED(VLOOKUP($A57,'Small Sample 2-Townhouse'!$A:$R,AE$1,0),2)</f>
        <v>0.33</v>
      </c>
      <c r="AF57" s="3" t="str">
        <f>FIXED(VLOOKUP($A57,'Small Sample 2-Townhouse'!$A:$R,AF$1,0),2)</f>
        <v>0.26</v>
      </c>
      <c r="AG57" s="3" t="str">
        <f>FIXED(VLOOKUP($A57,'Small Sample 2-Townhouse'!$A:$R,AG$1,0),2)</f>
        <v>0.01</v>
      </c>
      <c r="AH57" s="13" t="str">
        <f>FIXED(VLOOKUP($A57,'Small Sample 2-Townhouse'!$A:$R,AH$1,0),2)</f>
        <v>1.75</v>
      </c>
      <c r="AI57" s="9" t="str">
        <f>FIXED(VLOOKUP($A57,'Small Sample 2-Townhouse'!$A:$R,AI$1,0),2)</f>
        <v>0.34</v>
      </c>
      <c r="AJ57" s="3" t="str">
        <f>FIXED(VLOOKUP($A57,'Small Sample 2-Townhouse'!$A:$R,AJ$1,0),2)</f>
        <v>0.27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38" x14ac:dyDescent="0.25">
      <c r="A58" t="s">
        <v>40</v>
      </c>
      <c r="B58" t="s">
        <v>178</v>
      </c>
      <c r="C58" s="9" t="str">
        <f>FIXED(VLOOKUP($A58,'Full Sample-Townhouse'!$A:$R,C$1,0),2)</f>
        <v>3.21</v>
      </c>
      <c r="D58" s="3" t="str">
        <f>FIXED(VLOOKUP($A58,'Full Sample-Townhouse'!$A:$R,D$1,0),2)</f>
        <v>3.47</v>
      </c>
      <c r="E58" s="3" t="str">
        <f>FIXED(VLOOKUP($A58,'Full Sample-Townhouse'!$A:$R,E$1,0),2)</f>
        <v>0.02</v>
      </c>
      <c r="F58" s="3" t="str">
        <f>FIXED(VLOOKUP($A58,'Full Sample-Townhouse'!$A:$R,F$1,0),2)</f>
        <v>20.40</v>
      </c>
      <c r="G58" s="9" t="str">
        <f>FIXED(VLOOKUP($A58,'Full Sample-Townhouse'!$A:$R,G$1,0),2)</f>
        <v>3.17</v>
      </c>
      <c r="H58" s="3" t="str">
        <f>FIXED(VLOOKUP($A58,'Full Sample-Townhouse'!$A:$R,H$1,0),2)</f>
        <v>3.35</v>
      </c>
      <c r="I58" s="3" t="str">
        <f>FIXED(VLOOKUP($A58,'Full Sample-Townhouse'!$A:$R,I$1,0),2)</f>
        <v>0.02</v>
      </c>
      <c r="J58" s="13" t="str">
        <f>FIXED(VLOOKUP($A58,'Full Sample-Townhouse'!$A:$R,J$1,0),2)</f>
        <v>20.40</v>
      </c>
      <c r="K58" s="9" t="str">
        <f>FIXED(VLOOKUP($A58,'Full Sample-Townhouse'!$A:$R,K$1,0),2)</f>
        <v>3.27</v>
      </c>
      <c r="L58" s="3" t="str">
        <f>FIXED(VLOOKUP($A58,'Full Sample-Townhouse'!$A:$R,L$1,0),2)</f>
        <v>3.61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1-Townhouse'!$A:$R,O$1,0),2)</f>
        <v>3.12</v>
      </c>
      <c r="P58" s="3" t="str">
        <f>FIXED(VLOOKUP($A58,'Small Sample 1-Townhouse'!$A:$R,P$1,0),2)</f>
        <v>3.45</v>
      </c>
      <c r="Q58" s="3" t="str">
        <f>FIXED(VLOOKUP($A58,'Small Sample 1-Townhouse'!$A:$R,Q$1,0),2)</f>
        <v>0.02</v>
      </c>
      <c r="R58" s="3" t="str">
        <f>FIXED(VLOOKUP($A58,'Small Sample 1-Townhouse'!$A:$R,R$1,0),2)</f>
        <v>20.40</v>
      </c>
      <c r="S58" s="9" t="str">
        <f>FIXED(VLOOKUP($A58,'Small Sample 1-Townhouse'!$A:$R,S$1,0),2)</f>
        <v>3.00</v>
      </c>
      <c r="T58" s="3" t="str">
        <f>FIXED(VLOOKUP($A58,'Small Sample 1-Townhouse'!$A:$R,T$1,0),2)</f>
        <v>3.28</v>
      </c>
      <c r="U58" s="3" t="str">
        <f>FIXED(VLOOKUP($A58,'Small Sample 1-Townhouse'!$A:$R,U$1,0),2)</f>
        <v>0.02</v>
      </c>
      <c r="V58" s="13" t="str">
        <f>FIXED(VLOOKUP($A58,'Small Sample 1-Townhouse'!$A:$R,V$1,0),2)</f>
        <v>20.40</v>
      </c>
      <c r="W58" s="9" t="str">
        <f>FIXED(VLOOKUP($A58,'Small Sample 1-Townhouse'!$A:$R,W$1,0),2)</f>
        <v>3.24</v>
      </c>
      <c r="X58" s="3" t="str">
        <f>FIXED(VLOOKUP($A58,'Small Sample 1-Townhouse'!$A:$R,X$1,0),2)</f>
        <v>3.61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2-Townhouse'!$A:$R,AA$1,0),2)</f>
        <v>3.12</v>
      </c>
      <c r="AB58" s="3" t="str">
        <f>FIXED(VLOOKUP($A58,'Small Sample 2-Townhouse'!$A:$R,AB$1,0),2)</f>
        <v>3.45</v>
      </c>
      <c r="AC58" s="3" t="str">
        <f>FIXED(VLOOKUP($A58,'Small Sample 2-Townhouse'!$A:$R,AC$1,0),2)</f>
        <v>0.02</v>
      </c>
      <c r="AD58" s="3" t="str">
        <f>FIXED(VLOOKUP($A58,'Small Sample 2-Townhouse'!$A:$R,AD$1,0),2)</f>
        <v>20.40</v>
      </c>
      <c r="AE58" s="9" t="str">
        <f>FIXED(VLOOKUP($A58,'Small Sample 2-Townhouse'!$A:$R,AE$1,0),2)</f>
        <v>3.12</v>
      </c>
      <c r="AF58" s="3" t="str">
        <f>FIXED(VLOOKUP($A58,'Small Sample 2-Townhouse'!$A:$R,AF$1,0),2)</f>
        <v>3.34</v>
      </c>
      <c r="AG58" s="3" t="str">
        <f>FIXED(VLOOKUP($A58,'Small Sample 2-Townhouse'!$A:$R,AG$1,0),2)</f>
        <v>0.02</v>
      </c>
      <c r="AH58" s="13" t="str">
        <f>FIXED(VLOOKUP($A58,'Small Sample 2-Townhouse'!$A:$R,AH$1,0),2)</f>
        <v>20.40</v>
      </c>
      <c r="AI58" s="9" t="str">
        <f>FIXED(VLOOKUP($A58,'Small Sample 2-Townhouse'!$A:$R,AI$1,0),2)</f>
        <v>3.11</v>
      </c>
      <c r="AJ58" s="3" t="str">
        <f>FIXED(VLOOKUP($A58,'Small Sample 2-Townhouse'!$A:$R,AJ$1,0),2)</f>
        <v>3.62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38" x14ac:dyDescent="0.25">
      <c r="A59" t="s">
        <v>41</v>
      </c>
      <c r="B59" t="s">
        <v>179</v>
      </c>
      <c r="C59" s="9" t="str">
        <f>FIXED(VLOOKUP($A59,'Full Sample-Townhouse'!$A:$R,C$1,0),2)</f>
        <v>7.66</v>
      </c>
      <c r="D59" s="3" t="str">
        <f>FIXED(VLOOKUP($A59,'Full Sample-Townhouse'!$A:$R,D$1,0),2)</f>
        <v>5.18</v>
      </c>
      <c r="E59" s="3" t="str">
        <f>FIXED(VLOOKUP($A59,'Full Sample-Townhouse'!$A:$R,E$1,0),2)</f>
        <v>0.99</v>
      </c>
      <c r="F59" s="3" t="str">
        <f>FIXED(VLOOKUP($A59,'Full Sample-Townhouse'!$A:$R,F$1,0),2)</f>
        <v>25.14</v>
      </c>
      <c r="G59" s="9" t="str">
        <f>FIXED(VLOOKUP($A59,'Full Sample-Townhouse'!$A:$R,G$1,0),2)</f>
        <v>7.71</v>
      </c>
      <c r="H59" s="3" t="str">
        <f>FIXED(VLOOKUP($A59,'Full Sample-Townhouse'!$A:$R,H$1,0),2)</f>
        <v>5.20</v>
      </c>
      <c r="I59" s="3" t="str">
        <f>FIXED(VLOOKUP($A59,'Full Sample-Townhouse'!$A:$R,I$1,0),2)</f>
        <v>0.99</v>
      </c>
      <c r="J59" s="13" t="str">
        <f>FIXED(VLOOKUP($A59,'Full Sample-Townhouse'!$A:$R,J$1,0),2)</f>
        <v>25.14</v>
      </c>
      <c r="K59" s="9" t="str">
        <f>FIXED(VLOOKUP($A59,'Full Sample-Townhouse'!$A:$R,K$1,0),2)</f>
        <v>7.59</v>
      </c>
      <c r="L59" s="3" t="str">
        <f>FIXED(VLOOKUP($A59,'Full Sample-Townhouse'!$A:$R,L$1,0),2)</f>
        <v>5.15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1-Townhouse'!$A:$R,O$1,0),2)</f>
        <v>7.57</v>
      </c>
      <c r="P59" s="3" t="str">
        <f>FIXED(VLOOKUP($A59,'Small Sample 1-Townhouse'!$A:$R,P$1,0),2)</f>
        <v>5.15</v>
      </c>
      <c r="Q59" s="3" t="str">
        <f>FIXED(VLOOKUP($A59,'Small Sample 1-Townhouse'!$A:$R,Q$1,0),2)</f>
        <v>0.99</v>
      </c>
      <c r="R59" s="3" t="str">
        <f>FIXED(VLOOKUP($A59,'Small Sample 1-Townhouse'!$A:$R,R$1,0),2)</f>
        <v>25.14</v>
      </c>
      <c r="S59" s="9" t="str">
        <f>FIXED(VLOOKUP($A59,'Small Sample 1-Townhouse'!$A:$R,S$1,0),2)</f>
        <v>7.58</v>
      </c>
      <c r="T59" s="3" t="str">
        <f>FIXED(VLOOKUP($A59,'Small Sample 1-Townhouse'!$A:$R,T$1,0),2)</f>
        <v>5.16</v>
      </c>
      <c r="U59" s="3" t="str">
        <f>FIXED(VLOOKUP($A59,'Small Sample 1-Townhouse'!$A:$R,U$1,0),2)</f>
        <v>0.99</v>
      </c>
      <c r="V59" s="13" t="str">
        <f>FIXED(VLOOKUP($A59,'Small Sample 1-Townhouse'!$A:$R,V$1,0),2)</f>
        <v>25.14</v>
      </c>
      <c r="W59" s="9" t="str">
        <f>FIXED(VLOOKUP($A59,'Small Sample 1-Townhouse'!$A:$R,W$1,0),2)</f>
        <v>7.57</v>
      </c>
      <c r="X59" s="3" t="str">
        <f>FIXED(VLOOKUP($A59,'Small Sample 1-Townhouse'!$A:$R,X$1,0),2)</f>
        <v>5.14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2-Townhouse'!$A:$R,AA$1,0),2)</f>
        <v>7.57</v>
      </c>
      <c r="AB59" s="3" t="str">
        <f>FIXED(VLOOKUP($A59,'Small Sample 2-Townhouse'!$A:$R,AB$1,0),2)</f>
        <v>5.15</v>
      </c>
      <c r="AC59" s="3" t="str">
        <f>FIXED(VLOOKUP($A59,'Small Sample 2-Townhouse'!$A:$R,AC$1,0),2)</f>
        <v>0.99</v>
      </c>
      <c r="AD59" s="3" t="str">
        <f>FIXED(VLOOKUP($A59,'Small Sample 2-Townhouse'!$A:$R,AD$1,0),2)</f>
        <v>25.14</v>
      </c>
      <c r="AE59" s="9" t="str">
        <f>FIXED(VLOOKUP($A59,'Small Sample 2-Townhouse'!$A:$R,AE$1,0),2)</f>
        <v>7.68</v>
      </c>
      <c r="AF59" s="3" t="str">
        <f>FIXED(VLOOKUP($A59,'Small Sample 2-Townhouse'!$A:$R,AF$1,0),2)</f>
        <v>5.21</v>
      </c>
      <c r="AG59" s="3" t="str">
        <f>FIXED(VLOOKUP($A59,'Small Sample 2-Townhouse'!$A:$R,AG$1,0),2)</f>
        <v>0.99</v>
      </c>
      <c r="AH59" s="13" t="str">
        <f>FIXED(VLOOKUP($A59,'Small Sample 2-Townhouse'!$A:$R,AH$1,0),2)</f>
        <v>25.14</v>
      </c>
      <c r="AI59" s="9" t="str">
        <f>FIXED(VLOOKUP($A59,'Small Sample 2-Townhouse'!$A:$R,AI$1,0),2)</f>
        <v>7.39</v>
      </c>
      <c r="AJ59" s="3" t="str">
        <f>FIXED(VLOOKUP($A59,'Small Sample 2-Townhouse'!$A:$R,AJ$1,0),2)</f>
        <v>5.05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38" x14ac:dyDescent="0.25">
      <c r="A60" t="s">
        <v>173</v>
      </c>
      <c r="B60" t="s">
        <v>180</v>
      </c>
      <c r="C60" s="9" t="str">
        <f>FIXED(VLOOKUP($A60,'Full Sample-Townhouse'!$A:$R,C$1,0),2)</f>
        <v>1.26</v>
      </c>
      <c r="D60" s="3" t="str">
        <f>FIXED(VLOOKUP($A60,'Full Sample-Townhouse'!$A:$R,D$1,0),2)</f>
        <v>6.08</v>
      </c>
      <c r="E60" s="3" t="str">
        <f>FIXED(VLOOKUP($A60,'Full Sample-Townhouse'!$A:$R,E$1,0),2)</f>
        <v>0.04</v>
      </c>
      <c r="F60" s="3" t="str">
        <f>FIXED(VLOOKUP($A60,'Full Sample-Townhouse'!$A:$R,F$1,0),2)</f>
        <v>196.49</v>
      </c>
      <c r="G60" s="9" t="str">
        <f>FIXED(VLOOKUP($A60,'Full Sample-Townhouse'!$A:$R,G$1,0),2)</f>
        <v>1.28</v>
      </c>
      <c r="H60" s="3" t="str">
        <f>FIXED(VLOOKUP($A60,'Full Sample-Townhouse'!$A:$R,H$1,0),2)</f>
        <v>6.29</v>
      </c>
      <c r="I60" s="3" t="str">
        <f>FIXED(VLOOKUP($A60,'Full Sample-Townhouse'!$A:$R,I$1,0),2)</f>
        <v>0.04</v>
      </c>
      <c r="J60" s="13" t="str">
        <f>FIXED(VLOOKUP($A60,'Full Sample-Townhouse'!$A:$R,J$1,0),2)</f>
        <v>196.49</v>
      </c>
      <c r="K60" s="9" t="str">
        <f>FIXED(VLOOKUP($A60,'Full Sample-Townhouse'!$A:$R,K$1,0),2)</f>
        <v>1.24</v>
      </c>
      <c r="L60" s="3" t="str">
        <f>FIXED(VLOOKUP($A60,'Full Sample-Townhouse'!$A:$R,L$1,0),2)</f>
        <v>5.79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1-Townhouse'!$A:$R,O$1,0),2)</f>
        <v>1.26</v>
      </c>
      <c r="P60" s="3" t="str">
        <f>FIXED(VLOOKUP($A60,'Small Sample 1-Townhouse'!$A:$R,P$1,0),2)</f>
        <v>6.20</v>
      </c>
      <c r="Q60" s="3" t="str">
        <f>FIXED(VLOOKUP($A60,'Small Sample 1-Townhouse'!$A:$R,Q$1,0),2)</f>
        <v>0.04</v>
      </c>
      <c r="R60" s="3" t="str">
        <f>FIXED(VLOOKUP($A60,'Small Sample 1-Townhouse'!$A:$R,R$1,0),2)</f>
        <v>196.49</v>
      </c>
      <c r="S60" s="9" t="str">
        <f>FIXED(VLOOKUP($A60,'Small Sample 1-Townhouse'!$A:$R,S$1,0),2)</f>
        <v>1.28</v>
      </c>
      <c r="T60" s="3" t="str">
        <f>FIXED(VLOOKUP($A60,'Small Sample 1-Townhouse'!$A:$R,T$1,0),2)</f>
        <v>6.47</v>
      </c>
      <c r="U60" s="3" t="str">
        <f>FIXED(VLOOKUP($A60,'Small Sample 1-Townhouse'!$A:$R,U$1,0),2)</f>
        <v>0.04</v>
      </c>
      <c r="V60" s="13" t="str">
        <f>FIXED(VLOOKUP($A60,'Small Sample 1-Townhouse'!$A:$R,V$1,0),2)</f>
        <v>196.49</v>
      </c>
      <c r="W60" s="9" t="str">
        <f>FIXED(VLOOKUP($A60,'Small Sample 1-Townhouse'!$A:$R,W$1,0),2)</f>
        <v>1.24</v>
      </c>
      <c r="X60" s="3" t="str">
        <f>FIXED(VLOOKUP($A60,'Small Sample 1-Townhouse'!$A:$R,X$1,0),2)</f>
        <v>5.89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2-Townhouse'!$A:$R,AA$1,0),2)</f>
        <v>1.26</v>
      </c>
      <c r="AB60" s="3" t="str">
        <f>FIXED(VLOOKUP($A60,'Small Sample 2-Townhouse'!$A:$R,AB$1,0),2)</f>
        <v>6.20</v>
      </c>
      <c r="AC60" s="3" t="str">
        <f>FIXED(VLOOKUP($A60,'Small Sample 2-Townhouse'!$A:$R,AC$1,0),2)</f>
        <v>0.04</v>
      </c>
      <c r="AD60" s="3" t="str">
        <f>FIXED(VLOOKUP($A60,'Small Sample 2-Townhouse'!$A:$R,AD$1,0),2)</f>
        <v>196.49</v>
      </c>
      <c r="AE60" s="9" t="str">
        <f>FIXED(VLOOKUP($A60,'Small Sample 2-Townhouse'!$A:$R,AE$1,0),2)</f>
        <v>1.29</v>
      </c>
      <c r="AF60" s="3" t="str">
        <f>FIXED(VLOOKUP($A60,'Small Sample 2-Townhouse'!$A:$R,AF$1,0),2)</f>
        <v>6.51</v>
      </c>
      <c r="AG60" s="3" t="str">
        <f>FIXED(VLOOKUP($A60,'Small Sample 2-Townhouse'!$A:$R,AG$1,0),2)</f>
        <v>0.04</v>
      </c>
      <c r="AH60" s="13" t="str">
        <f>FIXED(VLOOKUP($A60,'Small Sample 2-Townhouse'!$A:$R,AH$1,0),2)</f>
        <v>196.49</v>
      </c>
      <c r="AI60" s="9" t="str">
        <f>FIXED(VLOOKUP($A60,'Small Sample 2-Townhouse'!$A:$R,AI$1,0),2)</f>
        <v>1.20</v>
      </c>
      <c r="AJ60" s="3" t="str">
        <f>FIXED(VLOOKUP($A60,'Small Sample 2-Townhouse'!$A:$R,AJ$1,0),2)</f>
        <v>5.62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</row>
    <row r="61" spans="1:38" x14ac:dyDescent="0.25">
      <c r="A61" t="s">
        <v>174</v>
      </c>
      <c r="B61" t="s">
        <v>181</v>
      </c>
      <c r="C61" s="9" t="str">
        <f>FIXED(VLOOKUP($A61,'Full Sample-Townhouse'!$A:$R,C$1,0),2)</f>
        <v>1.97</v>
      </c>
      <c r="D61" s="3" t="str">
        <f>FIXED(VLOOKUP($A61,'Full Sample-Townhouse'!$A:$R,D$1,0),2)</f>
        <v>1.34</v>
      </c>
      <c r="E61" s="3" t="str">
        <f>FIXED(VLOOKUP($A61,'Full Sample-Townhouse'!$A:$R,E$1,0),2)</f>
        <v>0.07</v>
      </c>
      <c r="F61" s="3" t="str">
        <f>FIXED(VLOOKUP($A61,'Full Sample-Townhouse'!$A:$R,F$1,0),2)</f>
        <v>7.28</v>
      </c>
      <c r="G61" s="9" t="str">
        <f>FIXED(VLOOKUP($A61,'Full Sample-Townhouse'!$A:$R,G$1,0),2)</f>
        <v>1.97</v>
      </c>
      <c r="H61" s="3" t="str">
        <f>FIXED(VLOOKUP($A61,'Full Sample-Townhouse'!$A:$R,H$1,0),2)</f>
        <v>1.35</v>
      </c>
      <c r="I61" s="3" t="str">
        <f>FIXED(VLOOKUP($A61,'Full Sample-Townhouse'!$A:$R,I$1,0),2)</f>
        <v>0.07</v>
      </c>
      <c r="J61" s="13" t="str">
        <f>FIXED(VLOOKUP($A61,'Full Sample-Townhouse'!$A:$R,J$1,0),2)</f>
        <v>7.28</v>
      </c>
      <c r="K61" s="9" t="str">
        <f>FIXED(VLOOKUP($A61,'Full Sample-Townhouse'!$A:$R,K$1,0),2)</f>
        <v>1.97</v>
      </c>
      <c r="L61" s="3" t="str">
        <f>FIXED(VLOOKUP($A61,'Full Sample-Townhouse'!$A:$R,L$1,0),2)</f>
        <v>1.33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1-Townhouse'!$A:$R,O$1,0),2)</f>
        <v>1.94</v>
      </c>
      <c r="P61" s="3" t="str">
        <f>FIXED(VLOOKUP($A61,'Small Sample 1-Townhouse'!$A:$R,P$1,0),2)</f>
        <v>1.32</v>
      </c>
      <c r="Q61" s="3" t="str">
        <f>FIXED(VLOOKUP($A61,'Small Sample 1-Townhouse'!$A:$R,Q$1,0),2)</f>
        <v>0.07</v>
      </c>
      <c r="R61" s="3" t="str">
        <f>FIXED(VLOOKUP($A61,'Small Sample 1-Townhouse'!$A:$R,R$1,0),2)</f>
        <v>7.28</v>
      </c>
      <c r="S61" s="9" t="str">
        <f>FIXED(VLOOKUP($A61,'Small Sample 1-Townhouse'!$A:$R,S$1,0),2)</f>
        <v>1.92</v>
      </c>
      <c r="T61" s="3" t="str">
        <f>FIXED(VLOOKUP($A61,'Small Sample 1-Townhouse'!$A:$R,T$1,0),2)</f>
        <v>1.31</v>
      </c>
      <c r="U61" s="3" t="str">
        <f>FIXED(VLOOKUP($A61,'Small Sample 1-Townhouse'!$A:$R,U$1,0),2)</f>
        <v>0.07</v>
      </c>
      <c r="V61" s="13" t="str">
        <f>FIXED(VLOOKUP($A61,'Small Sample 1-Townhouse'!$A:$R,V$1,0),2)</f>
        <v>7.28</v>
      </c>
      <c r="W61" s="9" t="str">
        <f>FIXED(VLOOKUP($A61,'Small Sample 1-Townhouse'!$A:$R,W$1,0),2)</f>
        <v>1.97</v>
      </c>
      <c r="X61" s="3" t="str">
        <f>FIXED(VLOOKUP($A61,'Small Sample 1-Townhouse'!$A:$R,X$1,0),2)</f>
        <v>1.33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2-Townhouse'!$A:$R,AA$1,0),2)</f>
        <v>1.94</v>
      </c>
      <c r="AB61" s="3" t="str">
        <f>FIXED(VLOOKUP($A61,'Small Sample 2-Townhouse'!$A:$R,AB$1,0),2)</f>
        <v>1.32</v>
      </c>
      <c r="AC61" s="3" t="str">
        <f>FIXED(VLOOKUP($A61,'Small Sample 2-Townhouse'!$A:$R,AC$1,0),2)</f>
        <v>0.07</v>
      </c>
      <c r="AD61" s="3" t="str">
        <f>FIXED(VLOOKUP($A61,'Small Sample 2-Townhouse'!$A:$R,AD$1,0),2)</f>
        <v>7.28</v>
      </c>
      <c r="AE61" s="9" t="str">
        <f>FIXED(VLOOKUP($A61,'Small Sample 2-Townhouse'!$A:$R,AE$1,0),2)</f>
        <v>1.95</v>
      </c>
      <c r="AF61" s="3" t="str">
        <f>FIXED(VLOOKUP($A61,'Small Sample 2-Townhouse'!$A:$R,AF$1,0),2)</f>
        <v>1.33</v>
      </c>
      <c r="AG61" s="3" t="str">
        <f>FIXED(VLOOKUP($A61,'Small Sample 2-Townhouse'!$A:$R,AG$1,0),2)</f>
        <v>0.07</v>
      </c>
      <c r="AH61" s="13" t="str">
        <f>FIXED(VLOOKUP($A61,'Small Sample 2-Townhouse'!$A:$R,AH$1,0),2)</f>
        <v>7.28</v>
      </c>
      <c r="AI61" s="9" t="str">
        <f>FIXED(VLOOKUP($A61,'Small Sample 2-Townhouse'!$A:$R,AI$1,0),2)</f>
        <v>1.93</v>
      </c>
      <c r="AJ61" s="3" t="str">
        <f>FIXED(VLOOKUP($A61,'Small Sample 2-Townhouse'!$A:$R,AJ$1,0),2)</f>
        <v>1.30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38" x14ac:dyDescent="0.25">
      <c r="A62" t="s">
        <v>175</v>
      </c>
      <c r="B62" t="s">
        <v>182</v>
      </c>
      <c r="C62" s="9" t="str">
        <f>FIXED(VLOOKUP($A62,'Full Sample-Townhouse'!$A:$R,C$1,0),2)</f>
        <v>1.84</v>
      </c>
      <c r="D62" s="3" t="str">
        <f>FIXED(VLOOKUP($A62,'Full Sample-Townhouse'!$A:$R,D$1,0),2)</f>
        <v>1.21</v>
      </c>
      <c r="E62" s="3" t="str">
        <f>FIXED(VLOOKUP($A62,'Full Sample-Townhouse'!$A:$R,E$1,0),2)</f>
        <v>0.03</v>
      </c>
      <c r="F62" s="3" t="str">
        <f>FIXED(VLOOKUP($A62,'Full Sample-Townhouse'!$A:$R,F$1,0),2)</f>
        <v>6.80</v>
      </c>
      <c r="G62" s="9" t="str">
        <f>FIXED(VLOOKUP($A62,'Full Sample-Townhouse'!$A:$R,G$1,0),2)</f>
        <v>1.86</v>
      </c>
      <c r="H62" s="3" t="str">
        <f>FIXED(VLOOKUP($A62,'Full Sample-Townhouse'!$A:$R,H$1,0),2)</f>
        <v>1.22</v>
      </c>
      <c r="I62" s="3" t="str">
        <f>FIXED(VLOOKUP($A62,'Full Sample-Townhouse'!$A:$R,I$1,0),2)</f>
        <v>0.03</v>
      </c>
      <c r="J62" s="13" t="str">
        <f>FIXED(VLOOKUP($A62,'Full Sample-Townhouse'!$A:$R,J$1,0),2)</f>
        <v>6.80</v>
      </c>
      <c r="K62" s="9" t="str">
        <f>FIXED(VLOOKUP($A62,'Full Sample-Townhouse'!$A:$R,K$1,0),2)</f>
        <v>1.82</v>
      </c>
      <c r="L62" s="3" t="str">
        <f>FIXED(VLOOKUP($A62,'Full Sample-Townhouse'!$A:$R,L$1,0),2)</f>
        <v>1.21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1-Townhouse'!$A:$R,O$1,0),2)</f>
        <v>1.80</v>
      </c>
      <c r="P62" s="3" t="str">
        <f>FIXED(VLOOKUP($A62,'Small Sample 1-Townhouse'!$A:$R,P$1,0),2)</f>
        <v>1.20</v>
      </c>
      <c r="Q62" s="3" t="str">
        <f>FIXED(VLOOKUP($A62,'Small Sample 1-Townhouse'!$A:$R,Q$1,0),2)</f>
        <v>0.03</v>
      </c>
      <c r="R62" s="3" t="str">
        <f>FIXED(VLOOKUP($A62,'Small Sample 1-Townhouse'!$A:$R,R$1,0),2)</f>
        <v>6.80</v>
      </c>
      <c r="S62" s="9" t="str">
        <f>FIXED(VLOOKUP($A62,'Small Sample 1-Townhouse'!$A:$R,S$1,0),2)</f>
        <v>1.79</v>
      </c>
      <c r="T62" s="3" t="str">
        <f>FIXED(VLOOKUP($A62,'Small Sample 1-Townhouse'!$A:$R,T$1,0),2)</f>
        <v>1.19</v>
      </c>
      <c r="U62" s="3" t="str">
        <f>FIXED(VLOOKUP($A62,'Small Sample 1-Townhouse'!$A:$R,U$1,0),2)</f>
        <v>0.03</v>
      </c>
      <c r="V62" s="13" t="str">
        <f>FIXED(VLOOKUP($A62,'Small Sample 1-Townhouse'!$A:$R,V$1,0),2)</f>
        <v>6.80</v>
      </c>
      <c r="W62" s="9" t="str">
        <f>FIXED(VLOOKUP($A62,'Small Sample 1-Townhouse'!$A:$R,W$1,0),2)</f>
        <v>1.82</v>
      </c>
      <c r="X62" s="3" t="str">
        <f>FIXED(VLOOKUP($A62,'Small Sample 1-Townhouse'!$A:$R,X$1,0),2)</f>
        <v>1.21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2-Townhouse'!$A:$R,AA$1,0),2)</f>
        <v>1.80</v>
      </c>
      <c r="AB62" s="3" t="str">
        <f>FIXED(VLOOKUP($A62,'Small Sample 2-Townhouse'!$A:$R,AB$1,0),2)</f>
        <v>1.20</v>
      </c>
      <c r="AC62" s="3" t="str">
        <f>FIXED(VLOOKUP($A62,'Small Sample 2-Townhouse'!$A:$R,AC$1,0),2)</f>
        <v>0.03</v>
      </c>
      <c r="AD62" s="3" t="str">
        <f>FIXED(VLOOKUP($A62,'Small Sample 2-Townhouse'!$A:$R,AD$1,0),2)</f>
        <v>6.80</v>
      </c>
      <c r="AE62" s="9" t="str">
        <f>FIXED(VLOOKUP($A62,'Small Sample 2-Townhouse'!$A:$R,AE$1,0),2)</f>
        <v>1.84</v>
      </c>
      <c r="AF62" s="3" t="str">
        <f>FIXED(VLOOKUP($A62,'Small Sample 2-Townhouse'!$A:$R,AF$1,0),2)</f>
        <v>1.21</v>
      </c>
      <c r="AG62" s="3" t="str">
        <f>FIXED(VLOOKUP($A62,'Small Sample 2-Townhouse'!$A:$R,AG$1,0),2)</f>
        <v>0.03</v>
      </c>
      <c r="AH62" s="13" t="str">
        <f>FIXED(VLOOKUP($A62,'Small Sample 2-Townhouse'!$A:$R,AH$1,0),2)</f>
        <v>6.80</v>
      </c>
      <c r="AI62" s="9" t="str">
        <f>FIXED(VLOOKUP($A62,'Small Sample 2-Townhouse'!$A:$R,AI$1,0),2)</f>
        <v>1.75</v>
      </c>
      <c r="AJ62" s="3" t="str">
        <f>FIXED(VLOOKUP($A62,'Small Sample 2-Townhouse'!$A:$R,AJ$1,0),2)</f>
        <v>1.18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38" x14ac:dyDescent="0.25">
      <c r="A63" t="s">
        <v>53</v>
      </c>
      <c r="B63" t="s">
        <v>183</v>
      </c>
      <c r="C63" s="9" t="str">
        <f>FIXED(VLOOKUP($A63,'Full Sample-Townhouse'!$A:$R,C$1,0),2)</f>
        <v>2,359,781.00</v>
      </c>
      <c r="D63" s="3" t="str">
        <f>FIXED(VLOOKUP($A63,'Full Sample-Townhouse'!$A:$R,D$1,0),2)</f>
        <v>6,929.19</v>
      </c>
      <c r="E63" s="3" t="str">
        <f>FIXED(VLOOKUP($A63,'Full Sample-Townhouse'!$A:$R,E$1,0),2)</f>
        <v>2,351,041.00</v>
      </c>
      <c r="F63" s="3" t="str">
        <f>FIXED(VLOOKUP($A63,'Full Sample-Townhouse'!$A:$R,F$1,0),2)</f>
        <v>2,400,056.00</v>
      </c>
      <c r="G63" s="9" t="str">
        <f>FIXED(VLOOKUP($A63,'Full Sample-Townhouse'!$A:$R,G$1,0),2)</f>
        <v>2,359,859.00</v>
      </c>
      <c r="H63" s="3" t="str">
        <f>FIXED(VLOOKUP($A63,'Full Sample-Townhouse'!$A:$R,H$1,0),2)</f>
        <v>6,988.36</v>
      </c>
      <c r="I63" s="3" t="str">
        <f>FIXED(VLOOKUP($A63,'Full Sample-Townhouse'!$A:$R,I$1,0),2)</f>
        <v>2,351,041.00</v>
      </c>
      <c r="J63" s="13" t="str">
        <f>FIXED(VLOOKUP($A63,'Full Sample-Townhouse'!$A:$R,J$1,0),2)</f>
        <v>2,400,056.00</v>
      </c>
      <c r="K63" s="9" t="str">
        <f>FIXED(VLOOKUP($A63,'Full Sample-Townhouse'!$A:$R,K$1,0),2)</f>
        <v>2,359,674.00</v>
      </c>
      <c r="L63" s="3" t="str">
        <f>FIXED(VLOOKUP($A63,'Full Sample-Townhouse'!$A:$R,L$1,0),2)</f>
        <v>6,847.01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1-Townhouse'!$A:$R,O$1,0),2)</f>
        <v>2,359,587.00</v>
      </c>
      <c r="P63" s="3" t="str">
        <f>FIXED(VLOOKUP($A63,'Small Sample 1-Townhouse'!$A:$R,P$1,0),2)</f>
        <v>6,889.23</v>
      </c>
      <c r="Q63" s="3" t="str">
        <f>FIXED(VLOOKUP($A63,'Small Sample 1-Townhouse'!$A:$R,Q$1,0),2)</f>
        <v>2,351,041.00</v>
      </c>
      <c r="R63" s="3" t="str">
        <f>FIXED(VLOOKUP($A63,'Small Sample 1-Townhouse'!$A:$R,R$1,0),2)</f>
        <v>2,400,056.00</v>
      </c>
      <c r="S63" s="9" t="str">
        <f>FIXED(VLOOKUP($A63,'Small Sample 1-Townhouse'!$A:$R,S$1,0),2)</f>
        <v>2,359,529.00</v>
      </c>
      <c r="T63" s="3" t="str">
        <f>FIXED(VLOOKUP($A63,'Small Sample 1-Townhouse'!$A:$R,T$1,0),2)</f>
        <v>6,919.99</v>
      </c>
      <c r="U63" s="3" t="str">
        <f>FIXED(VLOOKUP($A63,'Small Sample 1-Townhouse'!$A:$R,U$1,0),2)</f>
        <v>2,351,113.00</v>
      </c>
      <c r="V63" s="13" t="str">
        <f>FIXED(VLOOKUP($A63,'Small Sample 1-Townhouse'!$A:$R,V$1,0),2)</f>
        <v>2,400,056.00</v>
      </c>
      <c r="W63" s="9" t="str">
        <f>FIXED(VLOOKUP($A63,'Small Sample 1-Townhouse'!$A:$R,W$1,0),2)</f>
        <v>2,359,650.00</v>
      </c>
      <c r="X63" s="3" t="str">
        <f>FIXED(VLOOKUP($A63,'Small Sample 1-Townhouse'!$A:$R,X$1,0),2)</f>
        <v>6,855.82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2-Townhouse'!$A:$R,AA$1,0),2)</f>
        <v>2,359,587.00</v>
      </c>
      <c r="AB63" s="3" t="str">
        <f>FIXED(VLOOKUP($A63,'Small Sample 2-Townhouse'!$A:$R,AB$1,0),2)</f>
        <v>6,889.23</v>
      </c>
      <c r="AC63" s="3" t="str">
        <f>FIXED(VLOOKUP($A63,'Small Sample 2-Townhouse'!$A:$R,AC$1,0),2)</f>
        <v>2,351,041.00</v>
      </c>
      <c r="AD63" s="3" t="str">
        <f>FIXED(VLOOKUP($A63,'Small Sample 2-Townhouse'!$A:$R,AD$1,0),2)</f>
        <v>2,400,056.00</v>
      </c>
      <c r="AE63" s="9" t="str">
        <f>FIXED(VLOOKUP($A63,'Small Sample 2-Townhouse'!$A:$R,AE$1,0),2)</f>
        <v>2,359,782.00</v>
      </c>
      <c r="AF63" s="3" t="str">
        <f>FIXED(VLOOKUP($A63,'Small Sample 2-Townhouse'!$A:$R,AF$1,0),2)</f>
        <v>6,978.23</v>
      </c>
      <c r="AG63" s="3" t="str">
        <f>FIXED(VLOOKUP($A63,'Small Sample 2-Townhouse'!$A:$R,AG$1,0),2)</f>
        <v>2,351,041.00</v>
      </c>
      <c r="AH63" s="13" t="str">
        <f>FIXED(VLOOKUP($A63,'Small Sample 2-Townhouse'!$A:$R,AH$1,0),2)</f>
        <v>2,400,056.00</v>
      </c>
      <c r="AI63" s="9" t="str">
        <f>FIXED(VLOOKUP($A63,'Small Sample 2-Townhouse'!$A:$R,AI$1,0),2)</f>
        <v>2,359,257.00</v>
      </c>
      <c r="AJ63" s="3" t="str">
        <f>FIXED(VLOOKUP($A63,'Small Sample 2-Townhouse'!$A:$R,AJ$1,0),2)</f>
        <v>6,723.03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38" x14ac:dyDescent="0.25">
      <c r="A64" t="s">
        <v>54</v>
      </c>
      <c r="B64" t="s">
        <v>184</v>
      </c>
      <c r="C64" s="9" t="str">
        <f>FIXED(VLOOKUP($A64,'Full Sample-Townhouse'!$A:$R,C$1,0),2)</f>
        <v>614,132.10</v>
      </c>
      <c r="D64" s="3" t="str">
        <f>FIXED(VLOOKUP($A64,'Full Sample-Townhouse'!$A:$R,D$1,0),2)</f>
        <v>11,659.79</v>
      </c>
      <c r="E64" s="3" t="str">
        <f>FIXED(VLOOKUP($A64,'Full Sample-Townhouse'!$A:$R,E$1,0),2)</f>
        <v>580,446.10</v>
      </c>
      <c r="F64" s="3" t="str">
        <f>FIXED(VLOOKUP($A64,'Full Sample-Townhouse'!$A:$R,F$1,0),2)</f>
        <v>637,819.70</v>
      </c>
      <c r="G64" s="9" t="str">
        <f>FIXED(VLOOKUP($A64,'Full Sample-Townhouse'!$A:$R,G$1,0),2)</f>
        <v>614,074.90</v>
      </c>
      <c r="H64" s="3" t="str">
        <f>FIXED(VLOOKUP($A64,'Full Sample-Townhouse'!$A:$R,H$1,0),2)</f>
        <v>11,554.02</v>
      </c>
      <c r="I64" s="3" t="str">
        <f>FIXED(VLOOKUP($A64,'Full Sample-Townhouse'!$A:$R,I$1,0),2)</f>
        <v>580,446.10</v>
      </c>
      <c r="J64" s="13" t="str">
        <f>FIXED(VLOOKUP($A64,'Full Sample-Townhouse'!$A:$R,J$1,0),2)</f>
        <v>637,819.70</v>
      </c>
      <c r="K64" s="9" t="str">
        <f>FIXED(VLOOKUP($A64,'Full Sample-Townhouse'!$A:$R,K$1,0),2)</f>
        <v>614,209.70</v>
      </c>
      <c r="L64" s="3" t="str">
        <f>FIXED(VLOOKUP($A64,'Full Sample-Townhouse'!$A:$R,L$1,0),2)</f>
        <v>11,801.75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1-Townhouse'!$A:$R,O$1,0),2)</f>
        <v>614,636.60</v>
      </c>
      <c r="P64" s="3" t="str">
        <f>FIXED(VLOOKUP($A64,'Small Sample 1-Townhouse'!$A:$R,P$1,0),2)</f>
        <v>11,421.50</v>
      </c>
      <c r="Q64" s="3" t="str">
        <f>FIXED(VLOOKUP($A64,'Small Sample 1-Townhouse'!$A:$R,Q$1,0),2)</f>
        <v>580,446.10</v>
      </c>
      <c r="R64" s="3" t="str">
        <f>FIXED(VLOOKUP($A64,'Small Sample 1-Townhouse'!$A:$R,R$1,0),2)</f>
        <v>637,819.70</v>
      </c>
      <c r="S64" s="9" t="str">
        <f>FIXED(VLOOKUP($A64,'Small Sample 1-Townhouse'!$A:$R,S$1,0),2)</f>
        <v>614,953.80</v>
      </c>
      <c r="T64" s="3" t="str">
        <f>FIXED(VLOOKUP($A64,'Small Sample 1-Townhouse'!$A:$R,T$1,0),2)</f>
        <v>11,102.62</v>
      </c>
      <c r="U64" s="3" t="str">
        <f>FIXED(VLOOKUP($A64,'Small Sample 1-Townhouse'!$A:$R,U$1,0),2)</f>
        <v>580,446.10</v>
      </c>
      <c r="V64" s="13" t="str">
        <f>FIXED(VLOOKUP($A64,'Small Sample 1-Townhouse'!$A:$R,V$1,0),2)</f>
        <v>637,819.70</v>
      </c>
      <c r="W64" s="9" t="str">
        <f>FIXED(VLOOKUP($A64,'Small Sample 1-Townhouse'!$A:$R,W$1,0),2)</f>
        <v>614,296.30</v>
      </c>
      <c r="X64" s="3" t="str">
        <f>FIXED(VLOOKUP($A64,'Small Sample 1-Townhouse'!$A:$R,X$1,0),2)</f>
        <v>11,744.97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2-Townhouse'!$A:$R,AA$1,0),2)</f>
        <v>614,636.60</v>
      </c>
      <c r="AB64" s="3" t="str">
        <f>FIXED(VLOOKUP($A64,'Small Sample 2-Townhouse'!$A:$R,AB$1,0),2)</f>
        <v>11,421.50</v>
      </c>
      <c r="AC64" s="3" t="str">
        <f>FIXED(VLOOKUP($A64,'Small Sample 2-Townhouse'!$A:$R,AC$1,0),2)</f>
        <v>580,446.10</v>
      </c>
      <c r="AD64" s="3" t="str">
        <f>FIXED(VLOOKUP($A64,'Small Sample 2-Townhouse'!$A:$R,AD$1,0),2)</f>
        <v>637,819.70</v>
      </c>
      <c r="AE64" s="9" t="str">
        <f>FIXED(VLOOKUP($A64,'Small Sample 2-Townhouse'!$A:$R,AE$1,0),2)</f>
        <v>614,337.30</v>
      </c>
      <c r="AF64" s="3" t="str">
        <f>FIXED(VLOOKUP($A64,'Small Sample 2-Townhouse'!$A:$R,AF$1,0),2)</f>
        <v>11,438.99</v>
      </c>
      <c r="AG64" s="3" t="str">
        <f>FIXED(VLOOKUP($A64,'Small Sample 2-Townhouse'!$A:$R,AG$1,0),2)</f>
        <v>580,446.10</v>
      </c>
      <c r="AH64" s="13" t="str">
        <f>FIXED(VLOOKUP($A64,'Small Sample 2-Townhouse'!$A:$R,AH$1,0),2)</f>
        <v>637,819.70</v>
      </c>
      <c r="AI64" s="9" t="str">
        <f>FIXED(VLOOKUP($A64,'Small Sample 2-Townhouse'!$A:$R,AI$1,0),2)</f>
        <v>615,144.40</v>
      </c>
      <c r="AJ64" s="3" t="str">
        <f>FIXED(VLOOKUP($A64,'Small Sample 2-Townhouse'!$A:$R,AJ$1,0),2)</f>
        <v>11,374.42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Sample-Townhouse'!$A:$R,C$1,0),2)</f>
        <v>0.20</v>
      </c>
      <c r="D65" s="3" t="str">
        <f>FIXED(VLOOKUP($A65,'Full Sample-Townhouse'!$A:$R,D$1,0),2)</f>
        <v>0.40</v>
      </c>
      <c r="E65" s="3" t="str">
        <f>FIXED(VLOOKUP($A65,'Full Sample-Townhouse'!$A:$R,E$1,0),2)</f>
        <v>0.00</v>
      </c>
      <c r="F65" s="3" t="str">
        <f>FIXED(VLOOKUP($A65,'Full Sample-Townhouse'!$A:$R,F$1,0),2)</f>
        <v>1.00</v>
      </c>
      <c r="G65" s="9" t="str">
        <f>FIXED(VLOOKUP($A65,'Full Sample-Townhouse'!$A:$R,G$1,0),2)</f>
        <v>0.20</v>
      </c>
      <c r="H65" s="3" t="str">
        <f>FIXED(VLOOKUP($A65,'Full Sample-Townhouse'!$A:$R,H$1,0),2)</f>
        <v>0.40</v>
      </c>
      <c r="I65" s="3" t="str">
        <f>FIXED(VLOOKUP($A65,'Full Sample-Townhouse'!$A:$R,I$1,0),2)</f>
        <v>0.00</v>
      </c>
      <c r="J65" s="13" t="str">
        <f>FIXED(VLOOKUP($A65,'Full Sample-Townhouse'!$A:$R,J$1,0),2)</f>
        <v>1.00</v>
      </c>
      <c r="K65" s="9" t="str">
        <f>FIXED(VLOOKUP($A65,'Full Sample-Townhouse'!$A:$R,K$1,0),2)</f>
        <v>0.20</v>
      </c>
      <c r="L65" s="3" t="str">
        <f>FIXED(VLOOKUP($A65,'Full Sample-Townhouse'!$A:$R,L$1,0),2)</f>
        <v>0.40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1-Townhouse'!$A:$R,O$1,0),2)</f>
        <v>0.21</v>
      </c>
      <c r="P65" s="3" t="str">
        <f>FIXED(VLOOKUP($A65,'Small Sample 1-Townhouse'!$A:$R,P$1,0),2)</f>
        <v>0.40</v>
      </c>
      <c r="Q65" s="3" t="str">
        <f>FIXED(VLOOKUP($A65,'Small Sample 1-Townhouse'!$A:$R,Q$1,0),2)</f>
        <v>0.00</v>
      </c>
      <c r="R65" s="3" t="str">
        <f>FIXED(VLOOKUP($A65,'Small Sample 1-Townhouse'!$A:$R,R$1,0),2)</f>
        <v>1.00</v>
      </c>
      <c r="S65" s="9" t="str">
        <f>FIXED(VLOOKUP($A65,'Small Sample 1-Townhouse'!$A:$R,S$1,0),2)</f>
        <v>0.22</v>
      </c>
      <c r="T65" s="3" t="str">
        <f>FIXED(VLOOKUP($A65,'Small Sample 1-Townhouse'!$A:$R,T$1,0),2)</f>
        <v>0.41</v>
      </c>
      <c r="U65" s="3" t="str">
        <f>FIXED(VLOOKUP($A65,'Small Sample 1-Townhouse'!$A:$R,U$1,0),2)</f>
        <v>0.00</v>
      </c>
      <c r="V65" s="13" t="str">
        <f>FIXED(VLOOKUP($A65,'Small Sample 1-Townhouse'!$A:$R,V$1,0),2)</f>
        <v>1.00</v>
      </c>
      <c r="W65" s="9" t="str">
        <f>FIXED(VLOOKUP($A65,'Small Sample 1-Townhouse'!$A:$R,W$1,0),2)</f>
        <v>0.20</v>
      </c>
      <c r="X65" s="3" t="str">
        <f>FIXED(VLOOKUP($A65,'Small Sample 1-Townhouse'!$A:$R,X$1,0),2)</f>
        <v>0.40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2-Townhouse'!$A:$R,AA$1,0),2)</f>
        <v>0.21</v>
      </c>
      <c r="AB65" s="3" t="str">
        <f>FIXED(VLOOKUP($A65,'Small Sample 2-Townhouse'!$A:$R,AB$1,0),2)</f>
        <v>0.40</v>
      </c>
      <c r="AC65" s="3" t="str">
        <f>FIXED(VLOOKUP($A65,'Small Sample 2-Townhouse'!$A:$R,AC$1,0),2)</f>
        <v>0.00</v>
      </c>
      <c r="AD65" s="3" t="str">
        <f>FIXED(VLOOKUP($A65,'Small Sample 2-Townhouse'!$A:$R,AD$1,0),2)</f>
        <v>1.00</v>
      </c>
      <c r="AE65" s="9" t="str">
        <f>FIXED(VLOOKUP($A65,'Small Sample 2-Townhouse'!$A:$R,AE$1,0),2)</f>
        <v>0.21</v>
      </c>
      <c r="AF65" s="3" t="str">
        <f>FIXED(VLOOKUP($A65,'Small Sample 2-Townhouse'!$A:$R,AF$1,0),2)</f>
        <v>0.40</v>
      </c>
      <c r="AG65" s="3" t="str">
        <f>FIXED(VLOOKUP($A65,'Small Sample 2-Townhouse'!$A:$R,AG$1,0),2)</f>
        <v>0.00</v>
      </c>
      <c r="AH65" s="13" t="str">
        <f>FIXED(VLOOKUP($A65,'Small Sample 2-Townhouse'!$A:$R,AH$1,0),2)</f>
        <v>1.00</v>
      </c>
      <c r="AI65" s="9" t="str">
        <f>FIXED(VLOOKUP($A65,'Small Sample 2-Townhouse'!$A:$R,AI$1,0),2)</f>
        <v>0.21</v>
      </c>
      <c r="AJ65" s="3" t="str">
        <f>FIXED(VLOOKUP($A65,'Small Sample 2-Townhouse'!$A:$R,AJ$1,0),2)</f>
        <v>0.41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9" t="str">
        <f>FIXED(VLOOKUP($A66,'Full Sample-Townhouse'!$A:$R,C$1,0),2)</f>
        <v>0.01</v>
      </c>
      <c r="D66" s="3" t="str">
        <f>FIXED(VLOOKUP($A66,'Full Sample-Townhouse'!$A:$R,D$1,0),2)</f>
        <v>0.10</v>
      </c>
      <c r="E66" s="3" t="str">
        <f>FIXED(VLOOKUP($A66,'Full Sample-Townhouse'!$A:$R,E$1,0),2)</f>
        <v>0.00</v>
      </c>
      <c r="F66" s="3" t="str">
        <f>FIXED(VLOOKUP($A66,'Full Sample-Townhouse'!$A:$R,F$1,0),2)</f>
        <v>1.00</v>
      </c>
      <c r="G66" s="9" t="str">
        <f>FIXED(VLOOKUP($A66,'Full Sample-Townhouse'!$A:$R,G$1,0),2)</f>
        <v>0.01</v>
      </c>
      <c r="H66" s="3" t="str">
        <f>FIXED(VLOOKUP($A66,'Full Sample-Townhouse'!$A:$R,H$1,0),2)</f>
        <v>0.10</v>
      </c>
      <c r="I66" s="3" t="str">
        <f>FIXED(VLOOKUP($A66,'Full Sample-Townhouse'!$A:$R,I$1,0),2)</f>
        <v>0.00</v>
      </c>
      <c r="J66" s="13" t="str">
        <f>FIXED(VLOOKUP($A66,'Full Sample-Townhouse'!$A:$R,J$1,0),2)</f>
        <v>1.00</v>
      </c>
      <c r="K66" s="9" t="str">
        <f>FIXED(VLOOKUP($A66,'Full Sample-Townhouse'!$A:$R,K$1,0),2)</f>
        <v>0.01</v>
      </c>
      <c r="L66" s="3" t="str">
        <f>FIXED(VLOOKUP($A66,'Full Sample-Townhouse'!$A:$R,L$1,0),2)</f>
        <v>0.11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9" t="str">
        <f>FIXED(VLOOKUP($A66,'Small Sample 1-Townhouse'!$A:$R,O$1,0),2)</f>
        <v>0.01</v>
      </c>
      <c r="P66" s="3" t="str">
        <f>FIXED(VLOOKUP($A66,'Small Sample 1-Townhouse'!$A:$R,P$1,0),2)</f>
        <v>0.11</v>
      </c>
      <c r="Q66" s="3" t="str">
        <f>FIXED(VLOOKUP($A66,'Small Sample 1-Townhouse'!$A:$R,Q$1,0),2)</f>
        <v>0.00</v>
      </c>
      <c r="R66" s="3" t="str">
        <f>FIXED(VLOOKUP($A66,'Small Sample 1-Townhouse'!$A:$R,R$1,0),2)</f>
        <v>1.00</v>
      </c>
      <c r="S66" s="9" t="str">
        <f>FIXED(VLOOKUP($A66,'Small Sample 1-Townhouse'!$A:$R,S$1,0),2)</f>
        <v>0.01</v>
      </c>
      <c r="T66" s="3" t="str">
        <f>FIXED(VLOOKUP($A66,'Small Sample 1-Townhouse'!$A:$R,T$1,0),2)</f>
        <v>0.10</v>
      </c>
      <c r="U66" s="3" t="str">
        <f>FIXED(VLOOKUP($A66,'Small Sample 1-Townhouse'!$A:$R,U$1,0),2)</f>
        <v>0.00</v>
      </c>
      <c r="V66" s="13" t="str">
        <f>FIXED(VLOOKUP($A66,'Small Sample 1-Townhouse'!$A:$R,V$1,0),2)</f>
        <v>1.00</v>
      </c>
      <c r="W66" s="9" t="str">
        <f>FIXED(VLOOKUP($A66,'Small Sample 1-Townhouse'!$A:$R,W$1,0),2)</f>
        <v>0.01</v>
      </c>
      <c r="X66" s="3" t="str">
        <f>FIXED(VLOOKUP($A66,'Small Sample 1-Townhouse'!$A:$R,X$1,0),2)</f>
        <v>0.11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9" t="str">
        <f>FIXED(VLOOKUP($A66,'Small Sample 2-Townhouse'!$A:$R,AA$1,0),2)</f>
        <v>0.01</v>
      </c>
      <c r="AB66" s="3" t="str">
        <f>FIXED(VLOOKUP($A66,'Small Sample 2-Townhouse'!$A:$R,AB$1,0),2)</f>
        <v>0.11</v>
      </c>
      <c r="AC66" s="3" t="str">
        <f>FIXED(VLOOKUP($A66,'Small Sample 2-Townhouse'!$A:$R,AC$1,0),2)</f>
        <v>0.00</v>
      </c>
      <c r="AD66" s="3" t="str">
        <f>FIXED(VLOOKUP($A66,'Small Sample 2-Townhouse'!$A:$R,AD$1,0),2)</f>
        <v>1.00</v>
      </c>
      <c r="AE66" s="9" t="str">
        <f>FIXED(VLOOKUP($A66,'Small Sample 2-Townhouse'!$A:$R,AE$1,0),2)</f>
        <v>0.01</v>
      </c>
      <c r="AF66" s="3" t="str">
        <f>FIXED(VLOOKUP($A66,'Small Sample 2-Townhouse'!$A:$R,AF$1,0),2)</f>
        <v>0.10</v>
      </c>
      <c r="AG66" s="3" t="str">
        <f>FIXED(VLOOKUP($A66,'Small Sample 2-Townhouse'!$A:$R,AG$1,0),2)</f>
        <v>0.00</v>
      </c>
      <c r="AH66" s="13" t="str">
        <f>FIXED(VLOOKUP($A66,'Small Sample 2-Townhouse'!$A:$R,AH$1,0),2)</f>
        <v>1.00</v>
      </c>
      <c r="AI66" s="9" t="str">
        <f>FIXED(VLOOKUP($A66,'Small Sample 2-Townhouse'!$A:$R,AI$1,0),2)</f>
        <v>0.01</v>
      </c>
      <c r="AJ66" s="3" t="str">
        <f>FIXED(VLOOKUP($A66,'Small Sample 2-Townhouse'!$A:$R,AJ$1,0),2)</f>
        <v>0.12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9" t="str">
        <f>FIXED(VLOOKUP($A67,'Full Sample-Townhouse'!$A:$R,C$1,0),2)</f>
        <v>0.00</v>
      </c>
      <c r="D67" s="3" t="str">
        <f>FIXED(VLOOKUP($A67,'Full Sample-Townhouse'!$A:$R,D$1,0),2)</f>
        <v>0.02</v>
      </c>
      <c r="E67" s="3" t="str">
        <f>FIXED(VLOOKUP($A67,'Full Sample-Townhouse'!$A:$R,E$1,0),2)</f>
        <v>0.00</v>
      </c>
      <c r="F67" s="3" t="str">
        <f>FIXED(VLOOKUP($A67,'Full Sample-Townhouse'!$A:$R,F$1,0),2)</f>
        <v>1.00</v>
      </c>
      <c r="G67" s="9" t="str">
        <f>FIXED(VLOOKUP($A67,'Full Sample-Townhouse'!$A:$R,G$1,0),2)</f>
        <v>0.00</v>
      </c>
      <c r="H67" s="3" t="str">
        <f>FIXED(VLOOKUP($A67,'Full Sample-Townhouse'!$A:$R,H$1,0),2)</f>
        <v>0.03</v>
      </c>
      <c r="I67" s="3" t="str">
        <f>FIXED(VLOOKUP($A67,'Full Sample-Townhouse'!$A:$R,I$1,0),2)</f>
        <v>0.00</v>
      </c>
      <c r="J67" s="13" t="str">
        <f>FIXED(VLOOKUP($A67,'Full Sample-Townhouse'!$A:$R,J$1,0),2)</f>
        <v>1.00</v>
      </c>
      <c r="K67" s="9" t="str">
        <f>FIXED(VLOOKUP($A67,'Full Sample-Townhouse'!$A:$R,K$1,0),2)</f>
        <v>0.00</v>
      </c>
      <c r="L67" s="3" t="str">
        <f>FIXED(VLOOKUP($A67,'Full Sample-Townhouse'!$A:$R,L$1,0),2)</f>
        <v>0.02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9" t="str">
        <f>FIXED(VLOOKUP($A67,'Small Sample 1-Townhouse'!$A:$R,O$1,0),2)</f>
        <v>0.00</v>
      </c>
      <c r="P67" s="3" t="str">
        <f>FIXED(VLOOKUP($A67,'Small Sample 1-Townhouse'!$A:$R,P$1,0),2)</f>
        <v>0.02</v>
      </c>
      <c r="Q67" s="3" t="str">
        <f>FIXED(VLOOKUP($A67,'Small Sample 1-Townhouse'!$A:$R,Q$1,0),2)</f>
        <v>0.00</v>
      </c>
      <c r="R67" s="3" t="str">
        <f>FIXED(VLOOKUP($A67,'Small Sample 1-Townhouse'!$A:$R,R$1,0),2)</f>
        <v>1.00</v>
      </c>
      <c r="S67" s="9" t="str">
        <f>FIXED(VLOOKUP($A67,'Small Sample 1-Townhouse'!$A:$R,S$1,0),2)</f>
        <v>0.00</v>
      </c>
      <c r="T67" s="3" t="str">
        <f>FIXED(VLOOKUP($A67,'Small Sample 1-Townhouse'!$A:$R,T$1,0),2)</f>
        <v>0.03</v>
      </c>
      <c r="U67" s="3" t="str">
        <f>FIXED(VLOOKUP($A67,'Small Sample 1-Townhouse'!$A:$R,U$1,0),2)</f>
        <v>0.00</v>
      </c>
      <c r="V67" s="13" t="str">
        <f>FIXED(VLOOKUP($A67,'Small Sample 1-Townhouse'!$A:$R,V$1,0),2)</f>
        <v>1.00</v>
      </c>
      <c r="W67" s="9" t="str">
        <f>FIXED(VLOOKUP($A67,'Small Sample 1-Townhouse'!$A:$R,W$1,0),2)</f>
        <v>0.00</v>
      </c>
      <c r="X67" s="3" t="str">
        <f>FIXED(VLOOKUP($A67,'Small Sample 1-Townhouse'!$A:$R,X$1,0),2)</f>
        <v>0.02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9" t="str">
        <f>FIXED(VLOOKUP($A67,'Small Sample 2-Townhouse'!$A:$R,AA$1,0),2)</f>
        <v>0.00</v>
      </c>
      <c r="AB67" s="3" t="str">
        <f>FIXED(VLOOKUP($A67,'Small Sample 2-Townhouse'!$A:$R,AB$1,0),2)</f>
        <v>0.02</v>
      </c>
      <c r="AC67" s="3" t="str">
        <f>FIXED(VLOOKUP($A67,'Small Sample 2-Townhouse'!$A:$R,AC$1,0),2)</f>
        <v>0.00</v>
      </c>
      <c r="AD67" s="3" t="str">
        <f>FIXED(VLOOKUP($A67,'Small Sample 2-Townhouse'!$A:$R,AD$1,0),2)</f>
        <v>1.00</v>
      </c>
      <c r="AE67" s="9" t="str">
        <f>FIXED(VLOOKUP($A67,'Small Sample 2-Townhouse'!$A:$R,AE$1,0),2)</f>
        <v>0.00</v>
      </c>
      <c r="AF67" s="3" t="str">
        <f>FIXED(VLOOKUP($A67,'Small Sample 2-Townhouse'!$A:$R,AF$1,0),2)</f>
        <v>0.03</v>
      </c>
      <c r="AG67" s="3" t="str">
        <f>FIXED(VLOOKUP($A67,'Small Sample 2-Townhouse'!$A:$R,AG$1,0),2)</f>
        <v>0.00</v>
      </c>
      <c r="AH67" s="13" t="str">
        <f>FIXED(VLOOKUP($A67,'Small Sample 2-Townhouse'!$A:$R,AH$1,0),2)</f>
        <v>1.00</v>
      </c>
      <c r="AI67" s="9" t="str">
        <f>FIXED(VLOOKUP($A67,'Small Sample 2-Townhouse'!$A:$R,AI$1,0),2)</f>
        <v>0.00</v>
      </c>
      <c r="AJ67" s="3" t="str">
        <f>FIXED(VLOOKUP($A67,'Small Sample 2-Townhouse'!$A:$R,AJ$1,0),2)</f>
        <v>0.02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9" t="str">
        <f>FIXED(VLOOKUP($A68,'Full Sample-Townhouse'!$A:$R,C$1,0),2)</f>
        <v>0.08</v>
      </c>
      <c r="D68" s="3" t="str">
        <f>FIXED(VLOOKUP($A68,'Full Sample-Townhouse'!$A:$R,D$1,0),2)</f>
        <v>0.26</v>
      </c>
      <c r="E68" s="3" t="str">
        <f>FIXED(VLOOKUP($A68,'Full Sample-Townhouse'!$A:$R,E$1,0),2)</f>
        <v>0.00</v>
      </c>
      <c r="F68" s="3" t="str">
        <f>FIXED(VLOOKUP($A68,'Full Sample-Townhouse'!$A:$R,F$1,0),2)</f>
        <v>1.00</v>
      </c>
      <c r="G68" s="9" t="str">
        <f>FIXED(VLOOKUP($A68,'Full Sample-Townhouse'!$A:$R,G$1,0),2)</f>
        <v>0.07</v>
      </c>
      <c r="H68" s="3" t="str">
        <f>FIXED(VLOOKUP($A68,'Full Sample-Townhouse'!$A:$R,H$1,0),2)</f>
        <v>0.26</v>
      </c>
      <c r="I68" s="3" t="str">
        <f>FIXED(VLOOKUP($A68,'Full Sample-Townhouse'!$A:$R,I$1,0),2)</f>
        <v>0.00</v>
      </c>
      <c r="J68" s="13" t="str">
        <f>FIXED(VLOOKUP($A68,'Full Sample-Townhouse'!$A:$R,J$1,0),2)</f>
        <v>1.00</v>
      </c>
      <c r="K68" s="9" t="str">
        <f>FIXED(VLOOKUP($A68,'Full Sample-Townhouse'!$A:$R,K$1,0),2)</f>
        <v>0.08</v>
      </c>
      <c r="L68" s="3" t="str">
        <f>FIXED(VLOOKUP($A68,'Full Sample-Townhouse'!$A:$R,L$1,0),2)</f>
        <v>0.26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9" t="str">
        <f>FIXED(VLOOKUP($A68,'Small Sample 1-Townhouse'!$A:$R,O$1,0),2)</f>
        <v>0.08</v>
      </c>
      <c r="P68" s="3" t="str">
        <f>FIXED(VLOOKUP($A68,'Small Sample 1-Townhouse'!$A:$R,P$1,0),2)</f>
        <v>0.27</v>
      </c>
      <c r="Q68" s="3" t="str">
        <f>FIXED(VLOOKUP($A68,'Small Sample 1-Townhouse'!$A:$R,Q$1,0),2)</f>
        <v>0.00</v>
      </c>
      <c r="R68" s="3" t="str">
        <f>FIXED(VLOOKUP($A68,'Small Sample 1-Townhouse'!$A:$R,R$1,0),2)</f>
        <v>1.00</v>
      </c>
      <c r="S68" s="9" t="str">
        <f>FIXED(VLOOKUP($A68,'Small Sample 1-Townhouse'!$A:$R,S$1,0),2)</f>
        <v>0.08</v>
      </c>
      <c r="T68" s="3" t="str">
        <f>FIXED(VLOOKUP($A68,'Small Sample 1-Townhouse'!$A:$R,T$1,0),2)</f>
        <v>0.27</v>
      </c>
      <c r="U68" s="3" t="str">
        <f>FIXED(VLOOKUP($A68,'Small Sample 1-Townhouse'!$A:$R,U$1,0),2)</f>
        <v>0.00</v>
      </c>
      <c r="V68" s="13" t="str">
        <f>FIXED(VLOOKUP($A68,'Small Sample 1-Townhouse'!$A:$R,V$1,0),2)</f>
        <v>1.00</v>
      </c>
      <c r="W68" s="9" t="str">
        <f>FIXED(VLOOKUP($A68,'Small Sample 1-Townhouse'!$A:$R,W$1,0),2)</f>
        <v>0.08</v>
      </c>
      <c r="X68" s="3" t="str">
        <f>FIXED(VLOOKUP($A68,'Small Sample 1-Townhouse'!$A:$R,X$1,0),2)</f>
        <v>0.26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9" t="str">
        <f>FIXED(VLOOKUP($A68,'Small Sample 2-Townhouse'!$A:$R,AA$1,0),2)</f>
        <v>0.08</v>
      </c>
      <c r="AB68" s="3" t="str">
        <f>FIXED(VLOOKUP($A68,'Small Sample 2-Townhouse'!$A:$R,AB$1,0),2)</f>
        <v>0.27</v>
      </c>
      <c r="AC68" s="3" t="str">
        <f>FIXED(VLOOKUP($A68,'Small Sample 2-Townhouse'!$A:$R,AC$1,0),2)</f>
        <v>0.00</v>
      </c>
      <c r="AD68" s="3" t="str">
        <f>FIXED(VLOOKUP($A68,'Small Sample 2-Townhouse'!$A:$R,AD$1,0),2)</f>
        <v>1.00</v>
      </c>
      <c r="AE68" s="9" t="str">
        <f>FIXED(VLOOKUP($A68,'Small Sample 2-Townhouse'!$A:$R,AE$1,0),2)</f>
        <v>0.08</v>
      </c>
      <c r="AF68" s="3" t="str">
        <f>FIXED(VLOOKUP($A68,'Small Sample 2-Townhouse'!$A:$R,AF$1,0),2)</f>
        <v>0.26</v>
      </c>
      <c r="AG68" s="3" t="str">
        <f>FIXED(VLOOKUP($A68,'Small Sample 2-Townhouse'!$A:$R,AG$1,0),2)</f>
        <v>0.00</v>
      </c>
      <c r="AH68" s="13" t="str">
        <f>FIXED(VLOOKUP($A68,'Small Sample 2-Townhouse'!$A:$R,AH$1,0),2)</f>
        <v>1.00</v>
      </c>
      <c r="AI68" s="9" t="str">
        <f>FIXED(VLOOKUP($A68,'Small Sample 2-Townhouse'!$A:$R,AI$1,0),2)</f>
        <v>0.08</v>
      </c>
      <c r="AJ68" s="3" t="str">
        <f>FIXED(VLOOKUP($A68,'Small Sample 2-Townhouse'!$A:$R,AJ$1,0),2)</f>
        <v>0.27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Sample-Townhouse'!$A:$R,C$1,0),2)</f>
        <v>0.31</v>
      </c>
      <c r="D69" s="3" t="str">
        <f>FIXED(VLOOKUP($A69,'Full Sample-Townhouse'!$A:$R,D$1,0),2)</f>
        <v>0.46</v>
      </c>
      <c r="E69" s="3" t="str">
        <f>FIXED(VLOOKUP($A69,'Full Sample-Townhouse'!$A:$R,E$1,0),2)</f>
        <v>0.00</v>
      </c>
      <c r="F69" s="3" t="str">
        <f>FIXED(VLOOKUP($A69,'Full Sample-Townhouse'!$A:$R,F$1,0),2)</f>
        <v>1.00</v>
      </c>
      <c r="G69" s="9" t="str">
        <f>FIXED(VLOOKUP($A69,'Full Sample-Townhouse'!$A:$R,G$1,0),2)</f>
        <v>0.31</v>
      </c>
      <c r="H69" s="3" t="str">
        <f>FIXED(VLOOKUP($A69,'Full Sample-Townhouse'!$A:$R,H$1,0),2)</f>
        <v>0.46</v>
      </c>
      <c r="I69" s="3" t="str">
        <f>FIXED(VLOOKUP($A69,'Full Sample-Townhouse'!$A:$R,I$1,0),2)</f>
        <v>0.00</v>
      </c>
      <c r="J69" s="13" t="str">
        <f>FIXED(VLOOKUP($A69,'Full Sample-Townhouse'!$A:$R,J$1,0),2)</f>
        <v>1.00</v>
      </c>
      <c r="K69" s="9" t="str">
        <f>FIXED(VLOOKUP($A69,'Full Sample-Townhouse'!$A:$R,K$1,0),2)</f>
        <v>0.31</v>
      </c>
      <c r="L69" s="3" t="str">
        <f>FIXED(VLOOKUP($A69,'Full Sample-Townhouse'!$A:$R,L$1,0),2)</f>
        <v>0.46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1-Townhouse'!$A:$R,O$1,0),2)</f>
        <v>0.29</v>
      </c>
      <c r="P69" s="3" t="str">
        <f>FIXED(VLOOKUP($A69,'Small Sample 1-Townhouse'!$A:$R,P$1,0),2)</f>
        <v>0.45</v>
      </c>
      <c r="Q69" s="3" t="str">
        <f>FIXED(VLOOKUP($A69,'Small Sample 1-Townhouse'!$A:$R,Q$1,0),2)</f>
        <v>0.00</v>
      </c>
      <c r="R69" s="3" t="str">
        <f>FIXED(VLOOKUP($A69,'Small Sample 1-Townhouse'!$A:$R,R$1,0),2)</f>
        <v>1.00</v>
      </c>
      <c r="S69" s="9" t="str">
        <f>FIXED(VLOOKUP($A69,'Small Sample 1-Townhouse'!$A:$R,S$1,0),2)</f>
        <v>0.28</v>
      </c>
      <c r="T69" s="3" t="str">
        <f>FIXED(VLOOKUP($A69,'Small Sample 1-Townhouse'!$A:$R,T$1,0),2)</f>
        <v>0.45</v>
      </c>
      <c r="U69" s="3" t="str">
        <f>FIXED(VLOOKUP($A69,'Small Sample 1-Townhouse'!$A:$R,U$1,0),2)</f>
        <v>0.00</v>
      </c>
      <c r="V69" s="13" t="str">
        <f>FIXED(VLOOKUP($A69,'Small Sample 1-Townhouse'!$A:$R,V$1,0),2)</f>
        <v>1.00</v>
      </c>
      <c r="W69" s="9" t="str">
        <f>FIXED(VLOOKUP($A69,'Small Sample 1-Townhouse'!$A:$R,W$1,0),2)</f>
        <v>0.30</v>
      </c>
      <c r="X69" s="3" t="str">
        <f>FIXED(VLOOKUP($A69,'Small Sample 1-Townhouse'!$A:$R,X$1,0),2)</f>
        <v>0.46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2-Townhouse'!$A:$R,AA$1,0),2)</f>
        <v>0.29</v>
      </c>
      <c r="AB69" s="3" t="str">
        <f>FIXED(VLOOKUP($A69,'Small Sample 2-Townhouse'!$A:$R,AB$1,0),2)</f>
        <v>0.45</v>
      </c>
      <c r="AC69" s="3" t="str">
        <f>FIXED(VLOOKUP($A69,'Small Sample 2-Townhouse'!$A:$R,AC$1,0),2)</f>
        <v>0.00</v>
      </c>
      <c r="AD69" s="3" t="str">
        <f>FIXED(VLOOKUP($A69,'Small Sample 2-Townhouse'!$A:$R,AD$1,0),2)</f>
        <v>1.00</v>
      </c>
      <c r="AE69" s="9" t="str">
        <f>FIXED(VLOOKUP($A69,'Small Sample 2-Townhouse'!$A:$R,AE$1,0),2)</f>
        <v>0.30</v>
      </c>
      <c r="AF69" s="3" t="str">
        <f>FIXED(VLOOKUP($A69,'Small Sample 2-Townhouse'!$A:$R,AF$1,0),2)</f>
        <v>0.46</v>
      </c>
      <c r="AG69" s="3" t="str">
        <f>FIXED(VLOOKUP($A69,'Small Sample 2-Townhouse'!$A:$R,AG$1,0),2)</f>
        <v>0.00</v>
      </c>
      <c r="AH69" s="13" t="str">
        <f>FIXED(VLOOKUP($A69,'Small Sample 2-Townhouse'!$A:$R,AH$1,0),2)</f>
        <v>1.00</v>
      </c>
      <c r="AI69" s="9" t="str">
        <f>FIXED(VLOOKUP($A69,'Small Sample 2-Townhouse'!$A:$R,AI$1,0),2)</f>
        <v>0.26</v>
      </c>
      <c r="AJ69" s="3" t="str">
        <f>FIXED(VLOOKUP($A69,'Small Sample 2-Townhouse'!$A:$R,AJ$1,0),2)</f>
        <v>0.44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Sample-Townhouse'!$A:$R,C$1,0),2)</f>
        <v>0.01</v>
      </c>
      <c r="D70" s="3" t="str">
        <f>FIXED(VLOOKUP($A70,'Full Sample-Townhouse'!$A:$R,D$1,0),2)</f>
        <v>0.09</v>
      </c>
      <c r="E70" s="3" t="str">
        <f>FIXED(VLOOKUP($A70,'Full Sample-Townhouse'!$A:$R,E$1,0),2)</f>
        <v>0.00</v>
      </c>
      <c r="F70" s="3" t="str">
        <f>FIXED(VLOOKUP($A70,'Full Sample-Townhouse'!$A:$R,F$1,0),2)</f>
        <v>1.00</v>
      </c>
      <c r="G70" s="9" t="str">
        <f>FIXED(VLOOKUP($A70,'Full Sample-Townhouse'!$A:$R,G$1,0),2)</f>
        <v>0.01</v>
      </c>
      <c r="H70" s="3" t="str">
        <f>FIXED(VLOOKUP($A70,'Full Sample-Townhouse'!$A:$R,H$1,0),2)</f>
        <v>0.08</v>
      </c>
      <c r="I70" s="3" t="str">
        <f>FIXED(VLOOKUP($A70,'Full Sample-Townhouse'!$A:$R,I$1,0),2)</f>
        <v>0.00</v>
      </c>
      <c r="J70" s="13" t="str">
        <f>FIXED(VLOOKUP($A70,'Full Sample-Townhouse'!$A:$R,J$1,0),2)</f>
        <v>1.00</v>
      </c>
      <c r="K70" s="9" t="str">
        <f>FIXED(VLOOKUP($A70,'Full Sample-Townhouse'!$A:$R,K$1,0),2)</f>
        <v>0.01</v>
      </c>
      <c r="L70" s="3" t="str">
        <f>FIXED(VLOOKUP($A70,'Full Sample-Townhouse'!$A:$R,L$1,0),2)</f>
        <v>0.09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1-Townhouse'!$A:$R,O$1,0),2)</f>
        <v>0.01</v>
      </c>
      <c r="P70" s="3" t="str">
        <f>FIXED(VLOOKUP($A70,'Small Sample 1-Townhouse'!$A:$R,P$1,0),2)</f>
        <v>0.09</v>
      </c>
      <c r="Q70" s="3" t="str">
        <f>FIXED(VLOOKUP($A70,'Small Sample 1-Townhouse'!$A:$R,Q$1,0),2)</f>
        <v>0.00</v>
      </c>
      <c r="R70" s="3" t="str">
        <f>FIXED(VLOOKUP($A70,'Small Sample 1-Townhouse'!$A:$R,R$1,0),2)</f>
        <v>1.00</v>
      </c>
      <c r="S70" s="9" t="str">
        <f>FIXED(VLOOKUP($A70,'Small Sample 1-Townhouse'!$A:$R,S$1,0),2)</f>
        <v>0.01</v>
      </c>
      <c r="T70" s="3" t="str">
        <f>FIXED(VLOOKUP($A70,'Small Sample 1-Townhouse'!$A:$R,T$1,0),2)</f>
        <v>0.09</v>
      </c>
      <c r="U70" s="3" t="str">
        <f>FIXED(VLOOKUP($A70,'Small Sample 1-Townhouse'!$A:$R,U$1,0),2)</f>
        <v>0.00</v>
      </c>
      <c r="V70" s="13" t="str">
        <f>FIXED(VLOOKUP($A70,'Small Sample 1-Townhouse'!$A:$R,V$1,0),2)</f>
        <v>1.00</v>
      </c>
      <c r="W70" s="9" t="str">
        <f>FIXED(VLOOKUP($A70,'Small Sample 1-Townhouse'!$A:$R,W$1,0),2)</f>
        <v>0.01</v>
      </c>
      <c r="X70" s="3" t="str">
        <f>FIXED(VLOOKUP($A70,'Small Sample 1-Townhouse'!$A:$R,X$1,0),2)</f>
        <v>0.09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2-Townhouse'!$A:$R,AA$1,0),2)</f>
        <v>0.01</v>
      </c>
      <c r="AB70" s="3" t="str">
        <f>FIXED(VLOOKUP($A70,'Small Sample 2-Townhouse'!$A:$R,AB$1,0),2)</f>
        <v>0.09</v>
      </c>
      <c r="AC70" s="3" t="str">
        <f>FIXED(VLOOKUP($A70,'Small Sample 2-Townhouse'!$A:$R,AC$1,0),2)</f>
        <v>0.00</v>
      </c>
      <c r="AD70" s="3" t="str">
        <f>FIXED(VLOOKUP($A70,'Small Sample 2-Townhouse'!$A:$R,AD$1,0),2)</f>
        <v>1.00</v>
      </c>
      <c r="AE70" s="9" t="str">
        <f>FIXED(VLOOKUP($A70,'Small Sample 2-Townhouse'!$A:$R,AE$1,0),2)</f>
        <v>0.01</v>
      </c>
      <c r="AF70" s="3" t="str">
        <f>FIXED(VLOOKUP($A70,'Small Sample 2-Townhouse'!$A:$R,AF$1,0),2)</f>
        <v>0.09</v>
      </c>
      <c r="AG70" s="3" t="str">
        <f>FIXED(VLOOKUP($A70,'Small Sample 2-Townhouse'!$A:$R,AG$1,0),2)</f>
        <v>0.00</v>
      </c>
      <c r="AH70" s="13" t="str">
        <f>FIXED(VLOOKUP($A70,'Small Sample 2-Townhouse'!$A:$R,AH$1,0),2)</f>
        <v>1.00</v>
      </c>
      <c r="AI70" s="9" t="str">
        <f>FIXED(VLOOKUP($A70,'Small Sample 2-Townhouse'!$A:$R,AI$1,0),2)</f>
        <v>0.01</v>
      </c>
      <c r="AJ70" s="3" t="str">
        <f>FIXED(VLOOKUP($A70,'Small Sample 2-Townhouse'!$A:$R,AJ$1,0),2)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Sample-Townhouse'!$A:$R,C$1,0),2)</f>
        <v>0.40</v>
      </c>
      <c r="D71" s="3" t="str">
        <f>FIXED(VLOOKUP($A71,'Full Sample-Townhouse'!$A:$R,D$1,0),2)</f>
        <v>0.49</v>
      </c>
      <c r="E71" s="3" t="str">
        <f>FIXED(VLOOKUP($A71,'Full Sample-Townhouse'!$A:$R,E$1,0),2)</f>
        <v>0.00</v>
      </c>
      <c r="F71" s="3" t="str">
        <f>FIXED(VLOOKUP($A71,'Full Sample-Townhouse'!$A:$R,F$1,0),2)</f>
        <v>1.00</v>
      </c>
      <c r="G71" s="9" t="str">
        <f>FIXED(VLOOKUP($A71,'Full Sample-Townhouse'!$A:$R,G$1,0),2)</f>
        <v>0.39</v>
      </c>
      <c r="H71" s="3" t="str">
        <f>FIXED(VLOOKUP($A71,'Full Sample-Townhouse'!$A:$R,H$1,0),2)</f>
        <v>0.49</v>
      </c>
      <c r="I71" s="3" t="str">
        <f>FIXED(VLOOKUP($A71,'Full Sample-Townhouse'!$A:$R,I$1,0),2)</f>
        <v>0.00</v>
      </c>
      <c r="J71" s="13" t="str">
        <f>FIXED(VLOOKUP($A71,'Full Sample-Townhouse'!$A:$R,J$1,0),2)</f>
        <v>1.00</v>
      </c>
      <c r="K71" s="9" t="str">
        <f>FIXED(VLOOKUP($A71,'Full Sample-Townhouse'!$A:$R,K$1,0),2)</f>
        <v>0.40</v>
      </c>
      <c r="L71" s="3" t="str">
        <f>FIXED(VLOOKUP($A71,'Full Sample-Townhouse'!$A:$R,L$1,0),2)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1-Townhouse'!$A:$R,O$1,0),2)</f>
        <v>0.41</v>
      </c>
      <c r="P71" s="3" t="str">
        <f>FIXED(VLOOKUP($A71,'Small Sample 1-Townhouse'!$A:$R,P$1,0),2)</f>
        <v>0.49</v>
      </c>
      <c r="Q71" s="3" t="str">
        <f>FIXED(VLOOKUP($A71,'Small Sample 1-Townhouse'!$A:$R,Q$1,0),2)</f>
        <v>0.00</v>
      </c>
      <c r="R71" s="3" t="str">
        <f>FIXED(VLOOKUP($A71,'Small Sample 1-Townhouse'!$A:$R,R$1,0),2)</f>
        <v>1.00</v>
      </c>
      <c r="S71" s="9" t="str">
        <f>FIXED(VLOOKUP($A71,'Small Sample 1-Townhouse'!$A:$R,S$1,0),2)</f>
        <v>0.42</v>
      </c>
      <c r="T71" s="3" t="str">
        <f>FIXED(VLOOKUP($A71,'Small Sample 1-Townhouse'!$A:$R,T$1,0),2)</f>
        <v>0.49</v>
      </c>
      <c r="U71" s="3" t="str">
        <f>FIXED(VLOOKUP($A71,'Small Sample 1-Townhouse'!$A:$R,U$1,0),2)</f>
        <v>0.00</v>
      </c>
      <c r="V71" s="13" t="str">
        <f>FIXED(VLOOKUP($A71,'Small Sample 1-Townhouse'!$A:$R,V$1,0),2)</f>
        <v>1.00</v>
      </c>
      <c r="W71" s="9" t="str">
        <f>FIXED(VLOOKUP($A71,'Small Sample 1-Townhouse'!$A:$R,W$1,0),2)</f>
        <v>0.41</v>
      </c>
      <c r="X71" s="3" t="str">
        <f>FIXED(VLOOKUP($A71,'Small Sample 1-Townhouse'!$A:$R,X$1,0),2)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2-Townhouse'!$A:$R,AA$1,0),2)</f>
        <v>0.41</v>
      </c>
      <c r="AB71" s="3" t="str">
        <f>FIXED(VLOOKUP($A71,'Small Sample 2-Townhouse'!$A:$R,AB$1,0),2)</f>
        <v>0.49</v>
      </c>
      <c r="AC71" s="3" t="str">
        <f>FIXED(VLOOKUP($A71,'Small Sample 2-Townhouse'!$A:$R,AC$1,0),2)</f>
        <v>0.00</v>
      </c>
      <c r="AD71" s="3" t="str">
        <f>FIXED(VLOOKUP($A71,'Small Sample 2-Townhouse'!$A:$R,AD$1,0),2)</f>
        <v>1.00</v>
      </c>
      <c r="AE71" s="9" t="str">
        <f>FIXED(VLOOKUP($A71,'Small Sample 2-Townhouse'!$A:$R,AE$1,0),2)</f>
        <v>0.40</v>
      </c>
      <c r="AF71" s="3" t="str">
        <f>FIXED(VLOOKUP($A71,'Small Sample 2-Townhouse'!$A:$R,AF$1,0),2)</f>
        <v>0.49</v>
      </c>
      <c r="AG71" s="3" t="str">
        <f>FIXED(VLOOKUP($A71,'Small Sample 2-Townhouse'!$A:$R,AG$1,0),2)</f>
        <v>0.00</v>
      </c>
      <c r="AH71" s="13" t="str">
        <f>FIXED(VLOOKUP($A71,'Small Sample 2-Townhouse'!$A:$R,AH$1,0),2)</f>
        <v>1.00</v>
      </c>
      <c r="AI71" s="9" t="str">
        <f>FIXED(VLOOKUP($A71,'Small Sample 2-Townhouse'!$A:$R,AI$1,0),2)</f>
        <v>0.43</v>
      </c>
      <c r="AJ71" s="3" t="str">
        <f>FIXED(VLOOKUP($A71,'Small Sample 2-Townhouse'!$A:$R,AJ$1,0),2)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Sample-Townhouse'!$A:$R,C$1,0),2)</f>
        <v>0.28</v>
      </c>
      <c r="D72" s="3" t="str">
        <f>FIXED(VLOOKUP($A72,'Full Sample-Townhouse'!$A:$R,D$1,0),2)</f>
        <v>0.17</v>
      </c>
      <c r="E72" s="3" t="str">
        <f>FIXED(VLOOKUP($A72,'Full Sample-Townhouse'!$A:$R,E$1,0),2)</f>
        <v>0.00</v>
      </c>
      <c r="F72" s="3" t="str">
        <f>FIXED(VLOOKUP($A72,'Full Sample-Townhouse'!$A:$R,F$1,0),2)</f>
        <v>1.00</v>
      </c>
      <c r="G72" s="9" t="str">
        <f>FIXED(VLOOKUP($A72,'Full Sample-Townhouse'!$A:$R,G$1,0),2)</f>
        <v>0.28</v>
      </c>
      <c r="H72" s="3" t="str">
        <f>FIXED(VLOOKUP($A72,'Full Sample-Townhouse'!$A:$R,H$1,0),2)</f>
        <v>0.17</v>
      </c>
      <c r="I72" s="3" t="str">
        <f>FIXED(VLOOKUP($A72,'Full Sample-Townhouse'!$A:$R,I$1,0),2)</f>
        <v>0.00</v>
      </c>
      <c r="J72" s="13" t="str">
        <f>FIXED(VLOOKUP($A72,'Full Sample-Townhouse'!$A:$R,J$1,0),2)</f>
        <v>1.00</v>
      </c>
      <c r="K72" s="9" t="str">
        <f>FIXED(VLOOKUP($A72,'Full Sample-Townhouse'!$A:$R,K$1,0),2)</f>
        <v>0.27</v>
      </c>
      <c r="L72" s="3" t="str">
        <f>FIXED(VLOOKUP($A72,'Full Sample-Townhouse'!$A:$R,L$1,0),2)</f>
        <v>0.18</v>
      </c>
      <c r="M72" s="3" t="str">
        <f>FIXED(VLOOKUP($A72,'Full Sample-No Sub'!$A:$R,M$1,0),2)</f>
        <v>0.00</v>
      </c>
      <c r="N72" s="13" t="str">
        <f>FIXED(VLOOKUP($A72,'Full Sample-No Sub'!$A:$R,N$1,0),2)</f>
        <v>0.92</v>
      </c>
      <c r="O72" s="9" t="str">
        <f>FIXED(VLOOKUP($A72,'Small Sample 1-Townhouse'!$A:$R,O$1,0),2)</f>
        <v>0.27</v>
      </c>
      <c r="P72" s="3" t="str">
        <f>FIXED(VLOOKUP($A72,'Small Sample 1-Townhouse'!$A:$R,P$1,0),2)</f>
        <v>0.18</v>
      </c>
      <c r="Q72" s="3" t="str">
        <f>FIXED(VLOOKUP($A72,'Small Sample 1-Townhouse'!$A:$R,Q$1,0),2)</f>
        <v>0.00</v>
      </c>
      <c r="R72" s="3" t="str">
        <f>FIXED(VLOOKUP($A72,'Small Sample 1-Townhouse'!$A:$R,R$1,0),2)</f>
        <v>1.00</v>
      </c>
      <c r="S72" s="9" t="str">
        <f>FIXED(VLOOKUP($A72,'Small Sample 1-Townhouse'!$A:$R,S$1,0),2)</f>
        <v>0.28</v>
      </c>
      <c r="T72" s="3" t="str">
        <f>FIXED(VLOOKUP($A72,'Small Sample 1-Townhouse'!$A:$R,T$1,0),2)</f>
        <v>0.17</v>
      </c>
      <c r="U72" s="3" t="str">
        <f>FIXED(VLOOKUP($A72,'Small Sample 1-Townhouse'!$A:$R,U$1,0),2)</f>
        <v>0.00</v>
      </c>
      <c r="V72" s="13" t="str">
        <f>FIXED(VLOOKUP($A72,'Small Sample 1-Townhouse'!$A:$R,V$1,0),2)</f>
        <v>1.00</v>
      </c>
      <c r="W72" s="9" t="str">
        <f>FIXED(VLOOKUP($A72,'Small Sample 1-Townhouse'!$A:$R,W$1,0),2)</f>
        <v>0.27</v>
      </c>
      <c r="X72" s="3" t="str">
        <f>FIXED(VLOOKUP($A72,'Small Sample 1-Townhouse'!$A:$R,X$1,0),2)</f>
        <v>0.18</v>
      </c>
      <c r="Y72" s="3" t="str">
        <f>FIXED(VLOOKUP($A72,'Small Sample 1-No Sub'!$A:$R,Y$1,0),2)</f>
        <v>0.00</v>
      </c>
      <c r="Z72" s="3" t="str">
        <f>FIXED(VLOOKUP($A72,'Small Sample 1-No Sub'!$A:$R,Z$1,0),2)</f>
        <v>0.92</v>
      </c>
      <c r="AA72" s="9" t="str">
        <f>FIXED(VLOOKUP($A72,'Small Sample 2-Townhouse'!$A:$R,AA$1,0),2)</f>
        <v>0.28</v>
      </c>
      <c r="AB72" s="3" t="str">
        <f>FIXED(VLOOKUP($A72,'Small Sample 2-Townhouse'!$A:$R,AB$1,0),2)</f>
        <v>0.18</v>
      </c>
      <c r="AC72" s="3" t="str">
        <f>FIXED(VLOOKUP($A72,'Small Sample 2-Townhouse'!$A:$R,AC$1,0),2)</f>
        <v>0.00</v>
      </c>
      <c r="AD72" s="3" t="str">
        <f>FIXED(VLOOKUP($A72,'Small Sample 2-Townhouse'!$A:$R,AD$1,0),2)</f>
        <v>1.00</v>
      </c>
      <c r="AE72" s="9" t="str">
        <f>FIXED(VLOOKUP($A72,'Small Sample 2-Townhouse'!$A:$R,AE$1,0),2)</f>
        <v>0.28</v>
      </c>
      <c r="AF72" s="3" t="str">
        <f>FIXED(VLOOKUP($A72,'Small Sample 2-Townhouse'!$A:$R,AF$1,0),2)</f>
        <v>0.17</v>
      </c>
      <c r="AG72" s="3" t="str">
        <f>FIXED(VLOOKUP($A72,'Small Sample 2-Townhouse'!$A:$R,AG$1,0),2)</f>
        <v>0.00</v>
      </c>
      <c r="AH72" s="13" t="str">
        <f>FIXED(VLOOKUP($A72,'Small Sample 2-Townhouse'!$A:$R,AH$1,0),2)</f>
        <v>1.00</v>
      </c>
      <c r="AI72" s="9" t="str">
        <f>FIXED(VLOOKUP($A72,'Small Sample 2-Townhouse'!$A:$R,AI$1,0),2)</f>
        <v>0.27</v>
      </c>
      <c r="AJ72" s="3" t="str">
        <f>FIXED(VLOOKUP($A72,'Small Sample 2-Townhouse'!$A:$R,AJ$1,0),2)</f>
        <v>0.18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Sample-Townhouse'!$A:$R,C$1,0),2)</f>
        <v>0.02</v>
      </c>
      <c r="D73" s="3" t="str">
        <f>FIXED(VLOOKUP($A73,'Full Sample-Townhouse'!$A:$R,D$1,0),2)</f>
        <v>0.04</v>
      </c>
      <c r="E73" s="3" t="str">
        <f>FIXED(VLOOKUP($A73,'Full Sample-Townhouse'!$A:$R,E$1,0),2)</f>
        <v>0.00</v>
      </c>
      <c r="F73" s="3" t="str">
        <f>FIXED(VLOOKUP($A73,'Full Sample-Townhouse'!$A:$R,F$1,0),2)</f>
        <v>0.78</v>
      </c>
      <c r="G73" s="9" t="str">
        <f>FIXED(VLOOKUP($A73,'Full Sample-Townhouse'!$A:$R,G$1,0),2)</f>
        <v>0.02</v>
      </c>
      <c r="H73" s="3" t="str">
        <f>FIXED(VLOOKUP($A73,'Full Sample-Townhouse'!$A:$R,H$1,0),2)</f>
        <v>0.03</v>
      </c>
      <c r="I73" s="3" t="str">
        <f>FIXED(VLOOKUP($A73,'Full Sample-Townhouse'!$A:$R,I$1,0),2)</f>
        <v>0.00</v>
      </c>
      <c r="J73" s="13" t="str">
        <f>FIXED(VLOOKUP($A73,'Full Sample-Townhouse'!$A:$R,J$1,0),2)</f>
        <v>0.78</v>
      </c>
      <c r="K73" s="9" t="str">
        <f>FIXED(VLOOKUP($A73,'Full Sample-Townhouse'!$A:$R,K$1,0),2)</f>
        <v>0.02</v>
      </c>
      <c r="L73" s="3" t="str">
        <f>FIXED(VLOOKUP($A73,'Full Sample-Townhouse'!$A:$R,L$1,0),2)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0.78</v>
      </c>
      <c r="O73" s="9" t="str">
        <f>FIXED(VLOOKUP($A73,'Small Sample 1-Townhouse'!$A:$R,O$1,0),2)</f>
        <v>0.02</v>
      </c>
      <c r="P73" s="3" t="str">
        <f>FIXED(VLOOKUP($A73,'Small Sample 1-Townhouse'!$A:$R,P$1,0),2)</f>
        <v>0.04</v>
      </c>
      <c r="Q73" s="3" t="str">
        <f>FIXED(VLOOKUP($A73,'Small Sample 1-Townhouse'!$A:$R,Q$1,0),2)</f>
        <v>0.00</v>
      </c>
      <c r="R73" s="3" t="str">
        <f>FIXED(VLOOKUP($A73,'Small Sample 1-Townhouse'!$A:$R,R$1,0),2)</f>
        <v>0.78</v>
      </c>
      <c r="S73" s="9" t="str">
        <f>FIXED(VLOOKUP($A73,'Small Sample 1-Townhouse'!$A:$R,S$1,0),2)</f>
        <v>0.02</v>
      </c>
      <c r="T73" s="3" t="str">
        <f>FIXED(VLOOKUP($A73,'Small Sample 1-Townhouse'!$A:$R,T$1,0),2)</f>
        <v>0.03</v>
      </c>
      <c r="U73" s="3" t="str">
        <f>FIXED(VLOOKUP($A73,'Small Sample 1-Townhouse'!$A:$R,U$1,0),2)</f>
        <v>0.00</v>
      </c>
      <c r="V73" s="13" t="str">
        <f>FIXED(VLOOKUP($A73,'Small Sample 1-Townhouse'!$A:$R,V$1,0),2)</f>
        <v>0.19</v>
      </c>
      <c r="W73" s="9" t="str">
        <f>FIXED(VLOOKUP($A73,'Small Sample 1-Townhouse'!$A:$R,W$1,0),2)</f>
        <v>0.02</v>
      </c>
      <c r="X73" s="3" t="str">
        <f>FIXED(VLOOKUP($A73,'Small Sample 1-Townhouse'!$A:$R,X$1,0),2)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0.78</v>
      </c>
      <c r="AA73" s="9" t="str">
        <f>FIXED(VLOOKUP($A73,'Small Sample 2-Townhouse'!$A:$R,AA$1,0),2)</f>
        <v>0.02</v>
      </c>
      <c r="AB73" s="3" t="str">
        <f>FIXED(VLOOKUP($A73,'Small Sample 2-Townhouse'!$A:$R,AB$1,0),2)</f>
        <v>0.03</v>
      </c>
      <c r="AC73" s="3" t="str">
        <f>FIXED(VLOOKUP($A73,'Small Sample 2-Townhouse'!$A:$R,AC$1,0),2)</f>
        <v>0.00</v>
      </c>
      <c r="AD73" s="3" t="str">
        <f>FIXED(VLOOKUP($A73,'Small Sample 2-Townhouse'!$A:$R,AD$1,0),2)</f>
        <v>0.78</v>
      </c>
      <c r="AE73" s="9" t="str">
        <f>FIXED(VLOOKUP($A73,'Small Sample 2-Townhouse'!$A:$R,AE$1,0),2)</f>
        <v>0.02</v>
      </c>
      <c r="AF73" s="3" t="str">
        <f>FIXED(VLOOKUP($A73,'Small Sample 2-Townhouse'!$A:$R,AF$1,0),2)</f>
        <v>0.03</v>
      </c>
      <c r="AG73" s="3" t="str">
        <f>FIXED(VLOOKUP($A73,'Small Sample 2-Townhouse'!$A:$R,AG$1,0),2)</f>
        <v>0.00</v>
      </c>
      <c r="AH73" s="13" t="str">
        <f>FIXED(VLOOKUP($A73,'Small Sample 2-Townhouse'!$A:$R,AH$1,0),2)</f>
        <v>0.78</v>
      </c>
      <c r="AI73" s="9" t="str">
        <f>FIXED(VLOOKUP($A73,'Small Sample 2-Townhouse'!$A:$R,AI$1,0),2)</f>
        <v>0.02</v>
      </c>
      <c r="AJ73" s="3" t="str">
        <f>FIXED(VLOOKUP($A73,'Small Sample 2-Townhouse'!$A:$R,AJ$1,0),2)</f>
        <v>0.04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Sample-Townhouse'!$A:$R,C$1,0),2)</f>
        <v>0.43</v>
      </c>
      <c r="D74" s="3" t="str">
        <f>FIXED(VLOOKUP($A74,'Full Sample-Townhouse'!$A:$R,D$1,0),2)</f>
        <v>0.18</v>
      </c>
      <c r="E74" s="3" t="str">
        <f>FIXED(VLOOKUP($A74,'Full Sample-Townhouse'!$A:$R,E$1,0),2)</f>
        <v>0.00</v>
      </c>
      <c r="F74" s="3" t="str">
        <f>FIXED(VLOOKUP($A74,'Full Sample-Townhouse'!$A:$R,F$1,0),2)</f>
        <v>1.00</v>
      </c>
      <c r="G74" s="9" t="str">
        <f>FIXED(VLOOKUP($A74,'Full Sample-Townhouse'!$A:$R,G$1,0),2)</f>
        <v>0.43</v>
      </c>
      <c r="H74" s="3" t="str">
        <f>FIXED(VLOOKUP($A74,'Full Sample-Townhouse'!$A:$R,H$1,0),2)</f>
        <v>0.18</v>
      </c>
      <c r="I74" s="3" t="str">
        <f>FIXED(VLOOKUP($A74,'Full Sample-Townhouse'!$A:$R,I$1,0),2)</f>
        <v>0.00</v>
      </c>
      <c r="J74" s="13" t="str">
        <f>FIXED(VLOOKUP($A74,'Full Sample-Townhouse'!$A:$R,J$1,0),2)</f>
        <v>1.00</v>
      </c>
      <c r="K74" s="9" t="str">
        <f>FIXED(VLOOKUP($A74,'Full Sample-Townhouse'!$A:$R,K$1,0),2)</f>
        <v>0.44</v>
      </c>
      <c r="L74" s="3" t="str">
        <f>FIXED(VLOOKUP($A74,'Full Sample-Townhouse'!$A:$R,L$1,0),2)</f>
        <v>0.19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1-Townhouse'!$A:$R,O$1,0),2)</f>
        <v>0.44</v>
      </c>
      <c r="P74" s="3" t="str">
        <f>FIXED(VLOOKUP($A74,'Small Sample 1-Townhouse'!$A:$R,P$1,0),2)</f>
        <v>0.18</v>
      </c>
      <c r="Q74" s="3" t="str">
        <f>FIXED(VLOOKUP($A74,'Small Sample 1-Townhouse'!$A:$R,Q$1,0),2)</f>
        <v>0.00</v>
      </c>
      <c r="R74" s="3" t="str">
        <f>FIXED(VLOOKUP($A74,'Small Sample 1-Townhouse'!$A:$R,R$1,0),2)</f>
        <v>1.00</v>
      </c>
      <c r="S74" s="9" t="str">
        <f>FIXED(VLOOKUP($A74,'Small Sample 1-Townhouse'!$A:$R,S$1,0),2)</f>
        <v>0.44</v>
      </c>
      <c r="T74" s="3" t="str">
        <f>FIXED(VLOOKUP($A74,'Small Sample 1-Townhouse'!$A:$R,T$1,0),2)</f>
        <v>0.18</v>
      </c>
      <c r="U74" s="3" t="str">
        <f>FIXED(VLOOKUP($A74,'Small Sample 1-Townhouse'!$A:$R,U$1,0),2)</f>
        <v>0.00</v>
      </c>
      <c r="V74" s="13" t="str">
        <f>FIXED(VLOOKUP($A74,'Small Sample 1-Townhouse'!$A:$R,V$1,0),2)</f>
        <v>1.00</v>
      </c>
      <c r="W74" s="9" t="str">
        <f>FIXED(VLOOKUP($A74,'Small Sample 1-Townhouse'!$A:$R,W$1,0),2)</f>
        <v>0.44</v>
      </c>
      <c r="X74" s="3" t="str">
        <f>FIXED(VLOOKUP($A74,'Small Sample 1-Townhouse'!$A:$R,X$1,0),2)</f>
        <v>0.19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2-Townhouse'!$A:$R,AA$1,0),2)</f>
        <v>0.44</v>
      </c>
      <c r="AB74" s="3" t="str">
        <f>FIXED(VLOOKUP($A74,'Small Sample 2-Townhouse'!$A:$R,AB$1,0),2)</f>
        <v>0.18</v>
      </c>
      <c r="AC74" s="3" t="str">
        <f>FIXED(VLOOKUP($A74,'Small Sample 2-Townhouse'!$A:$R,AC$1,0),2)</f>
        <v>0.00</v>
      </c>
      <c r="AD74" s="3" t="str">
        <f>FIXED(VLOOKUP($A74,'Small Sample 2-Townhouse'!$A:$R,AD$1,0),2)</f>
        <v>1.00</v>
      </c>
      <c r="AE74" s="9" t="str">
        <f>FIXED(VLOOKUP($A74,'Small Sample 2-Townhouse'!$A:$R,AE$1,0),2)</f>
        <v>0.43</v>
      </c>
      <c r="AF74" s="3" t="str">
        <f>FIXED(VLOOKUP($A74,'Small Sample 2-Townhouse'!$A:$R,AF$1,0),2)</f>
        <v>0.18</v>
      </c>
      <c r="AG74" s="3" t="str">
        <f>FIXED(VLOOKUP($A74,'Small Sample 2-Townhouse'!$A:$R,AG$1,0),2)</f>
        <v>0.00</v>
      </c>
      <c r="AH74" s="13" t="str">
        <f>FIXED(VLOOKUP($A74,'Small Sample 2-Townhouse'!$A:$R,AH$1,0),2)</f>
        <v>1.00</v>
      </c>
      <c r="AI74" s="9" t="str">
        <f>FIXED(VLOOKUP($A74,'Small Sample 2-Townhouse'!$A:$R,AI$1,0),2)</f>
        <v>0.46</v>
      </c>
      <c r="AJ74" s="3" t="str">
        <f>FIXED(VLOOKUP($A74,'Small Sample 2-Townhouse'!$A:$R,AJ$1,0),2)</f>
        <v>0.19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Sample-Townhouse'!$A:$R,C$1,0),2)</f>
        <v>0.06</v>
      </c>
      <c r="D75" s="3" t="str">
        <f>FIXED(VLOOKUP($A75,'Full Sample-Townhouse'!$A:$R,D$1,0),2)</f>
        <v>0.08</v>
      </c>
      <c r="E75" s="3" t="str">
        <f>FIXED(VLOOKUP($A75,'Full Sample-Townhouse'!$A:$R,E$1,0),2)</f>
        <v>0.00</v>
      </c>
      <c r="F75" s="3" t="str">
        <f>FIXED(VLOOKUP($A75,'Full Sample-Townhouse'!$A:$R,F$1,0),2)</f>
        <v>0.64</v>
      </c>
      <c r="G75" s="9" t="str">
        <f>FIXED(VLOOKUP($A75,'Full Sample-Townhouse'!$A:$R,G$1,0),2)</f>
        <v>0.06</v>
      </c>
      <c r="H75" s="3" t="str">
        <f>FIXED(VLOOKUP($A75,'Full Sample-Townhouse'!$A:$R,H$1,0),2)</f>
        <v>0.07</v>
      </c>
      <c r="I75" s="3" t="str">
        <f>FIXED(VLOOKUP($A75,'Full Sample-Townhouse'!$A:$R,I$1,0),2)</f>
        <v>0.00</v>
      </c>
      <c r="J75" s="13" t="str">
        <f>FIXED(VLOOKUP($A75,'Full Sample-Townhouse'!$A:$R,J$1,0),2)</f>
        <v>0.56</v>
      </c>
      <c r="K75" s="9" t="str">
        <f>FIXED(VLOOKUP($A75,'Full Sample-Townhouse'!$A:$R,K$1,0),2)</f>
        <v>0.06</v>
      </c>
      <c r="L75" s="3" t="str">
        <f>FIXED(VLOOKUP($A75,'Full Sample-Townhouse'!$A:$R,L$1,0),2)</f>
        <v>0.09</v>
      </c>
      <c r="M75" s="3" t="str">
        <f>FIXED(VLOOKUP($A75,'Full Sample-No Sub'!$A:$R,M$1,0),2)</f>
        <v>0.00</v>
      </c>
      <c r="N75" s="13" t="str">
        <f>FIXED(VLOOKUP($A75,'Full Sample-No Sub'!$A:$R,N$1,0),2)</f>
        <v>0.71</v>
      </c>
      <c r="O75" s="9" t="str">
        <f>FIXED(VLOOKUP($A75,'Small Sample 1-Townhouse'!$A:$R,O$1,0),2)</f>
        <v>0.06</v>
      </c>
      <c r="P75" s="3" t="str">
        <f>FIXED(VLOOKUP($A75,'Small Sample 1-Townhouse'!$A:$R,P$1,0),2)</f>
        <v>0.08</v>
      </c>
      <c r="Q75" s="3" t="str">
        <f>FIXED(VLOOKUP($A75,'Small Sample 1-Townhouse'!$A:$R,Q$1,0),2)</f>
        <v>0.00</v>
      </c>
      <c r="R75" s="3" t="str">
        <f>FIXED(VLOOKUP($A75,'Small Sample 1-Townhouse'!$A:$R,R$1,0),2)</f>
        <v>0.64</v>
      </c>
      <c r="S75" s="9" t="str">
        <f>FIXED(VLOOKUP($A75,'Small Sample 1-Townhouse'!$A:$R,S$1,0),2)</f>
        <v>0.06</v>
      </c>
      <c r="T75" s="3" t="str">
        <f>FIXED(VLOOKUP($A75,'Small Sample 1-Townhouse'!$A:$R,T$1,0),2)</f>
        <v>0.07</v>
      </c>
      <c r="U75" s="3" t="str">
        <f>FIXED(VLOOKUP($A75,'Small Sample 1-Townhouse'!$A:$R,U$1,0),2)</f>
        <v>0.00</v>
      </c>
      <c r="V75" s="13" t="str">
        <f>FIXED(VLOOKUP($A75,'Small Sample 1-Townhouse'!$A:$R,V$1,0),2)</f>
        <v>0.56</v>
      </c>
      <c r="W75" s="9" t="str">
        <f>FIXED(VLOOKUP($A75,'Small Sample 1-Townhouse'!$A:$R,W$1,0),2)</f>
        <v>0.06</v>
      </c>
      <c r="X75" s="3" t="str">
        <f>FIXED(VLOOKUP($A75,'Small Sample 1-Townhouse'!$A:$R,X$1,0),2)</f>
        <v>0.09</v>
      </c>
      <c r="Y75" s="3" t="str">
        <f>FIXED(VLOOKUP($A75,'Small Sample 1-No Sub'!$A:$R,Y$1,0),2)</f>
        <v>0.00</v>
      </c>
      <c r="Z75" s="3" t="str">
        <f>FIXED(VLOOKUP($A75,'Small Sample 1-No Sub'!$A:$R,Z$1,0),2)</f>
        <v>0.71</v>
      </c>
      <c r="AA75" s="9" t="str">
        <f>FIXED(VLOOKUP($A75,'Small Sample 2-Townhouse'!$A:$R,AA$1,0),2)</f>
        <v>0.06</v>
      </c>
      <c r="AB75" s="3" t="str">
        <f>FIXED(VLOOKUP($A75,'Small Sample 2-Townhouse'!$A:$R,AB$1,0),2)</f>
        <v>0.08</v>
      </c>
      <c r="AC75" s="3" t="str">
        <f>FIXED(VLOOKUP($A75,'Small Sample 2-Townhouse'!$A:$R,AC$1,0),2)</f>
        <v>0.00</v>
      </c>
      <c r="AD75" s="3" t="str">
        <f>FIXED(VLOOKUP($A75,'Small Sample 2-Townhouse'!$A:$R,AD$1,0),2)</f>
        <v>0.64</v>
      </c>
      <c r="AE75" s="9" t="str">
        <f>FIXED(VLOOKUP($A75,'Small Sample 2-Townhouse'!$A:$R,AE$1,0),2)</f>
        <v>0.06</v>
      </c>
      <c r="AF75" s="3" t="str">
        <f>FIXED(VLOOKUP($A75,'Small Sample 2-Townhouse'!$A:$R,AF$1,0),2)</f>
        <v>0.07</v>
      </c>
      <c r="AG75" s="3" t="str">
        <f>FIXED(VLOOKUP($A75,'Small Sample 2-Townhouse'!$A:$R,AG$1,0),2)</f>
        <v>0.00</v>
      </c>
      <c r="AH75" s="13" t="str">
        <f>FIXED(VLOOKUP($A75,'Small Sample 2-Townhouse'!$A:$R,AH$1,0),2)</f>
        <v>0.56</v>
      </c>
      <c r="AI75" s="9" t="str">
        <f>FIXED(VLOOKUP($A75,'Small Sample 2-Townhouse'!$A:$R,AI$1,0),2)</f>
        <v>0.06</v>
      </c>
      <c r="AJ75" s="3" t="str">
        <f>FIXED(VLOOKUP($A75,'Small Sample 2-Townhouse'!$A:$R,AJ$1,0),2)</f>
        <v>0.09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Sample-Townhouse'!$A:$R,C$1,0),2)</f>
        <v>0.82</v>
      </c>
      <c r="D76" s="3" t="str">
        <f>FIXED(VLOOKUP($A76,'Full Sample-Townhouse'!$A:$R,D$1,0),2)</f>
        <v>0.20</v>
      </c>
      <c r="E76" s="3" t="str">
        <f>FIXED(VLOOKUP($A76,'Full Sample-Townhouse'!$A:$R,E$1,0),2)</f>
        <v>0.07</v>
      </c>
      <c r="F76" s="3" t="str">
        <f>FIXED(VLOOKUP($A76,'Full Sample-Townhouse'!$A:$R,F$1,0),2)</f>
        <v>1.00</v>
      </c>
      <c r="G76" s="9" t="str">
        <f>FIXED(VLOOKUP($A76,'Full Sample-Townhouse'!$A:$R,G$1,0),2)</f>
        <v>0.82</v>
      </c>
      <c r="H76" s="3" t="str">
        <f>FIXED(VLOOKUP($A76,'Full Sample-Townhouse'!$A:$R,H$1,0),2)</f>
        <v>0.21</v>
      </c>
      <c r="I76" s="3" t="str">
        <f>FIXED(VLOOKUP($A76,'Full Sample-Townhouse'!$A:$R,I$1,0),2)</f>
        <v>0.07</v>
      </c>
      <c r="J76" s="13" t="str">
        <f>FIXED(VLOOKUP($A76,'Full Sample-Townhouse'!$A:$R,J$1,0),2)</f>
        <v>1.00</v>
      </c>
      <c r="K76" s="9" t="str">
        <f>FIXED(VLOOKUP($A76,'Full Sample-Townhouse'!$A:$R,K$1,0),2)</f>
        <v>0.83</v>
      </c>
      <c r="L76" s="3" t="str">
        <f>FIXED(VLOOKUP($A76,'Full Sample-Townhouse'!$A:$R,L$1,0),2)</f>
        <v>0.19</v>
      </c>
      <c r="M76" s="3" t="str">
        <f>FIXED(VLOOKUP($A76,'Full Sample-No Sub'!$A:$R,M$1,0),2)</f>
        <v>0.07</v>
      </c>
      <c r="N76" s="13" t="str">
        <f>FIXED(VLOOKUP($A76,'Full Sample-No Sub'!$A:$R,N$1,0),2)</f>
        <v>1.00</v>
      </c>
      <c r="O76" s="9" t="str">
        <f>FIXED(VLOOKUP($A76,'Small Sample 1-Townhouse'!$A:$R,O$1,0),2)</f>
        <v>0.82</v>
      </c>
      <c r="P76" s="3" t="str">
        <f>FIXED(VLOOKUP($A76,'Small Sample 1-Townhouse'!$A:$R,P$1,0),2)</f>
        <v>0.20</v>
      </c>
      <c r="Q76" s="3" t="str">
        <f>FIXED(VLOOKUP($A76,'Small Sample 1-Townhouse'!$A:$R,Q$1,0),2)</f>
        <v>0.07</v>
      </c>
      <c r="R76" s="3" t="str">
        <f>FIXED(VLOOKUP($A76,'Small Sample 1-Townhouse'!$A:$R,R$1,0),2)</f>
        <v>1.00</v>
      </c>
      <c r="S76" s="9" t="str">
        <f>FIXED(VLOOKUP($A76,'Small Sample 1-Townhouse'!$A:$R,S$1,0),2)</f>
        <v>0.81</v>
      </c>
      <c r="T76" s="3" t="str">
        <f>FIXED(VLOOKUP($A76,'Small Sample 1-Townhouse'!$A:$R,T$1,0),2)</f>
        <v>0.21</v>
      </c>
      <c r="U76" s="3" t="str">
        <f>FIXED(VLOOKUP($A76,'Small Sample 1-Townhouse'!$A:$R,U$1,0),2)</f>
        <v>0.07</v>
      </c>
      <c r="V76" s="13" t="str">
        <f>FIXED(VLOOKUP($A76,'Small Sample 1-Townhouse'!$A:$R,V$1,0),2)</f>
        <v>1.00</v>
      </c>
      <c r="W76" s="9" t="str">
        <f>FIXED(VLOOKUP($A76,'Small Sample 1-Townhouse'!$A:$R,W$1,0),2)</f>
        <v>0.83</v>
      </c>
      <c r="X76" s="3" t="str">
        <f>FIXED(VLOOKUP($A76,'Small Sample 1-Townhouse'!$A:$R,X$1,0),2)</f>
        <v>0.19</v>
      </c>
      <c r="Y76" s="3" t="str">
        <f>FIXED(VLOOKUP($A76,'Small Sample 1-No Sub'!$A:$R,Y$1,0),2)</f>
        <v>0.07</v>
      </c>
      <c r="Z76" s="3" t="str">
        <f>FIXED(VLOOKUP($A76,'Small Sample 1-No Sub'!$A:$R,Z$1,0),2)</f>
        <v>1.00</v>
      </c>
      <c r="AA76" s="9" t="str">
        <f>FIXED(VLOOKUP($A76,'Small Sample 2-Townhouse'!$A:$R,AA$1,0),2)</f>
        <v>0.82</v>
      </c>
      <c r="AB76" s="3" t="str">
        <f>FIXED(VLOOKUP($A76,'Small Sample 2-Townhouse'!$A:$R,AB$1,0),2)</f>
        <v>0.20</v>
      </c>
      <c r="AC76" s="3" t="str">
        <f>FIXED(VLOOKUP($A76,'Small Sample 2-Townhouse'!$A:$R,AC$1,0),2)</f>
        <v>0.07</v>
      </c>
      <c r="AD76" s="3" t="str">
        <f>FIXED(VLOOKUP($A76,'Small Sample 2-Townhouse'!$A:$R,AD$1,0),2)</f>
        <v>1.00</v>
      </c>
      <c r="AE76" s="9" t="str">
        <f>FIXED(VLOOKUP($A76,'Small Sample 2-Townhouse'!$A:$R,AE$1,0),2)</f>
        <v>0.81</v>
      </c>
      <c r="AF76" s="3" t="str">
        <f>FIXED(VLOOKUP($A76,'Small Sample 2-Townhouse'!$A:$R,AF$1,0),2)</f>
        <v>0.21</v>
      </c>
      <c r="AG76" s="3" t="str">
        <f>FIXED(VLOOKUP($A76,'Small Sample 2-Townhouse'!$A:$R,AG$1,0),2)</f>
        <v>0.07</v>
      </c>
      <c r="AH76" s="13" t="str">
        <f>FIXED(VLOOKUP($A76,'Small Sample 2-Townhouse'!$A:$R,AH$1,0),2)</f>
        <v>1.00</v>
      </c>
      <c r="AI76" s="9" t="str">
        <f>FIXED(VLOOKUP($A76,'Small Sample 2-Townhouse'!$A:$R,AI$1,0),2)</f>
        <v>0.82</v>
      </c>
      <c r="AJ76" s="3" t="str">
        <f>FIXED(VLOOKUP($A76,'Small Sample 2-Townhouse'!$A:$R,AJ$1,0),2)</f>
        <v>0.19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Sample-Townhouse'!$A:$R,C$1,0),2)</f>
        <v>0.18</v>
      </c>
      <c r="D77" s="3" t="str">
        <f>FIXED(VLOOKUP($A77,'Full Sample-Townhouse'!$A:$R,D$1,0),2)</f>
        <v>0.20</v>
      </c>
      <c r="E77" s="3" t="str">
        <f>FIXED(VLOOKUP($A77,'Full Sample-Townhouse'!$A:$R,E$1,0),2)</f>
        <v>0.00</v>
      </c>
      <c r="F77" s="3" t="str">
        <f>FIXED(VLOOKUP($A77,'Full Sample-Townhouse'!$A:$R,F$1,0),2)</f>
        <v>0.93</v>
      </c>
      <c r="G77" s="9" t="str">
        <f>FIXED(VLOOKUP($A77,'Full Sample-Townhouse'!$A:$R,G$1,0),2)</f>
        <v>0.18</v>
      </c>
      <c r="H77" s="3" t="str">
        <f>FIXED(VLOOKUP($A77,'Full Sample-Townhouse'!$A:$R,H$1,0),2)</f>
        <v>0.21</v>
      </c>
      <c r="I77" s="3" t="str">
        <f>FIXED(VLOOKUP($A77,'Full Sample-Townhouse'!$A:$R,I$1,0),2)</f>
        <v>0.00</v>
      </c>
      <c r="J77" s="13" t="str">
        <f>FIXED(VLOOKUP($A77,'Full Sample-Townhouse'!$A:$R,J$1,0),2)</f>
        <v>0.93</v>
      </c>
      <c r="K77" s="9" t="str">
        <f>FIXED(VLOOKUP($A77,'Full Sample-Townhouse'!$A:$R,K$1,0),2)</f>
        <v>0.17</v>
      </c>
      <c r="L77" s="3" t="str">
        <f>FIXED(VLOOKUP($A77,'Full Sample-Townhouse'!$A:$R,L$1,0),2)</f>
        <v>0.19</v>
      </c>
      <c r="M77" s="3" t="str">
        <f>FIXED(VLOOKUP($A77,'Full Sample-No Sub'!$A:$R,M$1,0),2)</f>
        <v>0.00</v>
      </c>
      <c r="N77" s="13" t="str">
        <f>FIXED(VLOOKUP($A77,'Full Sample-No Sub'!$A:$R,N$1,0),2)</f>
        <v>0.93</v>
      </c>
      <c r="O77" s="9" t="str">
        <f>FIXED(VLOOKUP($A77,'Small Sample 1-Townhouse'!$A:$R,O$1,0),2)</f>
        <v>0.18</v>
      </c>
      <c r="P77" s="3" t="str">
        <f>FIXED(VLOOKUP($A77,'Small Sample 1-Townhouse'!$A:$R,P$1,0),2)</f>
        <v>0.20</v>
      </c>
      <c r="Q77" s="3" t="str">
        <f>FIXED(VLOOKUP($A77,'Small Sample 1-Townhouse'!$A:$R,Q$1,0),2)</f>
        <v>0.00</v>
      </c>
      <c r="R77" s="3" t="str">
        <f>FIXED(VLOOKUP($A77,'Small Sample 1-Townhouse'!$A:$R,R$1,0),2)</f>
        <v>0.93</v>
      </c>
      <c r="S77" s="9" t="str">
        <f>FIXED(VLOOKUP($A77,'Small Sample 1-Townhouse'!$A:$R,S$1,0),2)</f>
        <v>0.19</v>
      </c>
      <c r="T77" s="3" t="str">
        <f>FIXED(VLOOKUP($A77,'Small Sample 1-Townhouse'!$A:$R,T$1,0),2)</f>
        <v>0.21</v>
      </c>
      <c r="U77" s="3" t="str">
        <f>FIXED(VLOOKUP($A77,'Small Sample 1-Townhouse'!$A:$R,U$1,0),2)</f>
        <v>0.00</v>
      </c>
      <c r="V77" s="13" t="str">
        <f>FIXED(VLOOKUP($A77,'Small Sample 1-Townhouse'!$A:$R,V$1,0),2)</f>
        <v>0.93</v>
      </c>
      <c r="W77" s="9" t="str">
        <f>FIXED(VLOOKUP($A77,'Small Sample 1-Townhouse'!$A:$R,W$1,0),2)</f>
        <v>0.17</v>
      </c>
      <c r="X77" s="3" t="str">
        <f>FIXED(VLOOKUP($A77,'Small Sample 1-Townhouse'!$A:$R,X$1,0),2)</f>
        <v>0.19</v>
      </c>
      <c r="Y77" s="3" t="str">
        <f>FIXED(VLOOKUP($A77,'Small Sample 1-No Sub'!$A:$R,Y$1,0),2)</f>
        <v>0.00</v>
      </c>
      <c r="Z77" s="3" t="str">
        <f>FIXED(VLOOKUP($A77,'Small Sample 1-No Sub'!$A:$R,Z$1,0),2)</f>
        <v>0.93</v>
      </c>
      <c r="AA77" s="9" t="str">
        <f>FIXED(VLOOKUP($A77,'Small Sample 2-Townhouse'!$A:$R,AA$1,0),2)</f>
        <v>0.18</v>
      </c>
      <c r="AB77" s="3" t="str">
        <f>FIXED(VLOOKUP($A77,'Small Sample 2-Townhouse'!$A:$R,AB$1,0),2)</f>
        <v>0.20</v>
      </c>
      <c r="AC77" s="3" t="str">
        <f>FIXED(VLOOKUP($A77,'Small Sample 2-Townhouse'!$A:$R,AC$1,0),2)</f>
        <v>0.00</v>
      </c>
      <c r="AD77" s="3" t="str">
        <f>FIXED(VLOOKUP($A77,'Small Sample 2-Townhouse'!$A:$R,AD$1,0),2)</f>
        <v>0.93</v>
      </c>
      <c r="AE77" s="9" t="str">
        <f>FIXED(VLOOKUP($A77,'Small Sample 2-Townhouse'!$A:$R,AE$1,0),2)</f>
        <v>0.19</v>
      </c>
      <c r="AF77" s="3" t="str">
        <f>FIXED(VLOOKUP($A77,'Small Sample 2-Townhouse'!$A:$R,AF$1,0),2)</f>
        <v>0.21</v>
      </c>
      <c r="AG77" s="3" t="str">
        <f>FIXED(VLOOKUP($A77,'Small Sample 2-Townhouse'!$A:$R,AG$1,0),2)</f>
        <v>0.00</v>
      </c>
      <c r="AH77" s="13" t="str">
        <f>FIXED(VLOOKUP($A77,'Small Sample 2-Townhouse'!$A:$R,AH$1,0),2)</f>
        <v>0.93</v>
      </c>
      <c r="AI77" s="9" t="str">
        <f>FIXED(VLOOKUP($A77,'Small Sample 2-Townhouse'!$A:$R,AI$1,0),2)</f>
        <v>0.18</v>
      </c>
      <c r="AJ77" s="3" t="str">
        <f>FIXED(VLOOKUP($A77,'Small Sample 2-Townhouse'!$A:$R,AJ$1,0),2)</f>
        <v>0.19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Sample-Townhouse'!$A:$R,C$1,0),2)</f>
        <v>0.55</v>
      </c>
      <c r="D78" s="3" t="str">
        <f>FIXED(VLOOKUP($A78,'Full Sample-Townhouse'!$A:$R,D$1,0),2)</f>
        <v>0.19</v>
      </c>
      <c r="E78" s="3" t="str">
        <f>FIXED(VLOOKUP($A78,'Full Sample-Townhouse'!$A:$R,E$1,0),2)</f>
        <v>0.00</v>
      </c>
      <c r="F78" s="3" t="str">
        <f>FIXED(VLOOKUP($A78,'Full Sample-Townhouse'!$A:$R,F$1,0),2)</f>
        <v>1.00</v>
      </c>
      <c r="G78" s="9" t="str">
        <f>FIXED(VLOOKUP($A78,'Full Sample-Townhouse'!$A:$R,G$1,0),2)</f>
        <v>0.53</v>
      </c>
      <c r="H78" s="3" t="str">
        <f>FIXED(VLOOKUP($A78,'Full Sample-Townhouse'!$A:$R,H$1,0),2)</f>
        <v>0.19</v>
      </c>
      <c r="I78" s="3" t="str">
        <f>FIXED(VLOOKUP($A78,'Full Sample-Townhouse'!$A:$R,I$1,0),2)</f>
        <v>0.00</v>
      </c>
      <c r="J78" s="13" t="str">
        <f>FIXED(VLOOKUP($A78,'Full Sample-Townhouse'!$A:$R,J$1,0),2)</f>
        <v>1.00</v>
      </c>
      <c r="K78" s="9" t="str">
        <f>FIXED(VLOOKUP($A78,'Full Sample-Townhouse'!$A:$R,K$1,0),2)</f>
        <v>0.57</v>
      </c>
      <c r="L78" s="3" t="str">
        <f>FIXED(VLOOKUP($A78,'Full Sample-Townhouse'!$A:$R,L$1,0),2)</f>
        <v>0.20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1-Townhouse'!$A:$R,O$1,0),2)</f>
        <v>0.55</v>
      </c>
      <c r="P78" s="3" t="str">
        <f>FIXED(VLOOKUP($A78,'Small Sample 1-Townhouse'!$A:$R,P$1,0),2)</f>
        <v>0.19</v>
      </c>
      <c r="Q78" s="3" t="str">
        <f>FIXED(VLOOKUP($A78,'Small Sample 1-Townhouse'!$A:$R,Q$1,0),2)</f>
        <v>0.00</v>
      </c>
      <c r="R78" s="3" t="str">
        <f>FIXED(VLOOKUP($A78,'Small Sample 1-Townhouse'!$A:$R,R$1,0),2)</f>
        <v>1.00</v>
      </c>
      <c r="S78" s="9" t="str">
        <f>FIXED(VLOOKUP($A78,'Small Sample 1-Townhouse'!$A:$R,S$1,0),2)</f>
        <v>0.52</v>
      </c>
      <c r="T78" s="3" t="str">
        <f>FIXED(VLOOKUP($A78,'Small Sample 1-Townhouse'!$A:$R,T$1,0),2)</f>
        <v>0.19</v>
      </c>
      <c r="U78" s="3" t="str">
        <f>FIXED(VLOOKUP($A78,'Small Sample 1-Townhouse'!$A:$R,U$1,0),2)</f>
        <v>0.00</v>
      </c>
      <c r="V78" s="13" t="str">
        <f>FIXED(VLOOKUP($A78,'Small Sample 1-Townhouse'!$A:$R,V$1,0),2)</f>
        <v>1.00</v>
      </c>
      <c r="W78" s="9" t="str">
        <f>FIXED(VLOOKUP($A78,'Small Sample 1-Townhouse'!$A:$R,W$1,0),2)</f>
        <v>0.57</v>
      </c>
      <c r="X78" s="3" t="str">
        <f>FIXED(VLOOKUP($A78,'Small Sample 1-Townhouse'!$A:$R,X$1,0),2)</f>
        <v>0.20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2-Townhouse'!$A:$R,AA$1,0),2)</f>
        <v>0.54</v>
      </c>
      <c r="AB78" s="3" t="str">
        <f>FIXED(VLOOKUP($A78,'Small Sample 2-Townhouse'!$A:$R,AB$1,0),2)</f>
        <v>0.19</v>
      </c>
      <c r="AC78" s="3" t="str">
        <f>FIXED(VLOOKUP($A78,'Small Sample 2-Townhouse'!$A:$R,AC$1,0),2)</f>
        <v>0.00</v>
      </c>
      <c r="AD78" s="3" t="str">
        <f>FIXED(VLOOKUP($A78,'Small Sample 2-Townhouse'!$A:$R,AD$1,0),2)</f>
        <v>1.00</v>
      </c>
      <c r="AE78" s="9" t="str">
        <f>FIXED(VLOOKUP($A78,'Small Sample 2-Townhouse'!$A:$R,AE$1,0),2)</f>
        <v>0.53</v>
      </c>
      <c r="AF78" s="3" t="str">
        <f>FIXED(VLOOKUP($A78,'Small Sample 2-Townhouse'!$A:$R,AF$1,0),2)</f>
        <v>0.19</v>
      </c>
      <c r="AG78" s="3" t="str">
        <f>FIXED(VLOOKUP($A78,'Small Sample 2-Townhouse'!$A:$R,AG$1,0),2)</f>
        <v>0.00</v>
      </c>
      <c r="AH78" s="13" t="str">
        <f>FIXED(VLOOKUP($A78,'Small Sample 2-Townhouse'!$A:$R,AH$1,0),2)</f>
        <v>1.00</v>
      </c>
      <c r="AI78" s="9" t="str">
        <f>FIXED(VLOOKUP($A78,'Small Sample 2-Townhouse'!$A:$R,AI$1,0),2)</f>
        <v>0.56</v>
      </c>
      <c r="AJ78" s="3" t="str">
        <f>FIXED(VLOOKUP($A78,'Small Sample 2-Townhouse'!$A:$R,AJ$1,0),2)</f>
        <v>0.20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Sample-Townhouse'!$A:$R,C$1,0),2)</f>
        <v>0.45</v>
      </c>
      <c r="D79" s="3" t="str">
        <f>FIXED(VLOOKUP($A79,'Full Sample-Townhouse'!$A:$R,D$1,0),2)</f>
        <v>0.19</v>
      </c>
      <c r="E79" s="3" t="str">
        <f>FIXED(VLOOKUP($A79,'Full Sample-Townhouse'!$A:$R,E$1,0),2)</f>
        <v>0.00</v>
      </c>
      <c r="F79" s="3" t="str">
        <f>FIXED(VLOOKUP($A79,'Full Sample-Townhouse'!$A:$R,F$1,0),2)</f>
        <v>1.00</v>
      </c>
      <c r="G79" s="9" t="str">
        <f>FIXED(VLOOKUP($A79,'Full Sample-Townhouse'!$A:$R,G$1,0),2)</f>
        <v>0.47</v>
      </c>
      <c r="H79" s="3" t="str">
        <f>FIXED(VLOOKUP($A79,'Full Sample-Townhouse'!$A:$R,H$1,0),2)</f>
        <v>0.19</v>
      </c>
      <c r="I79" s="3" t="str">
        <f>FIXED(VLOOKUP($A79,'Full Sample-Townhouse'!$A:$R,I$1,0),2)</f>
        <v>0.00</v>
      </c>
      <c r="J79" s="13" t="str">
        <f>FIXED(VLOOKUP($A79,'Full Sample-Townhouse'!$A:$R,J$1,0),2)</f>
        <v>1.00</v>
      </c>
      <c r="K79" s="9" t="str">
        <f>FIXED(VLOOKUP($A79,'Full Sample-Townhouse'!$A:$R,K$1,0),2)</f>
        <v>0.43</v>
      </c>
      <c r="L79" s="3" t="str">
        <f>FIXED(VLOOKUP($A79,'Full Sample-Townhouse'!$A:$R,L$1,0),2)</f>
        <v>0.20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1-Townhouse'!$A:$R,O$1,0),2)</f>
        <v>0.45</v>
      </c>
      <c r="P79" s="3" t="str">
        <f>FIXED(VLOOKUP($A79,'Small Sample 1-Townhouse'!$A:$R,P$1,0),2)</f>
        <v>0.19</v>
      </c>
      <c r="Q79" s="3" t="str">
        <f>FIXED(VLOOKUP($A79,'Small Sample 1-Townhouse'!$A:$R,Q$1,0),2)</f>
        <v>0.00</v>
      </c>
      <c r="R79" s="3" t="str">
        <f>FIXED(VLOOKUP($A79,'Small Sample 1-Townhouse'!$A:$R,R$1,0),2)</f>
        <v>1.00</v>
      </c>
      <c r="S79" s="9" t="str">
        <f>FIXED(VLOOKUP($A79,'Small Sample 1-Townhouse'!$A:$R,S$1,0),2)</f>
        <v>0.48</v>
      </c>
      <c r="T79" s="3" t="str">
        <f>FIXED(VLOOKUP($A79,'Small Sample 1-Townhouse'!$A:$R,T$1,0),2)</f>
        <v>0.19</v>
      </c>
      <c r="U79" s="3" t="str">
        <f>FIXED(VLOOKUP($A79,'Small Sample 1-Townhouse'!$A:$R,U$1,0),2)</f>
        <v>0.00</v>
      </c>
      <c r="V79" s="13" t="str">
        <f>FIXED(VLOOKUP($A79,'Small Sample 1-Townhouse'!$A:$R,V$1,0),2)</f>
        <v>1.00</v>
      </c>
      <c r="W79" s="9" t="str">
        <f>FIXED(VLOOKUP($A79,'Small Sample 1-Townhouse'!$A:$R,W$1,0),2)</f>
        <v>0.43</v>
      </c>
      <c r="X79" s="3" t="str">
        <f>FIXED(VLOOKUP($A79,'Small Sample 1-Townhouse'!$A:$R,X$1,0),2)</f>
        <v>0.20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2-Townhouse'!$A:$R,AA$1,0),2)</f>
        <v>0.46</v>
      </c>
      <c r="AB79" s="3" t="str">
        <f>FIXED(VLOOKUP($A79,'Small Sample 2-Townhouse'!$A:$R,AB$1,0),2)</f>
        <v>0.19</v>
      </c>
      <c r="AC79" s="3" t="str">
        <f>FIXED(VLOOKUP($A79,'Small Sample 2-Townhouse'!$A:$R,AC$1,0),2)</f>
        <v>0.00</v>
      </c>
      <c r="AD79" s="3" t="str">
        <f>FIXED(VLOOKUP($A79,'Small Sample 2-Townhouse'!$A:$R,AD$1,0),2)</f>
        <v>1.00</v>
      </c>
      <c r="AE79" s="9" t="str">
        <f>FIXED(VLOOKUP($A79,'Small Sample 2-Townhouse'!$A:$R,AE$1,0),2)</f>
        <v>0.47</v>
      </c>
      <c r="AF79" s="3" t="str">
        <f>FIXED(VLOOKUP($A79,'Small Sample 2-Townhouse'!$A:$R,AF$1,0),2)</f>
        <v>0.19</v>
      </c>
      <c r="AG79" s="3" t="str">
        <f>FIXED(VLOOKUP($A79,'Small Sample 2-Townhouse'!$A:$R,AG$1,0),2)</f>
        <v>0.00</v>
      </c>
      <c r="AH79" s="13" t="str">
        <f>FIXED(VLOOKUP($A79,'Small Sample 2-Townhouse'!$A:$R,AH$1,0),2)</f>
        <v>1.00</v>
      </c>
      <c r="AI79" s="9" t="str">
        <f>FIXED(VLOOKUP($A79,'Small Sample 2-Townhouse'!$A:$R,AI$1,0),2)</f>
        <v>0.44</v>
      </c>
      <c r="AJ79" s="3" t="str">
        <f>FIXED(VLOOKUP($A79,'Small Sample 2-Townhouse'!$A:$R,AJ$1,0),2)</f>
        <v>0.20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28">
        <f>'Full Sample-Townhouse'!B3</f>
        <v>27394</v>
      </c>
      <c r="D81" s="29"/>
      <c r="E81" s="29"/>
      <c r="F81" s="29"/>
      <c r="G81" s="28">
        <f>'Full Sample-Townhouse'!H3</f>
        <v>15766</v>
      </c>
      <c r="H81" s="29"/>
      <c r="I81" s="29"/>
      <c r="J81" s="30"/>
      <c r="K81" s="28">
        <f>'Full Sample-Townhouse'!N3</f>
        <v>11628</v>
      </c>
      <c r="L81" s="29"/>
      <c r="M81" s="29"/>
      <c r="N81" s="30"/>
      <c r="O81" s="28">
        <f>'Small Sample 1-Townhouse'!B3</f>
        <v>23328</v>
      </c>
      <c r="P81" s="29"/>
      <c r="Q81" s="29"/>
      <c r="R81" s="29"/>
      <c r="S81" s="28">
        <f>'Small Sample 1-Townhouse'!H3</f>
        <v>12074</v>
      </c>
      <c r="T81" s="29"/>
      <c r="U81" s="29"/>
      <c r="V81" s="30"/>
      <c r="W81" s="28">
        <f>'Small Sample 1-Townhouse'!N3</f>
        <v>11254</v>
      </c>
      <c r="X81" s="29"/>
      <c r="Y81" s="29"/>
      <c r="Z81" s="29"/>
      <c r="AA81" s="28">
        <f>'Small Sample 2-Townhouse'!B3</f>
        <v>23328</v>
      </c>
      <c r="AB81" s="29"/>
      <c r="AC81" s="29"/>
      <c r="AD81" s="29"/>
      <c r="AE81" s="28">
        <f>'Small Sample 2-Townhouse'!H3</f>
        <v>14677</v>
      </c>
      <c r="AF81" s="29"/>
      <c r="AG81" s="29"/>
      <c r="AH81" s="30"/>
      <c r="AI81" s="28">
        <f>'Small Sample 2-Townhouse'!N3</f>
        <v>8651</v>
      </c>
      <c r="AJ81" s="29"/>
      <c r="AK81" s="29"/>
      <c r="AL81" s="29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Sample-Townhouse'!$A:$R,C$1,0),2)</f>
        <v>26.55</v>
      </c>
      <c r="D85" s="3" t="str">
        <f>FIXED(VLOOKUP($A85,'Full Sample-Townhouse'!$A:$R,D$1,0),2)</f>
        <v>96.92</v>
      </c>
      <c r="E85" s="3" t="str">
        <f>FIXED(VLOOKUP($A85,'Full Sample-Townhouse'!$A:$R,E$1,0),2)</f>
        <v>0.00</v>
      </c>
      <c r="F85" s="3" t="str">
        <f>FIXED(VLOOKUP($A85,'Full Sample-Townhouse'!$A:$R,F$1,0),2)</f>
        <v>1,380.00</v>
      </c>
      <c r="G85" s="3" t="str">
        <f>FIXED(VLOOKUP($A85,'Full Sample-Townhouse'!$A:$R,G$1,0),2)</f>
        <v>22.54</v>
      </c>
      <c r="H85" s="3" t="str">
        <f>FIXED(VLOOKUP($A85,'Full Sample-Townhouse'!$A:$R,H$1,0),2)</f>
        <v>89.25</v>
      </c>
      <c r="I85" s="3" t="str">
        <f>FIXED(VLOOKUP($A85,'Full Sample-Townhouse'!$A:$R,I$1,0),2)</f>
        <v>0.00</v>
      </c>
      <c r="J85" s="3" t="str">
        <f>FIXED(VLOOKUP($A85,'Full Sample-Townhouse'!$A:$R,J$1,0),2)</f>
        <v>942.00</v>
      </c>
      <c r="K85" s="3" t="str">
        <f>FIXED(VLOOKUP($A85,'Full Sample-Townhouse'!$A:$R,K$1,0),2)</f>
        <v>31.99</v>
      </c>
      <c r="L85" s="3" t="str">
        <f>FIXED(VLOOKUP($A85,'Full Sample-Townhouse'!$A:$R,L$1,0),2)</f>
        <v>106.21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1-Townhouse'!$A:$R,O$1,0),2)</f>
        <v>25.19</v>
      </c>
      <c r="P85" s="3" t="str">
        <f>FIXED(VLOOKUP($A85,'Small Sample 1-Townhouse'!$A:$R,P$1,0),2)</f>
        <v>94.60</v>
      </c>
      <c r="Q85" s="3" t="str">
        <f>FIXED(VLOOKUP($A85,'Small Sample 1-Townhouse'!$A:$R,Q$1,0),2)</f>
        <v>0.00</v>
      </c>
      <c r="R85" s="3" t="str">
        <f>FIXED(VLOOKUP($A85,'Small Sample 1-Townhouse'!$A:$R,R$1,0),2)</f>
        <v>1,380.00</v>
      </c>
      <c r="S85" s="3" t="str">
        <f>FIXED(VLOOKUP($A85,'Small Sample 1-Townhouse'!$A:$R,S$1,0),2)</f>
        <v>19.57</v>
      </c>
      <c r="T85" s="3" t="str">
        <f>FIXED(VLOOKUP($A85,'Small Sample 1-Townhouse'!$A:$R,T$1,0),2)</f>
        <v>83.40</v>
      </c>
      <c r="U85" s="3" t="str">
        <f>FIXED(VLOOKUP($A85,'Small Sample 1-Townhouse'!$A:$R,U$1,0),2)</f>
        <v>0.00</v>
      </c>
      <c r="V85" s="3" t="str">
        <f>FIXED(VLOOKUP($A85,'Small Sample 1-Townhouse'!$A:$R,V$1,0),2)</f>
        <v>942.00</v>
      </c>
      <c r="W85" s="3" t="str">
        <f>FIXED(VLOOKUP($A85,'Small Sample 1-Townhouse'!$A:$R,W$1,0),2)</f>
        <v>31.21</v>
      </c>
      <c r="X85" s="3" t="str">
        <f>FIXED(VLOOKUP($A85,'Small Sample 1-Townhouse'!$A:$R,X$1,0),2)</f>
        <v>104.98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2-Townhouse'!$A:$R,AA$1,0),2)</f>
        <v>22.08</v>
      </c>
      <c r="AB85" s="3" t="str">
        <f>FIXED(VLOOKUP($A85,'Small Sample 2-Townhouse'!$A:$R,AB$1,0),2)</f>
        <v>88.54</v>
      </c>
      <c r="AC85" s="3" t="str">
        <f>FIXED(VLOOKUP($A85,'Small Sample 2-Townhouse'!$A:$R,AC$1,0),2)</f>
        <v>0.00</v>
      </c>
      <c r="AD85" s="3" t="str">
        <f>FIXED(VLOOKUP($A85,'Small Sample 2-Townhouse'!$A:$R,AD$1,0),2)</f>
        <v>1,042.00</v>
      </c>
      <c r="AE85" s="3" t="str">
        <f>FIXED(VLOOKUP($A85,'Small Sample 2-Townhouse'!$A:$R,AE$1,0),2)</f>
        <v>20.20</v>
      </c>
      <c r="AF85" s="3" t="str">
        <f>FIXED(VLOOKUP($A85,'Small Sample 2-Townhouse'!$A:$R,AF$1,0),2)</f>
        <v>84.51</v>
      </c>
      <c r="AG85" s="3" t="str">
        <f>FIXED(VLOOKUP($A85,'Small Sample 2-Townhouse'!$A:$R,AG$1,0),2)</f>
        <v>0.00</v>
      </c>
      <c r="AH85" s="3" t="str">
        <f>FIXED(VLOOKUP($A85,'Small Sample 2-Townhouse'!$A:$R,AH$1,0),2)</f>
        <v>942.00</v>
      </c>
      <c r="AI85" s="3" t="str">
        <f>FIXED(VLOOKUP($A85,'Small Sample 2-Townhouse'!$A:$R,AI$1,0),2)</f>
        <v>25.27</v>
      </c>
      <c r="AJ85" s="3" t="str">
        <f>FIXED(VLOOKUP($A85,'Small Sample 2-Townhouse'!$A:$R,AJ$1,0),2)</f>
        <v>94.90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Sample-Townhouse'!$A:$R,C$1,0),2)</f>
        <v>0.00</v>
      </c>
      <c r="D86" s="3" t="str">
        <f>FIXED(VLOOKUP($A86,'Full Sample-Townhouse'!$A:$R,D$1,0),2)</f>
        <v>0.04</v>
      </c>
      <c r="E86" s="3" t="str">
        <f>FIXED(VLOOKUP($A86,'Full Sample-Townhouse'!$A:$R,E$1,0),2)</f>
        <v>0.00</v>
      </c>
      <c r="F86" s="3" t="str">
        <f>FIXED(VLOOKUP($A86,'Full Sample-Townhouse'!$A:$R,F$1,0),2)</f>
        <v>1.00</v>
      </c>
      <c r="G86" s="3" t="str">
        <f>FIXED(VLOOKUP($A86,'Full Sample-Townhouse'!$A:$R,G$1,0),2)</f>
        <v>0.00</v>
      </c>
      <c r="H86" s="3" t="str">
        <f>FIXED(VLOOKUP($A86,'Full Sample-Townhouse'!$A:$R,H$1,0),2)</f>
        <v>0.04</v>
      </c>
      <c r="I86" s="3" t="str">
        <f>FIXED(VLOOKUP($A86,'Full Sample-Townhouse'!$A:$R,I$1,0),2)</f>
        <v>0.00</v>
      </c>
      <c r="J86" s="3" t="str">
        <f>FIXED(VLOOKUP($A86,'Full Sample-Townhouse'!$A:$R,J$1,0),2)</f>
        <v>1.00</v>
      </c>
      <c r="K86" s="3" t="str">
        <f>FIXED(VLOOKUP($A86,'Full Sample-Townhouse'!$A:$R,K$1,0),2)</f>
        <v>0.00</v>
      </c>
      <c r="L86" s="3" t="str">
        <f>FIXED(VLOOKUP($A86,'Full Sample-Townhouse'!$A:$R,L$1,0),2)</f>
        <v>0.04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1-Townhouse'!$A:$R,O$1,0),2)</f>
        <v>0.00</v>
      </c>
      <c r="P86" s="3" t="str">
        <f>FIXED(VLOOKUP($A86,'Small Sample 1-Townhouse'!$A:$R,P$1,0),2)</f>
        <v>0.03</v>
      </c>
      <c r="Q86" s="3" t="str">
        <f>FIXED(VLOOKUP($A86,'Small Sample 1-Townhouse'!$A:$R,Q$1,0),2)</f>
        <v>0.00</v>
      </c>
      <c r="R86" s="3" t="str">
        <f>FIXED(VLOOKUP($A86,'Small Sample 1-Townhouse'!$A:$R,R$1,0),2)</f>
        <v>1.00</v>
      </c>
      <c r="S86" s="3" t="str">
        <f>FIXED(VLOOKUP($A86,'Small Sample 1-Townhouse'!$A:$R,S$1,0),2)</f>
        <v>0.00</v>
      </c>
      <c r="T86" s="3" t="str">
        <f>FIXED(VLOOKUP($A86,'Small Sample 1-Townhouse'!$A:$R,T$1,0),2)</f>
        <v>0.02</v>
      </c>
      <c r="U86" s="3" t="str">
        <f>FIXED(VLOOKUP($A86,'Small Sample 1-Townhouse'!$A:$R,U$1,0),2)</f>
        <v>0.00</v>
      </c>
      <c r="V86" s="3" t="str">
        <f>FIXED(VLOOKUP($A86,'Small Sample 1-Townhouse'!$A:$R,V$1,0),2)</f>
        <v>1.00</v>
      </c>
      <c r="W86" s="3" t="str">
        <f>FIXED(VLOOKUP($A86,'Small Sample 1-Townhouse'!$A:$R,W$1,0),2)</f>
        <v>0.00</v>
      </c>
      <c r="X86" s="3" t="str">
        <f>FIXED(VLOOKUP($A86,'Small Sample 1-Townhouse'!$A:$R,X$1,0),2)</f>
        <v>0.04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2-Townhouse'!$A:$R,AA$1,0),2)</f>
        <v>0.00</v>
      </c>
      <c r="AB86" s="3" t="str">
        <f>FIXED(VLOOKUP($A86,'Small Sample 2-Townhouse'!$A:$R,AB$1,0),2)</f>
        <v>0.02</v>
      </c>
      <c r="AC86" s="3" t="str">
        <f>FIXED(VLOOKUP($A86,'Small Sample 2-Townhouse'!$A:$R,AC$1,0),2)</f>
        <v>0.00</v>
      </c>
      <c r="AD86" s="3" t="str">
        <f>FIXED(VLOOKUP($A86,'Small Sample 2-Townhouse'!$A:$R,AD$1,0),2)</f>
        <v>1.00</v>
      </c>
      <c r="AE86" s="3" t="str">
        <f>FIXED(VLOOKUP($A86,'Small Sample 2-Townhouse'!$A:$R,AE$1,0),2)</f>
        <v>0.00</v>
      </c>
      <c r="AF86" s="3" t="str">
        <f>FIXED(VLOOKUP($A86,'Small Sample 2-Townhouse'!$A:$R,AF$1,0),2)</f>
        <v>0.03</v>
      </c>
      <c r="AG86" s="3" t="str">
        <f>FIXED(VLOOKUP($A86,'Small Sample 2-Townhouse'!$A:$R,AG$1,0),2)</f>
        <v>0.00</v>
      </c>
      <c r="AH86" s="3" t="str">
        <f>FIXED(VLOOKUP($A86,'Small Sample 2-Townhouse'!$A:$R,AH$1,0),2)</f>
        <v>1.00</v>
      </c>
      <c r="AI86" s="3" t="str">
        <f>FIXED(VLOOKUP($A86,'Small Sample 2-Townhouse'!$A:$R,AI$1,0),2)</f>
        <v>0.00</v>
      </c>
      <c r="AJ86" s="3" t="str">
        <f>FIXED(VLOOKUP($A86,'Small Sample 2-Townhouse'!$A:$R,AJ$1,0),2)</f>
        <v>0.01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Sample-Townhouse'!$A:$R,C$1,0),2)</f>
        <v>1.44</v>
      </c>
      <c r="D87" s="3" t="str">
        <f>FIXED(VLOOKUP($A87,'Full Sample-Townhouse'!$A:$R,D$1,0),2)</f>
        <v>4.04</v>
      </c>
      <c r="E87" s="3" t="str">
        <f>FIXED(VLOOKUP($A87,'Full Sample-Townhouse'!$A:$R,E$1,0),2)</f>
        <v>0.00</v>
      </c>
      <c r="F87" s="3" t="str">
        <f>FIXED(VLOOKUP($A87,'Full Sample-Townhouse'!$A:$R,F$1,0),2)</f>
        <v>57.00</v>
      </c>
      <c r="G87" s="3" t="str">
        <f>FIXED(VLOOKUP($A87,'Full Sample-Townhouse'!$A:$R,G$1,0),2)</f>
        <v>1.37</v>
      </c>
      <c r="H87" s="3" t="str">
        <f>FIXED(VLOOKUP($A87,'Full Sample-Townhouse'!$A:$R,H$1,0),2)</f>
        <v>3.87</v>
      </c>
      <c r="I87" s="3" t="str">
        <f>FIXED(VLOOKUP($A87,'Full Sample-Townhouse'!$A:$R,I$1,0),2)</f>
        <v>0.00</v>
      </c>
      <c r="J87" s="3" t="str">
        <f>FIXED(VLOOKUP($A87,'Full Sample-Townhouse'!$A:$R,J$1,0),2)</f>
        <v>57.00</v>
      </c>
      <c r="K87" s="3" t="str">
        <f>FIXED(VLOOKUP($A87,'Full Sample-Townhouse'!$A:$R,K$1,0),2)</f>
        <v>1.54</v>
      </c>
      <c r="L87" s="3" t="str">
        <f>FIXED(VLOOKUP($A87,'Full Sample-Townhouse'!$A:$R,L$1,0),2)</f>
        <v>4.25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1-Townhouse'!$A:$R,O$1,0),2)</f>
        <v>1.47</v>
      </c>
      <c r="P87" s="3" t="str">
        <f>FIXED(VLOOKUP($A87,'Small Sample 1-Townhouse'!$A:$R,P$1,0),2)</f>
        <v>4.05</v>
      </c>
      <c r="Q87" s="3" t="str">
        <f>FIXED(VLOOKUP($A87,'Small Sample 1-Townhouse'!$A:$R,Q$1,0),2)</f>
        <v>0.00</v>
      </c>
      <c r="R87" s="3" t="str">
        <f>FIXED(VLOOKUP($A87,'Small Sample 1-Townhouse'!$A:$R,R$1,0),2)</f>
        <v>57.00</v>
      </c>
      <c r="S87" s="3" t="str">
        <f>FIXED(VLOOKUP($A87,'Small Sample 1-Townhouse'!$A:$R,S$1,0),2)</f>
        <v>1.40</v>
      </c>
      <c r="T87" s="3" t="str">
        <f>FIXED(VLOOKUP($A87,'Small Sample 1-Townhouse'!$A:$R,T$1,0),2)</f>
        <v>3.86</v>
      </c>
      <c r="U87" s="3" t="str">
        <f>FIXED(VLOOKUP($A87,'Small Sample 1-Townhouse'!$A:$R,U$1,0),2)</f>
        <v>0.00</v>
      </c>
      <c r="V87" s="3" t="str">
        <f>FIXED(VLOOKUP($A87,'Small Sample 1-Townhouse'!$A:$R,V$1,0),2)</f>
        <v>57.00</v>
      </c>
      <c r="W87" s="3" t="str">
        <f>FIXED(VLOOKUP($A87,'Small Sample 1-Townhouse'!$A:$R,W$1,0),2)</f>
        <v>1.54</v>
      </c>
      <c r="X87" s="3" t="str">
        <f>FIXED(VLOOKUP($A87,'Small Sample 1-Townhouse'!$A:$R,X$1,0),2)</f>
        <v>4.25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2-Townhouse'!$A:$R,AA$1,0),2)</f>
        <v>1.44</v>
      </c>
      <c r="AB87" s="3" t="str">
        <f>FIXED(VLOOKUP($A87,'Small Sample 2-Townhouse'!$A:$R,AB$1,0),2)</f>
        <v>4.08</v>
      </c>
      <c r="AC87" s="3" t="str">
        <f>FIXED(VLOOKUP($A87,'Small Sample 2-Townhouse'!$A:$R,AC$1,0),2)</f>
        <v>0.00</v>
      </c>
      <c r="AD87" s="3" t="str">
        <f>FIXED(VLOOKUP($A87,'Small Sample 2-Townhouse'!$A:$R,AD$1,0),2)</f>
        <v>57.00</v>
      </c>
      <c r="AE87" s="3" t="str">
        <f>FIXED(VLOOKUP($A87,'Small Sample 2-Townhouse'!$A:$R,AE$1,0),2)</f>
        <v>1.40</v>
      </c>
      <c r="AF87" s="3" t="str">
        <f>FIXED(VLOOKUP($A87,'Small Sample 2-Townhouse'!$A:$R,AF$1,0),2)</f>
        <v>3.91</v>
      </c>
      <c r="AG87" s="3" t="str">
        <f>FIXED(VLOOKUP($A87,'Small Sample 2-Townhouse'!$A:$R,AG$1,0),2)</f>
        <v>0.00</v>
      </c>
      <c r="AH87" s="3" t="str">
        <f>FIXED(VLOOKUP($A87,'Small Sample 2-Townhouse'!$A:$R,AH$1,0),2)</f>
        <v>57.00</v>
      </c>
      <c r="AI87" s="3" t="str">
        <f>FIXED(VLOOKUP($A87,'Small Sample 2-Townhouse'!$A:$R,AI$1,0),2)</f>
        <v>1.51</v>
      </c>
      <c r="AJ87" s="3" t="str">
        <f>FIXED(VLOOKUP($A87,'Small Sample 2-Townhouse'!$A:$R,AJ$1,0),2)</f>
        <v>4.36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Sample-Townhouse'!$A:$R,C$1,0),2)</f>
        <v>4.97</v>
      </c>
      <c r="D88" s="3" t="str">
        <f>FIXED(VLOOKUP($A88,'Full Sample-Townhouse'!$A:$R,D$1,0),2)</f>
        <v>6.91</v>
      </c>
      <c r="E88" s="3" t="str">
        <f>FIXED(VLOOKUP($A88,'Full Sample-Townhouse'!$A:$R,E$1,0),2)</f>
        <v>0.01</v>
      </c>
      <c r="F88" s="3" t="str">
        <f>FIXED(VLOOKUP($A88,'Full Sample-Townhouse'!$A:$R,F$1,0),2)</f>
        <v>111.97</v>
      </c>
      <c r="G88" s="3" t="str">
        <f>FIXED(VLOOKUP($A88,'Full Sample-Townhouse'!$A:$R,G$1,0),2)</f>
        <v>4.95</v>
      </c>
      <c r="H88" s="3" t="str">
        <f>FIXED(VLOOKUP($A88,'Full Sample-Townhouse'!$A:$R,H$1,0),2)</f>
        <v>6.86</v>
      </c>
      <c r="I88" s="3" t="str">
        <f>FIXED(VLOOKUP($A88,'Full Sample-Townhouse'!$A:$R,I$1,0),2)</f>
        <v>0.01</v>
      </c>
      <c r="J88" s="3" t="str">
        <f>FIXED(VLOOKUP($A88,'Full Sample-Townhouse'!$A:$R,J$1,0),2)</f>
        <v>52.78</v>
      </c>
      <c r="K88" s="3" t="str">
        <f>FIXED(VLOOKUP($A88,'Full Sample-Townhouse'!$A:$R,K$1,0),2)</f>
        <v>4.99</v>
      </c>
      <c r="L88" s="3" t="str">
        <f>FIXED(VLOOKUP($A88,'Full Sample-Townhouse'!$A:$R,L$1,0),2)</f>
        <v>6.99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1-Townhouse'!$A:$R,O$1,0),2)</f>
        <v>4.80</v>
      </c>
      <c r="P88" s="3" t="str">
        <f>FIXED(VLOOKUP($A88,'Small Sample 1-Townhouse'!$A:$R,P$1,0),2)</f>
        <v>6.80</v>
      </c>
      <c r="Q88" s="3" t="str">
        <f>FIXED(VLOOKUP($A88,'Small Sample 1-Townhouse'!$A:$R,Q$1,0),2)</f>
        <v>0.01</v>
      </c>
      <c r="R88" s="3" t="str">
        <f>FIXED(VLOOKUP($A88,'Small Sample 1-Townhouse'!$A:$R,R$1,0),2)</f>
        <v>111.97</v>
      </c>
      <c r="S88" s="3" t="str">
        <f>FIXED(VLOOKUP($A88,'Small Sample 1-Townhouse'!$A:$R,S$1,0),2)</f>
        <v>4.65</v>
      </c>
      <c r="T88" s="3" t="str">
        <f>FIXED(VLOOKUP($A88,'Small Sample 1-Townhouse'!$A:$R,T$1,0),2)</f>
        <v>6.63</v>
      </c>
      <c r="U88" s="3" t="str">
        <f>FIXED(VLOOKUP($A88,'Small Sample 1-Townhouse'!$A:$R,U$1,0),2)</f>
        <v>0.01</v>
      </c>
      <c r="V88" s="3" t="str">
        <f>FIXED(VLOOKUP($A88,'Small Sample 1-Townhouse'!$A:$R,V$1,0),2)</f>
        <v>52.78</v>
      </c>
      <c r="W88" s="3" t="str">
        <f>FIXED(VLOOKUP($A88,'Small Sample 1-Townhouse'!$A:$R,W$1,0),2)</f>
        <v>4.96</v>
      </c>
      <c r="X88" s="3" t="str">
        <f>FIXED(VLOOKUP($A88,'Small Sample 1-Townhouse'!$A:$R,X$1,0),2)</f>
        <v>6.96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2-Townhouse'!$A:$R,AA$1,0),2)</f>
        <v>4.80</v>
      </c>
      <c r="AB88" s="3" t="str">
        <f>FIXED(VLOOKUP($A88,'Small Sample 2-Townhouse'!$A:$R,AB$1,0),2)</f>
        <v>6.80</v>
      </c>
      <c r="AC88" s="3" t="str">
        <f>FIXED(VLOOKUP($A88,'Small Sample 2-Townhouse'!$A:$R,AC$1,0),2)</f>
        <v>0.01</v>
      </c>
      <c r="AD88" s="3" t="str">
        <f>FIXED(VLOOKUP($A88,'Small Sample 2-Townhouse'!$A:$R,AD$1,0),2)</f>
        <v>111.97</v>
      </c>
      <c r="AE88" s="3" t="str">
        <f>FIXED(VLOOKUP($A88,'Small Sample 2-Townhouse'!$A:$R,AE$1,0),2)</f>
        <v>4.87</v>
      </c>
      <c r="AF88" s="3" t="str">
        <f>FIXED(VLOOKUP($A88,'Small Sample 2-Townhouse'!$A:$R,AF$1,0),2)</f>
        <v>6.82</v>
      </c>
      <c r="AG88" s="3" t="str">
        <f>FIXED(VLOOKUP($A88,'Small Sample 2-Townhouse'!$A:$R,AG$1,0),2)</f>
        <v>0.01</v>
      </c>
      <c r="AH88" s="3" t="str">
        <f>FIXED(VLOOKUP($A88,'Small Sample 2-Townhouse'!$A:$R,AH$1,0),2)</f>
        <v>52.78</v>
      </c>
      <c r="AI88" s="3" t="str">
        <f>FIXED(VLOOKUP($A88,'Small Sample 2-Townhouse'!$A:$R,AI$1,0),2)</f>
        <v>4.66</v>
      </c>
      <c r="AJ88" s="3" t="str">
        <f>FIXED(VLOOKUP($A88,'Small Sample 2-Townhouse'!$A:$R,AJ$1,0),2)</f>
        <v>6.75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Sample-Townhouse'!$A:$R,C$1,0),2)</f>
        <v>311.77</v>
      </c>
      <c r="D89" s="3" t="str">
        <f>FIXED(VLOOKUP($A89,'Full Sample-Townhouse'!$A:$R,D$1,0),2)</f>
        <v>571.95</v>
      </c>
      <c r="E89" s="3" t="str">
        <f>FIXED(VLOOKUP($A89,'Full Sample-Townhouse'!$A:$R,E$1,0),2)</f>
        <v>0.00</v>
      </c>
      <c r="F89" s="3" t="str">
        <f>FIXED(VLOOKUP($A89,'Full Sample-Townhouse'!$A:$R,F$1,0),2)</f>
        <v>4,021.00</v>
      </c>
      <c r="G89" s="3" t="str">
        <f>FIXED(VLOOKUP($A89,'Full Sample-Townhouse'!$A:$R,G$1,0),2)</f>
        <v>0.00</v>
      </c>
      <c r="H89" s="3" t="str">
        <f>FIXED(VLOOKUP($A89,'Full Sample-Townhouse'!$A:$R,H$1,0),2)</f>
        <v>0.00</v>
      </c>
      <c r="I89" s="3" t="str">
        <f>FIXED(VLOOKUP($A89,'Full Sample-Townhouse'!$A:$R,I$1,0),2)</f>
        <v>0.00</v>
      </c>
      <c r="J89" s="3" t="str">
        <f>FIXED(VLOOKUP($A89,'Full Sample-Townhouse'!$A:$R,J$1,0),2)</f>
        <v>0.00</v>
      </c>
      <c r="K89" s="3" t="str">
        <f>FIXED(VLOOKUP($A89,'Full Sample-Townhouse'!$A:$R,K$1,0),2)</f>
        <v>311.77</v>
      </c>
      <c r="L89" s="3" t="str">
        <f>FIXED(VLOOKUP($A89,'Full Sample-Townhouse'!$A:$R,L$1,0),2)</f>
        <v>571.95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1-Townhouse'!$A:$R,O$1,0),2)</f>
        <v>316.61</v>
      </c>
      <c r="P89" s="3" t="str">
        <f>FIXED(VLOOKUP($A89,'Small Sample 1-Townhouse'!$A:$R,P$1,0),2)</f>
        <v>574.68</v>
      </c>
      <c r="Q89" s="3" t="str">
        <f>FIXED(VLOOKUP($A89,'Small Sample 1-Townhouse'!$A:$R,Q$1,0),2)</f>
        <v>0.00</v>
      </c>
      <c r="R89" s="3" t="str">
        <f>FIXED(VLOOKUP($A89,'Small Sample 1-Townhouse'!$A:$R,R$1,0),2)</f>
        <v>4,021.00</v>
      </c>
      <c r="S89" s="3" t="str">
        <f>FIXED(VLOOKUP($A89,'Small Sample 1-Townhouse'!$A:$R,S$1,0),2)</f>
        <v>0.00</v>
      </c>
      <c r="T89" s="3" t="str">
        <f>FIXED(VLOOKUP($A89,'Small Sample 1-Townhouse'!$A:$R,T$1,0),2)</f>
        <v>0.00</v>
      </c>
      <c r="U89" s="3" t="str">
        <f>FIXED(VLOOKUP($A89,'Small Sample 1-Townhouse'!$A:$R,U$1,0),2)</f>
        <v>0.00</v>
      </c>
      <c r="V89" s="3" t="str">
        <f>FIXED(VLOOKUP($A89,'Small Sample 1-Townhouse'!$A:$R,V$1,0),2)</f>
        <v>0.00</v>
      </c>
      <c r="W89" s="3" t="str">
        <f>FIXED(VLOOKUP($A89,'Small Sample 1-Townhouse'!$A:$R,W$1,0),2)</f>
        <v>316.61</v>
      </c>
      <c r="X89" s="3" t="str">
        <f>FIXED(VLOOKUP($A89,'Small Sample 1-Townhouse'!$A:$R,X$1,0),2)</f>
        <v>574.68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2-Townhouse'!$A:$R,AA$1,0),2)</f>
        <v>305.13</v>
      </c>
      <c r="AB89" s="3" t="str">
        <f>FIXED(VLOOKUP($A89,'Small Sample 2-Townhouse'!$A:$R,AB$1,0),2)</f>
        <v>566.10</v>
      </c>
      <c r="AC89" s="3" t="str">
        <f>FIXED(VLOOKUP($A89,'Small Sample 2-Townhouse'!$A:$R,AC$1,0),2)</f>
        <v>0.00</v>
      </c>
      <c r="AD89" s="3" t="str">
        <f>FIXED(VLOOKUP($A89,'Small Sample 2-Townhouse'!$A:$R,AD$1,0),2)</f>
        <v>4,021.00</v>
      </c>
      <c r="AE89" s="3" t="str">
        <f>FIXED(VLOOKUP($A89,'Small Sample 2-Townhouse'!$A:$R,AE$1,0),2)</f>
        <v>0.00</v>
      </c>
      <c r="AF89" s="3" t="str">
        <f>FIXED(VLOOKUP($A89,'Small Sample 2-Townhouse'!$A:$R,AF$1,0),2)</f>
        <v>0.00</v>
      </c>
      <c r="AG89" s="3" t="str">
        <f>FIXED(VLOOKUP($A89,'Small Sample 2-Townhouse'!$A:$R,AG$1,0),2)</f>
        <v>0.00</v>
      </c>
      <c r="AH89" s="3" t="str">
        <f>FIXED(VLOOKUP($A89,'Small Sample 2-Townhouse'!$A:$R,AH$1,0),2)</f>
        <v>0.00</v>
      </c>
      <c r="AI89" s="3" t="str">
        <f>FIXED(VLOOKUP($A89,'Small Sample 2-Townhouse'!$A:$R,AI$1,0),2)</f>
        <v>305.13</v>
      </c>
      <c r="AJ89" s="3" t="str">
        <f>FIXED(VLOOKUP($A89,'Small Sample 2-Townhouse'!$A:$R,AJ$1,0),2)</f>
        <v>566.10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Sample-Townhouse'!$A:$R,C$1,0),2)</f>
        <v>#N/A</v>
      </c>
      <c r="D90" s="3" t="e">
        <f>FIXED(VLOOKUP($A90,'Full Sample-Townhouse'!$A:$R,D$1,0),2)</f>
        <v>#N/A</v>
      </c>
      <c r="E90" s="3" t="e">
        <f>FIXED(VLOOKUP($A90,'Full Sample-Townhouse'!$A:$R,E$1,0),2)</f>
        <v>#N/A</v>
      </c>
      <c r="F90" s="3" t="e">
        <f>FIXED(VLOOKUP($A90,'Full Sample-Townhouse'!$A:$R,F$1,0),2)</f>
        <v>#N/A</v>
      </c>
      <c r="G90" s="3" t="e">
        <f>FIXED(VLOOKUP($A90,'Full Sample-Townhouse'!$A:$R,G$1,0),2)</f>
        <v>#N/A</v>
      </c>
      <c r="H90" s="3" t="e">
        <f>FIXED(VLOOKUP($A90,'Full Sample-Townhouse'!$A:$R,H$1,0),2)</f>
        <v>#N/A</v>
      </c>
      <c r="I90" s="3" t="e">
        <f>FIXED(VLOOKUP($A90,'Full Sample-Townhouse'!$A:$R,I$1,0),2)</f>
        <v>#N/A</v>
      </c>
      <c r="J90" s="3" t="e">
        <f>FIXED(VLOOKUP($A90,'Full Sample-Townhouse'!$A:$R,J$1,0),2)</f>
        <v>#N/A</v>
      </c>
      <c r="K90" s="3" t="e">
        <f>FIXED(VLOOKUP($A90,'Full Sample-Townhouse'!$A:$R,K$1,0),2)</f>
        <v>#N/A</v>
      </c>
      <c r="L90" s="3" t="e">
        <f>FIXED(VLOOKUP($A90,'Full Sample-Townhouse'!$A:$R,L$1,0),2)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1-Townhouse'!$A:$R,O$1,0),2)</f>
        <v>#N/A</v>
      </c>
      <c r="P90" s="3" t="e">
        <f>FIXED(VLOOKUP($A90,'Small Sample 1-Townhouse'!$A:$R,P$1,0),2)</f>
        <v>#N/A</v>
      </c>
      <c r="Q90" s="3" t="e">
        <f>FIXED(VLOOKUP($A90,'Small Sample 1-Townhouse'!$A:$R,Q$1,0),2)</f>
        <v>#N/A</v>
      </c>
      <c r="R90" s="3" t="e">
        <f>FIXED(VLOOKUP($A90,'Small Sample 1-Townhouse'!$A:$R,R$1,0),2)</f>
        <v>#N/A</v>
      </c>
      <c r="S90" s="3" t="e">
        <f>FIXED(VLOOKUP($A90,'Small Sample 1-Townhouse'!$A:$R,S$1,0),2)</f>
        <v>#N/A</v>
      </c>
      <c r="T90" s="3" t="e">
        <f>FIXED(VLOOKUP($A90,'Small Sample 1-Townhouse'!$A:$R,T$1,0),2)</f>
        <v>#N/A</v>
      </c>
      <c r="U90" s="3" t="e">
        <f>FIXED(VLOOKUP($A90,'Small Sample 1-Townhouse'!$A:$R,U$1,0),2)</f>
        <v>#N/A</v>
      </c>
      <c r="V90" s="3" t="e">
        <f>FIXED(VLOOKUP($A90,'Small Sample 1-Townhouse'!$A:$R,V$1,0),2)</f>
        <v>#N/A</v>
      </c>
      <c r="W90" s="3" t="e">
        <f>FIXED(VLOOKUP($A90,'Small Sample 1-Townhouse'!$A:$R,W$1,0),2)</f>
        <v>#N/A</v>
      </c>
      <c r="X90" s="3" t="e">
        <f>FIXED(VLOOKUP($A90,'Small Sample 1-Townhouse'!$A:$R,X$1,0),2)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2-Townhouse'!$A:$R,AA$1,0),2)</f>
        <v>#N/A</v>
      </c>
      <c r="AB90" s="3" t="e">
        <f>FIXED(VLOOKUP($A90,'Small Sample 2-Townhouse'!$A:$R,AB$1,0),2)</f>
        <v>#N/A</v>
      </c>
      <c r="AC90" s="3" t="e">
        <f>FIXED(VLOOKUP($A90,'Small Sample 2-Townhouse'!$A:$R,AC$1,0),2)</f>
        <v>#N/A</v>
      </c>
      <c r="AD90" s="3" t="e">
        <f>FIXED(VLOOKUP($A90,'Small Sample 2-Townhouse'!$A:$R,AD$1,0),2)</f>
        <v>#N/A</v>
      </c>
      <c r="AE90" s="3" t="e">
        <f>FIXED(VLOOKUP($A90,'Small Sample 2-Townhouse'!$A:$R,AE$1,0),2)</f>
        <v>#N/A</v>
      </c>
      <c r="AF90" s="3" t="e">
        <f>FIXED(VLOOKUP($A90,'Small Sample 2-Townhouse'!$A:$R,AF$1,0),2)</f>
        <v>#N/A</v>
      </c>
      <c r="AG90" s="3" t="e">
        <f>FIXED(VLOOKUP($A90,'Small Sample 2-Townhouse'!$A:$R,AG$1,0),2)</f>
        <v>#N/A</v>
      </c>
      <c r="AH90" s="3" t="e">
        <f>FIXED(VLOOKUP($A90,'Small Sample 2-Townhouse'!$A:$R,AH$1,0),2)</f>
        <v>#N/A</v>
      </c>
      <c r="AI90" s="3" t="e">
        <f>FIXED(VLOOKUP($A90,'Small Sample 2-Townhouse'!$A:$R,AI$1,0),2)</f>
        <v>#N/A</v>
      </c>
      <c r="AJ90" s="3" t="e">
        <f>FIXED(VLOOKUP($A90,'Small Sample 2-Townhouse'!$A:$R,AJ$1,0),2)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Sample-Townhouse'!$A:$R,C$1,0),2)</f>
        <v>1.00</v>
      </c>
      <c r="D91" s="3" t="str">
        <f>FIXED(VLOOKUP($A91,'Full Sample-Townhouse'!$A:$R,D$1,0),2)</f>
        <v>0.00</v>
      </c>
      <c r="E91" s="3" t="str">
        <f>FIXED(VLOOKUP($A91,'Full Sample-Townhouse'!$A:$R,E$1,0),2)</f>
        <v>1.00</v>
      </c>
      <c r="F91" s="3" t="str">
        <f>FIXED(VLOOKUP($A91,'Full Sample-Townhouse'!$A:$R,F$1,0),2)</f>
        <v>1.00</v>
      </c>
      <c r="G91" s="3" t="str">
        <f>FIXED(VLOOKUP($A91,'Full Sample-Townhouse'!$A:$R,G$1,0),2)</f>
        <v>1.00</v>
      </c>
      <c r="H91" s="3" t="str">
        <f>FIXED(VLOOKUP($A91,'Full Sample-Townhouse'!$A:$R,H$1,0),2)</f>
        <v>0.00</v>
      </c>
      <c r="I91" s="3" t="str">
        <f>FIXED(VLOOKUP($A91,'Full Sample-Townhouse'!$A:$R,I$1,0),2)</f>
        <v>1.00</v>
      </c>
      <c r="J91" s="3" t="str">
        <f>FIXED(VLOOKUP($A91,'Full Sample-Townhouse'!$A:$R,J$1,0),2)</f>
        <v>1.00</v>
      </c>
      <c r="K91" s="3" t="str">
        <f>FIXED(VLOOKUP($A91,'Full Sample-Townhouse'!$A:$R,K$1,0),2)</f>
        <v>1.00</v>
      </c>
      <c r="L91" s="3" t="str">
        <f>FIXED(VLOOKUP($A91,'Full Sample-Townhouse'!$A:$R,L$1,0),2)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1-Townhouse'!$A:$R,O$1,0),2)</f>
        <v>1.00</v>
      </c>
      <c r="P91" s="3" t="str">
        <f>FIXED(VLOOKUP($A91,'Small Sample 1-Townhouse'!$A:$R,P$1,0),2)</f>
        <v>0.00</v>
      </c>
      <c r="Q91" s="3" t="str">
        <f>FIXED(VLOOKUP($A91,'Small Sample 1-Townhouse'!$A:$R,Q$1,0),2)</f>
        <v>1.00</v>
      </c>
      <c r="R91" s="3" t="str">
        <f>FIXED(VLOOKUP($A91,'Small Sample 1-Townhouse'!$A:$R,R$1,0),2)</f>
        <v>1.00</v>
      </c>
      <c r="S91" s="3" t="str">
        <f>FIXED(VLOOKUP($A91,'Small Sample 1-Townhouse'!$A:$R,S$1,0),2)</f>
        <v>1.00</v>
      </c>
      <c r="T91" s="3" t="str">
        <f>FIXED(VLOOKUP($A91,'Small Sample 1-Townhouse'!$A:$R,T$1,0),2)</f>
        <v>0.00</v>
      </c>
      <c r="U91" s="3" t="str">
        <f>FIXED(VLOOKUP($A91,'Small Sample 1-Townhouse'!$A:$R,U$1,0),2)</f>
        <v>1.00</v>
      </c>
      <c r="V91" s="3" t="str">
        <f>FIXED(VLOOKUP($A91,'Small Sample 1-Townhouse'!$A:$R,V$1,0),2)</f>
        <v>1.00</v>
      </c>
      <c r="W91" s="3" t="str">
        <f>FIXED(VLOOKUP($A91,'Small Sample 1-Townhouse'!$A:$R,W$1,0),2)</f>
        <v>1.00</v>
      </c>
      <c r="X91" s="3" t="str">
        <f>FIXED(VLOOKUP($A91,'Small Sample 1-Townhouse'!$A:$R,X$1,0),2)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2-Townhouse'!$A:$R,AA$1,0),2)</f>
        <v>1.00</v>
      </c>
      <c r="AB91" s="3" t="str">
        <f>FIXED(VLOOKUP($A91,'Small Sample 2-Townhouse'!$A:$R,AB$1,0),2)</f>
        <v>0.00</v>
      </c>
      <c r="AC91" s="3" t="str">
        <f>FIXED(VLOOKUP($A91,'Small Sample 2-Townhouse'!$A:$R,AC$1,0),2)</f>
        <v>1.00</v>
      </c>
      <c r="AD91" s="3" t="str">
        <f>FIXED(VLOOKUP($A91,'Small Sample 2-Townhouse'!$A:$R,AD$1,0),2)</f>
        <v>1.00</v>
      </c>
      <c r="AE91" s="3" t="str">
        <f>FIXED(VLOOKUP($A91,'Small Sample 2-Townhouse'!$A:$R,AE$1,0),2)</f>
        <v>1.00</v>
      </c>
      <c r="AF91" s="3" t="str">
        <f>FIXED(VLOOKUP($A91,'Small Sample 2-Townhouse'!$A:$R,AF$1,0),2)</f>
        <v>0.00</v>
      </c>
      <c r="AG91" s="3" t="str">
        <f>FIXED(VLOOKUP($A91,'Small Sample 2-Townhouse'!$A:$R,AG$1,0),2)</f>
        <v>1.00</v>
      </c>
      <c r="AH91" s="3" t="str">
        <f>FIXED(VLOOKUP($A91,'Small Sample 2-Townhouse'!$A:$R,AH$1,0),2)</f>
        <v>1.00</v>
      </c>
      <c r="AI91" s="3" t="str">
        <f>FIXED(VLOOKUP($A91,'Small Sample 2-Townhouse'!$A:$R,AI$1,0),2)</f>
        <v>1.00</v>
      </c>
      <c r="AJ91" s="3" t="str">
        <f>FIXED(VLOOKUP($A91,'Small Sample 2-Townhouse'!$A:$R,AJ$1,0),2)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Sample-Townhouse'!$A:$R,C$1,0),2)</f>
        <v>0.00</v>
      </c>
      <c r="D92" s="3" t="str">
        <f>FIXED(VLOOKUP($A92,'Full Sample-Townhouse'!$A:$R,D$1,0),2)</f>
        <v>0.00</v>
      </c>
      <c r="E92" s="3" t="str">
        <f>FIXED(VLOOKUP($A92,'Full Sample-Townhouse'!$A:$R,E$1,0),2)</f>
        <v>0.00</v>
      </c>
      <c r="F92" s="3" t="str">
        <f>FIXED(VLOOKUP($A92,'Full Sample-Townhouse'!$A:$R,F$1,0),2)</f>
        <v>0.00</v>
      </c>
      <c r="G92" s="3" t="str">
        <f>FIXED(VLOOKUP($A92,'Full Sample-Townhouse'!$A:$R,G$1,0),2)</f>
        <v>0.00</v>
      </c>
      <c r="H92" s="3" t="str">
        <f>FIXED(VLOOKUP($A92,'Full Sample-Townhouse'!$A:$R,H$1,0),2)</f>
        <v>0.00</v>
      </c>
      <c r="I92" s="3" t="str">
        <f>FIXED(VLOOKUP($A92,'Full Sample-Townhouse'!$A:$R,I$1,0),2)</f>
        <v>0.00</v>
      </c>
      <c r="J92" s="3" t="str">
        <f>FIXED(VLOOKUP($A92,'Full Sample-Townhouse'!$A:$R,J$1,0),2)</f>
        <v>0.00</v>
      </c>
      <c r="K92" s="3" t="str">
        <f>FIXED(VLOOKUP($A92,'Full Sample-Townhouse'!$A:$R,K$1,0),2)</f>
        <v>0.00</v>
      </c>
      <c r="L92" s="3" t="str">
        <f>FIXED(VLOOKUP($A92,'Full Sample-Townhouse'!$A:$R,L$1,0),2)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1-Townhouse'!$A:$R,O$1,0),2)</f>
        <v>0.00</v>
      </c>
      <c r="P92" s="3" t="str">
        <f>FIXED(VLOOKUP($A92,'Small Sample 1-Townhouse'!$A:$R,P$1,0),2)</f>
        <v>0.00</v>
      </c>
      <c r="Q92" s="3" t="str">
        <f>FIXED(VLOOKUP($A92,'Small Sample 1-Townhouse'!$A:$R,Q$1,0),2)</f>
        <v>0.00</v>
      </c>
      <c r="R92" s="3" t="str">
        <f>FIXED(VLOOKUP($A92,'Small Sample 1-Townhouse'!$A:$R,R$1,0),2)</f>
        <v>0.00</v>
      </c>
      <c r="S92" s="3" t="str">
        <f>FIXED(VLOOKUP($A92,'Small Sample 1-Townhouse'!$A:$R,S$1,0),2)</f>
        <v>0.00</v>
      </c>
      <c r="T92" s="3" t="str">
        <f>FIXED(VLOOKUP($A92,'Small Sample 1-Townhouse'!$A:$R,T$1,0),2)</f>
        <v>0.00</v>
      </c>
      <c r="U92" s="3" t="str">
        <f>FIXED(VLOOKUP($A92,'Small Sample 1-Townhouse'!$A:$R,U$1,0),2)</f>
        <v>0.00</v>
      </c>
      <c r="V92" s="3" t="str">
        <f>FIXED(VLOOKUP($A92,'Small Sample 1-Townhouse'!$A:$R,V$1,0),2)</f>
        <v>0.00</v>
      </c>
      <c r="W92" s="3" t="str">
        <f>FIXED(VLOOKUP($A92,'Small Sample 1-Townhouse'!$A:$R,W$1,0),2)</f>
        <v>0.00</v>
      </c>
      <c r="X92" s="3" t="str">
        <f>FIXED(VLOOKUP($A92,'Small Sample 1-Townhouse'!$A:$R,X$1,0),2)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2-Townhouse'!$A:$R,AA$1,0),2)</f>
        <v>0.00</v>
      </c>
      <c r="AB92" s="3" t="str">
        <f>FIXED(VLOOKUP($A92,'Small Sample 2-Townhouse'!$A:$R,AB$1,0),2)</f>
        <v>0.00</v>
      </c>
      <c r="AC92" s="3" t="str">
        <f>FIXED(VLOOKUP($A92,'Small Sample 2-Townhouse'!$A:$R,AC$1,0),2)</f>
        <v>0.00</v>
      </c>
      <c r="AD92" s="3" t="str">
        <f>FIXED(VLOOKUP($A92,'Small Sample 2-Townhouse'!$A:$R,AD$1,0),2)</f>
        <v>0.00</v>
      </c>
      <c r="AE92" s="3" t="str">
        <f>FIXED(VLOOKUP($A92,'Small Sample 2-Townhouse'!$A:$R,AE$1,0),2)</f>
        <v>0.00</v>
      </c>
      <c r="AF92" s="3" t="str">
        <f>FIXED(VLOOKUP($A92,'Small Sample 2-Townhouse'!$A:$R,AF$1,0),2)</f>
        <v>0.00</v>
      </c>
      <c r="AG92" s="3" t="str">
        <f>FIXED(VLOOKUP($A92,'Small Sample 2-Townhouse'!$A:$R,AG$1,0),2)</f>
        <v>0.00</v>
      </c>
      <c r="AH92" s="3" t="str">
        <f>FIXED(VLOOKUP($A92,'Small Sample 2-Townhouse'!$A:$R,AH$1,0),2)</f>
        <v>0.00</v>
      </c>
      <c r="AI92" s="3" t="str">
        <f>FIXED(VLOOKUP($A92,'Small Sample 2-Townhouse'!$A:$R,AI$1,0),2)</f>
        <v>0.00</v>
      </c>
      <c r="AJ92" s="3" t="str">
        <f>FIXED(VLOOKUP($A92,'Small Sample 2-Townhouse'!$A:$R,AJ$1,0),2)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81:F81"/>
    <mergeCell ref="G81:J81"/>
    <mergeCell ref="K81:N81"/>
    <mergeCell ref="O81:R81"/>
    <mergeCell ref="S81:V81"/>
    <mergeCell ref="AA81:AD81"/>
    <mergeCell ref="AE81:AH81"/>
    <mergeCell ref="AI81:AL81"/>
    <mergeCell ref="W5:Z5"/>
    <mergeCell ref="AA5:AD5"/>
    <mergeCell ref="AE5:AH5"/>
    <mergeCell ref="AI5:AL5"/>
    <mergeCell ref="W81:Z81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1D15F-8EBF-48AA-8B88-9B10C98A89A3}">
  <sheetPr codeName="Sheet26">
    <pageSetUpPr fitToPage="1"/>
  </sheetPr>
  <dimension ref="A1:BU92"/>
  <sheetViews>
    <sheetView topLeftCell="A3" workbookViewId="0">
      <selection activeCell="B19" sqref="B19"/>
    </sheetView>
  </sheetViews>
  <sheetFormatPr defaultRowHeight="15" x14ac:dyDescent="0.25"/>
  <cols>
    <col min="1" max="1" width="30.7109375" bestFit="1" customWidth="1"/>
    <col min="2" max="2" width="53.85546875" bestFit="1" customWidth="1"/>
    <col min="3" max="4" width="11.7109375" style="3" bestFit="1" customWidth="1"/>
    <col min="5" max="5" width="12.42578125" style="3" hidden="1" customWidth="1"/>
    <col min="6" max="6" width="12.7109375" style="3" hidden="1" customWidth="1"/>
    <col min="7" max="7" width="11.7109375" style="3" bestFit="1" customWidth="1"/>
    <col min="8" max="8" width="10.140625" style="3" bestFit="1" customWidth="1"/>
    <col min="9" max="9" width="12.42578125" style="3" hidden="1" customWidth="1"/>
    <col min="10" max="10" width="12.7109375" style="3" hidden="1" customWidth="1"/>
    <col min="11" max="12" width="11.7109375" style="3" bestFit="1" customWidth="1"/>
    <col min="13" max="13" width="12.42578125" style="3" hidden="1" customWidth="1"/>
    <col min="14" max="14" width="12.7109375" style="3" hidden="1" customWidth="1"/>
    <col min="15" max="16" width="11.7109375" bestFit="1" customWidth="1"/>
    <col min="17" max="17" width="12.42578125" hidden="1" customWidth="1"/>
    <col min="18" max="18" width="12.7109375" hidden="1" customWidth="1"/>
    <col min="19" max="20" width="11.7109375" bestFit="1" customWidth="1"/>
    <col min="21" max="21" width="12.42578125" hidden="1" customWidth="1"/>
    <col min="22" max="22" width="12.7109375" hidden="1" customWidth="1"/>
    <col min="23" max="24" width="11.7109375" bestFit="1" customWidth="1"/>
    <col min="25" max="25" width="11.7109375" hidden="1" customWidth="1"/>
    <col min="26" max="26" width="12.7109375" hidden="1" customWidth="1"/>
    <col min="27" max="28" width="11.7109375" bestFit="1" customWidth="1"/>
    <col min="29" max="29" width="12.42578125" hidden="1" customWidth="1"/>
    <col min="30" max="30" width="12.7109375" hidden="1" customWidth="1"/>
    <col min="31" max="31" width="11.7109375" bestFit="1" customWidth="1"/>
    <col min="32" max="32" width="10.140625" bestFit="1" customWidth="1"/>
    <col min="33" max="33" width="12.42578125" hidden="1" customWidth="1"/>
    <col min="34" max="34" width="12.7109375" hidden="1" customWidth="1"/>
    <col min="35" max="36" width="11.7109375" bestFit="1" customWidth="1"/>
    <col min="37" max="38" width="8.42578125" hidden="1" customWidth="1"/>
    <col min="40" max="40" width="10.140625" bestFit="1" customWidth="1"/>
  </cols>
  <sheetData>
    <row r="1" spans="1:40" x14ac:dyDescent="0.25">
      <c r="C1" s="3">
        <v>3</v>
      </c>
      <c r="D1" s="3">
        <v>4</v>
      </c>
      <c r="E1" s="3">
        <v>5</v>
      </c>
      <c r="F1" s="3">
        <v>6</v>
      </c>
      <c r="G1" s="3">
        <v>9</v>
      </c>
      <c r="H1" s="3">
        <v>10</v>
      </c>
      <c r="I1" s="3">
        <v>11</v>
      </c>
      <c r="J1" s="3">
        <v>12</v>
      </c>
      <c r="K1" s="3">
        <v>15</v>
      </c>
      <c r="L1" s="3">
        <v>16</v>
      </c>
      <c r="M1" s="3">
        <v>17</v>
      </c>
      <c r="N1" s="3">
        <v>18</v>
      </c>
      <c r="O1" s="3">
        <v>3</v>
      </c>
      <c r="P1" s="3">
        <v>4</v>
      </c>
      <c r="Q1" s="3">
        <v>5</v>
      </c>
      <c r="R1" s="3">
        <v>6</v>
      </c>
      <c r="S1" s="3">
        <v>9</v>
      </c>
      <c r="T1" s="3">
        <v>10</v>
      </c>
      <c r="U1" s="3">
        <v>11</v>
      </c>
      <c r="V1" s="3">
        <v>12</v>
      </c>
      <c r="W1" s="3">
        <v>15</v>
      </c>
      <c r="X1" s="3">
        <v>16</v>
      </c>
      <c r="Y1" s="3">
        <v>17</v>
      </c>
      <c r="Z1" s="3">
        <v>18</v>
      </c>
      <c r="AA1" s="3">
        <v>3</v>
      </c>
      <c r="AB1" s="3">
        <v>4</v>
      </c>
      <c r="AC1" s="3">
        <v>5</v>
      </c>
      <c r="AD1" s="3">
        <v>6</v>
      </c>
      <c r="AE1" s="3">
        <v>9</v>
      </c>
      <c r="AF1" s="3">
        <v>10</v>
      </c>
      <c r="AG1" s="3">
        <v>11</v>
      </c>
      <c r="AH1" s="3">
        <v>12</v>
      </c>
      <c r="AI1" s="3">
        <v>15</v>
      </c>
      <c r="AJ1" s="3">
        <v>16</v>
      </c>
    </row>
    <row r="2" spans="1:40" ht="23.25" x14ac:dyDescent="0.35">
      <c r="A2" s="31" t="s">
        <v>188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1:40" ht="23.25" x14ac:dyDescent="0.35">
      <c r="A3" s="31" t="s">
        <v>189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</row>
    <row r="4" spans="1:40" x14ac:dyDescent="0.25">
      <c r="C4" s="39" t="s">
        <v>92</v>
      </c>
      <c r="D4" s="40"/>
      <c r="E4" s="40"/>
      <c r="F4" s="40"/>
      <c r="G4" s="40"/>
      <c r="H4" s="40"/>
      <c r="I4" s="40"/>
      <c r="J4" s="40"/>
      <c r="K4" s="40"/>
      <c r="L4" s="40"/>
      <c r="M4" s="10"/>
      <c r="N4" s="11"/>
      <c r="O4" s="39" t="s">
        <v>307</v>
      </c>
      <c r="P4" s="40"/>
      <c r="Q4" s="40"/>
      <c r="R4" s="40"/>
      <c r="S4" s="40"/>
      <c r="T4" s="40"/>
      <c r="U4" s="40"/>
      <c r="V4" s="40"/>
      <c r="W4" s="40"/>
      <c r="X4" s="40"/>
      <c r="AA4" s="39" t="s">
        <v>306</v>
      </c>
      <c r="AB4" s="40"/>
      <c r="AC4" s="40"/>
      <c r="AD4" s="40"/>
      <c r="AE4" s="40"/>
      <c r="AF4" s="40"/>
      <c r="AG4" s="40"/>
      <c r="AH4" s="40"/>
      <c r="AI4" s="40"/>
      <c r="AJ4" s="40"/>
    </row>
    <row r="5" spans="1:40" ht="30.75" customHeight="1" x14ac:dyDescent="0.25">
      <c r="A5" s="5"/>
      <c r="B5" s="5"/>
      <c r="C5" s="41" t="s">
        <v>92</v>
      </c>
      <c r="D5" s="42"/>
      <c r="E5" s="42"/>
      <c r="F5" s="42"/>
      <c r="G5" s="43" t="s">
        <v>94</v>
      </c>
      <c r="H5" s="44"/>
      <c r="I5" s="44"/>
      <c r="J5" s="45"/>
      <c r="K5" s="41" t="s">
        <v>93</v>
      </c>
      <c r="L5" s="42"/>
      <c r="M5" s="42"/>
      <c r="N5" s="46"/>
      <c r="O5" s="41" t="s">
        <v>92</v>
      </c>
      <c r="P5" s="42"/>
      <c r="Q5" s="42"/>
      <c r="R5" s="42"/>
      <c r="S5" s="43" t="s">
        <v>94</v>
      </c>
      <c r="T5" s="44"/>
      <c r="U5" s="44"/>
      <c r="V5" s="45"/>
      <c r="W5" s="41" t="s">
        <v>93</v>
      </c>
      <c r="X5" s="42"/>
      <c r="Y5" s="42"/>
      <c r="Z5" s="42"/>
      <c r="AA5" s="41" t="s">
        <v>92</v>
      </c>
      <c r="AB5" s="42"/>
      <c r="AC5" s="42"/>
      <c r="AD5" s="42"/>
      <c r="AE5" s="43" t="s">
        <v>94</v>
      </c>
      <c r="AF5" s="44"/>
      <c r="AG5" s="44"/>
      <c r="AH5" s="45"/>
      <c r="AI5" s="41" t="s">
        <v>93</v>
      </c>
      <c r="AJ5" s="42"/>
      <c r="AK5" s="42"/>
      <c r="AL5" s="42"/>
    </row>
    <row r="6" spans="1:40" x14ac:dyDescent="0.25">
      <c r="A6" s="6" t="s">
        <v>87</v>
      </c>
      <c r="B6" s="6" t="s">
        <v>88</v>
      </c>
      <c r="C6" s="8" t="s">
        <v>2</v>
      </c>
      <c r="D6" s="7" t="s">
        <v>89</v>
      </c>
      <c r="E6" s="7" t="s">
        <v>90</v>
      </c>
      <c r="F6" s="7" t="s">
        <v>91</v>
      </c>
      <c r="G6" s="8" t="s">
        <v>2</v>
      </c>
      <c r="H6" s="7" t="s">
        <v>89</v>
      </c>
      <c r="I6" s="7" t="s">
        <v>90</v>
      </c>
      <c r="J6" s="12" t="s">
        <v>91</v>
      </c>
      <c r="K6" s="8" t="s">
        <v>2</v>
      </c>
      <c r="L6" s="7" t="s">
        <v>89</v>
      </c>
      <c r="M6" s="7" t="s">
        <v>90</v>
      </c>
      <c r="N6" s="12" t="s">
        <v>91</v>
      </c>
      <c r="O6" s="8" t="s">
        <v>2</v>
      </c>
      <c r="P6" s="7" t="s">
        <v>89</v>
      </c>
      <c r="Q6" s="7" t="s">
        <v>90</v>
      </c>
      <c r="R6" s="7" t="s">
        <v>91</v>
      </c>
      <c r="S6" s="8" t="s">
        <v>2</v>
      </c>
      <c r="T6" s="7" t="s">
        <v>89</v>
      </c>
      <c r="U6" s="7" t="s">
        <v>90</v>
      </c>
      <c r="V6" s="12" t="s">
        <v>91</v>
      </c>
      <c r="W6" s="8" t="s">
        <v>2</v>
      </c>
      <c r="X6" s="7" t="s">
        <v>89</v>
      </c>
      <c r="Y6" s="7" t="s">
        <v>90</v>
      </c>
      <c r="Z6" s="7" t="s">
        <v>91</v>
      </c>
      <c r="AA6" s="8" t="s">
        <v>2</v>
      </c>
      <c r="AB6" s="7" t="s">
        <v>89</v>
      </c>
      <c r="AC6" s="7" t="s">
        <v>90</v>
      </c>
      <c r="AD6" s="7" t="s">
        <v>91</v>
      </c>
      <c r="AE6" s="8" t="s">
        <v>2</v>
      </c>
      <c r="AF6" s="7" t="s">
        <v>89</v>
      </c>
      <c r="AG6" s="7" t="s">
        <v>90</v>
      </c>
      <c r="AH6" s="12" t="s">
        <v>91</v>
      </c>
      <c r="AI6" s="8" t="s">
        <v>2</v>
      </c>
      <c r="AJ6" s="7" t="s">
        <v>89</v>
      </c>
      <c r="AK6" s="7" t="s">
        <v>90</v>
      </c>
      <c r="AL6" s="7" t="s">
        <v>91</v>
      </c>
    </row>
    <row r="7" spans="1:40" x14ac:dyDescent="0.25">
      <c r="A7" t="s">
        <v>19</v>
      </c>
      <c r="B7" t="s">
        <v>103</v>
      </c>
      <c r="C7" s="9" t="str">
        <f>FIXED(VLOOKUP($A7,'Full Sample-Single Family'!$A:$R,C$1,0),2)</f>
        <v>1,266,276.00</v>
      </c>
      <c r="D7" s="3" t="str">
        <f>FIXED(VLOOKUP($A7,'Full Sample-Single Family'!$A:$R,D$1,0),2)</f>
        <v>1,031,480.00</v>
      </c>
      <c r="E7" s="3" t="str">
        <f>FIXED(VLOOKUP($A7,'Full Sample-Single Family'!$A:$R,E$1,0),2)</f>
        <v>168,375.10</v>
      </c>
      <c r="F7" s="3" t="str">
        <f>FIXED(VLOOKUP($A7,'Full Sample-Single Family'!$A:$R,F$1,0),2)</f>
        <v>23,293,838.00</v>
      </c>
      <c r="G7" s="9" t="str">
        <f>FIXED(VLOOKUP($A7,'Full Sample-Single Family'!$A:$R,G$1,0),2)</f>
        <v>1,189,380.00</v>
      </c>
      <c r="H7" s="3" t="str">
        <f>FIXED(VLOOKUP($A7,'Full Sample-Single Family'!$A:$R,H$1,0),2)</f>
        <v>977,310.80</v>
      </c>
      <c r="I7" s="3" t="str">
        <f>FIXED(VLOOKUP($A7,'Full Sample-Single Family'!$A:$R,I$1,0),2)</f>
        <v>168,375.10</v>
      </c>
      <c r="J7" s="13" t="str">
        <f>FIXED(VLOOKUP($A7,'Full Sample-Single Family'!$A:$R,J$1,0),2)</f>
        <v>23,293,838.00</v>
      </c>
      <c r="K7" s="9" t="str">
        <f>FIXED(VLOOKUP($A7,'Full Sample-Single Family'!$A:$R,K$1,0),2)</f>
        <v>1,371,410.00</v>
      </c>
      <c r="L7" s="3" t="str">
        <f>FIXED(VLOOKUP($A7,'Full Sample-Single Family'!$A:$R,L$1,0),2)</f>
        <v>1,092,566.00</v>
      </c>
      <c r="M7" s="3" t="str">
        <f>FIXED(VLOOKUP($A7,'Full Sample-No Sub'!$A:$R,M$1,0),2)</f>
        <v>85,418.51</v>
      </c>
      <c r="N7" s="13" t="str">
        <f>FIXED(VLOOKUP($A7,'Full Sample-No Sub'!$A:$R,N$1,0),2)</f>
        <v>22,166,108.00</v>
      </c>
      <c r="O7" s="9" t="str">
        <f>FIXED(VLOOKUP($A7,'Small Sample 1-Single Family'!$A:$R,O$1,0),2)</f>
        <v>1,291,924.00</v>
      </c>
      <c r="P7" s="3" t="str">
        <f>FIXED(VLOOKUP($A7,'Small Sample 1-Single Family'!$A:$R,P$1,0),2)</f>
        <v>1,055,899.00</v>
      </c>
      <c r="Q7" s="3" t="str">
        <f>FIXED(VLOOKUP($A7,'Small Sample 1-Single Family'!$A:$R,Q$1,0),2)</f>
        <v>168,375.10</v>
      </c>
      <c r="R7" s="3" t="str">
        <f>FIXED(VLOOKUP($A7,'Small Sample 1-Single Family'!$A:$R,R$1,0),2)</f>
        <v>23,293,838.00</v>
      </c>
      <c r="S7" s="9" t="str">
        <f>FIXED(VLOOKUP($A7,'Small Sample 1-Single Family'!$A:$R,S$1,0),2)</f>
        <v>1,190,425.00</v>
      </c>
      <c r="T7" s="3" t="str">
        <f>FIXED(VLOOKUP($A7,'Small Sample 1-Single Family'!$A:$R,T$1,0),2)</f>
        <v>928,045.40</v>
      </c>
      <c r="U7" s="3" t="str">
        <f>FIXED(VLOOKUP($A7,'Small Sample 1-Single Family'!$A:$R,U$1,0),2)</f>
        <v>180,401.90</v>
      </c>
      <c r="V7" s="13" t="str">
        <f>FIXED(VLOOKUP($A7,'Small Sample 1-Single Family'!$A:$R,V$1,0),2)</f>
        <v>21,058,570.00</v>
      </c>
      <c r="W7" s="9" t="str">
        <f>FIXED(VLOOKUP($A7,'Small Sample 1-Single Family'!$A:$R,W$1,0),2)</f>
        <v>1,378,292.00</v>
      </c>
      <c r="X7" s="3" t="str">
        <f>FIXED(VLOOKUP($A7,'Small Sample 1-Single Family'!$A:$R,X$1,0),2)</f>
        <v>1,101,443.00</v>
      </c>
      <c r="Y7" s="3" t="str">
        <f>FIXED(VLOOKUP($A7,'Small Sample 1-No Sub'!$A:$R,Y$1,0),2)</f>
        <v>85,418.51</v>
      </c>
      <c r="Z7" s="3" t="str">
        <f>FIXED(VLOOKUP($A7,'Small Sample 1-No Sub'!$A:$R,Z$1,0),2)</f>
        <v>22,166,108.00</v>
      </c>
      <c r="AA7" s="9" t="str">
        <f>FIXED(VLOOKUP($A7,'Small Sample 2-Single Family'!$A:$R,AA$1,0),2)</f>
        <v>1,266,968.00</v>
      </c>
      <c r="AB7" s="3" t="str">
        <f>FIXED(VLOOKUP($A7,'Small Sample 2-Single Family'!$A:$R,AB$1,0),2)</f>
        <v>1,041,577.00</v>
      </c>
      <c r="AC7" s="3" t="str">
        <f>FIXED(VLOOKUP($A7,'Small Sample 2-Single Family'!$A:$R,AC$1,0),2)</f>
        <v>168,375.10</v>
      </c>
      <c r="AD7" s="3" t="str">
        <f>FIXED(VLOOKUP($A7,'Small Sample 2-Single Family'!$A:$R,AD$1,0),2)</f>
        <v>23,293,838.00</v>
      </c>
      <c r="AE7" s="9" t="str">
        <f>FIXED(VLOOKUP($A7,'Small Sample 2-Single Family'!$A:$R,AE$1,0),2)</f>
        <v>1,192,856.00</v>
      </c>
      <c r="AF7" s="3" t="str">
        <f>FIXED(VLOOKUP($A7,'Small Sample 2-Single Family'!$A:$R,AF$1,0),2)</f>
        <v>965,914.80</v>
      </c>
      <c r="AG7" s="3" t="str">
        <f>FIXED(VLOOKUP($A7,'Small Sample 2-Single Family'!$A:$R,AG$1,0),2)</f>
        <v>168,375.10</v>
      </c>
      <c r="AH7" s="13" t="str">
        <f>FIXED(VLOOKUP($A7,'Small Sample 2-Single Family'!$A:$R,AH$1,0),2)</f>
        <v>23,293,838.00</v>
      </c>
      <c r="AI7" s="9" t="str">
        <f>FIXED(VLOOKUP($A7,'Small Sample 2-Single Family'!$A:$R,AI$1,0),2)</f>
        <v>1,390,897.00</v>
      </c>
      <c r="AJ7" s="3" t="str">
        <f>FIXED(VLOOKUP($A7,'Small Sample 2-Single Family'!$A:$R,AJ$1,0),2)</f>
        <v>1,146,510.00</v>
      </c>
      <c r="AK7" s="3" t="e" vm="1">
        <f>FIXED(VLOOKUP($A7,'Full Sample-Townhouse'!$A:$R,AK$1,0),2)</f>
        <v>#VALUE!</v>
      </c>
      <c r="AL7" s="3" t="e" vm="1">
        <f>FIXED(VLOOKUP($A7,'Full Sample-Townhouse'!$A:$R,AL$1,0),2)</f>
        <v>#VALUE!</v>
      </c>
      <c r="AN7" s="9" t="s">
        <v>308</v>
      </c>
    </row>
    <row r="8" spans="1:40" x14ac:dyDescent="0.25">
      <c r="A8" t="s">
        <v>20</v>
      </c>
      <c r="B8" t="s">
        <v>104</v>
      </c>
      <c r="C8" s="9" t="str">
        <f>FIXED(VLOOKUP($A8,'Full Sample-Single Family'!$A:$R,C$1,0),2)</f>
        <v>1,252,747.00</v>
      </c>
      <c r="D8" s="3" t="str">
        <f>FIXED(VLOOKUP($A8,'Full Sample-Single Family'!$A:$R,D$1,0),2)</f>
        <v>958,895.10</v>
      </c>
      <c r="E8" s="3" t="str">
        <f>FIXED(VLOOKUP($A8,'Full Sample-Single Family'!$A:$R,E$1,0),2)</f>
        <v>180,401.90</v>
      </c>
      <c r="F8" s="3" t="str">
        <f>FIXED(VLOOKUP($A8,'Full Sample-Single Family'!$A:$R,F$1,0),2)</f>
        <v>22,166,108.00</v>
      </c>
      <c r="G8" s="9" t="str">
        <f>FIXED(VLOOKUP($A8,'Full Sample-Single Family'!$A:$R,G$1,0),2)</f>
        <v>1,164,489.00</v>
      </c>
      <c r="H8" s="3" t="str">
        <f>FIXED(VLOOKUP($A8,'Full Sample-Single Family'!$A:$R,H$1,0),2)</f>
        <v>899,968.60</v>
      </c>
      <c r="I8" s="3" t="str">
        <f>FIXED(VLOOKUP($A8,'Full Sample-Single Family'!$A:$R,I$1,0),2)</f>
        <v>180,401.90</v>
      </c>
      <c r="J8" s="13" t="str">
        <f>FIXED(VLOOKUP($A8,'Full Sample-Single Family'!$A:$R,J$1,0),2)</f>
        <v>21,058,570.00</v>
      </c>
      <c r="K8" s="9" t="str">
        <f>FIXED(VLOOKUP($A8,'Full Sample-Single Family'!$A:$R,K$1,0),2)</f>
        <v>1,373,414.00</v>
      </c>
      <c r="L8" s="3" t="str">
        <f>FIXED(VLOOKUP($A8,'Full Sample-Single Family'!$A:$R,L$1,0),2)</f>
        <v>1,021,825.00</v>
      </c>
      <c r="M8" s="3" t="str">
        <f>FIXED(VLOOKUP($A8,'Full Sample-No Sub'!$A:$R,M$1,0),2)</f>
        <v>85,418.51</v>
      </c>
      <c r="N8" s="13" t="str">
        <f>FIXED(VLOOKUP($A8,'Full Sample-No Sub'!$A:$R,N$1,0),2)</f>
        <v>22,166,108.00</v>
      </c>
      <c r="O8" s="9" t="str">
        <f>FIXED(VLOOKUP($A8,'Small Sample 1-Single Family'!$A:$R,O$1,0),2)</f>
        <v>1,279,709.00</v>
      </c>
      <c r="P8" s="3" t="str">
        <f>FIXED(VLOOKUP($A8,'Small Sample 1-Single Family'!$A:$R,P$1,0),2)</f>
        <v>981,421.70</v>
      </c>
      <c r="Q8" s="3" t="str">
        <f>FIXED(VLOOKUP($A8,'Small Sample 1-Single Family'!$A:$R,Q$1,0),2)</f>
        <v>180,401.90</v>
      </c>
      <c r="R8" s="3" t="str">
        <f>FIXED(VLOOKUP($A8,'Small Sample 1-Single Family'!$A:$R,R$1,0),2)</f>
        <v>22,166,108.00</v>
      </c>
      <c r="S8" s="9" t="str">
        <f>FIXED(VLOOKUP($A8,'Small Sample 1-Single Family'!$A:$R,S$1,0),2)</f>
        <v>20,834.64</v>
      </c>
      <c r="T8" s="3" t="str">
        <f>FIXED(VLOOKUP($A8,'Small Sample 1-Single Family'!$A:$R,T$1,0),2)</f>
        <v>96,902.57</v>
      </c>
      <c r="U8" s="3" t="str">
        <f>FIXED(VLOOKUP($A8,'Small Sample 1-Single Family'!$A:$R,U$1,0),2)</f>
        <v>-1,850,000.00</v>
      </c>
      <c r="V8" s="13" t="str">
        <f>FIXED(VLOOKUP($A8,'Small Sample 1-Single Family'!$A:$R,V$1,0),2)</f>
        <v>2,950,000.00</v>
      </c>
      <c r="W8" s="9" t="str">
        <f>FIXED(VLOOKUP($A8,'Small Sample 1-Single Family'!$A:$R,W$1,0),2)</f>
        <v>1,380,953.00</v>
      </c>
      <c r="X8" s="3" t="str">
        <f>FIXED(VLOOKUP($A8,'Small Sample 1-Single Family'!$A:$R,X$1,0),2)</f>
        <v>1,029,356.00</v>
      </c>
      <c r="Y8" s="3" t="str">
        <f>FIXED(VLOOKUP($A8,'Small Sample 1-No Sub'!$A:$R,Y$1,0),2)</f>
        <v>85,418.51</v>
      </c>
      <c r="Z8" s="3" t="str">
        <f>FIXED(VLOOKUP($A8,'Small Sample 1-No Sub'!$A:$R,Z$1,0),2)</f>
        <v>22,166,108.00</v>
      </c>
      <c r="AA8" s="9" t="str">
        <f>FIXED(VLOOKUP($A8,'Small Sample 2-Single Family'!$A:$R,AA$1,0),2)</f>
        <v>1,250,497.00</v>
      </c>
      <c r="AB8" s="3" t="str">
        <f>FIXED(VLOOKUP($A8,'Small Sample 2-Single Family'!$A:$R,AB$1,0),2)</f>
        <v>962,449.20</v>
      </c>
      <c r="AC8" s="3" t="str">
        <f>FIXED(VLOOKUP($A8,'Small Sample 2-Single Family'!$A:$R,AC$1,0),2)</f>
        <v>180,401.90</v>
      </c>
      <c r="AD8" s="3" t="str">
        <f>FIXED(VLOOKUP($A8,'Small Sample 2-Single Family'!$A:$R,AD$1,0),2)</f>
        <v>22,166,108.00</v>
      </c>
      <c r="AE8" s="9" t="str">
        <f>FIXED(VLOOKUP($A8,'Small Sample 2-Single Family'!$A:$R,AE$1,0),2)</f>
        <v>1,167,419.00</v>
      </c>
      <c r="AF8" s="3" t="str">
        <f>FIXED(VLOOKUP($A8,'Small Sample 2-Single Family'!$A:$R,AF$1,0),2)</f>
        <v>884,765.40</v>
      </c>
      <c r="AG8" s="3" t="str">
        <f>FIXED(VLOOKUP($A8,'Small Sample 2-Single Family'!$A:$R,AG$1,0),2)</f>
        <v>180,401.90</v>
      </c>
      <c r="AH8" s="13" t="str">
        <f>FIXED(VLOOKUP($A8,'Small Sample 2-Single Family'!$A:$R,AH$1,0),2)</f>
        <v>21,058,570.00</v>
      </c>
      <c r="AI8" s="9" t="str">
        <f>FIXED(VLOOKUP($A8,'Small Sample 2-Single Family'!$A:$R,AI$1,0),2)</f>
        <v>1,389,417.00</v>
      </c>
      <c r="AJ8" s="3" t="str">
        <f>FIXED(VLOOKUP($A8,'Small Sample 2-Single Family'!$A:$R,AJ$1,0),2)</f>
        <v>1,065,625.00</v>
      </c>
      <c r="AK8" s="3" t="e" vm="1">
        <f>FIXED(VLOOKUP($A8,'Full Sample-Townhouse'!$A:$R,AK$1,0),2)</f>
        <v>#VALUE!</v>
      </c>
      <c r="AL8" s="3" t="e" vm="1">
        <f>FIXED(VLOOKUP($A8,'Full Sample-Townhouse'!$A:$R,AL$1,0),2)</f>
        <v>#VALUE!</v>
      </c>
      <c r="AN8">
        <f>AN7*0.013</f>
        <v>12434.941999999999</v>
      </c>
    </row>
    <row r="9" spans="1:40" x14ac:dyDescent="0.25">
      <c r="A9" t="s">
        <v>190</v>
      </c>
      <c r="B9" t="s">
        <v>191</v>
      </c>
      <c r="C9" s="9" t="str">
        <f>FIXED(VLOOKUP($A9,'Full Sample-Single Family'!$A:$R,C$1,0),2)</f>
        <v>10,892.06</v>
      </c>
      <c r="D9" s="3" t="str">
        <f>FIXED(VLOOKUP($A9,'Full Sample-Single Family'!$A:$R,D$1,0),2)</f>
        <v>121,236.60</v>
      </c>
      <c r="E9" s="3" t="str">
        <f>FIXED(VLOOKUP($A9,'Full Sample-Single Family'!$A:$R,E$1,0),2)</f>
        <v>-2,010,000.00</v>
      </c>
      <c r="F9" s="3" t="str">
        <f>FIXED(VLOOKUP($A9,'Full Sample-Single Family'!$A:$R,F$1,0),2)</f>
        <v>6,900,000.00</v>
      </c>
      <c r="G9" s="9" t="str">
        <f>FIXED(VLOOKUP($A9,'Full Sample-Single Family'!$A:$R,G$1,0),2)</f>
        <v>20,447.76</v>
      </c>
      <c r="H9" s="3" t="str">
        <f>FIXED(VLOOKUP($A9,'Full Sample-Single Family'!$A:$R,H$1,0),2)</f>
        <v>94,762.45</v>
      </c>
      <c r="I9" s="3" t="str">
        <f>FIXED(VLOOKUP($A9,'Full Sample-Single Family'!$A:$R,I$1,0),2)</f>
        <v>-1,850,000.00</v>
      </c>
      <c r="J9" s="13" t="str">
        <f>FIXED(VLOOKUP($A9,'Full Sample-Single Family'!$A:$R,J$1,0),2)</f>
        <v>2,950,000.00</v>
      </c>
      <c r="K9" s="9" t="str">
        <f>FIXED(VLOOKUP($A9,'Full Sample-Single Family'!$A:$R,K$1,0),2)</f>
        <v>-2,172.66</v>
      </c>
      <c r="L9" s="3" t="str">
        <f>FIXED(VLOOKUP($A9,'Full Sample-Single Family'!$A:$R,L$1,0),2)</f>
        <v>149,073.00</v>
      </c>
      <c r="M9" s="3" t="str">
        <f>FIXED(VLOOKUP($A9,'Full Sample-No Sub'!$A:$R,M$1,0),2)</f>
        <v>-2,010,000.00</v>
      </c>
      <c r="N9" s="13" t="str">
        <f>FIXED(VLOOKUP($A9,'Full Sample-No Sub'!$A:$R,N$1,0),2)</f>
        <v>6,900,000.00</v>
      </c>
      <c r="O9" s="9" t="str">
        <f>FIXED(VLOOKUP($A9,'Small Sample 1-Single Family'!$A:$R,O$1,0),2)</f>
        <v>9,784.42</v>
      </c>
      <c r="P9" s="3" t="str">
        <f>FIXED(VLOOKUP($A9,'Small Sample 1-Single Family'!$A:$R,P$1,0),2)</f>
        <v>125,176.70</v>
      </c>
      <c r="Q9" s="3" t="str">
        <f>FIXED(VLOOKUP($A9,'Small Sample 1-Single Family'!$A:$R,Q$1,0),2)</f>
        <v>-2,010,000.00</v>
      </c>
      <c r="R9" s="3" t="str">
        <f>FIXED(VLOOKUP($A9,'Small Sample 1-Single Family'!$A:$R,R$1,0),2)</f>
        <v>6,900,000.00</v>
      </c>
      <c r="S9" s="9" t="str">
        <f>FIXED(VLOOKUP($A9,'Small Sample 1-Single Family'!$A:$R,S$1,0),2)</f>
        <v>0.03</v>
      </c>
      <c r="T9" s="3" t="str">
        <f>FIXED(VLOOKUP($A9,'Small Sample 1-Single Family'!$A:$R,T$1,0),2)</f>
        <v>0.16</v>
      </c>
      <c r="U9" s="3" t="str">
        <f>FIXED(VLOOKUP($A9,'Small Sample 1-Single Family'!$A:$R,U$1,0),2)</f>
        <v>0.00</v>
      </c>
      <c r="V9" s="13" t="str">
        <f>FIXED(VLOOKUP($A9,'Small Sample 1-Single Family'!$A:$R,V$1,0),2)</f>
        <v>1.00</v>
      </c>
      <c r="W9" s="9" t="str">
        <f>FIXED(VLOOKUP($A9,'Small Sample 1-Single Family'!$A:$R,W$1,0),2)</f>
        <v>-2,746.03</v>
      </c>
      <c r="X9" s="3" t="str">
        <f>FIXED(VLOOKUP($A9,'Small Sample 1-Single Family'!$A:$R,X$1,0),2)</f>
        <v>149,985.60</v>
      </c>
      <c r="Y9" s="3"/>
      <c r="Z9" s="3"/>
      <c r="AA9" s="9" t="str">
        <f>FIXED(VLOOKUP($A9,'Small Sample 2-Single Family'!$A:$R,AA$1,0),2)</f>
        <v>13,415.85</v>
      </c>
      <c r="AB9" s="3" t="str">
        <f>FIXED(VLOOKUP($A9,'Small Sample 2-Single Family'!$A:$R,AB$1,0),2)</f>
        <v>126,268.20</v>
      </c>
      <c r="AC9" s="3" t="str">
        <f>FIXED(VLOOKUP($A9,'Small Sample 2-Single Family'!$A:$R,AC$1,0),2)</f>
        <v>-2,010,000.00</v>
      </c>
      <c r="AD9" s="3" t="str">
        <f>FIXED(VLOOKUP($A9,'Small Sample 2-Single Family'!$A:$R,AD$1,0),2)</f>
        <v>6,900,000.00</v>
      </c>
      <c r="AE9" s="9" t="str">
        <f>FIXED(VLOOKUP($A9,'Small Sample 2-Single Family'!$A:$R,AE$1,0),2)</f>
        <v>20,877.46</v>
      </c>
      <c r="AF9" s="3" t="str">
        <f>FIXED(VLOOKUP($A9,'Small Sample 2-Single Family'!$A:$R,AF$1,0),2)</f>
        <v>97,148.72</v>
      </c>
      <c r="AG9" s="3" t="str">
        <f>FIXED(VLOOKUP($A9,'Small Sample 2-Single Family'!$A:$R,AG$1,0),2)</f>
        <v>-1,850,000.00</v>
      </c>
      <c r="AH9" s="13" t="str">
        <f>FIXED(VLOOKUP($A9,'Small Sample 2-Single Family'!$A:$R,AH$1,0),2)</f>
        <v>2,950,000.00</v>
      </c>
      <c r="AI9" s="9" t="str">
        <f>FIXED(VLOOKUP($A9,'Small Sample 2-Single Family'!$A:$R,AI$1,0),2)</f>
        <v>938.76</v>
      </c>
      <c r="AJ9" s="3" t="str">
        <f>FIXED(VLOOKUP($A9,'Small Sample 2-Single Family'!$A:$R,AJ$1,0),2)</f>
        <v>163,022.60</v>
      </c>
      <c r="AK9" s="3"/>
      <c r="AL9" s="3"/>
    </row>
    <row r="10" spans="1:40" x14ac:dyDescent="0.25">
      <c r="A10" t="s">
        <v>10</v>
      </c>
      <c r="B10" t="s">
        <v>86</v>
      </c>
      <c r="C10" s="9" t="str">
        <f>FIXED(VLOOKUP($A10,'Full Sample-Single Family'!$A:$R,C$1,0),2)</f>
        <v>1.30</v>
      </c>
      <c r="D10" s="3" t="str">
        <f>FIXED(VLOOKUP($A10,'Full Sample-Single Family'!$A:$R,D$1,0),2)</f>
        <v>0.54</v>
      </c>
      <c r="E10" s="3" t="str">
        <f>FIXED(VLOOKUP($A10,'Full Sample-Single Family'!$A:$R,E$1,0),2)</f>
        <v>1.00</v>
      </c>
      <c r="F10" s="3" t="str">
        <f>FIXED(VLOOKUP($A10,'Full Sample-Single Family'!$A:$R,F$1,0),2)</f>
        <v>4.00</v>
      </c>
      <c r="G10" s="9" t="str">
        <f>FIXED(VLOOKUP($A10,'Full Sample-Single Family'!$A:$R,G$1,0),2)</f>
        <v>1.29</v>
      </c>
      <c r="H10" s="3" t="str">
        <f>FIXED(VLOOKUP($A10,'Full Sample-Single Family'!$A:$R,H$1,0),2)</f>
        <v>0.53</v>
      </c>
      <c r="I10" s="3" t="str">
        <f>FIXED(VLOOKUP($A10,'Full Sample-Single Family'!$A:$R,I$1,0),2)</f>
        <v>1.00</v>
      </c>
      <c r="J10" s="13" t="str">
        <f>FIXED(VLOOKUP($A10,'Full Sample-Single Family'!$A:$R,J$1,0),2)</f>
        <v>4.00</v>
      </c>
      <c r="K10" s="9" t="str">
        <f>FIXED(VLOOKUP($A10,'Full Sample-Single Family'!$A:$R,K$1,0),2)</f>
        <v>1.32</v>
      </c>
      <c r="L10" s="3" t="str">
        <f>FIXED(VLOOKUP($A10,'Full Sample-Single Family'!$A:$R,L$1,0),2)</f>
        <v>0.55</v>
      </c>
      <c r="M10" s="3" t="str">
        <f>FIXED(VLOOKUP($A10,'Full Sample-No Sub'!$A:$R,M$1,0),2)</f>
        <v>1.00</v>
      </c>
      <c r="N10" s="13" t="str">
        <f>FIXED(VLOOKUP($A10,'Full Sample-No Sub'!$A:$R,N$1,0),2)</f>
        <v>5.00</v>
      </c>
      <c r="O10" s="9" t="str">
        <f>FIXED(VLOOKUP($A10,'Small Sample 1-Single Family'!$A:$R,O$1,0),2)</f>
        <v>1.17</v>
      </c>
      <c r="P10" s="3" t="str">
        <f>FIXED(VLOOKUP($A10,'Small Sample 1-Single Family'!$A:$R,P$1,0),2)</f>
        <v>0.41</v>
      </c>
      <c r="Q10" s="3" t="str">
        <f>FIXED(VLOOKUP($A10,'Small Sample 1-Single Family'!$A:$R,Q$1,0),2)</f>
        <v>1.00</v>
      </c>
      <c r="R10" s="3" t="str">
        <f>FIXED(VLOOKUP($A10,'Small Sample 1-Single Family'!$A:$R,R$1,0),2)</f>
        <v>4.00</v>
      </c>
      <c r="S10" s="9" t="str">
        <f>FIXED(VLOOKUP($A10,'Small Sample 1-Single Family'!$A:$R,S$1,0),2)</f>
        <v>1.07</v>
      </c>
      <c r="T10" s="3" t="str">
        <f>FIXED(VLOOKUP($A10,'Small Sample 1-Single Family'!$A:$R,T$1,0),2)</f>
        <v>0.26</v>
      </c>
      <c r="U10" s="3" t="str">
        <f>FIXED(VLOOKUP($A10,'Small Sample 1-Single Family'!$A:$R,U$1,0),2)</f>
        <v>1.00</v>
      </c>
      <c r="V10" s="13" t="str">
        <f>FIXED(VLOOKUP($A10,'Small Sample 1-Single Family'!$A:$R,V$1,0),2)</f>
        <v>3.00</v>
      </c>
      <c r="W10" s="9" t="str">
        <f>FIXED(VLOOKUP($A10,'Small Sample 1-Single Family'!$A:$R,W$1,0),2)</f>
        <v>1.28</v>
      </c>
      <c r="X10" s="3" t="str">
        <f>FIXED(VLOOKUP($A10,'Small Sample 1-Single Family'!$A:$R,X$1,0),2)</f>
        <v>0.51</v>
      </c>
      <c r="Y10" s="3" t="str">
        <f>FIXED(VLOOKUP($A10,'Small Sample 1-No Sub'!$A:$R,Y$1,0),2)</f>
        <v>1.00</v>
      </c>
      <c r="Z10" s="3" t="str">
        <f>FIXED(VLOOKUP($A10,'Small Sample 1-No Sub'!$A:$R,Z$1,0),2)</f>
        <v>5.00</v>
      </c>
      <c r="AA10" s="9" t="str">
        <f>FIXED(VLOOKUP($A10,'Small Sample 2-Single Family'!$A:$R,AA$1,0),2)</f>
        <v>1.17</v>
      </c>
      <c r="AB10" s="3" t="str">
        <f>FIXED(VLOOKUP($A10,'Small Sample 2-Single Family'!$A:$R,AB$1,0),2)</f>
        <v>0.41</v>
      </c>
      <c r="AC10" s="3" t="str">
        <f>FIXED(VLOOKUP($A10,'Small Sample 2-Single Family'!$A:$R,AC$1,0),2)</f>
        <v>1.00</v>
      </c>
      <c r="AD10" s="3" t="str">
        <f>FIXED(VLOOKUP($A10,'Small Sample 2-Single Family'!$A:$R,AD$1,0),2)</f>
        <v>4.00</v>
      </c>
      <c r="AE10" s="9" t="str">
        <f>FIXED(VLOOKUP($A10,'Small Sample 2-Single Family'!$A:$R,AE$1,0),2)</f>
        <v>1.23</v>
      </c>
      <c r="AF10" s="3" t="str">
        <f>FIXED(VLOOKUP($A10,'Small Sample 2-Single Family'!$A:$R,AF$1,0),2)</f>
        <v>0.47</v>
      </c>
      <c r="AG10" s="3" t="str">
        <f>FIXED(VLOOKUP($A10,'Small Sample 2-Single Family'!$A:$R,AG$1,0),2)</f>
        <v>1.00</v>
      </c>
      <c r="AH10" s="13" t="str">
        <f>FIXED(VLOOKUP($A10,'Small Sample 2-Single Family'!$A:$R,AH$1,0),2)</f>
        <v>4.00</v>
      </c>
      <c r="AI10" s="9" t="str">
        <f>FIXED(VLOOKUP($A10,'Small Sample 2-Single Family'!$A:$R,AI$1,0),2)</f>
        <v>1.06</v>
      </c>
      <c r="AJ10" s="3" t="str">
        <f>FIXED(VLOOKUP($A10,'Small Sample 2-Single Family'!$A:$R,AJ$1,0),2)</f>
        <v>0.25</v>
      </c>
      <c r="AK10" s="3" t="e" vm="1">
        <f>FIXED(VLOOKUP($A10,'Full Sample-Townhouse'!$A:$R,AK$1,0),2)</f>
        <v>#VALUE!</v>
      </c>
      <c r="AL10" s="3" t="e" vm="1">
        <f>FIXED(VLOOKUP($A10,'Full Sample-Townhouse'!$A:$R,AL$1,0),2)</f>
        <v>#VALUE!</v>
      </c>
    </row>
    <row r="11" spans="1:40" x14ac:dyDescent="0.25">
      <c r="A11" t="s">
        <v>11</v>
      </c>
      <c r="B11" s="4" t="s">
        <v>95</v>
      </c>
      <c r="C11" s="9" t="str">
        <f>FIXED(VLOOKUP($A11,'Full Sample-Single Family'!$A:$R,C$1,0),2)</f>
        <v>0.42</v>
      </c>
      <c r="D11" s="3" t="str">
        <f>FIXED(VLOOKUP($A11,'Full Sample-Single Family'!$A:$R,D$1,0),2)</f>
        <v>0.49</v>
      </c>
      <c r="E11" s="3" t="str">
        <f>FIXED(VLOOKUP($A11,'Full Sample-Single Family'!$A:$R,E$1,0),2)</f>
        <v>0.00</v>
      </c>
      <c r="F11" s="3" t="str">
        <f>FIXED(VLOOKUP($A11,'Full Sample-Single Family'!$A:$R,F$1,0),2)</f>
        <v>1.00</v>
      </c>
      <c r="G11" s="9" t="str">
        <f>FIXED(VLOOKUP($A11,'Full Sample-Single Family'!$A:$R,G$1,0),2)</f>
        <v>0.00</v>
      </c>
      <c r="H11" s="3" t="str">
        <f>FIXED(VLOOKUP($A11,'Full Sample-Single Family'!$A:$R,H$1,0),2)</f>
        <v>0.00</v>
      </c>
      <c r="I11" s="3" t="str">
        <f>FIXED(VLOOKUP($A11,'Full Sample-Single Family'!$A:$R,I$1,0),2)</f>
        <v>0.00</v>
      </c>
      <c r="J11" s="13" t="str">
        <f>FIXED(VLOOKUP($A11,'Full Sample-Single Family'!$A:$R,J$1,0),2)</f>
        <v>0.00</v>
      </c>
      <c r="K11" s="9" t="str">
        <f>FIXED(VLOOKUP($A11,'Full Sample-Single Family'!$A:$R,K$1,0),2)</f>
        <v>1.00</v>
      </c>
      <c r="L11" s="3" t="str">
        <f>FIXED(VLOOKUP($A11,'Full Sample-Single Family'!$A:$R,L$1,0),2)</f>
        <v>0.00</v>
      </c>
      <c r="M11" s="3" t="str">
        <f>FIXED(VLOOKUP($A11,'Full Sample-No Sub'!$A:$R,M$1,0),2)</f>
        <v>1.00</v>
      </c>
      <c r="N11" s="13" t="str">
        <f>FIXED(VLOOKUP($A11,'Full Sample-No Sub'!$A:$R,N$1,0),2)</f>
        <v>1.00</v>
      </c>
      <c r="O11" s="9" t="str">
        <f>FIXED(VLOOKUP($A11,'Small Sample 1-Single Family'!$A:$R,O$1,0),2)</f>
        <v>0.47</v>
      </c>
      <c r="P11" s="3" t="str">
        <f>FIXED(VLOOKUP($A11,'Small Sample 1-Single Family'!$A:$R,P$1,0),2)</f>
        <v>0.50</v>
      </c>
      <c r="Q11" s="3" t="str">
        <f>FIXED(VLOOKUP($A11,'Small Sample 1-Single Family'!$A:$R,Q$1,0),2)</f>
        <v>0.00</v>
      </c>
      <c r="R11" s="3" t="str">
        <f>FIXED(VLOOKUP($A11,'Small Sample 1-Single Family'!$A:$R,R$1,0),2)</f>
        <v>1.00</v>
      </c>
      <c r="S11" s="9" t="str">
        <f>FIXED(VLOOKUP($A11,'Small Sample 1-Single Family'!$A:$R,S$1,0),2)</f>
        <v>0.00</v>
      </c>
      <c r="T11" s="3" t="str">
        <f>FIXED(VLOOKUP($A11,'Small Sample 1-Single Family'!$A:$R,T$1,0),2)</f>
        <v>0.00</v>
      </c>
      <c r="U11" s="3" t="str">
        <f>FIXED(VLOOKUP($A11,'Small Sample 1-Single Family'!$A:$R,U$1,0),2)</f>
        <v>0.00</v>
      </c>
      <c r="V11" s="13" t="str">
        <f>FIXED(VLOOKUP($A11,'Small Sample 1-Single Family'!$A:$R,V$1,0),2)</f>
        <v>0.00</v>
      </c>
      <c r="W11" s="9" t="str">
        <f>FIXED(VLOOKUP($A11,'Small Sample 1-Single Family'!$A:$R,W$1,0),2)</f>
        <v>1.00</v>
      </c>
      <c r="X11" s="3" t="str">
        <f>FIXED(VLOOKUP($A11,'Small Sample 1-Single Family'!$A:$R,X$1,0),2)</f>
        <v>0.00</v>
      </c>
      <c r="Y11" s="3" t="str">
        <f>FIXED(VLOOKUP($A11,'Small Sample 1-No Sub'!$A:$R,Y$1,0),2)</f>
        <v>1.00</v>
      </c>
      <c r="Z11" s="3" t="str">
        <f>FIXED(VLOOKUP($A11,'Small Sample 1-No Sub'!$A:$R,Z$1,0),2)</f>
        <v>1.00</v>
      </c>
      <c r="AA11" s="9" t="str">
        <f>FIXED(VLOOKUP($A11,'Small Sample 2-Single Family'!$A:$R,AA$1,0),2)</f>
        <v>0.37</v>
      </c>
      <c r="AB11" s="3" t="str">
        <f>FIXED(VLOOKUP($A11,'Small Sample 2-Single Family'!$A:$R,AB$1,0),2)</f>
        <v>0.48</v>
      </c>
      <c r="AC11" s="3" t="str">
        <f>FIXED(VLOOKUP($A11,'Small Sample 2-Single Family'!$A:$R,AC$1,0),2)</f>
        <v>0.00</v>
      </c>
      <c r="AD11" s="3" t="str">
        <f>FIXED(VLOOKUP($A11,'Small Sample 2-Single Family'!$A:$R,AD$1,0),2)</f>
        <v>1.00</v>
      </c>
      <c r="AE11" s="9" t="str">
        <f>FIXED(VLOOKUP($A11,'Small Sample 2-Single Family'!$A:$R,AE$1,0),2)</f>
        <v>0.00</v>
      </c>
      <c r="AF11" s="3" t="str">
        <f>FIXED(VLOOKUP($A11,'Small Sample 2-Single Family'!$A:$R,AF$1,0),2)</f>
        <v>0.00</v>
      </c>
      <c r="AG11" s="3" t="str">
        <f>FIXED(VLOOKUP($A11,'Small Sample 2-Single Family'!$A:$R,AG$1,0),2)</f>
        <v>0.00</v>
      </c>
      <c r="AH11" s="13" t="str">
        <f>FIXED(VLOOKUP($A11,'Small Sample 2-Single Family'!$A:$R,AH$1,0),2)</f>
        <v>0.00</v>
      </c>
      <c r="AI11" s="9" t="str">
        <f>FIXED(VLOOKUP($A11,'Small Sample 2-Single Family'!$A:$R,AI$1,0),2)</f>
        <v>1.00</v>
      </c>
      <c r="AJ11" s="3" t="str">
        <f>FIXED(VLOOKUP($A11,'Small Sample 2-Single Family'!$A:$R,AJ$1,0),2)</f>
        <v>0.00</v>
      </c>
      <c r="AK11" s="3" t="e" vm="1">
        <f>FIXED(VLOOKUP($A11,'Full Sample-Townhouse'!$A:$R,AK$1,0),2)</f>
        <v>#VALUE!</v>
      </c>
      <c r="AL11" s="3" t="e" vm="1">
        <f>FIXED(VLOOKUP($A11,'Full Sample-Townhouse'!$A:$R,AL$1,0),2)</f>
        <v>#VALUE!</v>
      </c>
    </row>
    <row r="12" spans="1:40" x14ac:dyDescent="0.25">
      <c r="A12" t="s">
        <v>12</v>
      </c>
      <c r="B12" s="4" t="s">
        <v>96</v>
      </c>
      <c r="C12" s="9" t="str">
        <f>FIXED(VLOOKUP($A12,'Full Sample-Single Family'!$A:$R,C$1,0),2)</f>
        <v>0.37</v>
      </c>
      <c r="D12" s="3" t="str">
        <f>FIXED(VLOOKUP($A12,'Full Sample-Single Family'!$A:$R,D$1,0),2)</f>
        <v>0.48</v>
      </c>
      <c r="E12" s="3" t="str">
        <f>FIXED(VLOOKUP($A12,'Full Sample-Single Family'!$A:$R,E$1,0),2)</f>
        <v>0.00</v>
      </c>
      <c r="F12" s="3" t="str">
        <f>FIXED(VLOOKUP($A12,'Full Sample-Single Family'!$A:$R,F$1,0),2)</f>
        <v>1.00</v>
      </c>
      <c r="G12" s="9" t="str">
        <f>FIXED(VLOOKUP($A12,'Full Sample-Single Family'!$A:$R,G$1,0),2)</f>
        <v>0.00</v>
      </c>
      <c r="H12" s="3" t="str">
        <f>FIXED(VLOOKUP($A12,'Full Sample-Single Family'!$A:$R,H$1,0),2)</f>
        <v>0.04</v>
      </c>
      <c r="I12" s="3" t="str">
        <f>FIXED(VLOOKUP($A12,'Full Sample-Single Family'!$A:$R,I$1,0),2)</f>
        <v>0.00</v>
      </c>
      <c r="J12" s="13" t="str">
        <f>FIXED(VLOOKUP($A12,'Full Sample-Single Family'!$A:$R,J$1,0),2)</f>
        <v>1.00</v>
      </c>
      <c r="K12" s="9" t="str">
        <f>FIXED(VLOOKUP($A12,'Full Sample-Single Family'!$A:$R,K$1,0),2)</f>
        <v>0.87</v>
      </c>
      <c r="L12" s="3" t="str">
        <f>FIXED(VLOOKUP($A12,'Full Sample-Single Family'!$A:$R,L$1,0),2)</f>
        <v>0.34</v>
      </c>
      <c r="M12" s="3" t="str">
        <f>FIXED(VLOOKUP($A12,'Full Sample-No Sub'!$A:$R,M$1,0),2)</f>
        <v>0.00</v>
      </c>
      <c r="N12" s="13" t="str">
        <f>FIXED(VLOOKUP($A12,'Full Sample-No Sub'!$A:$R,N$1,0),2)</f>
        <v>1.00</v>
      </c>
      <c r="O12" s="9" t="str">
        <f>FIXED(VLOOKUP($A12,'Small Sample 1-Single Family'!$A:$R,O$1,0),2)</f>
        <v>0.41</v>
      </c>
      <c r="P12" s="3" t="str">
        <f>FIXED(VLOOKUP($A12,'Small Sample 1-Single Family'!$A:$R,P$1,0),2)</f>
        <v>0.49</v>
      </c>
      <c r="Q12" s="3" t="str">
        <f>FIXED(VLOOKUP($A12,'Small Sample 1-Single Family'!$A:$R,Q$1,0),2)</f>
        <v>0.00</v>
      </c>
      <c r="R12" s="3" t="str">
        <f>FIXED(VLOOKUP($A12,'Small Sample 1-Single Family'!$A:$R,R$1,0),2)</f>
        <v>1.00</v>
      </c>
      <c r="S12" s="9" t="str">
        <f>FIXED(VLOOKUP($A12,'Small Sample 1-Single Family'!$A:$R,S$1,0),2)</f>
        <v>0.00</v>
      </c>
      <c r="T12" s="3" t="str">
        <f>FIXED(VLOOKUP($A12,'Small Sample 1-Single Family'!$A:$R,T$1,0),2)</f>
        <v>0.04</v>
      </c>
      <c r="U12" s="3" t="str">
        <f>FIXED(VLOOKUP($A12,'Small Sample 1-Single Family'!$A:$R,U$1,0),2)</f>
        <v>0.00</v>
      </c>
      <c r="V12" s="13" t="str">
        <f>FIXED(VLOOKUP($A12,'Small Sample 1-Single Family'!$A:$R,V$1,0),2)</f>
        <v>1.00</v>
      </c>
      <c r="W12" s="9" t="str">
        <f>FIXED(VLOOKUP($A12,'Small Sample 1-Single Family'!$A:$R,W$1,0),2)</f>
        <v>0.86</v>
      </c>
      <c r="X12" s="3" t="str">
        <f>FIXED(VLOOKUP($A12,'Small Sample 1-Single Family'!$A:$R,X$1,0),2)</f>
        <v>0.34</v>
      </c>
      <c r="Y12" s="3" t="str">
        <f>FIXED(VLOOKUP($A12,'Small Sample 1-No Sub'!$A:$R,Y$1,0),2)</f>
        <v>0.00</v>
      </c>
      <c r="Z12" s="3" t="str">
        <f>FIXED(VLOOKUP($A12,'Small Sample 1-No Sub'!$A:$R,Z$1,0),2)</f>
        <v>1.00</v>
      </c>
      <c r="AA12" s="9" t="str">
        <f>FIXED(VLOOKUP($A12,'Small Sample 2-Single Family'!$A:$R,AA$1,0),2)</f>
        <v>0.33</v>
      </c>
      <c r="AB12" s="3" t="str">
        <f>FIXED(VLOOKUP($A12,'Small Sample 2-Single Family'!$A:$R,AB$1,0),2)</f>
        <v>0.47</v>
      </c>
      <c r="AC12" s="3" t="str">
        <f>FIXED(VLOOKUP($A12,'Small Sample 2-Single Family'!$A:$R,AC$1,0),2)</f>
        <v>0.00</v>
      </c>
      <c r="AD12" s="3" t="str">
        <f>FIXED(VLOOKUP($A12,'Small Sample 2-Single Family'!$A:$R,AD$1,0),2)</f>
        <v>1.00</v>
      </c>
      <c r="AE12" s="9" t="str">
        <f>FIXED(VLOOKUP($A12,'Small Sample 2-Single Family'!$A:$R,AE$1,0),2)</f>
        <v>0.00</v>
      </c>
      <c r="AF12" s="3" t="str">
        <f>FIXED(VLOOKUP($A12,'Small Sample 2-Single Family'!$A:$R,AF$1,0),2)</f>
        <v>0.03</v>
      </c>
      <c r="AG12" s="3" t="str">
        <f>FIXED(VLOOKUP($A12,'Small Sample 2-Single Family'!$A:$R,AG$1,0),2)</f>
        <v>0.00</v>
      </c>
      <c r="AH12" s="13" t="str">
        <f>FIXED(VLOOKUP($A12,'Small Sample 2-Single Family'!$A:$R,AH$1,0),2)</f>
        <v>1.00</v>
      </c>
      <c r="AI12" s="9" t="str">
        <f>FIXED(VLOOKUP($A12,'Small Sample 2-Single Family'!$A:$R,AI$1,0),2)</f>
        <v>0.87</v>
      </c>
      <c r="AJ12" s="3" t="str">
        <f>FIXED(VLOOKUP($A12,'Small Sample 2-Single Family'!$A:$R,AJ$1,0),2)</f>
        <v>0.33</v>
      </c>
      <c r="AK12" s="3" t="e" vm="1">
        <f>FIXED(VLOOKUP($A12,'Full Sample-Townhouse'!$A:$R,AK$1,0),2)</f>
        <v>#VALUE!</v>
      </c>
      <c r="AL12" s="3" t="e" vm="1">
        <f>FIXED(VLOOKUP($A12,'Full Sample-Townhouse'!$A:$R,AL$1,0),2)</f>
        <v>#VALUE!</v>
      </c>
    </row>
    <row r="13" spans="1:40" x14ac:dyDescent="0.25">
      <c r="A13" t="s">
        <v>16</v>
      </c>
      <c r="B13" t="s">
        <v>100</v>
      </c>
      <c r="C13" s="9" t="str">
        <f>FIXED(VLOOKUP($A13,'Full Sample-Single Family'!$A:$R,C$1,0),2)</f>
        <v>42.31</v>
      </c>
      <c r="D13" s="3" t="str">
        <f>FIXED(VLOOKUP($A13,'Full Sample-Single Family'!$A:$R,D$1,0),2)</f>
        <v>56.52</v>
      </c>
      <c r="E13" s="3" t="str">
        <f>FIXED(VLOOKUP($A13,'Full Sample-Single Family'!$A:$R,E$1,0),2)</f>
        <v>0.00</v>
      </c>
      <c r="F13" s="3" t="str">
        <f>FIXED(VLOOKUP($A13,'Full Sample-Single Family'!$A:$R,F$1,0),2)</f>
        <v>1,402.00</v>
      </c>
      <c r="G13" s="9" t="str">
        <f>FIXED(VLOOKUP($A13,'Full Sample-Single Family'!$A:$R,G$1,0),2)</f>
        <v>51.58</v>
      </c>
      <c r="H13" s="3" t="str">
        <f>FIXED(VLOOKUP($A13,'Full Sample-Single Family'!$A:$R,H$1,0),2)</f>
        <v>59.84</v>
      </c>
      <c r="I13" s="3" t="str">
        <f>FIXED(VLOOKUP($A13,'Full Sample-Single Family'!$A:$R,I$1,0),2)</f>
        <v>0.00</v>
      </c>
      <c r="J13" s="13" t="str">
        <f>FIXED(VLOOKUP($A13,'Full Sample-Single Family'!$A:$R,J$1,0),2)</f>
        <v>1,402.00</v>
      </c>
      <c r="K13" s="9" t="str">
        <f>FIXED(VLOOKUP($A13,'Full Sample-Single Family'!$A:$R,K$1,0),2)</f>
        <v>29.64</v>
      </c>
      <c r="L13" s="3" t="str">
        <f>FIXED(VLOOKUP($A13,'Full Sample-Single Family'!$A:$R,L$1,0),2)</f>
        <v>48.86</v>
      </c>
      <c r="M13" s="3" t="str">
        <f>FIXED(VLOOKUP($A13,'Full Sample-No Sub'!$A:$R,M$1,0),2)</f>
        <v>0.00</v>
      </c>
      <c r="N13" s="13" t="str">
        <f>FIXED(VLOOKUP($A13,'Full Sample-No Sub'!$A:$R,N$1,0),2)</f>
        <v>946.00</v>
      </c>
      <c r="O13" s="9" t="str">
        <f>FIXED(VLOOKUP($A13,'Small Sample 1-Single Family'!$A:$R,O$1,0),2)</f>
        <v>41.14</v>
      </c>
      <c r="P13" s="3" t="str">
        <f>FIXED(VLOOKUP($A13,'Small Sample 1-Single Family'!$A:$R,P$1,0),2)</f>
        <v>55.68</v>
      </c>
      <c r="Q13" s="3" t="str">
        <f>FIXED(VLOOKUP($A13,'Small Sample 1-Single Family'!$A:$R,Q$1,0),2)</f>
        <v>0.00</v>
      </c>
      <c r="R13" s="3" t="str">
        <f>FIXED(VLOOKUP($A13,'Small Sample 1-Single Family'!$A:$R,R$1,0),2)</f>
        <v>739.00</v>
      </c>
      <c r="S13" s="9" t="str">
        <f>FIXED(VLOOKUP($A13,'Small Sample 1-Single Family'!$A:$R,S$1,0),2)</f>
        <v>1,857.04</v>
      </c>
      <c r="T13" s="3" t="str">
        <f>FIXED(VLOOKUP($A13,'Small Sample 1-Single Family'!$A:$R,T$1,0),2)</f>
        <v>884.47</v>
      </c>
      <c r="U13" s="3" t="str">
        <f>FIXED(VLOOKUP($A13,'Small Sample 1-Single Family'!$A:$R,U$1,0),2)</f>
        <v>420.00</v>
      </c>
      <c r="V13" s="13" t="str">
        <f>FIXED(VLOOKUP($A13,'Small Sample 1-Single Family'!$A:$R,V$1,0),2)</f>
        <v>17,408.00</v>
      </c>
      <c r="W13" s="9" t="str">
        <f>FIXED(VLOOKUP($A13,'Small Sample 1-Single Family'!$A:$R,W$1,0),2)</f>
        <v>29.48</v>
      </c>
      <c r="X13" s="3" t="str">
        <f>FIXED(VLOOKUP($A13,'Small Sample 1-Single Family'!$A:$R,X$1,0),2)</f>
        <v>48.69</v>
      </c>
      <c r="Y13" s="3" t="str">
        <f>FIXED(VLOOKUP($A13,'Small Sample 1-No Sub'!$A:$R,Y$1,0),2)</f>
        <v>0.00</v>
      </c>
      <c r="Z13" s="3" t="str">
        <f>FIXED(VLOOKUP($A13,'Small Sample 1-No Sub'!$A:$R,Z$1,0),2)</f>
        <v>946.00</v>
      </c>
      <c r="AA13" s="9" t="str">
        <f>FIXED(VLOOKUP($A13,'Small Sample 2-Single Family'!$A:$R,AA$1,0),2)</f>
        <v>44.59</v>
      </c>
      <c r="AB13" s="3" t="str">
        <f>FIXED(VLOOKUP($A13,'Small Sample 2-Single Family'!$A:$R,AB$1,0),2)</f>
        <v>58.28</v>
      </c>
      <c r="AC13" s="3" t="str">
        <f>FIXED(VLOOKUP($A13,'Small Sample 2-Single Family'!$A:$R,AC$1,0),2)</f>
        <v>0.00</v>
      </c>
      <c r="AD13" s="3" t="str">
        <f>FIXED(VLOOKUP($A13,'Small Sample 2-Single Family'!$A:$R,AD$1,0),2)</f>
        <v>1,402.00</v>
      </c>
      <c r="AE13" s="9" t="str">
        <f>FIXED(VLOOKUP($A13,'Small Sample 2-Single Family'!$A:$R,AE$1,0),2)</f>
        <v>52.39</v>
      </c>
      <c r="AF13" s="3" t="str">
        <f>FIXED(VLOOKUP($A13,'Small Sample 2-Single Family'!$A:$R,AF$1,0),2)</f>
        <v>60.48</v>
      </c>
      <c r="AG13" s="3" t="str">
        <f>FIXED(VLOOKUP($A13,'Small Sample 2-Single Family'!$A:$R,AG$1,0),2)</f>
        <v>0.00</v>
      </c>
      <c r="AH13" s="13" t="str">
        <f>FIXED(VLOOKUP($A13,'Small Sample 2-Single Family'!$A:$R,AH$1,0),2)</f>
        <v>1,402.00</v>
      </c>
      <c r="AI13" s="9" t="str">
        <f>FIXED(VLOOKUP($A13,'Small Sample 2-Single Family'!$A:$R,AI$1,0),2)</f>
        <v>31.53</v>
      </c>
      <c r="AJ13" s="3" t="str">
        <f>FIXED(VLOOKUP($A13,'Small Sample 2-Single Family'!$A:$R,AJ$1,0),2)</f>
        <v>51.84</v>
      </c>
      <c r="AK13" s="3" t="e" vm="1">
        <f>FIXED(VLOOKUP($A13,'Full Sample-Townhouse'!$A:$R,AK$1,0),2)</f>
        <v>#VALUE!</v>
      </c>
      <c r="AL13" s="3" t="e" vm="1">
        <f>FIXED(VLOOKUP($A13,'Full Sample-Townhouse'!$A:$R,AL$1,0),2)</f>
        <v>#VALUE!</v>
      </c>
    </row>
    <row r="14" spans="1:40" x14ac:dyDescent="0.25">
      <c r="A14" t="s">
        <v>61</v>
      </c>
      <c r="B14" t="s">
        <v>320</v>
      </c>
      <c r="C14" s="9" t="str">
        <f>FIXED(VLOOKUP($A14,'Full Sample-Single Family'!$A:$R,C$1,0),2)</f>
        <v>2,019.04</v>
      </c>
      <c r="D14" s="3" t="str">
        <f>FIXED(VLOOKUP($A14,'Full Sample-Single Family'!$A:$R,D$1,0),2)</f>
        <v>2.01</v>
      </c>
      <c r="E14" s="3" t="str">
        <f>FIXED(VLOOKUP($A14,'Full Sample-Single Family'!$A:$R,E$1,0),2)</f>
        <v>2,016.00</v>
      </c>
      <c r="F14" s="3" t="str">
        <f>FIXED(VLOOKUP($A14,'Full Sample-Single Family'!$A:$R,F$1,0),2)</f>
        <v>2,023.00</v>
      </c>
      <c r="G14" s="9" t="str">
        <f>FIXED(VLOOKUP($A14,'Full Sample-Single Family'!$A:$R,G$1,0),2)</f>
        <v>2,017.57</v>
      </c>
      <c r="H14" s="3" t="str">
        <f>FIXED(VLOOKUP($A14,'Full Sample-Single Family'!$A:$R,H$1,0),2)</f>
        <v>1.18</v>
      </c>
      <c r="I14" s="3" t="str">
        <f>FIXED(VLOOKUP($A14,'Full Sample-Single Family'!$A:$R,I$1,0),2)</f>
        <v>2,016.00</v>
      </c>
      <c r="J14" s="13" t="str">
        <f>FIXED(VLOOKUP($A14,'Full Sample-Single Family'!$A:$R,J$1,0),2)</f>
        <v>2,020.00</v>
      </c>
      <c r="K14" s="9" t="str">
        <f>FIXED(VLOOKUP($A14,'Full Sample-Single Family'!$A:$R,K$1,0),2)</f>
        <v>2,021.04</v>
      </c>
      <c r="L14" s="3" t="str">
        <f>FIXED(VLOOKUP($A14,'Full Sample-Single Family'!$A:$R,L$1,0),2)</f>
        <v>0.83</v>
      </c>
      <c r="M14" s="3" t="str">
        <f>FIXED(VLOOKUP($A14,'Full Sample-No Sub'!$A:$R,M$1,0),2)</f>
        <v>2,020.00</v>
      </c>
      <c r="N14" s="13" t="str">
        <f>FIXED(VLOOKUP($A14,'Full Sample-No Sub'!$A:$R,N$1,0),2)</f>
        <v>2,023.00</v>
      </c>
      <c r="O14" s="9" t="str">
        <f>FIXED(VLOOKUP($A14,'Small Sample 1-Single Family'!$A:$R,O$1,0),2)</f>
        <v>2,019.24</v>
      </c>
      <c r="P14" s="3" t="str">
        <f>FIXED(VLOOKUP($A14,'Small Sample 1-Single Family'!$A:$R,P$1,0),2)</f>
        <v>2.00</v>
      </c>
      <c r="Q14" s="3" t="str">
        <f>FIXED(VLOOKUP($A14,'Small Sample 1-Single Family'!$A:$R,Q$1,0),2)</f>
        <v>2,016.00</v>
      </c>
      <c r="R14" s="3" t="str">
        <f>FIXED(VLOOKUP($A14,'Small Sample 1-Single Family'!$A:$R,R$1,0),2)</f>
        <v>2,023.00</v>
      </c>
      <c r="S14" s="9" t="str">
        <f>FIXED(VLOOKUP($A14,'Small Sample 1-Single Family'!$A:$R,S$1,0),2)</f>
        <v>0.88</v>
      </c>
      <c r="T14" s="3" t="str">
        <f>FIXED(VLOOKUP($A14,'Small Sample 1-Single Family'!$A:$R,T$1,0),2)</f>
        <v>0.32</v>
      </c>
      <c r="U14" s="3" t="str">
        <f>FIXED(VLOOKUP($A14,'Small Sample 1-Single Family'!$A:$R,U$1,0),2)</f>
        <v>0.00</v>
      </c>
      <c r="V14" s="13" t="str">
        <f>FIXED(VLOOKUP($A14,'Small Sample 1-Single Family'!$A:$R,V$1,0),2)</f>
        <v>1.00</v>
      </c>
      <c r="W14" s="9" t="str">
        <f>FIXED(VLOOKUP($A14,'Small Sample 1-Single Family'!$A:$R,W$1,0),2)</f>
        <v>2,021.06</v>
      </c>
      <c r="X14" s="3" t="str">
        <f>FIXED(VLOOKUP($A14,'Small Sample 1-Single Family'!$A:$R,X$1,0),2)</f>
        <v>0.82</v>
      </c>
      <c r="Y14" s="3" t="str">
        <f>FIXED(VLOOKUP($A14,'Small Sample 1-No Sub'!$A:$R,Y$1,0),2)</f>
        <v>2,020.00</v>
      </c>
      <c r="Z14" s="3" t="str">
        <f>FIXED(VLOOKUP($A14,'Small Sample 1-No Sub'!$A:$R,Z$1,0),2)</f>
        <v>2,023.00</v>
      </c>
      <c r="AA14" s="9" t="str">
        <f>FIXED(VLOOKUP($A14,'Small Sample 2-Single Family'!$A:$R,AA$1,0),2)</f>
        <v>2,018.82</v>
      </c>
      <c r="AB14" s="3" t="str">
        <f>FIXED(VLOOKUP($A14,'Small Sample 2-Single Family'!$A:$R,AB$1,0),2)</f>
        <v>2.00</v>
      </c>
      <c r="AC14" s="3" t="str">
        <f>FIXED(VLOOKUP($A14,'Small Sample 2-Single Family'!$A:$R,AC$1,0),2)</f>
        <v>2,016.00</v>
      </c>
      <c r="AD14" s="3" t="str">
        <f>FIXED(VLOOKUP($A14,'Small Sample 2-Single Family'!$A:$R,AD$1,0),2)</f>
        <v>2,023.00</v>
      </c>
      <c r="AE14" s="9" t="str">
        <f>FIXED(VLOOKUP($A14,'Small Sample 2-Single Family'!$A:$R,AE$1,0),2)</f>
        <v>2,017.51</v>
      </c>
      <c r="AF14" s="3" t="str">
        <f>FIXED(VLOOKUP($A14,'Small Sample 2-Single Family'!$A:$R,AF$1,0),2)</f>
        <v>1.17</v>
      </c>
      <c r="AG14" s="3" t="str">
        <f>FIXED(VLOOKUP($A14,'Small Sample 2-Single Family'!$A:$R,AG$1,0),2)</f>
        <v>2,016.00</v>
      </c>
      <c r="AH14" s="13" t="str">
        <f>FIXED(VLOOKUP($A14,'Small Sample 2-Single Family'!$A:$R,AH$1,0),2)</f>
        <v>2,020.00</v>
      </c>
      <c r="AI14" s="9" t="str">
        <f>FIXED(VLOOKUP($A14,'Small Sample 2-Single Family'!$A:$R,AI$1,0),2)</f>
        <v>2,021.02</v>
      </c>
      <c r="AJ14" s="3" t="str">
        <f>FIXED(VLOOKUP($A14,'Small Sample 2-Single Family'!$A:$R,AJ$1,0),2)</f>
        <v>0.83</v>
      </c>
      <c r="AK14" s="3" t="e" vm="1">
        <f>FIXED(VLOOKUP($A14,'Full Sample-Townhouse'!$A:$R,AK$1,0),2)</f>
        <v>#VALUE!</v>
      </c>
      <c r="AL14" s="3" t="e" vm="1">
        <f>FIXED(VLOOKUP($A14,'Full Sample-Townhouse'!$A:$R,AL$1,0),2)</f>
        <v>#VALUE!</v>
      </c>
    </row>
    <row r="15" spans="1:40" x14ac:dyDescent="0.25">
      <c r="A15" t="s">
        <v>13</v>
      </c>
      <c r="B15" t="s">
        <v>97</v>
      </c>
      <c r="C15" s="9" t="str">
        <f>FIXED(VLOOKUP($A15,'Full Sample-Single Family'!$A:$R,C$1,0),2)</f>
        <v>2.39</v>
      </c>
      <c r="D15" s="3" t="str">
        <f>FIXED(VLOOKUP($A15,'Full Sample-Single Family'!$A:$R,D$1,0),2)</f>
        <v>0.98</v>
      </c>
      <c r="E15" s="3" t="str">
        <f>FIXED(VLOOKUP($A15,'Full Sample-Single Family'!$A:$R,E$1,0),2)</f>
        <v>0.00</v>
      </c>
      <c r="F15" s="3" t="str">
        <f>FIXED(VLOOKUP($A15,'Full Sample-Single Family'!$A:$R,F$1,0),2)</f>
        <v>17.00</v>
      </c>
      <c r="G15" s="9" t="str">
        <f>FIXED(VLOOKUP($A15,'Full Sample-Single Family'!$A:$R,G$1,0),2)</f>
        <v>2.35</v>
      </c>
      <c r="H15" s="3" t="str">
        <f>FIXED(VLOOKUP($A15,'Full Sample-Single Family'!$A:$R,H$1,0),2)</f>
        <v>0.94</v>
      </c>
      <c r="I15" s="3" t="str">
        <f>FIXED(VLOOKUP($A15,'Full Sample-Single Family'!$A:$R,I$1,0),2)</f>
        <v>0.00</v>
      </c>
      <c r="J15" s="13" t="str">
        <f>FIXED(VLOOKUP($A15,'Full Sample-Single Family'!$A:$R,J$1,0),2)</f>
        <v>17.00</v>
      </c>
      <c r="K15" s="9" t="str">
        <f>FIXED(VLOOKUP($A15,'Full Sample-Single Family'!$A:$R,K$1,0),2)</f>
        <v>2.44</v>
      </c>
      <c r="L15" s="3" t="str">
        <f>FIXED(VLOOKUP($A15,'Full Sample-Single Family'!$A:$R,L$1,0),2)</f>
        <v>1.02</v>
      </c>
      <c r="M15" s="3" t="str">
        <f>FIXED(VLOOKUP($A15,'Full Sample-No Sub'!$A:$R,M$1,0),2)</f>
        <v>0.00</v>
      </c>
      <c r="N15" s="13" t="str">
        <f>FIXED(VLOOKUP($A15,'Full Sample-No Sub'!$A:$R,N$1,0),2)</f>
        <v>15.00</v>
      </c>
      <c r="O15" s="9" t="str">
        <f>FIXED(VLOOKUP($A15,'Small Sample 1-Single Family'!$A:$R,O$1,0),2)</f>
        <v>2.40</v>
      </c>
      <c r="P15" s="3" t="str">
        <f>FIXED(VLOOKUP($A15,'Small Sample 1-Single Family'!$A:$R,P$1,0),2)</f>
        <v>0.99</v>
      </c>
      <c r="Q15" s="3" t="str">
        <f>FIXED(VLOOKUP($A15,'Small Sample 1-Single Family'!$A:$R,Q$1,0),2)</f>
        <v>0.00</v>
      </c>
      <c r="R15" s="3" t="str">
        <f>FIXED(VLOOKUP($A15,'Small Sample 1-Single Family'!$A:$R,R$1,0),2)</f>
        <v>17.00</v>
      </c>
      <c r="S15" s="9" t="str">
        <f>FIXED(VLOOKUP($A15,'Small Sample 1-Single Family'!$A:$R,S$1,0),2)</f>
        <v>0.38</v>
      </c>
      <c r="T15" s="3" t="str">
        <f>FIXED(VLOOKUP($A15,'Small Sample 1-Single Family'!$A:$R,T$1,0),2)</f>
        <v>0.52</v>
      </c>
      <c r="U15" s="3" t="str">
        <f>FIXED(VLOOKUP($A15,'Small Sample 1-Single Family'!$A:$R,U$1,0),2)</f>
        <v>0.00</v>
      </c>
      <c r="V15" s="13" t="str">
        <f>FIXED(VLOOKUP($A15,'Small Sample 1-Single Family'!$A:$R,V$1,0),2)</f>
        <v>5.00</v>
      </c>
      <c r="W15" s="9" t="str">
        <f>FIXED(VLOOKUP($A15,'Small Sample 1-Single Family'!$A:$R,W$1,0),2)</f>
        <v>2.45</v>
      </c>
      <c r="X15" s="3" t="str">
        <f>FIXED(VLOOKUP($A15,'Small Sample 1-Single Family'!$A:$R,X$1,0),2)</f>
        <v>1.02</v>
      </c>
      <c r="Y15" s="3" t="str">
        <f>FIXED(VLOOKUP($A15,'Small Sample 1-No Sub'!$A:$R,Y$1,0),2)</f>
        <v>0.00</v>
      </c>
      <c r="Z15" s="3" t="str">
        <f>FIXED(VLOOKUP($A15,'Small Sample 1-No Sub'!$A:$R,Z$1,0),2)</f>
        <v>15.00</v>
      </c>
      <c r="AA15" s="9" t="str">
        <f>FIXED(VLOOKUP($A15,'Small Sample 2-Single Family'!$A:$R,AA$1,0),2)</f>
        <v>2.39</v>
      </c>
      <c r="AB15" s="3" t="str">
        <f>FIXED(VLOOKUP($A15,'Small Sample 2-Single Family'!$A:$R,AB$1,0),2)</f>
        <v>0.98</v>
      </c>
      <c r="AC15" s="3" t="str">
        <f>FIXED(VLOOKUP($A15,'Small Sample 2-Single Family'!$A:$R,AC$1,0),2)</f>
        <v>0.00</v>
      </c>
      <c r="AD15" s="3" t="str">
        <f>FIXED(VLOOKUP($A15,'Small Sample 2-Single Family'!$A:$R,AD$1,0),2)</f>
        <v>17.00</v>
      </c>
      <c r="AE15" s="9" t="str">
        <f>FIXED(VLOOKUP($A15,'Small Sample 2-Single Family'!$A:$R,AE$1,0),2)</f>
        <v>2.36</v>
      </c>
      <c r="AF15" s="3" t="str">
        <f>FIXED(VLOOKUP($A15,'Small Sample 2-Single Family'!$A:$R,AF$1,0),2)</f>
        <v>0.94</v>
      </c>
      <c r="AG15" s="3" t="str">
        <f>FIXED(VLOOKUP($A15,'Small Sample 2-Single Family'!$A:$R,AG$1,0),2)</f>
        <v>0.00</v>
      </c>
      <c r="AH15" s="13" t="str">
        <f>FIXED(VLOOKUP($A15,'Small Sample 2-Single Family'!$A:$R,AH$1,0),2)</f>
        <v>17.00</v>
      </c>
      <c r="AI15" s="9" t="str">
        <f>FIXED(VLOOKUP($A15,'Small Sample 2-Single Family'!$A:$R,AI$1,0),2)</f>
        <v>2.45</v>
      </c>
      <c r="AJ15" s="3" t="str">
        <f>FIXED(VLOOKUP($A15,'Small Sample 2-Single Family'!$A:$R,AJ$1,0),2)</f>
        <v>1.04</v>
      </c>
      <c r="AK15" s="3" t="e" vm="1">
        <f>FIXED(VLOOKUP($A15,'Full Sample-Townhouse'!$A:$R,AK$1,0),2)</f>
        <v>#VALUE!</v>
      </c>
      <c r="AL15" s="3" t="e" vm="1">
        <f>FIXED(VLOOKUP($A15,'Full Sample-Townhouse'!$A:$R,AL$1,0),2)</f>
        <v>#VALUE!</v>
      </c>
    </row>
    <row r="16" spans="1:40" x14ac:dyDescent="0.25">
      <c r="A16" t="s">
        <v>14</v>
      </c>
      <c r="B16" t="s">
        <v>98</v>
      </c>
      <c r="C16" s="9" t="str">
        <f>FIXED(VLOOKUP($A16,'Full Sample-Single Family'!$A:$R,C$1,0),2)</f>
        <v>0.39</v>
      </c>
      <c r="D16" s="3" t="str">
        <f>FIXED(VLOOKUP($A16,'Full Sample-Single Family'!$A:$R,D$1,0),2)</f>
        <v>0.53</v>
      </c>
      <c r="E16" s="3" t="str">
        <f>FIXED(VLOOKUP($A16,'Full Sample-Single Family'!$A:$R,E$1,0),2)</f>
        <v>0.00</v>
      </c>
      <c r="F16" s="3" t="str">
        <f>FIXED(VLOOKUP($A16,'Full Sample-Single Family'!$A:$R,F$1,0),2)</f>
        <v>5.00</v>
      </c>
      <c r="G16" s="9" t="str">
        <f>FIXED(VLOOKUP($A16,'Full Sample-Single Family'!$A:$R,G$1,0),2)</f>
        <v>0.40</v>
      </c>
      <c r="H16" s="3" t="str">
        <f>FIXED(VLOOKUP($A16,'Full Sample-Single Family'!$A:$R,H$1,0),2)</f>
        <v>0.52</v>
      </c>
      <c r="I16" s="3" t="str">
        <f>FIXED(VLOOKUP($A16,'Full Sample-Single Family'!$A:$R,I$1,0),2)</f>
        <v>0.00</v>
      </c>
      <c r="J16" s="13" t="str">
        <f>FIXED(VLOOKUP($A16,'Full Sample-Single Family'!$A:$R,J$1,0),2)</f>
        <v>5.00</v>
      </c>
      <c r="K16" s="9" t="str">
        <f>FIXED(VLOOKUP($A16,'Full Sample-Single Family'!$A:$R,K$1,0),2)</f>
        <v>0.39</v>
      </c>
      <c r="L16" s="3" t="str">
        <f>FIXED(VLOOKUP($A16,'Full Sample-Single Family'!$A:$R,L$1,0),2)</f>
        <v>0.53</v>
      </c>
      <c r="M16" s="3" t="str">
        <f>FIXED(VLOOKUP($A16,'Full Sample-No Sub'!$A:$R,M$1,0),2)</f>
        <v>0.00</v>
      </c>
      <c r="N16" s="13" t="str">
        <f>FIXED(VLOOKUP($A16,'Full Sample-No Sub'!$A:$R,N$1,0),2)</f>
        <v>5.00</v>
      </c>
      <c r="O16" s="9" t="str">
        <f>FIXED(VLOOKUP($A16,'Small Sample 1-Single Family'!$A:$R,O$1,0),2)</f>
        <v>0.38</v>
      </c>
      <c r="P16" s="3" t="str">
        <f>FIXED(VLOOKUP($A16,'Small Sample 1-Single Family'!$A:$R,P$1,0),2)</f>
        <v>0.53</v>
      </c>
      <c r="Q16" s="3" t="str">
        <f>FIXED(VLOOKUP($A16,'Small Sample 1-Single Family'!$A:$R,Q$1,0),2)</f>
        <v>0.00</v>
      </c>
      <c r="R16" s="3" t="str">
        <f>FIXED(VLOOKUP($A16,'Small Sample 1-Single Family'!$A:$R,R$1,0),2)</f>
        <v>5.00</v>
      </c>
      <c r="S16" s="9" t="str">
        <f>FIXED(VLOOKUP($A16,'Small Sample 1-Single Family'!$A:$R,S$1,0),2)</f>
        <v>3.77</v>
      </c>
      <c r="T16" s="3" t="str">
        <f>FIXED(VLOOKUP($A16,'Small Sample 1-Single Family'!$A:$R,T$1,0),2)</f>
        <v>1.24</v>
      </c>
      <c r="U16" s="3" t="str">
        <f>FIXED(VLOOKUP($A16,'Small Sample 1-Single Family'!$A:$R,U$1,0),2)</f>
        <v>0.00</v>
      </c>
      <c r="V16" s="13" t="str">
        <f>FIXED(VLOOKUP($A16,'Small Sample 1-Single Family'!$A:$R,V$1,0),2)</f>
        <v>18.00</v>
      </c>
      <c r="W16" s="9" t="str">
        <f>FIXED(VLOOKUP($A16,'Small Sample 1-Single Family'!$A:$R,W$1,0),2)</f>
        <v>0.39</v>
      </c>
      <c r="X16" s="3" t="str">
        <f>FIXED(VLOOKUP($A16,'Small Sample 1-Single Family'!$A:$R,X$1,0),2)</f>
        <v>0.53</v>
      </c>
      <c r="Y16" s="3" t="str">
        <f>FIXED(VLOOKUP($A16,'Small Sample 1-No Sub'!$A:$R,Y$1,0),2)</f>
        <v>0.00</v>
      </c>
      <c r="Z16" s="3" t="str">
        <f>FIXED(VLOOKUP($A16,'Small Sample 1-No Sub'!$A:$R,Z$1,0),2)</f>
        <v>5.00</v>
      </c>
      <c r="AA16" s="9" t="str">
        <f>FIXED(VLOOKUP($A16,'Small Sample 2-Single Family'!$A:$R,AA$1,0),2)</f>
        <v>0.39</v>
      </c>
      <c r="AB16" s="3" t="str">
        <f>FIXED(VLOOKUP($A16,'Small Sample 2-Single Family'!$A:$R,AB$1,0),2)</f>
        <v>0.53</v>
      </c>
      <c r="AC16" s="3" t="str">
        <f>FIXED(VLOOKUP($A16,'Small Sample 2-Single Family'!$A:$R,AC$1,0),2)</f>
        <v>0.00</v>
      </c>
      <c r="AD16" s="3" t="str">
        <f>FIXED(VLOOKUP($A16,'Small Sample 2-Single Family'!$A:$R,AD$1,0),2)</f>
        <v>5.00</v>
      </c>
      <c r="AE16" s="9" t="str">
        <f>FIXED(VLOOKUP($A16,'Small Sample 2-Single Family'!$A:$R,AE$1,0),2)</f>
        <v>0.39</v>
      </c>
      <c r="AF16" s="3" t="str">
        <f>FIXED(VLOOKUP($A16,'Small Sample 2-Single Family'!$A:$R,AF$1,0),2)</f>
        <v>0.52</v>
      </c>
      <c r="AG16" s="3" t="str">
        <f>FIXED(VLOOKUP($A16,'Small Sample 2-Single Family'!$A:$R,AG$1,0),2)</f>
        <v>0.00</v>
      </c>
      <c r="AH16" s="13" t="str">
        <f>FIXED(VLOOKUP($A16,'Small Sample 2-Single Family'!$A:$R,AH$1,0),2)</f>
        <v>5.00</v>
      </c>
      <c r="AI16" s="9" t="str">
        <f>FIXED(VLOOKUP($A16,'Small Sample 2-Single Family'!$A:$R,AI$1,0),2)</f>
        <v>0.37</v>
      </c>
      <c r="AJ16" s="3" t="str">
        <f>FIXED(VLOOKUP($A16,'Small Sample 2-Single Family'!$A:$R,AJ$1,0),2)</f>
        <v>0.54</v>
      </c>
      <c r="AK16" s="3" t="e" vm="1">
        <f>FIXED(VLOOKUP($A16,'Full Sample-Townhouse'!$A:$R,AK$1,0),2)</f>
        <v>#VALUE!</v>
      </c>
      <c r="AL16" s="3" t="e" vm="1">
        <f>FIXED(VLOOKUP($A16,'Full Sample-Townhouse'!$A:$R,AL$1,0),2)</f>
        <v>#VALUE!</v>
      </c>
    </row>
    <row r="17" spans="1:38" x14ac:dyDescent="0.25">
      <c r="A17" t="s">
        <v>15</v>
      </c>
      <c r="B17" t="s">
        <v>99</v>
      </c>
      <c r="C17" s="9" t="str">
        <f>FIXED(VLOOKUP($A17,'Full Sample-Single Family'!$A:$R,C$1,0),2)</f>
        <v>3.79</v>
      </c>
      <c r="D17" s="3" t="str">
        <f>FIXED(VLOOKUP($A17,'Full Sample-Single Family'!$A:$R,D$1,0),2)</f>
        <v>1.24</v>
      </c>
      <c r="E17" s="3" t="str">
        <f>FIXED(VLOOKUP($A17,'Full Sample-Single Family'!$A:$R,E$1,0),2)</f>
        <v>0.00</v>
      </c>
      <c r="F17" s="3" t="str">
        <f>FIXED(VLOOKUP($A17,'Full Sample-Single Family'!$A:$R,F$1,0),2)</f>
        <v>25.00</v>
      </c>
      <c r="G17" s="9" t="str">
        <f>FIXED(VLOOKUP($A17,'Full Sample-Single Family'!$A:$R,G$1,0),2)</f>
        <v>3.74</v>
      </c>
      <c r="H17" s="3" t="str">
        <f>FIXED(VLOOKUP($A17,'Full Sample-Single Family'!$A:$R,H$1,0),2)</f>
        <v>1.19</v>
      </c>
      <c r="I17" s="3" t="str">
        <f>FIXED(VLOOKUP($A17,'Full Sample-Single Family'!$A:$R,I$1,0),2)</f>
        <v>0.00</v>
      </c>
      <c r="J17" s="13" t="str">
        <f>FIXED(VLOOKUP($A17,'Full Sample-Single Family'!$A:$R,J$1,0),2)</f>
        <v>18.00</v>
      </c>
      <c r="K17" s="9" t="str">
        <f>FIXED(VLOOKUP($A17,'Full Sample-Single Family'!$A:$R,K$1,0),2)</f>
        <v>3.85</v>
      </c>
      <c r="L17" s="3" t="str">
        <f>FIXED(VLOOKUP($A17,'Full Sample-Single Family'!$A:$R,L$1,0),2)</f>
        <v>1.31</v>
      </c>
      <c r="M17" s="3" t="str">
        <f>FIXED(VLOOKUP($A17,'Full Sample-No Sub'!$A:$R,M$1,0),2)</f>
        <v>0.00</v>
      </c>
      <c r="N17" s="13" t="str">
        <f>FIXED(VLOOKUP($A17,'Full Sample-No Sub'!$A:$R,N$1,0),2)</f>
        <v>25.00</v>
      </c>
      <c r="O17" s="9" t="str">
        <f>FIXED(VLOOKUP($A17,'Small Sample 1-Single Family'!$A:$R,O$1,0),2)</f>
        <v>3.82</v>
      </c>
      <c r="P17" s="3" t="str">
        <f>FIXED(VLOOKUP($A17,'Small Sample 1-Single Family'!$A:$R,P$1,0),2)</f>
        <v>1.28</v>
      </c>
      <c r="Q17" s="3" t="str">
        <f>FIXED(VLOOKUP($A17,'Small Sample 1-Single Family'!$A:$R,Q$1,0),2)</f>
        <v>0.00</v>
      </c>
      <c r="R17" s="3" t="str">
        <f>FIXED(VLOOKUP($A17,'Small Sample 1-Single Family'!$A:$R,R$1,0),2)</f>
        <v>25.00</v>
      </c>
      <c r="S17" s="9" t="str">
        <f>FIXED(VLOOKUP($A17,'Small Sample 1-Single Family'!$A:$R,S$1,0),2)</f>
        <v>51.42</v>
      </c>
      <c r="T17" s="3" t="str">
        <f>FIXED(VLOOKUP($A17,'Small Sample 1-Single Family'!$A:$R,T$1,0),2)</f>
        <v>59.32</v>
      </c>
      <c r="U17" s="3" t="str">
        <f>FIXED(VLOOKUP($A17,'Small Sample 1-Single Family'!$A:$R,U$1,0),2)</f>
        <v>0.00</v>
      </c>
      <c r="V17" s="13" t="str">
        <f>FIXED(VLOOKUP($A17,'Small Sample 1-Single Family'!$A:$R,V$1,0),2)</f>
        <v>739.00</v>
      </c>
      <c r="W17" s="9" t="str">
        <f>FIXED(VLOOKUP($A17,'Small Sample 1-Single Family'!$A:$R,W$1,0),2)</f>
        <v>3.87</v>
      </c>
      <c r="X17" s="3" t="str">
        <f>FIXED(VLOOKUP($A17,'Small Sample 1-Single Family'!$A:$R,X$1,0),2)</f>
        <v>1.32</v>
      </c>
      <c r="Y17" s="3" t="str">
        <f>FIXED(VLOOKUP($A17,'Small Sample 1-No Sub'!$A:$R,Y$1,0),2)</f>
        <v>0.00</v>
      </c>
      <c r="Z17" s="3" t="str">
        <f>FIXED(VLOOKUP($A17,'Small Sample 1-No Sub'!$A:$R,Z$1,0),2)</f>
        <v>25.00</v>
      </c>
      <c r="AA17" s="9" t="str">
        <f>FIXED(VLOOKUP($A17,'Small Sample 2-Single Family'!$A:$R,AA$1,0),2)</f>
        <v>3.80</v>
      </c>
      <c r="AB17" s="3" t="str">
        <f>FIXED(VLOOKUP($A17,'Small Sample 2-Single Family'!$A:$R,AB$1,0),2)</f>
        <v>1.27</v>
      </c>
      <c r="AC17" s="3" t="str">
        <f>FIXED(VLOOKUP($A17,'Small Sample 2-Single Family'!$A:$R,AC$1,0),2)</f>
        <v>0.00</v>
      </c>
      <c r="AD17" s="3" t="str">
        <f>FIXED(VLOOKUP($A17,'Small Sample 2-Single Family'!$A:$R,AD$1,0),2)</f>
        <v>25.00</v>
      </c>
      <c r="AE17" s="9" t="str">
        <f>FIXED(VLOOKUP($A17,'Small Sample 2-Single Family'!$A:$R,AE$1,0),2)</f>
        <v>3.75</v>
      </c>
      <c r="AF17" s="3" t="str">
        <f>FIXED(VLOOKUP($A17,'Small Sample 2-Single Family'!$A:$R,AF$1,0),2)</f>
        <v>1.20</v>
      </c>
      <c r="AG17" s="3" t="str">
        <f>FIXED(VLOOKUP($A17,'Small Sample 2-Single Family'!$A:$R,AG$1,0),2)</f>
        <v>0.00</v>
      </c>
      <c r="AH17" s="13" t="str">
        <f>FIXED(VLOOKUP($A17,'Small Sample 2-Single Family'!$A:$R,AH$1,0),2)</f>
        <v>18.00</v>
      </c>
      <c r="AI17" s="9" t="str">
        <f>FIXED(VLOOKUP($A17,'Small Sample 2-Single Family'!$A:$R,AI$1,0),2)</f>
        <v>3.90</v>
      </c>
      <c r="AJ17" s="3" t="str">
        <f>FIXED(VLOOKUP($A17,'Small Sample 2-Single Family'!$A:$R,AJ$1,0),2)</f>
        <v>1.37</v>
      </c>
      <c r="AK17" s="3" t="e" vm="1">
        <f>FIXED(VLOOKUP($A17,'Full Sample-Townhouse'!$A:$R,AK$1,0),2)</f>
        <v>#VALUE!</v>
      </c>
      <c r="AL17" s="3" t="e" vm="1">
        <f>FIXED(VLOOKUP($A17,'Full Sample-Townhouse'!$A:$R,AL$1,0),2)</f>
        <v>#VALUE!</v>
      </c>
    </row>
    <row r="18" spans="1:38" x14ac:dyDescent="0.25">
      <c r="A18" t="s">
        <v>58</v>
      </c>
      <c r="B18" s="4" t="s">
        <v>135</v>
      </c>
      <c r="C18" s="9" t="str">
        <f>FIXED(VLOOKUP($A18,'Full Sample-Single Family'!$A:$R,C$1,0),2)</f>
        <v>0.44</v>
      </c>
      <c r="D18" s="3" t="str">
        <f>FIXED(VLOOKUP($A18,'Full Sample-Single Family'!$A:$R,D$1,0),2)</f>
        <v>0.50</v>
      </c>
      <c r="E18" s="3" t="str">
        <f>FIXED(VLOOKUP($A18,'Full Sample-Single Family'!$A:$R,E$1,0),2)</f>
        <v>0.00</v>
      </c>
      <c r="F18" s="3" t="str">
        <f>FIXED(VLOOKUP($A18,'Full Sample-Single Family'!$A:$R,F$1,0),2)</f>
        <v>1.00</v>
      </c>
      <c r="G18" s="9" t="str">
        <f>FIXED(VLOOKUP($A18,'Full Sample-Single Family'!$A:$R,G$1,0),2)</f>
        <v>0.43</v>
      </c>
      <c r="H18" s="3" t="str">
        <f>FIXED(VLOOKUP($A18,'Full Sample-Single Family'!$A:$R,H$1,0),2)</f>
        <v>0.50</v>
      </c>
      <c r="I18" s="3" t="str">
        <f>FIXED(VLOOKUP($A18,'Full Sample-Single Family'!$A:$R,I$1,0),2)</f>
        <v>0.00</v>
      </c>
      <c r="J18" s="13" t="str">
        <f>FIXED(VLOOKUP($A18,'Full Sample-Single Family'!$A:$R,J$1,0),2)</f>
        <v>1.00</v>
      </c>
      <c r="K18" s="9" t="str">
        <f>FIXED(VLOOKUP($A18,'Full Sample-Single Family'!$A:$R,K$1,0),2)</f>
        <v>0.44</v>
      </c>
      <c r="L18" s="3" t="str">
        <f>FIXED(VLOOKUP($A18,'Full Sample-Single Family'!$A:$R,L$1,0),2)</f>
        <v>0.50</v>
      </c>
      <c r="M18" s="3" t="str">
        <f>FIXED(VLOOKUP($A18,'Full Sample-No Sub'!$A:$R,M$1,0),2)</f>
        <v>0.00</v>
      </c>
      <c r="N18" s="13" t="str">
        <f>FIXED(VLOOKUP($A18,'Full Sample-No Sub'!$A:$R,N$1,0),2)</f>
        <v>1.00</v>
      </c>
      <c r="O18" s="9" t="str">
        <f>FIXED(VLOOKUP($A18,'Small Sample 1-Single Family'!$A:$R,O$1,0),2)</f>
        <v>0.45</v>
      </c>
      <c r="P18" s="3" t="str">
        <f>FIXED(VLOOKUP($A18,'Small Sample 1-Single Family'!$A:$R,P$1,0),2)</f>
        <v>0.50</v>
      </c>
      <c r="Q18" s="3" t="str">
        <f>FIXED(VLOOKUP($A18,'Small Sample 1-Single Family'!$A:$R,Q$1,0),2)</f>
        <v>0.00</v>
      </c>
      <c r="R18" s="3" t="str">
        <f>FIXED(VLOOKUP($A18,'Small Sample 1-Single Family'!$A:$R,R$1,0),2)</f>
        <v>1.00</v>
      </c>
      <c r="S18" s="9" t="str">
        <f>FIXED(VLOOKUP($A18,'Small Sample 1-Single Family'!$A:$R,S$1,0),2)</f>
        <v>0.49</v>
      </c>
      <c r="T18" s="3" t="str">
        <f>FIXED(VLOOKUP($A18,'Small Sample 1-Single Family'!$A:$R,T$1,0),2)</f>
        <v>0.50</v>
      </c>
      <c r="U18" s="3" t="str">
        <f>FIXED(VLOOKUP($A18,'Small Sample 1-Single Family'!$A:$R,U$1,0),2)</f>
        <v>0.00</v>
      </c>
      <c r="V18" s="13" t="str">
        <f>FIXED(VLOOKUP($A18,'Small Sample 1-Single Family'!$A:$R,V$1,0),2)</f>
        <v>1.00</v>
      </c>
      <c r="W18" s="9" t="str">
        <f>FIXED(VLOOKUP($A18,'Small Sample 1-Single Family'!$A:$R,W$1,0),2)</f>
        <v>0.44</v>
      </c>
      <c r="X18" s="3" t="str">
        <f>FIXED(VLOOKUP($A18,'Small Sample 1-Single Family'!$A:$R,X$1,0),2)</f>
        <v>0.50</v>
      </c>
      <c r="Y18" s="3" t="str">
        <f>FIXED(VLOOKUP($A18,'Small Sample 1-No Sub'!$A:$R,Y$1,0),2)</f>
        <v>0.00</v>
      </c>
      <c r="Z18" s="3" t="str">
        <f>FIXED(VLOOKUP($A18,'Small Sample 1-No Sub'!$A:$R,Z$1,0),2)</f>
        <v>1.00</v>
      </c>
      <c r="AA18" s="9" t="str">
        <f>FIXED(VLOOKUP($A18,'Small Sample 2-Single Family'!$A:$R,AA$1,0),2)</f>
        <v>0.45</v>
      </c>
      <c r="AB18" s="3" t="str">
        <f>FIXED(VLOOKUP($A18,'Small Sample 2-Single Family'!$A:$R,AB$1,0),2)</f>
        <v>0.50</v>
      </c>
      <c r="AC18" s="3" t="str">
        <f>FIXED(VLOOKUP($A18,'Small Sample 2-Single Family'!$A:$R,AC$1,0),2)</f>
        <v>0.00</v>
      </c>
      <c r="AD18" s="3" t="str">
        <f>FIXED(VLOOKUP($A18,'Small Sample 2-Single Family'!$A:$R,AD$1,0),2)</f>
        <v>1.00</v>
      </c>
      <c r="AE18" s="9" t="str">
        <f>FIXED(VLOOKUP($A18,'Small Sample 2-Single Family'!$A:$R,AE$1,0),2)</f>
        <v>0.44</v>
      </c>
      <c r="AF18" s="3" t="str">
        <f>FIXED(VLOOKUP($A18,'Small Sample 2-Single Family'!$A:$R,AF$1,0),2)</f>
        <v>0.50</v>
      </c>
      <c r="AG18" s="3" t="str">
        <f>FIXED(VLOOKUP($A18,'Small Sample 2-Single Family'!$A:$R,AG$1,0),2)</f>
        <v>0.00</v>
      </c>
      <c r="AH18" s="13" t="str">
        <f>FIXED(VLOOKUP($A18,'Small Sample 2-Single Family'!$A:$R,AH$1,0),2)</f>
        <v>1.00</v>
      </c>
      <c r="AI18" s="9" t="str">
        <f>FIXED(VLOOKUP($A18,'Small Sample 2-Single Family'!$A:$R,AI$1,0),2)</f>
        <v>0.47</v>
      </c>
      <c r="AJ18" s="3" t="str">
        <f>FIXED(VLOOKUP($A18,'Small Sample 2-Single Family'!$A:$R,AJ$1,0),2)</f>
        <v>0.50</v>
      </c>
      <c r="AK18" s="3" t="e" vm="1">
        <f>FIXED(VLOOKUP($A18,'Full Sample-Townhouse'!$A:$R,AK$1,0),2)</f>
        <v>#VALUE!</v>
      </c>
      <c r="AL18" s="3" t="e" vm="1">
        <f>FIXED(VLOOKUP($A18,'Full Sample-Townhouse'!$A:$R,AL$1,0),2)</f>
        <v>#VALUE!</v>
      </c>
    </row>
    <row r="19" spans="1:38" x14ac:dyDescent="0.25">
      <c r="A19" t="s">
        <v>59</v>
      </c>
      <c r="B19" s="4" t="s">
        <v>136</v>
      </c>
      <c r="C19" s="9" t="str">
        <f>FIXED(VLOOKUP($A19,'Full Sample-Single Family'!$A:$R,C$1,0),2)</f>
        <v>0.51</v>
      </c>
      <c r="D19" s="3" t="str">
        <f>FIXED(VLOOKUP($A19,'Full Sample-Single Family'!$A:$R,D$1,0),2)</f>
        <v>0.50</v>
      </c>
      <c r="E19" s="3" t="str">
        <f>FIXED(VLOOKUP($A19,'Full Sample-Single Family'!$A:$R,E$1,0),2)</f>
        <v>0.00</v>
      </c>
      <c r="F19" s="3" t="str">
        <f>FIXED(VLOOKUP($A19,'Full Sample-Single Family'!$A:$R,F$1,0),2)</f>
        <v>1.00</v>
      </c>
      <c r="G19" s="9" t="str">
        <f>FIXED(VLOOKUP($A19,'Full Sample-Single Family'!$A:$R,G$1,0),2)</f>
        <v>0.52</v>
      </c>
      <c r="H19" s="3" t="str">
        <f>FIXED(VLOOKUP($A19,'Full Sample-Single Family'!$A:$R,H$1,0),2)</f>
        <v>0.50</v>
      </c>
      <c r="I19" s="3" t="str">
        <f>FIXED(VLOOKUP($A19,'Full Sample-Single Family'!$A:$R,I$1,0),2)</f>
        <v>0.00</v>
      </c>
      <c r="J19" s="13" t="str">
        <f>FIXED(VLOOKUP($A19,'Full Sample-Single Family'!$A:$R,J$1,0),2)</f>
        <v>1.00</v>
      </c>
      <c r="K19" s="9" t="str">
        <f>FIXED(VLOOKUP($A19,'Full Sample-Single Family'!$A:$R,K$1,0),2)</f>
        <v>0.51</v>
      </c>
      <c r="L19" s="3" t="str">
        <f>FIXED(VLOOKUP($A19,'Full Sample-Single Family'!$A:$R,L$1,0),2)</f>
        <v>0.50</v>
      </c>
      <c r="M19" s="3" t="str">
        <f>FIXED(VLOOKUP($A19,'Full Sample-No Sub'!$A:$R,M$1,0),2)</f>
        <v>0.00</v>
      </c>
      <c r="N19" s="13" t="str">
        <f>FIXED(VLOOKUP($A19,'Full Sample-No Sub'!$A:$R,N$1,0),2)</f>
        <v>1.00</v>
      </c>
      <c r="O19" s="9" t="str">
        <f>FIXED(VLOOKUP($A19,'Small Sample 1-Single Family'!$A:$R,O$1,0),2)</f>
        <v>0.50</v>
      </c>
      <c r="P19" s="3" t="str">
        <f>FIXED(VLOOKUP($A19,'Small Sample 1-Single Family'!$A:$R,P$1,0),2)</f>
        <v>0.50</v>
      </c>
      <c r="Q19" s="3" t="str">
        <f>FIXED(VLOOKUP($A19,'Small Sample 1-Single Family'!$A:$R,Q$1,0),2)</f>
        <v>0.00</v>
      </c>
      <c r="R19" s="3" t="str">
        <f>FIXED(VLOOKUP($A19,'Small Sample 1-Single Family'!$A:$R,R$1,0),2)</f>
        <v>1.00</v>
      </c>
      <c r="S19" s="9" t="str">
        <f>FIXED(VLOOKUP($A19,'Small Sample 1-Single Family'!$A:$R,S$1,0),2)</f>
        <v>0.05</v>
      </c>
      <c r="T19" s="3" t="str">
        <f>FIXED(VLOOKUP($A19,'Small Sample 1-Single Family'!$A:$R,T$1,0),2)</f>
        <v>0.22</v>
      </c>
      <c r="U19" s="3" t="str">
        <f>FIXED(VLOOKUP($A19,'Small Sample 1-Single Family'!$A:$R,U$1,0),2)</f>
        <v>0.00</v>
      </c>
      <c r="V19" s="13" t="str">
        <f>FIXED(VLOOKUP($A19,'Small Sample 1-Single Family'!$A:$R,V$1,0),2)</f>
        <v>1.00</v>
      </c>
      <c r="W19" s="9" t="str">
        <f>FIXED(VLOOKUP($A19,'Small Sample 1-Single Family'!$A:$R,W$1,0),2)</f>
        <v>0.51</v>
      </c>
      <c r="X19" s="3" t="str">
        <f>FIXED(VLOOKUP($A19,'Small Sample 1-Single Family'!$A:$R,X$1,0),2)</f>
        <v>0.50</v>
      </c>
      <c r="Y19" s="3" t="str">
        <f>FIXED(VLOOKUP($A19,'Small Sample 1-No Sub'!$A:$R,Y$1,0),2)</f>
        <v>0.00</v>
      </c>
      <c r="Z19" s="3" t="str">
        <f>FIXED(VLOOKUP($A19,'Small Sample 1-No Sub'!$A:$R,Z$1,0),2)</f>
        <v>1.00</v>
      </c>
      <c r="AA19" s="9" t="str">
        <f>FIXED(VLOOKUP($A19,'Small Sample 2-Single Family'!$A:$R,AA$1,0),2)</f>
        <v>0.50</v>
      </c>
      <c r="AB19" s="3" t="str">
        <f>FIXED(VLOOKUP($A19,'Small Sample 2-Single Family'!$A:$R,AB$1,0),2)</f>
        <v>0.50</v>
      </c>
      <c r="AC19" s="3" t="str">
        <f>FIXED(VLOOKUP($A19,'Small Sample 2-Single Family'!$A:$R,AC$1,0),2)</f>
        <v>0.00</v>
      </c>
      <c r="AD19" s="3" t="str">
        <f>FIXED(VLOOKUP($A19,'Small Sample 2-Single Family'!$A:$R,AD$1,0),2)</f>
        <v>1.00</v>
      </c>
      <c r="AE19" s="9" t="str">
        <f>FIXED(VLOOKUP($A19,'Small Sample 2-Single Family'!$A:$R,AE$1,0),2)</f>
        <v>0.51</v>
      </c>
      <c r="AF19" s="3" t="str">
        <f>FIXED(VLOOKUP($A19,'Small Sample 2-Single Family'!$A:$R,AF$1,0),2)</f>
        <v>0.50</v>
      </c>
      <c r="AG19" s="3" t="str">
        <f>FIXED(VLOOKUP($A19,'Small Sample 2-Single Family'!$A:$R,AG$1,0),2)</f>
        <v>0.00</v>
      </c>
      <c r="AH19" s="13" t="str">
        <f>FIXED(VLOOKUP($A19,'Small Sample 2-Single Family'!$A:$R,AH$1,0),2)</f>
        <v>1.00</v>
      </c>
      <c r="AI19" s="9" t="str">
        <f>FIXED(VLOOKUP($A19,'Small Sample 2-Single Family'!$A:$R,AI$1,0),2)</f>
        <v>0.47</v>
      </c>
      <c r="AJ19" s="3" t="str">
        <f>FIXED(VLOOKUP($A19,'Small Sample 2-Single Family'!$A:$R,AJ$1,0),2)</f>
        <v>0.50</v>
      </c>
      <c r="AK19" s="3" t="e" vm="1">
        <f>FIXED(VLOOKUP($A19,'Full Sample-Townhouse'!$A:$R,AK$1,0),2)</f>
        <v>#VALUE!</v>
      </c>
      <c r="AL19" s="3" t="e" vm="1">
        <f>FIXED(VLOOKUP($A19,'Full Sample-Townhouse'!$A:$R,AL$1,0),2)</f>
        <v>#VALUE!</v>
      </c>
    </row>
    <row r="20" spans="1:38" x14ac:dyDescent="0.25">
      <c r="A20" t="s">
        <v>60</v>
      </c>
      <c r="B20" s="4" t="s">
        <v>172</v>
      </c>
      <c r="C20" s="9" t="str">
        <f>FIXED(VLOOKUP($A20,'Full Sample-Single Family'!$A:$R,C$1,0),2)</f>
        <v>0.05</v>
      </c>
      <c r="D20" s="3" t="str">
        <f>FIXED(VLOOKUP($A20,'Full Sample-Single Family'!$A:$R,D$1,0),2)</f>
        <v>0.22</v>
      </c>
      <c r="E20" s="3" t="str">
        <f>FIXED(VLOOKUP($A20,'Full Sample-Single Family'!$A:$R,E$1,0),2)</f>
        <v>0.00</v>
      </c>
      <c r="F20" s="3" t="str">
        <f>FIXED(VLOOKUP($A20,'Full Sample-Single Family'!$A:$R,F$1,0),2)</f>
        <v>1.00</v>
      </c>
      <c r="G20" s="9" t="str">
        <f>FIXED(VLOOKUP($A20,'Full Sample-Single Family'!$A:$R,G$1,0),2)</f>
        <v>0.05</v>
      </c>
      <c r="H20" s="3" t="str">
        <f>FIXED(VLOOKUP($A20,'Full Sample-Single Family'!$A:$R,H$1,0),2)</f>
        <v>0.21</v>
      </c>
      <c r="I20" s="3" t="str">
        <f>FIXED(VLOOKUP($A20,'Full Sample-Single Family'!$A:$R,I$1,0),2)</f>
        <v>0.00</v>
      </c>
      <c r="J20" s="13" t="str">
        <f>FIXED(VLOOKUP($A20,'Full Sample-Single Family'!$A:$R,J$1,0),2)</f>
        <v>1.00</v>
      </c>
      <c r="K20" s="9" t="str">
        <f>FIXED(VLOOKUP($A20,'Full Sample-Single Family'!$A:$R,K$1,0),2)</f>
        <v>0.06</v>
      </c>
      <c r="L20" s="3" t="str">
        <f>FIXED(VLOOKUP($A20,'Full Sample-Single Family'!$A:$R,L$1,0),2)</f>
        <v>0.23</v>
      </c>
      <c r="M20" s="3" t="str">
        <f>FIXED(VLOOKUP($A20,'Full Sample-No Sub'!$A:$R,M$1,0),2)</f>
        <v>0.00</v>
      </c>
      <c r="N20" s="13" t="str">
        <f>FIXED(VLOOKUP($A20,'Full Sample-No Sub'!$A:$R,N$1,0),2)</f>
        <v>1.00</v>
      </c>
      <c r="O20" s="9" t="str">
        <f>FIXED(VLOOKUP($A20,'Small Sample 1-Single Family'!$A:$R,O$1,0),2)</f>
        <v>0.05</v>
      </c>
      <c r="P20" s="3" t="str">
        <f>FIXED(VLOOKUP($A20,'Small Sample 1-Single Family'!$A:$R,P$1,0),2)</f>
        <v>0.22</v>
      </c>
      <c r="Q20" s="3" t="str">
        <f>FIXED(VLOOKUP($A20,'Small Sample 1-Single Family'!$A:$R,Q$1,0),2)</f>
        <v>0.00</v>
      </c>
      <c r="R20" s="3" t="str">
        <f>FIXED(VLOOKUP($A20,'Small Sample 1-Single Family'!$A:$R,R$1,0),2)</f>
        <v>1.00</v>
      </c>
      <c r="S20" s="9" t="str">
        <f>FIXED(VLOOKUP($A20,'Small Sample 1-Single Family'!$A:$R,S$1,0),2)</f>
        <v>2,017.63</v>
      </c>
      <c r="T20" s="3" t="str">
        <f>FIXED(VLOOKUP($A20,'Small Sample 1-Single Family'!$A:$R,T$1,0),2)</f>
        <v>1.19</v>
      </c>
      <c r="U20" s="3" t="str">
        <f>FIXED(VLOOKUP($A20,'Small Sample 1-Single Family'!$A:$R,U$1,0),2)</f>
        <v>2,016.00</v>
      </c>
      <c r="V20" s="13" t="str">
        <f>FIXED(VLOOKUP($A20,'Small Sample 1-Single Family'!$A:$R,V$1,0),2)</f>
        <v>2,020.00</v>
      </c>
      <c r="W20" s="9" t="str">
        <f>FIXED(VLOOKUP($A20,'Small Sample 1-Single Family'!$A:$R,W$1,0),2)</f>
        <v>0.06</v>
      </c>
      <c r="X20" s="3" t="str">
        <f>FIXED(VLOOKUP($A20,'Small Sample 1-Single Family'!$A:$R,X$1,0),2)</f>
        <v>0.23</v>
      </c>
      <c r="Y20" s="3" t="str">
        <f>FIXED(VLOOKUP($A20,'Small Sample 1-No Sub'!$A:$R,Y$1,0),2)</f>
        <v>0.00</v>
      </c>
      <c r="Z20" s="3" t="str">
        <f>FIXED(VLOOKUP($A20,'Small Sample 1-No Sub'!$A:$R,Z$1,0),2)</f>
        <v>1.00</v>
      </c>
      <c r="AA20" s="9" t="str">
        <f>FIXED(VLOOKUP($A20,'Small Sample 2-Single Family'!$A:$R,AA$1,0),2)</f>
        <v>0.05</v>
      </c>
      <c r="AB20" s="3" t="str">
        <f>FIXED(VLOOKUP($A20,'Small Sample 2-Single Family'!$A:$R,AB$1,0),2)</f>
        <v>0.22</v>
      </c>
      <c r="AC20" s="3" t="str">
        <f>FIXED(VLOOKUP($A20,'Small Sample 2-Single Family'!$A:$R,AC$1,0),2)</f>
        <v>0.00</v>
      </c>
      <c r="AD20" s="3" t="str">
        <f>FIXED(VLOOKUP($A20,'Small Sample 2-Single Family'!$A:$R,AD$1,0),2)</f>
        <v>1.00</v>
      </c>
      <c r="AE20" s="9" t="str">
        <f>FIXED(VLOOKUP($A20,'Small Sample 2-Single Family'!$A:$R,AE$1,0),2)</f>
        <v>0.05</v>
      </c>
      <c r="AF20" s="3" t="str">
        <f>FIXED(VLOOKUP($A20,'Small Sample 2-Single Family'!$A:$R,AF$1,0),2)</f>
        <v>0.22</v>
      </c>
      <c r="AG20" s="3" t="str">
        <f>FIXED(VLOOKUP($A20,'Small Sample 2-Single Family'!$A:$R,AG$1,0),2)</f>
        <v>0.00</v>
      </c>
      <c r="AH20" s="13" t="str">
        <f>FIXED(VLOOKUP($A20,'Small Sample 2-Single Family'!$A:$R,AH$1,0),2)</f>
        <v>1.00</v>
      </c>
      <c r="AI20" s="9" t="str">
        <f>FIXED(VLOOKUP($A20,'Small Sample 2-Single Family'!$A:$R,AI$1,0),2)</f>
        <v>0.06</v>
      </c>
      <c r="AJ20" s="3" t="str">
        <f>FIXED(VLOOKUP($A20,'Small Sample 2-Single Family'!$A:$R,AJ$1,0),2)</f>
        <v>0.23</v>
      </c>
      <c r="AK20" s="3" t="e" vm="1">
        <f>FIXED(VLOOKUP($A20,'Full Sample-Townhouse'!$A:$R,AK$1,0),2)</f>
        <v>#VALUE!</v>
      </c>
      <c r="AL20" s="3" t="e" vm="1">
        <f>FIXED(VLOOKUP($A20,'Full Sample-Townhouse'!$A:$R,AL$1,0),2)</f>
        <v>#VALUE!</v>
      </c>
    </row>
    <row r="21" spans="1:38" x14ac:dyDescent="0.25">
      <c r="A21" t="s">
        <v>18</v>
      </c>
      <c r="B21" t="s">
        <v>102</v>
      </c>
      <c r="C21" s="9" t="str">
        <f>FIXED(VLOOKUP($A21,'Full Sample-Single Family'!$A:$R,C$1,0),2)</f>
        <v>2,082.42</v>
      </c>
      <c r="D21" s="3" t="str">
        <f>FIXED(VLOOKUP($A21,'Full Sample-Single Family'!$A:$R,D$1,0),2)</f>
        <v>1,098.87</v>
      </c>
      <c r="E21" s="3" t="str">
        <f>FIXED(VLOOKUP($A21,'Full Sample-Single Family'!$A:$R,E$1,0),2)</f>
        <v>220.00</v>
      </c>
      <c r="F21" s="3" t="str">
        <f>FIXED(VLOOKUP($A21,'Full Sample-Single Family'!$A:$R,F$1,0),2)</f>
        <v>23,350.00</v>
      </c>
      <c r="G21" s="9" t="str">
        <f>FIXED(VLOOKUP($A21,'Full Sample-Single Family'!$A:$R,G$1,0),2)</f>
        <v>2,046.71</v>
      </c>
      <c r="H21" s="3" t="str">
        <f>FIXED(VLOOKUP($A21,'Full Sample-Single Family'!$A:$R,H$1,0),2)</f>
        <v>1,059.20</v>
      </c>
      <c r="I21" s="3" t="str">
        <f>FIXED(VLOOKUP($A21,'Full Sample-Single Family'!$A:$R,I$1,0),2)</f>
        <v>455.00</v>
      </c>
      <c r="J21" s="13" t="str">
        <f>FIXED(VLOOKUP($A21,'Full Sample-Single Family'!$A:$R,J$1,0),2)</f>
        <v>23,350.00</v>
      </c>
      <c r="K21" s="9" t="str">
        <f>FIXED(VLOOKUP($A21,'Full Sample-Single Family'!$A:$R,K$1,0),2)</f>
        <v>2,131.25</v>
      </c>
      <c r="L21" s="3" t="str">
        <f>FIXED(VLOOKUP($A21,'Full Sample-Single Family'!$A:$R,L$1,0),2)</f>
        <v>1,149.15</v>
      </c>
      <c r="M21" s="3" t="str">
        <f>FIXED(VLOOKUP($A21,'Full Sample-No Sub'!$A:$R,M$1,0),2)</f>
        <v>175.00</v>
      </c>
      <c r="N21" s="13" t="str">
        <f>FIXED(VLOOKUP($A21,'Full Sample-No Sub'!$A:$R,N$1,0),2)</f>
        <v>18,919.00</v>
      </c>
      <c r="O21" s="9" t="str">
        <f>FIXED(VLOOKUP($A21,'Small Sample 1-Single Family'!$A:$R,O$1,0),2)</f>
        <v>2,104.41</v>
      </c>
      <c r="P21" s="3" t="str">
        <f>FIXED(VLOOKUP($A21,'Small Sample 1-Single Family'!$A:$R,P$1,0),2)</f>
        <v>1,117.13</v>
      </c>
      <c r="Q21" s="3" t="str">
        <f>FIXED(VLOOKUP($A21,'Small Sample 1-Single Family'!$A:$R,Q$1,0),2)</f>
        <v>220.00</v>
      </c>
      <c r="R21" s="3" t="str">
        <f>FIXED(VLOOKUP($A21,'Small Sample 1-Single Family'!$A:$R,R$1,0),2)</f>
        <v>23,350.00</v>
      </c>
      <c r="S21" s="9" t="str">
        <f>FIXED(VLOOKUP($A21,'Small Sample 1-Single Family'!$A:$R,S$1,0),2)</f>
        <v>0.86</v>
      </c>
      <c r="T21" s="3" t="str">
        <f>FIXED(VLOOKUP($A21,'Small Sample 1-Single Family'!$A:$R,T$1,0),2)</f>
        <v>3.43</v>
      </c>
      <c r="U21" s="3" t="str">
        <f>FIXED(VLOOKUP($A21,'Small Sample 1-Single Family'!$A:$R,U$1,0),2)</f>
        <v>0.03</v>
      </c>
      <c r="V21" s="13" t="str">
        <f>FIXED(VLOOKUP($A21,'Small Sample 1-Single Family'!$A:$R,V$1,0),2)</f>
        <v>128.92</v>
      </c>
      <c r="W21" s="9" t="str">
        <f>FIXED(VLOOKUP($A21,'Small Sample 1-Single Family'!$A:$R,W$1,0),2)</f>
        <v>2,137.70</v>
      </c>
      <c r="X21" s="3" t="str">
        <f>FIXED(VLOOKUP($A21,'Small Sample 1-Single Family'!$A:$R,X$1,0),2)</f>
        <v>1,152.83</v>
      </c>
      <c r="Y21" s="3" t="str">
        <f>FIXED(VLOOKUP($A21,'Small Sample 1-No Sub'!$A:$R,Y$1,0),2)</f>
        <v>175.00</v>
      </c>
      <c r="Z21" s="3" t="str">
        <f>FIXED(VLOOKUP($A21,'Small Sample 1-No Sub'!$A:$R,Z$1,0),2)</f>
        <v>18,919.00</v>
      </c>
      <c r="AA21" s="9" t="str">
        <f>FIXED(VLOOKUP($A21,'Small Sample 2-Single Family'!$A:$R,AA$1,0),2)</f>
        <v>2,096.92</v>
      </c>
      <c r="AB21" s="3" t="str">
        <f>FIXED(VLOOKUP($A21,'Small Sample 2-Single Family'!$A:$R,AB$1,0),2)</f>
        <v>1,114.05</v>
      </c>
      <c r="AC21" s="3" t="str">
        <f>FIXED(VLOOKUP($A21,'Small Sample 2-Single Family'!$A:$R,AC$1,0),2)</f>
        <v>220.00</v>
      </c>
      <c r="AD21" s="3" t="str">
        <f>FIXED(VLOOKUP($A21,'Small Sample 2-Single Family'!$A:$R,AD$1,0),2)</f>
        <v>23,350.00</v>
      </c>
      <c r="AE21" s="9" t="str">
        <f>FIXED(VLOOKUP($A21,'Small Sample 2-Single Family'!$A:$R,AE$1,0),2)</f>
        <v>2,055.78</v>
      </c>
      <c r="AF21" s="3" t="str">
        <f>FIXED(VLOOKUP($A21,'Small Sample 2-Single Family'!$A:$R,AF$1,0),2)</f>
        <v>1,066.58</v>
      </c>
      <c r="AG21" s="3" t="str">
        <f>FIXED(VLOOKUP($A21,'Small Sample 2-Single Family'!$A:$R,AG$1,0),2)</f>
        <v>455.00</v>
      </c>
      <c r="AH21" s="13" t="str">
        <f>FIXED(VLOOKUP($A21,'Small Sample 2-Single Family'!$A:$R,AH$1,0),2)</f>
        <v>23,350.00</v>
      </c>
      <c r="AI21" s="9" t="str">
        <f>FIXED(VLOOKUP($A21,'Small Sample 2-Single Family'!$A:$R,AI$1,0),2)</f>
        <v>2,165.70</v>
      </c>
      <c r="AJ21" s="3" t="str">
        <f>FIXED(VLOOKUP($A21,'Small Sample 2-Single Family'!$A:$R,AJ$1,0),2)</f>
        <v>1,186.09</v>
      </c>
      <c r="AK21" s="3" t="e" vm="1">
        <f>FIXED(VLOOKUP($A21,'Full Sample-Townhouse'!$A:$R,AK$1,0),2)</f>
        <v>#VALUE!</v>
      </c>
      <c r="AL21" s="3" t="e" vm="1">
        <f>FIXED(VLOOKUP($A21,'Full Sample-Townhouse'!$A:$R,AL$1,0),2)</f>
        <v>#VALUE!</v>
      </c>
    </row>
    <row r="22" spans="1:38" x14ac:dyDescent="0.25">
      <c r="A22" t="s">
        <v>33</v>
      </c>
      <c r="B22" t="s">
        <v>117</v>
      </c>
      <c r="C22" s="9" t="str">
        <f>FIXED(VLOOKUP($A22,'Full Sample-Single Family'!$A:$R,C$1,0),2)</f>
        <v>38.74</v>
      </c>
      <c r="D22" s="3" t="str">
        <f>FIXED(VLOOKUP($A22,'Full Sample-Single Family'!$A:$R,D$1,0),2)</f>
        <v>23.16</v>
      </c>
      <c r="E22" s="3" t="str">
        <f>FIXED(VLOOKUP($A22,'Full Sample-Single Family'!$A:$R,E$1,0),2)</f>
        <v>0.00</v>
      </c>
      <c r="F22" s="3" t="str">
        <f>FIXED(VLOOKUP($A22,'Full Sample-Single Family'!$A:$R,F$1,0),2)</f>
        <v>123.00</v>
      </c>
      <c r="G22" s="9" t="str">
        <f>FIXED(VLOOKUP($A22,'Full Sample-Single Family'!$A:$R,G$1,0),2)</f>
        <v>36.60</v>
      </c>
      <c r="H22" s="3" t="str">
        <f>FIXED(VLOOKUP($A22,'Full Sample-Single Family'!$A:$R,H$1,0),2)</f>
        <v>22.89</v>
      </c>
      <c r="I22" s="3" t="str">
        <f>FIXED(VLOOKUP($A22,'Full Sample-Single Family'!$A:$R,I$1,0),2)</f>
        <v>0.00</v>
      </c>
      <c r="J22" s="13" t="str">
        <f>FIXED(VLOOKUP($A22,'Full Sample-Single Family'!$A:$R,J$1,0),2)</f>
        <v>112.00</v>
      </c>
      <c r="K22" s="9" t="str">
        <f>FIXED(VLOOKUP($A22,'Full Sample-Single Family'!$A:$R,K$1,0),2)</f>
        <v>41.66</v>
      </c>
      <c r="L22" s="3" t="str">
        <f>FIXED(VLOOKUP($A22,'Full Sample-Single Family'!$A:$R,L$1,0),2)</f>
        <v>23.21</v>
      </c>
      <c r="M22" s="3" t="str">
        <f>FIXED(VLOOKUP($A22,'Full Sample-No Sub'!$A:$R,M$1,0),2)</f>
        <v>0.00</v>
      </c>
      <c r="N22" s="13" t="str">
        <f>FIXED(VLOOKUP($A22,'Full Sample-No Sub'!$A:$R,N$1,0),2)</f>
        <v>123.00</v>
      </c>
      <c r="O22" s="9" t="str">
        <f>FIXED(VLOOKUP($A22,'Small Sample 1-Single Family'!$A:$R,O$1,0),2)</f>
        <v>39.88</v>
      </c>
      <c r="P22" s="3" t="str">
        <f>FIXED(VLOOKUP($A22,'Small Sample 1-Single Family'!$A:$R,P$1,0),2)</f>
        <v>22.97</v>
      </c>
      <c r="Q22" s="3" t="str">
        <f>FIXED(VLOOKUP($A22,'Small Sample 1-Single Family'!$A:$R,Q$1,0),2)</f>
        <v>0.00</v>
      </c>
      <c r="R22" s="3" t="str">
        <f>FIXED(VLOOKUP($A22,'Small Sample 1-Single Family'!$A:$R,R$1,0),2)</f>
        <v>123.00</v>
      </c>
      <c r="S22" s="9" t="str">
        <f>FIXED(VLOOKUP($A22,'Small Sample 1-Single Family'!$A:$R,S$1,0),2)</f>
        <v>1.98</v>
      </c>
      <c r="T22" s="3" t="str">
        <f>FIXED(VLOOKUP($A22,'Small Sample 1-Single Family'!$A:$R,T$1,0),2)</f>
        <v>1.89</v>
      </c>
      <c r="U22" s="3" t="str">
        <f>FIXED(VLOOKUP($A22,'Small Sample 1-Single Family'!$A:$R,U$1,0),2)</f>
        <v>0.00</v>
      </c>
      <c r="V22" s="13" t="str">
        <f>FIXED(VLOOKUP($A22,'Small Sample 1-Single Family'!$A:$R,V$1,0),2)</f>
        <v>12.54</v>
      </c>
      <c r="W22" s="9" t="str">
        <f>FIXED(VLOOKUP($A22,'Small Sample 1-Single Family'!$A:$R,W$1,0),2)</f>
        <v>41.66</v>
      </c>
      <c r="X22" s="3" t="str">
        <f>FIXED(VLOOKUP($A22,'Small Sample 1-Single Family'!$A:$R,X$1,0),2)</f>
        <v>23.21</v>
      </c>
      <c r="Y22" s="3" t="str">
        <f>FIXED(VLOOKUP($A22,'Small Sample 1-No Sub'!$A:$R,Y$1,0),2)</f>
        <v>0.00</v>
      </c>
      <c r="Z22" s="3" t="str">
        <f>FIXED(VLOOKUP($A22,'Small Sample 1-No Sub'!$A:$R,Z$1,0),2)</f>
        <v>123.00</v>
      </c>
      <c r="AA22" s="9" t="str">
        <f>FIXED(VLOOKUP($A22,'Small Sample 2-Single Family'!$A:$R,AA$1,0),2)</f>
        <v>39.53</v>
      </c>
      <c r="AB22" s="3" t="str">
        <f>FIXED(VLOOKUP($A22,'Small Sample 2-Single Family'!$A:$R,AB$1,0),2)</f>
        <v>23.12</v>
      </c>
      <c r="AC22" s="3" t="str">
        <f>FIXED(VLOOKUP($A22,'Small Sample 2-Single Family'!$A:$R,AC$1,0),2)</f>
        <v>0.00</v>
      </c>
      <c r="AD22" s="3" t="str">
        <f>FIXED(VLOOKUP($A22,'Small Sample 2-Single Family'!$A:$R,AD$1,0),2)</f>
        <v>123.00</v>
      </c>
      <c r="AE22" s="9" t="str">
        <f>FIXED(VLOOKUP($A22,'Small Sample 2-Single Family'!$A:$R,AE$1,0),2)</f>
        <v>36.94</v>
      </c>
      <c r="AF22" s="3" t="str">
        <f>FIXED(VLOOKUP($A22,'Small Sample 2-Single Family'!$A:$R,AF$1,0),2)</f>
        <v>22.90</v>
      </c>
      <c r="AG22" s="3" t="str">
        <f>FIXED(VLOOKUP($A22,'Small Sample 2-Single Family'!$A:$R,AG$1,0),2)</f>
        <v>0.00</v>
      </c>
      <c r="AH22" s="13" t="str">
        <f>FIXED(VLOOKUP($A22,'Small Sample 2-Single Family'!$A:$R,AH$1,0),2)</f>
        <v>112.00</v>
      </c>
      <c r="AI22" s="9" t="str">
        <f>FIXED(VLOOKUP($A22,'Small Sample 2-Single Family'!$A:$R,AI$1,0),2)</f>
        <v>43.86</v>
      </c>
      <c r="AJ22" s="3" t="str">
        <f>FIXED(VLOOKUP($A22,'Small Sample 2-Single Family'!$A:$R,AJ$1,0),2)</f>
        <v>22.83</v>
      </c>
      <c r="AK22" s="3" t="e" vm="1">
        <f>FIXED(VLOOKUP($A22,'Full Sample-Townhouse'!$A:$R,AK$1,0),2)</f>
        <v>#VALUE!</v>
      </c>
      <c r="AL22" s="3" t="e" vm="1">
        <f>FIXED(VLOOKUP($A22,'Full Sample-Townhouse'!$A:$R,AL$1,0),2)</f>
        <v>#VALUE!</v>
      </c>
    </row>
    <row r="23" spans="1:38" x14ac:dyDescent="0.25">
      <c r="A23" t="s">
        <v>34</v>
      </c>
      <c r="B23" t="s">
        <v>118</v>
      </c>
      <c r="C23" s="9" t="str">
        <f>FIXED(VLOOKUP($A23,'Full Sample-Single Family'!$A:$R,C$1,0),2)</f>
        <v>2.04</v>
      </c>
      <c r="D23" s="3" t="str">
        <f>FIXED(VLOOKUP($A23,'Full Sample-Single Family'!$A:$R,D$1,0),2)</f>
        <v>1.99</v>
      </c>
      <c r="E23" s="3" t="str">
        <f>FIXED(VLOOKUP($A23,'Full Sample-Single Family'!$A:$R,E$1,0),2)</f>
        <v>0.00</v>
      </c>
      <c r="F23" s="3" t="str">
        <f>FIXED(VLOOKUP($A23,'Full Sample-Single Family'!$A:$R,F$1,0),2)</f>
        <v>15.13</v>
      </c>
      <c r="G23" s="9" t="str">
        <f>FIXED(VLOOKUP($A23,'Full Sample-Single Family'!$A:$R,G$1,0),2)</f>
        <v>1.86</v>
      </c>
      <c r="H23" s="3" t="str">
        <f>FIXED(VLOOKUP($A23,'Full Sample-Single Family'!$A:$R,H$1,0),2)</f>
        <v>1.89</v>
      </c>
      <c r="I23" s="3" t="str">
        <f>FIXED(VLOOKUP($A23,'Full Sample-Single Family'!$A:$R,I$1,0),2)</f>
        <v>0.00</v>
      </c>
      <c r="J23" s="13" t="str">
        <f>FIXED(VLOOKUP($A23,'Full Sample-Single Family'!$A:$R,J$1,0),2)</f>
        <v>12.54</v>
      </c>
      <c r="K23" s="9" t="str">
        <f>FIXED(VLOOKUP($A23,'Full Sample-Single Family'!$A:$R,K$1,0),2)</f>
        <v>2.27</v>
      </c>
      <c r="L23" s="3" t="str">
        <f>FIXED(VLOOKUP($A23,'Full Sample-Single Family'!$A:$R,L$1,0),2)</f>
        <v>2.10</v>
      </c>
      <c r="M23" s="3" t="str">
        <f>FIXED(VLOOKUP($A23,'Full Sample-No Sub'!$A:$R,M$1,0),2)</f>
        <v>0.00</v>
      </c>
      <c r="N23" s="13" t="str">
        <f>FIXED(VLOOKUP($A23,'Full Sample-No Sub'!$A:$R,N$1,0),2)</f>
        <v>15.13</v>
      </c>
      <c r="O23" s="9" t="str">
        <f>FIXED(VLOOKUP($A23,'Small Sample 1-Single Family'!$A:$R,O$1,0),2)</f>
        <v>2.12</v>
      </c>
      <c r="P23" s="3" t="str">
        <f>FIXED(VLOOKUP($A23,'Small Sample 1-Single Family'!$A:$R,P$1,0),2)</f>
        <v>2.00</v>
      </c>
      <c r="Q23" s="3" t="str">
        <f>FIXED(VLOOKUP($A23,'Small Sample 1-Single Family'!$A:$R,Q$1,0),2)</f>
        <v>0.00</v>
      </c>
      <c r="R23" s="3" t="str">
        <f>FIXED(VLOOKUP($A23,'Small Sample 1-Single Family'!$A:$R,R$1,0),2)</f>
        <v>15.13</v>
      </c>
      <c r="S23" s="9" t="str">
        <f>FIXED(VLOOKUP($A23,'Small Sample 1-Single Family'!$A:$R,S$1,0),2)</f>
        <v>4.89</v>
      </c>
      <c r="T23" s="3" t="str">
        <f>FIXED(VLOOKUP($A23,'Small Sample 1-Single Family'!$A:$R,T$1,0),2)</f>
        <v>12.48</v>
      </c>
      <c r="U23" s="3" t="str">
        <f>FIXED(VLOOKUP($A23,'Small Sample 1-Single Family'!$A:$R,U$1,0),2)</f>
        <v>0.00</v>
      </c>
      <c r="V23" s="13" t="str">
        <f>FIXED(VLOOKUP($A23,'Small Sample 1-Single Family'!$A:$R,V$1,0),2)</f>
        <v>88.00</v>
      </c>
      <c r="W23" s="9" t="str">
        <f>FIXED(VLOOKUP($A23,'Small Sample 1-Single Family'!$A:$R,W$1,0),2)</f>
        <v>2.27</v>
      </c>
      <c r="X23" s="3" t="str">
        <f>FIXED(VLOOKUP($A23,'Small Sample 1-Single Family'!$A:$R,X$1,0),2)</f>
        <v>2.10</v>
      </c>
      <c r="Y23" s="3" t="str">
        <f>FIXED(VLOOKUP($A23,'Small Sample 1-No Sub'!$A:$R,Y$1,0),2)</f>
        <v>0.00</v>
      </c>
      <c r="Z23" s="3" t="str">
        <f>FIXED(VLOOKUP($A23,'Small Sample 1-No Sub'!$A:$R,Z$1,0),2)</f>
        <v>15.13</v>
      </c>
      <c r="AA23" s="9" t="str">
        <f>FIXED(VLOOKUP($A23,'Small Sample 2-Single Family'!$A:$R,AA$1,0),2)</f>
        <v>2.10</v>
      </c>
      <c r="AB23" s="3" t="str">
        <f>FIXED(VLOOKUP($A23,'Small Sample 2-Single Family'!$A:$R,AB$1,0),2)</f>
        <v>1.99</v>
      </c>
      <c r="AC23" s="3" t="str">
        <f>FIXED(VLOOKUP($A23,'Small Sample 2-Single Family'!$A:$R,AC$1,0),2)</f>
        <v>0.00</v>
      </c>
      <c r="AD23" s="3" t="str">
        <f>FIXED(VLOOKUP($A23,'Small Sample 2-Single Family'!$A:$R,AD$1,0),2)</f>
        <v>15.13</v>
      </c>
      <c r="AE23" s="9" t="str">
        <f>FIXED(VLOOKUP($A23,'Small Sample 2-Single Family'!$A:$R,AE$1,0),2)</f>
        <v>1.89</v>
      </c>
      <c r="AF23" s="3" t="str">
        <f>FIXED(VLOOKUP($A23,'Small Sample 2-Single Family'!$A:$R,AF$1,0),2)</f>
        <v>1.89</v>
      </c>
      <c r="AG23" s="3" t="str">
        <f>FIXED(VLOOKUP($A23,'Small Sample 2-Single Family'!$A:$R,AG$1,0),2)</f>
        <v>0.00</v>
      </c>
      <c r="AH23" s="13" t="str">
        <f>FIXED(VLOOKUP($A23,'Small Sample 2-Single Family'!$A:$R,AH$1,0),2)</f>
        <v>12.54</v>
      </c>
      <c r="AI23" s="9" t="str">
        <f>FIXED(VLOOKUP($A23,'Small Sample 2-Single Family'!$A:$R,AI$1,0),2)</f>
        <v>2.45</v>
      </c>
      <c r="AJ23" s="3" t="str">
        <f>FIXED(VLOOKUP($A23,'Small Sample 2-Single Family'!$A:$R,AJ$1,0),2)</f>
        <v>2.10</v>
      </c>
      <c r="AK23" s="3" t="e" vm="1">
        <f>FIXED(VLOOKUP($A23,'Full Sample-Townhouse'!$A:$R,AK$1,0),2)</f>
        <v>#VALUE!</v>
      </c>
      <c r="AL23" s="3" t="e" vm="1">
        <f>FIXED(VLOOKUP($A23,'Full Sample-Townhouse'!$A:$R,AL$1,0),2)</f>
        <v>#VALUE!</v>
      </c>
    </row>
    <row r="24" spans="1:38" x14ac:dyDescent="0.25">
      <c r="A24" t="s">
        <v>21</v>
      </c>
      <c r="B24" s="4" t="s">
        <v>105</v>
      </c>
      <c r="C24" s="9" t="str">
        <f>FIXED(VLOOKUP($A24,'Full Sample-Single Family'!$A:$R,C$1,0),2)</f>
        <v>0.03</v>
      </c>
      <c r="D24" s="3" t="str">
        <f>FIXED(VLOOKUP($A24,'Full Sample-Single Family'!$A:$R,D$1,0),2)</f>
        <v>0.16</v>
      </c>
      <c r="E24" s="3" t="str">
        <f>FIXED(VLOOKUP($A24,'Full Sample-Single Family'!$A:$R,E$1,0),2)</f>
        <v>0.00</v>
      </c>
      <c r="F24" s="3" t="str">
        <f>FIXED(VLOOKUP($A24,'Full Sample-Single Family'!$A:$R,F$1,0),2)</f>
        <v>1.00</v>
      </c>
      <c r="G24" s="9" t="str">
        <f>FIXED(VLOOKUP($A24,'Full Sample-Single Family'!$A:$R,G$1,0),2)</f>
        <v>0.02</v>
      </c>
      <c r="H24" s="3" t="str">
        <f>FIXED(VLOOKUP($A24,'Full Sample-Single Family'!$A:$R,H$1,0),2)</f>
        <v>0.15</v>
      </c>
      <c r="I24" s="3" t="str">
        <f>FIXED(VLOOKUP($A24,'Full Sample-Single Family'!$A:$R,I$1,0),2)</f>
        <v>0.00</v>
      </c>
      <c r="J24" s="13" t="str">
        <f>FIXED(VLOOKUP($A24,'Full Sample-Single Family'!$A:$R,J$1,0),2)</f>
        <v>1.00</v>
      </c>
      <c r="K24" s="9" t="str">
        <f>FIXED(VLOOKUP($A24,'Full Sample-Single Family'!$A:$R,K$1,0),2)</f>
        <v>0.03</v>
      </c>
      <c r="L24" s="3" t="str">
        <f>FIXED(VLOOKUP($A24,'Full Sample-Single Family'!$A:$R,L$1,0),2)</f>
        <v>0.17</v>
      </c>
      <c r="M24" s="3" t="str">
        <f>FIXED(VLOOKUP($A24,'Full Sample-No Sub'!$A:$R,M$1,0),2)</f>
        <v>0.00</v>
      </c>
      <c r="N24" s="13" t="str">
        <f>FIXED(VLOOKUP($A24,'Full Sample-No Sub'!$A:$R,N$1,0),2)</f>
        <v>1.00</v>
      </c>
      <c r="O24" s="9" t="str">
        <f>FIXED(VLOOKUP($A24,'Small Sample 1-Single Family'!$A:$R,O$1,0),2)</f>
        <v>0.03</v>
      </c>
      <c r="P24" s="3" t="str">
        <f>FIXED(VLOOKUP($A24,'Small Sample 1-Single Family'!$A:$R,P$1,0),2)</f>
        <v>0.16</v>
      </c>
      <c r="Q24" s="3" t="str">
        <f>FIXED(VLOOKUP($A24,'Small Sample 1-Single Family'!$A:$R,Q$1,0),2)</f>
        <v>0.00</v>
      </c>
      <c r="R24" s="3" t="str">
        <f>FIXED(VLOOKUP($A24,'Small Sample 1-Single Family'!$A:$R,R$1,0),2)</f>
        <v>1.00</v>
      </c>
      <c r="S24" s="9" t="str">
        <f>FIXED(VLOOKUP($A24,'Small Sample 1-Single Family'!$A:$R,S$1,0),2)</f>
        <v>0.04</v>
      </c>
      <c r="T24" s="3" t="str">
        <f>FIXED(VLOOKUP($A24,'Small Sample 1-Single Family'!$A:$R,T$1,0),2)</f>
        <v>0.20</v>
      </c>
      <c r="U24" s="3" t="str">
        <f>FIXED(VLOOKUP($A24,'Small Sample 1-Single Family'!$A:$R,U$1,0),2)</f>
        <v>0.00</v>
      </c>
      <c r="V24" s="13" t="str">
        <f>FIXED(VLOOKUP($A24,'Small Sample 1-Single Family'!$A:$R,V$1,0),2)</f>
        <v>1.00</v>
      </c>
      <c r="W24" s="9" t="str">
        <f>FIXED(VLOOKUP($A24,'Small Sample 1-Single Family'!$A:$R,W$1,0),2)</f>
        <v>0.03</v>
      </c>
      <c r="X24" s="3" t="str">
        <f>FIXED(VLOOKUP($A24,'Small Sample 1-Single Family'!$A:$R,X$1,0),2)</f>
        <v>0.17</v>
      </c>
      <c r="Y24" s="3" t="str">
        <f>FIXED(VLOOKUP($A24,'Small Sample 1-No Sub'!$A:$R,Y$1,0),2)</f>
        <v>0.00</v>
      </c>
      <c r="Z24" s="3" t="str">
        <f>FIXED(VLOOKUP($A24,'Small Sample 1-No Sub'!$A:$R,Z$1,0),2)</f>
        <v>1.00</v>
      </c>
      <c r="AA24" s="9" t="str">
        <f>FIXED(VLOOKUP($A24,'Small Sample 2-Single Family'!$A:$R,AA$1,0),2)</f>
        <v>0.03</v>
      </c>
      <c r="AB24" s="3" t="str">
        <f>FIXED(VLOOKUP($A24,'Small Sample 2-Single Family'!$A:$R,AB$1,0),2)</f>
        <v>0.16</v>
      </c>
      <c r="AC24" s="3" t="str">
        <f>FIXED(VLOOKUP($A24,'Small Sample 2-Single Family'!$A:$R,AC$1,0),2)</f>
        <v>0.00</v>
      </c>
      <c r="AD24" s="3" t="str">
        <f>FIXED(VLOOKUP($A24,'Small Sample 2-Single Family'!$A:$R,AD$1,0),2)</f>
        <v>1.00</v>
      </c>
      <c r="AE24" s="9" t="str">
        <f>FIXED(VLOOKUP($A24,'Small Sample 2-Single Family'!$A:$R,AE$1,0),2)</f>
        <v>0.02</v>
      </c>
      <c r="AF24" s="3" t="str">
        <f>FIXED(VLOOKUP($A24,'Small Sample 2-Single Family'!$A:$R,AF$1,0),2)</f>
        <v>0.15</v>
      </c>
      <c r="AG24" s="3" t="str">
        <f>FIXED(VLOOKUP($A24,'Small Sample 2-Single Family'!$A:$R,AG$1,0),2)</f>
        <v>0.00</v>
      </c>
      <c r="AH24" s="13" t="str">
        <f>FIXED(VLOOKUP($A24,'Small Sample 2-Single Family'!$A:$R,AH$1,0),2)</f>
        <v>1.00</v>
      </c>
      <c r="AI24" s="9" t="str">
        <f>FIXED(VLOOKUP($A24,'Small Sample 2-Single Family'!$A:$R,AI$1,0),2)</f>
        <v>0.03</v>
      </c>
      <c r="AJ24" s="3" t="str">
        <f>FIXED(VLOOKUP($A24,'Small Sample 2-Single Family'!$A:$R,AJ$1,0),2)</f>
        <v>0.18</v>
      </c>
      <c r="AK24" s="3" t="e" vm="1">
        <f>FIXED(VLOOKUP($A24,'Full Sample-Townhouse'!$A:$R,AK$1,0),2)</f>
        <v>#VALUE!</v>
      </c>
      <c r="AL24" s="3" t="e" vm="1">
        <f>FIXED(VLOOKUP($A24,'Full Sample-Townhouse'!$A:$R,AL$1,0),2)</f>
        <v>#VALUE!</v>
      </c>
    </row>
    <row r="25" spans="1:38" x14ac:dyDescent="0.25">
      <c r="A25" t="s">
        <v>70</v>
      </c>
      <c r="B25" s="4" t="s">
        <v>146</v>
      </c>
      <c r="C25" s="9" t="str">
        <f>FIXED(VLOOKUP($A25,'Full Sample-Single Family'!$A:$R,C$1,0),2)</f>
        <v>0.22</v>
      </c>
      <c r="D25" s="3" t="str">
        <f>FIXED(VLOOKUP($A25,'Full Sample-Single Family'!$A:$R,D$1,0),2)</f>
        <v>0.41</v>
      </c>
      <c r="E25" s="3" t="str">
        <f>FIXED(VLOOKUP($A25,'Full Sample-Single Family'!$A:$R,E$1,0),2)</f>
        <v>0.00</v>
      </c>
      <c r="F25" s="3" t="str">
        <f>FIXED(VLOOKUP($A25,'Full Sample-Single Family'!$A:$R,F$1,0),2)</f>
        <v>1.00</v>
      </c>
      <c r="G25" s="9" t="str">
        <f>FIXED(VLOOKUP($A25,'Full Sample-Single Family'!$A:$R,G$1,0),2)</f>
        <v>0.21</v>
      </c>
      <c r="H25" s="3" t="str">
        <f>FIXED(VLOOKUP($A25,'Full Sample-Single Family'!$A:$R,H$1,0),2)</f>
        <v>0.41</v>
      </c>
      <c r="I25" s="3" t="str">
        <f>FIXED(VLOOKUP($A25,'Full Sample-Single Family'!$A:$R,I$1,0),2)</f>
        <v>0.00</v>
      </c>
      <c r="J25" s="13" t="str">
        <f>FIXED(VLOOKUP($A25,'Full Sample-Single Family'!$A:$R,J$1,0),2)</f>
        <v>1.00</v>
      </c>
      <c r="K25" s="9" t="str">
        <f>FIXED(VLOOKUP($A25,'Full Sample-Single Family'!$A:$R,K$1,0),2)</f>
        <v>0.22</v>
      </c>
      <c r="L25" s="3" t="str">
        <f>FIXED(VLOOKUP($A25,'Full Sample-Single Family'!$A:$R,L$1,0),2)</f>
        <v>0.42</v>
      </c>
      <c r="M25" s="3" t="str">
        <f>FIXED(VLOOKUP($A25,'Full Sample-No Sub'!$A:$R,M$1,0),2)</f>
        <v>0.00</v>
      </c>
      <c r="N25" s="13" t="str">
        <f>FIXED(VLOOKUP($A25,'Full Sample-No Sub'!$A:$R,N$1,0),2)</f>
        <v>1.00</v>
      </c>
      <c r="O25" s="9" t="str">
        <f>FIXED(VLOOKUP($A25,'Small Sample 1-Single Family'!$A:$R,O$1,0),2)</f>
        <v>0.22</v>
      </c>
      <c r="P25" s="3" t="str">
        <f>FIXED(VLOOKUP($A25,'Small Sample 1-Single Family'!$A:$R,P$1,0),2)</f>
        <v>0.42</v>
      </c>
      <c r="Q25" s="3" t="str">
        <f>FIXED(VLOOKUP($A25,'Small Sample 1-Single Family'!$A:$R,Q$1,0),2)</f>
        <v>0.00</v>
      </c>
      <c r="R25" s="3" t="str">
        <f>FIXED(VLOOKUP($A25,'Small Sample 1-Single Family'!$A:$R,R$1,0),2)</f>
        <v>1.00</v>
      </c>
      <c r="S25" s="9" t="str">
        <f>FIXED(VLOOKUP($A25,'Small Sample 1-Single Family'!$A:$R,S$1,0),2)</f>
        <v>0.31</v>
      </c>
      <c r="T25" s="3" t="str">
        <f>FIXED(VLOOKUP($A25,'Small Sample 1-Single Family'!$A:$R,T$1,0),2)</f>
        <v>0.46</v>
      </c>
      <c r="U25" s="3" t="str">
        <f>FIXED(VLOOKUP($A25,'Small Sample 1-Single Family'!$A:$R,U$1,0),2)</f>
        <v>0.00</v>
      </c>
      <c r="V25" s="13" t="str">
        <f>FIXED(VLOOKUP($A25,'Small Sample 1-Single Family'!$A:$R,V$1,0),2)</f>
        <v>1.00</v>
      </c>
      <c r="W25" s="9" t="str">
        <f>FIXED(VLOOKUP($A25,'Small Sample 1-Single Family'!$A:$R,W$1,0),2)</f>
        <v>0.22</v>
      </c>
      <c r="X25" s="3" t="str">
        <f>FIXED(VLOOKUP($A25,'Small Sample 1-Single Family'!$A:$R,X$1,0),2)</f>
        <v>0.42</v>
      </c>
      <c r="Y25" s="3" t="str">
        <f>FIXED(VLOOKUP($A25,'Small Sample 1-No Sub'!$A:$R,Y$1,0),2)</f>
        <v>0.00</v>
      </c>
      <c r="Z25" s="3" t="str">
        <f>FIXED(VLOOKUP($A25,'Small Sample 1-No Sub'!$A:$R,Z$1,0),2)</f>
        <v>1.00</v>
      </c>
      <c r="AA25" s="9" t="str">
        <f>FIXED(VLOOKUP($A25,'Small Sample 2-Single Family'!$A:$R,AA$1,0),2)</f>
        <v>0.23</v>
      </c>
      <c r="AB25" s="3" t="str">
        <f>FIXED(VLOOKUP($A25,'Small Sample 2-Single Family'!$A:$R,AB$1,0),2)</f>
        <v>0.42</v>
      </c>
      <c r="AC25" s="3" t="str">
        <f>FIXED(VLOOKUP($A25,'Small Sample 2-Single Family'!$A:$R,AC$1,0),2)</f>
        <v>0.00</v>
      </c>
      <c r="AD25" s="3" t="str">
        <f>FIXED(VLOOKUP($A25,'Small Sample 2-Single Family'!$A:$R,AD$1,0),2)</f>
        <v>1.00</v>
      </c>
      <c r="AE25" s="9" t="str">
        <f>FIXED(VLOOKUP($A25,'Small Sample 2-Single Family'!$A:$R,AE$1,0),2)</f>
        <v>0.22</v>
      </c>
      <c r="AF25" s="3" t="str">
        <f>FIXED(VLOOKUP($A25,'Small Sample 2-Single Family'!$A:$R,AF$1,0),2)</f>
        <v>0.41</v>
      </c>
      <c r="AG25" s="3" t="str">
        <f>FIXED(VLOOKUP($A25,'Small Sample 2-Single Family'!$A:$R,AG$1,0),2)</f>
        <v>0.00</v>
      </c>
      <c r="AH25" s="13" t="str">
        <f>FIXED(VLOOKUP($A25,'Small Sample 2-Single Family'!$A:$R,AH$1,0),2)</f>
        <v>1.00</v>
      </c>
      <c r="AI25" s="9" t="str">
        <f>FIXED(VLOOKUP($A25,'Small Sample 2-Single Family'!$A:$R,AI$1,0),2)</f>
        <v>0.26</v>
      </c>
      <c r="AJ25" s="3" t="str">
        <f>FIXED(VLOOKUP($A25,'Small Sample 2-Single Family'!$A:$R,AJ$1,0),2)</f>
        <v>0.44</v>
      </c>
      <c r="AK25" s="3" t="e" vm="1">
        <f>FIXED(VLOOKUP($A25,'Full Sample-Townhouse'!$A:$R,AK$1,0),2)</f>
        <v>#VALUE!</v>
      </c>
      <c r="AL25" s="3" t="e" vm="1">
        <f>FIXED(VLOOKUP($A25,'Full Sample-Townhouse'!$A:$R,AL$1,0),2)</f>
        <v>#VALUE!</v>
      </c>
    </row>
    <row r="26" spans="1:38" x14ac:dyDescent="0.25">
      <c r="A26" t="s">
        <v>71</v>
      </c>
      <c r="B26" s="4" t="s">
        <v>147</v>
      </c>
      <c r="C26" s="9" t="str">
        <f>FIXED(VLOOKUP($A26,'Full Sample-Single Family'!$A:$R,C$1,0),2)</f>
        <v>0.30</v>
      </c>
      <c r="D26" s="3" t="str">
        <f>FIXED(VLOOKUP($A26,'Full Sample-Single Family'!$A:$R,D$1,0),2)</f>
        <v>0.46</v>
      </c>
      <c r="E26" s="3" t="str">
        <f>FIXED(VLOOKUP($A26,'Full Sample-Single Family'!$A:$R,E$1,0),2)</f>
        <v>0.00</v>
      </c>
      <c r="F26" s="3" t="str">
        <f>FIXED(VLOOKUP($A26,'Full Sample-Single Family'!$A:$R,F$1,0),2)</f>
        <v>1.00</v>
      </c>
      <c r="G26" s="9" t="str">
        <f>FIXED(VLOOKUP($A26,'Full Sample-Single Family'!$A:$R,G$1,0),2)</f>
        <v>0.32</v>
      </c>
      <c r="H26" s="3" t="str">
        <f>FIXED(VLOOKUP($A26,'Full Sample-Single Family'!$A:$R,H$1,0),2)</f>
        <v>0.47</v>
      </c>
      <c r="I26" s="3" t="str">
        <f>FIXED(VLOOKUP($A26,'Full Sample-Single Family'!$A:$R,I$1,0),2)</f>
        <v>0.00</v>
      </c>
      <c r="J26" s="13" t="str">
        <f>FIXED(VLOOKUP($A26,'Full Sample-Single Family'!$A:$R,J$1,0),2)</f>
        <v>1.00</v>
      </c>
      <c r="K26" s="9" t="str">
        <f>FIXED(VLOOKUP($A26,'Full Sample-Single Family'!$A:$R,K$1,0),2)</f>
        <v>0.28</v>
      </c>
      <c r="L26" s="3" t="str">
        <f>FIXED(VLOOKUP($A26,'Full Sample-Single Family'!$A:$R,L$1,0),2)</f>
        <v>0.45</v>
      </c>
      <c r="M26" s="3" t="str">
        <f>FIXED(VLOOKUP($A26,'Full Sample-No Sub'!$A:$R,M$1,0),2)</f>
        <v>0.00</v>
      </c>
      <c r="N26" s="13" t="str">
        <f>FIXED(VLOOKUP($A26,'Full Sample-No Sub'!$A:$R,N$1,0),2)</f>
        <v>1.00</v>
      </c>
      <c r="O26" s="9" t="str">
        <f>FIXED(VLOOKUP($A26,'Small Sample 1-Single Family'!$A:$R,O$1,0),2)</f>
        <v>0.30</v>
      </c>
      <c r="P26" s="3" t="str">
        <f>FIXED(VLOOKUP($A26,'Small Sample 1-Single Family'!$A:$R,P$1,0),2)</f>
        <v>0.46</v>
      </c>
      <c r="Q26" s="3" t="str">
        <f>FIXED(VLOOKUP($A26,'Small Sample 1-Single Family'!$A:$R,Q$1,0),2)</f>
        <v>0.00</v>
      </c>
      <c r="R26" s="3" t="str">
        <f>FIXED(VLOOKUP($A26,'Small Sample 1-Single Family'!$A:$R,R$1,0),2)</f>
        <v>1.00</v>
      </c>
      <c r="S26" s="9" t="str">
        <f>FIXED(VLOOKUP($A26,'Small Sample 1-Single Family'!$A:$R,S$1,0),2)</f>
        <v>0.39</v>
      </c>
      <c r="T26" s="3" t="str">
        <f>FIXED(VLOOKUP($A26,'Small Sample 1-Single Family'!$A:$R,T$1,0),2)</f>
        <v>0.49</v>
      </c>
      <c r="U26" s="3" t="str">
        <f>FIXED(VLOOKUP($A26,'Small Sample 1-Single Family'!$A:$R,U$1,0),2)</f>
        <v>0.00</v>
      </c>
      <c r="V26" s="13" t="str">
        <f>FIXED(VLOOKUP($A26,'Small Sample 1-Single Family'!$A:$R,V$1,0),2)</f>
        <v>1.00</v>
      </c>
      <c r="W26" s="9" t="str">
        <f>FIXED(VLOOKUP($A26,'Small Sample 1-Single Family'!$A:$R,W$1,0),2)</f>
        <v>0.28</v>
      </c>
      <c r="X26" s="3" t="str">
        <f>FIXED(VLOOKUP($A26,'Small Sample 1-Single Family'!$A:$R,X$1,0),2)</f>
        <v>0.45</v>
      </c>
      <c r="Y26" s="3" t="str">
        <f>FIXED(VLOOKUP($A26,'Small Sample 1-No Sub'!$A:$R,Y$1,0),2)</f>
        <v>0.00</v>
      </c>
      <c r="Z26" s="3" t="str">
        <f>FIXED(VLOOKUP($A26,'Small Sample 1-No Sub'!$A:$R,Z$1,0),2)</f>
        <v>1.00</v>
      </c>
      <c r="AA26" s="9" t="str">
        <f>FIXED(VLOOKUP($A26,'Small Sample 2-Single Family'!$A:$R,AA$1,0),2)</f>
        <v>0.29</v>
      </c>
      <c r="AB26" s="3" t="str">
        <f>FIXED(VLOOKUP($A26,'Small Sample 2-Single Family'!$A:$R,AB$1,0),2)</f>
        <v>0.45</v>
      </c>
      <c r="AC26" s="3" t="str">
        <f>FIXED(VLOOKUP($A26,'Small Sample 2-Single Family'!$A:$R,AC$1,0),2)</f>
        <v>0.00</v>
      </c>
      <c r="AD26" s="3" t="str">
        <f>FIXED(VLOOKUP($A26,'Small Sample 2-Single Family'!$A:$R,AD$1,0),2)</f>
        <v>1.00</v>
      </c>
      <c r="AE26" s="9" t="str">
        <f>FIXED(VLOOKUP($A26,'Small Sample 2-Single Family'!$A:$R,AE$1,0),2)</f>
        <v>0.31</v>
      </c>
      <c r="AF26" s="3" t="str">
        <f>FIXED(VLOOKUP($A26,'Small Sample 2-Single Family'!$A:$R,AF$1,0),2)</f>
        <v>0.46</v>
      </c>
      <c r="AG26" s="3" t="str">
        <f>FIXED(VLOOKUP($A26,'Small Sample 2-Single Family'!$A:$R,AG$1,0),2)</f>
        <v>0.00</v>
      </c>
      <c r="AH26" s="13" t="str">
        <f>FIXED(VLOOKUP($A26,'Small Sample 2-Single Family'!$A:$R,AH$1,0),2)</f>
        <v>1.00</v>
      </c>
      <c r="AI26" s="9" t="str">
        <f>FIXED(VLOOKUP($A26,'Small Sample 2-Single Family'!$A:$R,AI$1,0),2)</f>
        <v>0.25</v>
      </c>
      <c r="AJ26" s="3" t="str">
        <f>FIXED(VLOOKUP($A26,'Small Sample 2-Single Family'!$A:$R,AJ$1,0),2)</f>
        <v>0.44</v>
      </c>
      <c r="AK26" s="3" t="e" vm="1">
        <f>FIXED(VLOOKUP($A26,'Full Sample-Townhouse'!$A:$R,AK$1,0),2)</f>
        <v>#VALUE!</v>
      </c>
      <c r="AL26" s="3" t="e" vm="1">
        <f>FIXED(VLOOKUP($A26,'Full Sample-Townhouse'!$A:$R,AL$1,0),2)</f>
        <v>#VALUE!</v>
      </c>
    </row>
    <row r="27" spans="1:38" x14ac:dyDescent="0.25">
      <c r="A27" t="s">
        <v>72</v>
      </c>
      <c r="B27" s="4" t="s">
        <v>148</v>
      </c>
      <c r="C27" s="9" t="str">
        <f>FIXED(VLOOKUP($A27,'Full Sample-Single Family'!$A:$R,C$1,0),2)</f>
        <v>0.41</v>
      </c>
      <c r="D27" s="3" t="str">
        <f>FIXED(VLOOKUP($A27,'Full Sample-Single Family'!$A:$R,D$1,0),2)</f>
        <v>0.49</v>
      </c>
      <c r="E27" s="3" t="str">
        <f>FIXED(VLOOKUP($A27,'Full Sample-Single Family'!$A:$R,E$1,0),2)</f>
        <v>0.00</v>
      </c>
      <c r="F27" s="3" t="str">
        <f>FIXED(VLOOKUP($A27,'Full Sample-Single Family'!$A:$R,F$1,0),2)</f>
        <v>1.00</v>
      </c>
      <c r="G27" s="9" t="str">
        <f>FIXED(VLOOKUP($A27,'Full Sample-Single Family'!$A:$R,G$1,0),2)</f>
        <v>0.40</v>
      </c>
      <c r="H27" s="3" t="str">
        <f>FIXED(VLOOKUP($A27,'Full Sample-Single Family'!$A:$R,H$1,0),2)</f>
        <v>0.49</v>
      </c>
      <c r="I27" s="3" t="str">
        <f>FIXED(VLOOKUP($A27,'Full Sample-Single Family'!$A:$R,I$1,0),2)</f>
        <v>0.00</v>
      </c>
      <c r="J27" s="13" t="str">
        <f>FIXED(VLOOKUP($A27,'Full Sample-Single Family'!$A:$R,J$1,0),2)</f>
        <v>1.00</v>
      </c>
      <c r="K27" s="9" t="str">
        <f>FIXED(VLOOKUP($A27,'Full Sample-Single Family'!$A:$R,K$1,0),2)</f>
        <v>0.43</v>
      </c>
      <c r="L27" s="3" t="str">
        <f>FIXED(VLOOKUP($A27,'Full Sample-Single Family'!$A:$R,L$1,0),2)</f>
        <v>0.50</v>
      </c>
      <c r="M27" s="3" t="str">
        <f>FIXED(VLOOKUP($A27,'Full Sample-No Sub'!$A:$R,M$1,0),2)</f>
        <v>0.00</v>
      </c>
      <c r="N27" s="13" t="str">
        <f>FIXED(VLOOKUP($A27,'Full Sample-No Sub'!$A:$R,N$1,0),2)</f>
        <v>1.00</v>
      </c>
      <c r="O27" s="9" t="str">
        <f>FIXED(VLOOKUP($A27,'Small Sample 1-Single Family'!$A:$R,O$1,0),2)</f>
        <v>0.41</v>
      </c>
      <c r="P27" s="3" t="str">
        <f>FIXED(VLOOKUP($A27,'Small Sample 1-Single Family'!$A:$R,P$1,0),2)</f>
        <v>0.49</v>
      </c>
      <c r="Q27" s="3" t="str">
        <f>FIXED(VLOOKUP($A27,'Small Sample 1-Single Family'!$A:$R,Q$1,0),2)</f>
        <v>0.00</v>
      </c>
      <c r="R27" s="3" t="str">
        <f>FIXED(VLOOKUP($A27,'Small Sample 1-Single Family'!$A:$R,R$1,0),2)</f>
        <v>1.00</v>
      </c>
      <c r="S27" s="9" t="str">
        <f>FIXED(VLOOKUP($A27,'Small Sample 1-Single Family'!$A:$R,S$1,0),2)</f>
        <v>0.08</v>
      </c>
      <c r="T27" s="3" t="str">
        <f>FIXED(VLOOKUP($A27,'Small Sample 1-Single Family'!$A:$R,T$1,0),2)</f>
        <v>0.26</v>
      </c>
      <c r="U27" s="3" t="str">
        <f>FIXED(VLOOKUP($A27,'Small Sample 1-Single Family'!$A:$R,U$1,0),2)</f>
        <v>0.00</v>
      </c>
      <c r="V27" s="13" t="str">
        <f>FIXED(VLOOKUP($A27,'Small Sample 1-Single Family'!$A:$R,V$1,0),2)</f>
        <v>1.00</v>
      </c>
      <c r="W27" s="9" t="str">
        <f>FIXED(VLOOKUP($A27,'Small Sample 1-Single Family'!$A:$R,W$1,0),2)</f>
        <v>0.43</v>
      </c>
      <c r="X27" s="3" t="str">
        <f>FIXED(VLOOKUP($A27,'Small Sample 1-Single Family'!$A:$R,X$1,0),2)</f>
        <v>0.50</v>
      </c>
      <c r="Y27" s="3" t="str">
        <f>FIXED(VLOOKUP($A27,'Small Sample 1-No Sub'!$A:$R,Y$1,0),2)</f>
        <v>0.00</v>
      </c>
      <c r="Z27" s="3" t="str">
        <f>FIXED(VLOOKUP($A27,'Small Sample 1-No Sub'!$A:$R,Z$1,0),2)</f>
        <v>1.00</v>
      </c>
      <c r="AA27" s="9" t="str">
        <f>FIXED(VLOOKUP($A27,'Small Sample 2-Single Family'!$A:$R,AA$1,0),2)</f>
        <v>0.40</v>
      </c>
      <c r="AB27" s="3" t="str">
        <f>FIXED(VLOOKUP($A27,'Small Sample 2-Single Family'!$A:$R,AB$1,0),2)</f>
        <v>0.49</v>
      </c>
      <c r="AC27" s="3" t="str">
        <f>FIXED(VLOOKUP($A27,'Small Sample 2-Single Family'!$A:$R,AC$1,0),2)</f>
        <v>0.00</v>
      </c>
      <c r="AD27" s="3" t="str">
        <f>FIXED(VLOOKUP($A27,'Small Sample 2-Single Family'!$A:$R,AD$1,0),2)</f>
        <v>1.00</v>
      </c>
      <c r="AE27" s="9" t="str">
        <f>FIXED(VLOOKUP($A27,'Small Sample 2-Single Family'!$A:$R,AE$1,0),2)</f>
        <v>0.39</v>
      </c>
      <c r="AF27" s="3" t="str">
        <f>FIXED(VLOOKUP($A27,'Small Sample 2-Single Family'!$A:$R,AF$1,0),2)</f>
        <v>0.49</v>
      </c>
      <c r="AG27" s="3" t="str">
        <f>FIXED(VLOOKUP($A27,'Small Sample 2-Single Family'!$A:$R,AG$1,0),2)</f>
        <v>0.00</v>
      </c>
      <c r="AH27" s="13" t="str">
        <f>FIXED(VLOOKUP($A27,'Small Sample 2-Single Family'!$A:$R,AH$1,0),2)</f>
        <v>1.00</v>
      </c>
      <c r="AI27" s="9" t="str">
        <f>FIXED(VLOOKUP($A27,'Small Sample 2-Single Family'!$A:$R,AI$1,0),2)</f>
        <v>0.40</v>
      </c>
      <c r="AJ27" s="3" t="str">
        <f>FIXED(VLOOKUP($A27,'Small Sample 2-Single Family'!$A:$R,AJ$1,0),2)</f>
        <v>0.49</v>
      </c>
      <c r="AK27" s="3" t="e" vm="1">
        <f>FIXED(VLOOKUP($A27,'Full Sample-Townhouse'!$A:$R,AK$1,0),2)</f>
        <v>#VALUE!</v>
      </c>
      <c r="AL27" s="3" t="e" vm="1">
        <f>FIXED(VLOOKUP($A27,'Full Sample-Townhouse'!$A:$R,AL$1,0),2)</f>
        <v>#VALUE!</v>
      </c>
    </row>
    <row r="28" spans="1:38" x14ac:dyDescent="0.25">
      <c r="A28" t="s">
        <v>73</v>
      </c>
      <c r="B28" s="4" t="s">
        <v>149</v>
      </c>
      <c r="C28" s="9" t="str">
        <f>FIXED(VLOOKUP($A28,'Full Sample-Single Family'!$A:$R,C$1,0),2)</f>
        <v>0.07</v>
      </c>
      <c r="D28" s="3" t="str">
        <f>FIXED(VLOOKUP($A28,'Full Sample-Single Family'!$A:$R,D$1,0),2)</f>
        <v>0.26</v>
      </c>
      <c r="E28" s="3" t="str">
        <f>FIXED(VLOOKUP($A28,'Full Sample-Single Family'!$A:$R,E$1,0),2)</f>
        <v>0.00</v>
      </c>
      <c r="F28" s="3" t="str">
        <f>FIXED(VLOOKUP($A28,'Full Sample-Single Family'!$A:$R,F$1,0),2)</f>
        <v>1.00</v>
      </c>
      <c r="G28" s="9" t="str">
        <f>FIXED(VLOOKUP($A28,'Full Sample-Single Family'!$A:$R,G$1,0),2)</f>
        <v>0.08</v>
      </c>
      <c r="H28" s="3" t="str">
        <f>FIXED(VLOOKUP($A28,'Full Sample-Single Family'!$A:$R,H$1,0),2)</f>
        <v>0.27</v>
      </c>
      <c r="I28" s="3" t="str">
        <f>FIXED(VLOOKUP($A28,'Full Sample-Single Family'!$A:$R,I$1,0),2)</f>
        <v>0.00</v>
      </c>
      <c r="J28" s="13" t="str">
        <f>FIXED(VLOOKUP($A28,'Full Sample-Single Family'!$A:$R,J$1,0),2)</f>
        <v>1.00</v>
      </c>
      <c r="K28" s="9" t="str">
        <f>FIXED(VLOOKUP($A28,'Full Sample-Single Family'!$A:$R,K$1,0),2)</f>
        <v>0.07</v>
      </c>
      <c r="L28" s="3" t="str">
        <f>FIXED(VLOOKUP($A28,'Full Sample-Single Family'!$A:$R,L$1,0),2)</f>
        <v>0.26</v>
      </c>
      <c r="M28" s="3" t="str">
        <f>FIXED(VLOOKUP($A28,'Full Sample-No Sub'!$A:$R,M$1,0),2)</f>
        <v>0.00</v>
      </c>
      <c r="N28" s="13" t="str">
        <f>FIXED(VLOOKUP($A28,'Full Sample-No Sub'!$A:$R,N$1,0),2)</f>
        <v>1.00</v>
      </c>
      <c r="O28" s="9" t="str">
        <f>FIXED(VLOOKUP($A28,'Small Sample 1-Single Family'!$A:$R,O$1,0),2)</f>
        <v>0.07</v>
      </c>
      <c r="P28" s="3" t="str">
        <f>FIXED(VLOOKUP($A28,'Small Sample 1-Single Family'!$A:$R,P$1,0),2)</f>
        <v>0.25</v>
      </c>
      <c r="Q28" s="3" t="str">
        <f>FIXED(VLOOKUP($A28,'Small Sample 1-Single Family'!$A:$R,Q$1,0),2)</f>
        <v>0.00</v>
      </c>
      <c r="R28" s="3" t="str">
        <f>FIXED(VLOOKUP($A28,'Small Sample 1-Single Family'!$A:$R,R$1,0),2)</f>
        <v>1.00</v>
      </c>
      <c r="S28" s="9" t="str">
        <f>FIXED(VLOOKUP($A28,'Small Sample 1-Single Family'!$A:$R,S$1,0),2)</f>
        <v>0.00</v>
      </c>
      <c r="T28" s="3" t="str">
        <f>FIXED(VLOOKUP($A28,'Small Sample 1-Single Family'!$A:$R,T$1,0),2)</f>
        <v>0.07</v>
      </c>
      <c r="U28" s="3" t="str">
        <f>FIXED(VLOOKUP($A28,'Small Sample 1-Single Family'!$A:$R,U$1,0),2)</f>
        <v>0.00</v>
      </c>
      <c r="V28" s="13" t="str">
        <f>FIXED(VLOOKUP($A28,'Small Sample 1-Single Family'!$A:$R,V$1,0),2)</f>
        <v>1.00</v>
      </c>
      <c r="W28" s="9" t="str">
        <f>FIXED(VLOOKUP($A28,'Small Sample 1-Single Family'!$A:$R,W$1,0),2)</f>
        <v>0.06</v>
      </c>
      <c r="X28" s="3" t="str">
        <f>FIXED(VLOOKUP($A28,'Small Sample 1-Single Family'!$A:$R,X$1,0),2)</f>
        <v>0.25</v>
      </c>
      <c r="Y28" s="3" t="str">
        <f>FIXED(VLOOKUP($A28,'Small Sample 1-No Sub'!$A:$R,Y$1,0),2)</f>
        <v>0.00</v>
      </c>
      <c r="Z28" s="3" t="str">
        <f>FIXED(VLOOKUP($A28,'Small Sample 1-No Sub'!$A:$R,Z$1,0),2)</f>
        <v>1.00</v>
      </c>
      <c r="AA28" s="9" t="str">
        <f>FIXED(VLOOKUP($A28,'Small Sample 2-Single Family'!$A:$R,AA$1,0),2)</f>
        <v>0.08</v>
      </c>
      <c r="AB28" s="3" t="str">
        <f>FIXED(VLOOKUP($A28,'Small Sample 2-Single Family'!$A:$R,AB$1,0),2)</f>
        <v>0.28</v>
      </c>
      <c r="AC28" s="3" t="str">
        <f>FIXED(VLOOKUP($A28,'Small Sample 2-Single Family'!$A:$R,AC$1,0),2)</f>
        <v>0.00</v>
      </c>
      <c r="AD28" s="3" t="str">
        <f>FIXED(VLOOKUP($A28,'Small Sample 2-Single Family'!$A:$R,AD$1,0),2)</f>
        <v>1.00</v>
      </c>
      <c r="AE28" s="9" t="str">
        <f>FIXED(VLOOKUP($A28,'Small Sample 2-Single Family'!$A:$R,AE$1,0),2)</f>
        <v>0.08</v>
      </c>
      <c r="AF28" s="3" t="str">
        <f>FIXED(VLOOKUP($A28,'Small Sample 2-Single Family'!$A:$R,AF$1,0),2)</f>
        <v>0.27</v>
      </c>
      <c r="AG28" s="3" t="str">
        <f>FIXED(VLOOKUP($A28,'Small Sample 2-Single Family'!$A:$R,AG$1,0),2)</f>
        <v>0.00</v>
      </c>
      <c r="AH28" s="13" t="str">
        <f>FIXED(VLOOKUP($A28,'Small Sample 2-Single Family'!$A:$R,AH$1,0),2)</f>
        <v>1.00</v>
      </c>
      <c r="AI28" s="9" t="str">
        <f>FIXED(VLOOKUP($A28,'Small Sample 2-Single Family'!$A:$R,AI$1,0),2)</f>
        <v>0.09</v>
      </c>
      <c r="AJ28" s="3" t="str">
        <f>FIXED(VLOOKUP($A28,'Small Sample 2-Single Family'!$A:$R,AJ$1,0),2)</f>
        <v>0.29</v>
      </c>
      <c r="AK28" s="3" t="e" vm="1">
        <f>FIXED(VLOOKUP($A28,'Full Sample-Townhouse'!$A:$R,AK$1,0),2)</f>
        <v>#VALUE!</v>
      </c>
      <c r="AL28" s="3" t="e" vm="1">
        <f>FIXED(VLOOKUP($A28,'Full Sample-Townhouse'!$A:$R,AL$1,0),2)</f>
        <v>#VALUE!</v>
      </c>
    </row>
    <row r="29" spans="1:38" x14ac:dyDescent="0.25">
      <c r="A29" t="s">
        <v>22</v>
      </c>
      <c r="B29" s="4" t="s">
        <v>106</v>
      </c>
      <c r="C29" s="9" t="str">
        <f>FIXED(VLOOKUP($A29,'Full Sample-Single Family'!$A:$R,C$1,0),2)</f>
        <v>0.05</v>
      </c>
      <c r="D29" s="3" t="str">
        <f>FIXED(VLOOKUP($A29,'Full Sample-Single Family'!$A:$R,D$1,0),2)</f>
        <v>0.21</v>
      </c>
      <c r="E29" s="3" t="str">
        <f>FIXED(VLOOKUP($A29,'Full Sample-Single Family'!$A:$R,E$1,0),2)</f>
        <v>0.00</v>
      </c>
      <c r="F29" s="3" t="str">
        <f>FIXED(VLOOKUP($A29,'Full Sample-Single Family'!$A:$R,F$1,0),2)</f>
        <v>1.00</v>
      </c>
      <c r="G29" s="9" t="str">
        <f>FIXED(VLOOKUP($A29,'Full Sample-Single Family'!$A:$R,G$1,0),2)</f>
        <v>0.04</v>
      </c>
      <c r="H29" s="3" t="str">
        <f>FIXED(VLOOKUP($A29,'Full Sample-Single Family'!$A:$R,H$1,0),2)</f>
        <v>0.20</v>
      </c>
      <c r="I29" s="3" t="str">
        <f>FIXED(VLOOKUP($A29,'Full Sample-Single Family'!$A:$R,I$1,0),2)</f>
        <v>0.00</v>
      </c>
      <c r="J29" s="13" t="str">
        <f>FIXED(VLOOKUP($A29,'Full Sample-Single Family'!$A:$R,J$1,0),2)</f>
        <v>1.00</v>
      </c>
      <c r="K29" s="9" t="str">
        <f>FIXED(VLOOKUP($A29,'Full Sample-Single Family'!$A:$R,K$1,0),2)</f>
        <v>0.05</v>
      </c>
      <c r="L29" s="3" t="str">
        <f>FIXED(VLOOKUP($A29,'Full Sample-Single Family'!$A:$R,L$1,0),2)</f>
        <v>0.21</v>
      </c>
      <c r="M29" s="3" t="str">
        <f>FIXED(VLOOKUP($A29,'Full Sample-No Sub'!$A:$R,M$1,0),2)</f>
        <v>0.00</v>
      </c>
      <c r="N29" s="13" t="str">
        <f>FIXED(VLOOKUP($A29,'Full Sample-No Sub'!$A:$R,N$1,0),2)</f>
        <v>1.00</v>
      </c>
      <c r="O29" s="9" t="str">
        <f>FIXED(VLOOKUP($A29,'Small Sample 1-Single Family'!$A:$R,O$1,0),2)</f>
        <v>0.05</v>
      </c>
      <c r="P29" s="3" t="str">
        <f>FIXED(VLOOKUP($A29,'Small Sample 1-Single Family'!$A:$R,P$1,0),2)</f>
        <v>0.21</v>
      </c>
      <c r="Q29" s="3" t="str">
        <f>FIXED(VLOOKUP($A29,'Small Sample 1-Single Family'!$A:$R,Q$1,0),2)</f>
        <v>0.00</v>
      </c>
      <c r="R29" s="3" t="str">
        <f>FIXED(VLOOKUP($A29,'Small Sample 1-Single Family'!$A:$R,R$1,0),2)</f>
        <v>1.00</v>
      </c>
      <c r="S29" s="9" t="str">
        <f>FIXED(VLOOKUP($A29,'Small Sample 1-Single Family'!$A:$R,S$1,0),2)</f>
        <v>0.01</v>
      </c>
      <c r="T29" s="3" t="str">
        <f>FIXED(VLOOKUP($A29,'Small Sample 1-Single Family'!$A:$R,T$1,0),2)</f>
        <v>0.09</v>
      </c>
      <c r="U29" s="3" t="str">
        <f>FIXED(VLOOKUP($A29,'Small Sample 1-Single Family'!$A:$R,U$1,0),2)</f>
        <v>0.00</v>
      </c>
      <c r="V29" s="13" t="str">
        <f>FIXED(VLOOKUP($A29,'Small Sample 1-Single Family'!$A:$R,V$1,0),2)</f>
        <v>1.00</v>
      </c>
      <c r="W29" s="9" t="str">
        <f>FIXED(VLOOKUP($A29,'Small Sample 1-Single Family'!$A:$R,W$1,0),2)</f>
        <v>0.05</v>
      </c>
      <c r="X29" s="3" t="str">
        <f>FIXED(VLOOKUP($A29,'Small Sample 1-Single Family'!$A:$R,X$1,0),2)</f>
        <v>0.21</v>
      </c>
      <c r="Y29" s="3" t="str">
        <f>FIXED(VLOOKUP($A29,'Small Sample 1-No Sub'!$A:$R,Y$1,0),2)</f>
        <v>0.00</v>
      </c>
      <c r="Z29" s="3" t="str">
        <f>FIXED(VLOOKUP($A29,'Small Sample 1-No Sub'!$A:$R,Z$1,0),2)</f>
        <v>1.00</v>
      </c>
      <c r="AA29" s="9" t="str">
        <f>FIXED(VLOOKUP($A29,'Small Sample 2-Single Family'!$A:$R,AA$1,0),2)</f>
        <v>0.05</v>
      </c>
      <c r="AB29" s="3" t="str">
        <f>FIXED(VLOOKUP($A29,'Small Sample 2-Single Family'!$A:$R,AB$1,0),2)</f>
        <v>0.21</v>
      </c>
      <c r="AC29" s="3" t="str">
        <f>FIXED(VLOOKUP($A29,'Small Sample 2-Single Family'!$A:$R,AC$1,0),2)</f>
        <v>0.00</v>
      </c>
      <c r="AD29" s="3" t="str">
        <f>FIXED(VLOOKUP($A29,'Small Sample 2-Single Family'!$A:$R,AD$1,0),2)</f>
        <v>1.00</v>
      </c>
      <c r="AE29" s="9" t="str">
        <f>FIXED(VLOOKUP($A29,'Small Sample 2-Single Family'!$A:$R,AE$1,0),2)</f>
        <v>0.04</v>
      </c>
      <c r="AF29" s="3" t="str">
        <f>FIXED(VLOOKUP($A29,'Small Sample 2-Single Family'!$A:$R,AF$1,0),2)</f>
        <v>0.20</v>
      </c>
      <c r="AG29" s="3" t="str">
        <f>FIXED(VLOOKUP($A29,'Small Sample 2-Single Family'!$A:$R,AG$1,0),2)</f>
        <v>0.00</v>
      </c>
      <c r="AH29" s="13" t="str">
        <f>FIXED(VLOOKUP($A29,'Small Sample 2-Single Family'!$A:$R,AH$1,0),2)</f>
        <v>1.00</v>
      </c>
      <c r="AI29" s="9" t="str">
        <f>FIXED(VLOOKUP($A29,'Small Sample 2-Single Family'!$A:$R,AI$1,0),2)</f>
        <v>0.05</v>
      </c>
      <c r="AJ29" s="3" t="str">
        <f>FIXED(VLOOKUP($A29,'Small Sample 2-Single Family'!$A:$R,AJ$1,0),2)</f>
        <v>0.22</v>
      </c>
      <c r="AK29" s="3" t="e" vm="1">
        <f>FIXED(VLOOKUP($A29,'Full Sample-Townhouse'!$A:$R,AK$1,0),2)</f>
        <v>#VALUE!</v>
      </c>
      <c r="AL29" s="3" t="e" vm="1">
        <f>FIXED(VLOOKUP($A29,'Full Sample-Townhouse'!$A:$R,AL$1,0),2)</f>
        <v>#VALUE!</v>
      </c>
    </row>
    <row r="30" spans="1:38" x14ac:dyDescent="0.25">
      <c r="A30" t="s">
        <v>23</v>
      </c>
      <c r="B30" s="4" t="s">
        <v>107</v>
      </c>
      <c r="C30" s="9" t="str">
        <f>FIXED(VLOOKUP($A30,'Full Sample-Single Family'!$A:$R,C$1,0),2)</f>
        <v>0.01</v>
      </c>
      <c r="D30" s="3" t="str">
        <f>FIXED(VLOOKUP($A30,'Full Sample-Single Family'!$A:$R,D$1,0),2)</f>
        <v>0.10</v>
      </c>
      <c r="E30" s="3" t="str">
        <f>FIXED(VLOOKUP($A30,'Full Sample-Single Family'!$A:$R,E$1,0),2)</f>
        <v>0.00</v>
      </c>
      <c r="F30" s="3" t="str">
        <f>FIXED(VLOOKUP($A30,'Full Sample-Single Family'!$A:$R,F$1,0),2)</f>
        <v>1.00</v>
      </c>
      <c r="G30" s="9" t="str">
        <f>FIXED(VLOOKUP($A30,'Full Sample-Single Family'!$A:$R,G$1,0),2)</f>
        <v>0.01</v>
      </c>
      <c r="H30" s="3" t="str">
        <f>FIXED(VLOOKUP($A30,'Full Sample-Single Family'!$A:$R,H$1,0),2)</f>
        <v>0.09</v>
      </c>
      <c r="I30" s="3" t="str">
        <f>FIXED(VLOOKUP($A30,'Full Sample-Single Family'!$A:$R,I$1,0),2)</f>
        <v>0.00</v>
      </c>
      <c r="J30" s="13" t="str">
        <f>FIXED(VLOOKUP($A30,'Full Sample-Single Family'!$A:$R,J$1,0),2)</f>
        <v>1.00</v>
      </c>
      <c r="K30" s="9" t="str">
        <f>FIXED(VLOOKUP($A30,'Full Sample-Single Family'!$A:$R,K$1,0),2)</f>
        <v>0.01</v>
      </c>
      <c r="L30" s="3" t="str">
        <f>FIXED(VLOOKUP($A30,'Full Sample-Single Family'!$A:$R,L$1,0),2)</f>
        <v>0.10</v>
      </c>
      <c r="M30" s="3" t="str">
        <f>FIXED(VLOOKUP($A30,'Full Sample-No Sub'!$A:$R,M$1,0),2)</f>
        <v>0.00</v>
      </c>
      <c r="N30" s="13" t="str">
        <f>FIXED(VLOOKUP($A30,'Full Sample-No Sub'!$A:$R,N$1,0),2)</f>
        <v>1.00</v>
      </c>
      <c r="O30" s="9" t="str">
        <f>FIXED(VLOOKUP($A30,'Small Sample 1-Single Family'!$A:$R,O$1,0),2)</f>
        <v>0.01</v>
      </c>
      <c r="P30" s="3" t="str">
        <f>FIXED(VLOOKUP($A30,'Small Sample 1-Single Family'!$A:$R,P$1,0),2)</f>
        <v>0.09</v>
      </c>
      <c r="Q30" s="3" t="str">
        <f>FIXED(VLOOKUP($A30,'Small Sample 1-Single Family'!$A:$R,Q$1,0),2)</f>
        <v>0.00</v>
      </c>
      <c r="R30" s="3" t="str">
        <f>FIXED(VLOOKUP($A30,'Small Sample 1-Single Family'!$A:$R,R$1,0),2)</f>
        <v>1.00</v>
      </c>
      <c r="S30" s="9" t="str">
        <f>FIXED(VLOOKUP($A30,'Small Sample 1-Single Family'!$A:$R,S$1,0),2)</f>
        <v>0.00</v>
      </c>
      <c r="T30" s="3" t="str">
        <f>FIXED(VLOOKUP($A30,'Small Sample 1-Single Family'!$A:$R,T$1,0),2)</f>
        <v>0.00</v>
      </c>
      <c r="U30" s="3" t="str">
        <f>FIXED(VLOOKUP($A30,'Small Sample 1-Single Family'!$A:$R,U$1,0),2)</f>
        <v>0.00</v>
      </c>
      <c r="V30" s="13" t="str">
        <f>FIXED(VLOOKUP($A30,'Small Sample 1-Single Family'!$A:$R,V$1,0),2)</f>
        <v>0.00</v>
      </c>
      <c r="W30" s="9" t="str">
        <f>FIXED(VLOOKUP($A30,'Small Sample 1-Single Family'!$A:$R,W$1,0),2)</f>
        <v>0.01</v>
      </c>
      <c r="X30" s="3" t="str">
        <f>FIXED(VLOOKUP($A30,'Small Sample 1-Single Family'!$A:$R,X$1,0),2)</f>
        <v>0.10</v>
      </c>
      <c r="Y30" s="3" t="str">
        <f>FIXED(VLOOKUP($A30,'Small Sample 1-No Sub'!$A:$R,Y$1,0),2)</f>
        <v>0.00</v>
      </c>
      <c r="Z30" s="3" t="str">
        <f>FIXED(VLOOKUP($A30,'Small Sample 1-No Sub'!$A:$R,Z$1,0),2)</f>
        <v>1.00</v>
      </c>
      <c r="AA30" s="9" t="str">
        <f>FIXED(VLOOKUP($A30,'Small Sample 2-Single Family'!$A:$R,AA$1,0),2)</f>
        <v>0.01</v>
      </c>
      <c r="AB30" s="3" t="str">
        <f>FIXED(VLOOKUP($A30,'Small Sample 2-Single Family'!$A:$R,AB$1,0),2)</f>
        <v>0.09</v>
      </c>
      <c r="AC30" s="3" t="str">
        <f>FIXED(VLOOKUP($A30,'Small Sample 2-Single Family'!$A:$R,AC$1,0),2)</f>
        <v>0.00</v>
      </c>
      <c r="AD30" s="3" t="str">
        <f>FIXED(VLOOKUP($A30,'Small Sample 2-Single Family'!$A:$R,AD$1,0),2)</f>
        <v>1.00</v>
      </c>
      <c r="AE30" s="9" t="str">
        <f>FIXED(VLOOKUP($A30,'Small Sample 2-Single Family'!$A:$R,AE$1,0),2)</f>
        <v>0.01</v>
      </c>
      <c r="AF30" s="3" t="str">
        <f>FIXED(VLOOKUP($A30,'Small Sample 2-Single Family'!$A:$R,AF$1,0),2)</f>
        <v>0.09</v>
      </c>
      <c r="AG30" s="3" t="str">
        <f>FIXED(VLOOKUP($A30,'Small Sample 2-Single Family'!$A:$R,AG$1,0),2)</f>
        <v>0.00</v>
      </c>
      <c r="AH30" s="13" t="str">
        <f>FIXED(VLOOKUP($A30,'Small Sample 2-Single Family'!$A:$R,AH$1,0),2)</f>
        <v>1.00</v>
      </c>
      <c r="AI30" s="9" t="str">
        <f>FIXED(VLOOKUP($A30,'Small Sample 2-Single Family'!$A:$R,AI$1,0),2)</f>
        <v>0.01</v>
      </c>
      <c r="AJ30" s="3" t="str">
        <f>FIXED(VLOOKUP($A30,'Small Sample 2-Single Family'!$A:$R,AJ$1,0),2)</f>
        <v>0.09</v>
      </c>
      <c r="AK30" s="3" t="e" vm="1">
        <f>FIXED(VLOOKUP($A30,'Full Sample-Townhouse'!$A:$R,AK$1,0),2)</f>
        <v>#VALUE!</v>
      </c>
      <c r="AL30" s="3" t="e" vm="1">
        <f>FIXED(VLOOKUP($A30,'Full Sample-Townhouse'!$A:$R,AL$1,0),2)</f>
        <v>#VALUE!</v>
      </c>
    </row>
    <row r="31" spans="1:38" x14ac:dyDescent="0.25">
      <c r="A31" t="s">
        <v>24</v>
      </c>
      <c r="B31" s="4" t="s">
        <v>108</v>
      </c>
      <c r="C31" s="9" t="s">
        <v>321</v>
      </c>
      <c r="D31" s="3" t="s">
        <v>321</v>
      </c>
      <c r="E31" s="3" t="str">
        <f>FIXED(VLOOKUP($A31,'Full Sample-Single Family'!$A:$R,E$1,0),2)</f>
        <v>0.00</v>
      </c>
      <c r="F31" s="3" t="str">
        <f>FIXED(VLOOKUP($A31,'Full Sample-Single Family'!$A:$R,F$1,0),2)</f>
        <v>0.00</v>
      </c>
      <c r="G31" s="9" t="s">
        <v>321</v>
      </c>
      <c r="H31" s="3" t="s">
        <v>321</v>
      </c>
      <c r="I31" s="3" t="str">
        <f>FIXED(VLOOKUP($A31,'Full Sample-Single Family'!$A:$R,I$1,0),2)</f>
        <v>0.00</v>
      </c>
      <c r="J31" s="13" t="str">
        <f>FIXED(VLOOKUP($A31,'Full Sample-Single Family'!$A:$R,J$1,0),2)</f>
        <v>0.00</v>
      </c>
      <c r="K31" s="9" t="s">
        <v>321</v>
      </c>
      <c r="L31" s="3" t="s">
        <v>321</v>
      </c>
      <c r="M31" s="3" t="str">
        <f>FIXED(VLOOKUP($A31,'Full Sample-No Sub'!$A:$R,M$1,0),2)</f>
        <v>0.00</v>
      </c>
      <c r="N31" s="13" t="str">
        <f>FIXED(VLOOKUP($A31,'Full Sample-No Sub'!$A:$R,N$1,0),2)</f>
        <v>1.00</v>
      </c>
      <c r="O31" s="9" t="s">
        <v>321</v>
      </c>
      <c r="P31" s="3" t="s">
        <v>321</v>
      </c>
      <c r="Q31" s="3" t="str">
        <f>FIXED(VLOOKUP($A31,'Small Sample 1-Single Family'!$A:$R,Q$1,0),2)</f>
        <v>0.00</v>
      </c>
      <c r="R31" s="3" t="str">
        <f>FIXED(VLOOKUP($A31,'Small Sample 1-Single Family'!$A:$R,R$1,0),2)</f>
        <v>0.00</v>
      </c>
      <c r="S31" s="9" t="s">
        <v>321</v>
      </c>
      <c r="T31" s="3" t="s">
        <v>321</v>
      </c>
      <c r="U31" s="3" t="str">
        <f>FIXED(VLOOKUP($A31,'Small Sample 1-Single Family'!$A:$R,U$1,0),2)</f>
        <v>0.00</v>
      </c>
      <c r="V31" s="13" t="str">
        <f>FIXED(VLOOKUP($A31,'Small Sample 1-Single Family'!$A:$R,V$1,0),2)</f>
        <v>0.00</v>
      </c>
      <c r="W31" s="9" t="s">
        <v>321</v>
      </c>
      <c r="X31" s="3" t="s">
        <v>321</v>
      </c>
      <c r="Y31" s="3" t="str">
        <f>FIXED(VLOOKUP($A31,'Small Sample 1-No Sub'!$A:$R,Y$1,0),2)</f>
        <v>0.00</v>
      </c>
      <c r="Z31" s="3" t="str">
        <f>FIXED(VLOOKUP($A31,'Small Sample 1-No Sub'!$A:$R,Z$1,0),2)</f>
        <v>1.00</v>
      </c>
      <c r="AA31" s="9" t="s">
        <v>321</v>
      </c>
      <c r="AB31" s="3" t="s">
        <v>321</v>
      </c>
      <c r="AC31" s="3" t="str">
        <f>FIXED(VLOOKUP($A31,'Small Sample 2-Single Family'!$A:$R,AC$1,0),2)</f>
        <v>0.00</v>
      </c>
      <c r="AD31" s="3" t="str">
        <f>FIXED(VLOOKUP($A31,'Small Sample 2-Single Family'!$A:$R,AD$1,0),2)</f>
        <v>0.00</v>
      </c>
      <c r="AE31" s="9" t="s">
        <v>321</v>
      </c>
      <c r="AF31" s="3" t="s">
        <v>321</v>
      </c>
      <c r="AG31" s="3" t="str">
        <f>FIXED(VLOOKUP($A31,'Small Sample 2-Single Family'!$A:$R,AG$1,0),2)</f>
        <v>0.00</v>
      </c>
      <c r="AH31" s="13" t="str">
        <f>FIXED(VLOOKUP($A31,'Small Sample 2-Single Family'!$A:$R,AH$1,0),2)</f>
        <v>0.00</v>
      </c>
      <c r="AI31" s="9" t="s">
        <v>321</v>
      </c>
      <c r="AJ31" s="3" t="s">
        <v>321</v>
      </c>
      <c r="AK31" s="3" t="e" vm="1">
        <f>FIXED(VLOOKUP($A31,'Full Sample-Townhouse'!$A:$R,AK$1,0),2)</f>
        <v>#VALUE!</v>
      </c>
      <c r="AL31" s="3" t="e" vm="1">
        <f>FIXED(VLOOKUP($A31,'Full Sample-Townhouse'!$A:$R,AL$1,0),2)</f>
        <v>#VALUE!</v>
      </c>
    </row>
    <row r="32" spans="1:38" x14ac:dyDescent="0.25">
      <c r="A32" t="s">
        <v>25</v>
      </c>
      <c r="B32" s="4" t="s">
        <v>109</v>
      </c>
      <c r="C32" s="9" t="s">
        <v>321</v>
      </c>
      <c r="D32" s="3" t="s">
        <v>321</v>
      </c>
      <c r="E32" s="3" t="str">
        <f>FIXED(VLOOKUP($A32,'Full Sample-Single Family'!$A:$R,E$1,0),2)</f>
        <v>0.00</v>
      </c>
      <c r="F32" s="3" t="str">
        <f>FIXED(VLOOKUP($A32,'Full Sample-Single Family'!$A:$R,F$1,0),2)</f>
        <v>0.00</v>
      </c>
      <c r="G32" s="9" t="s">
        <v>321</v>
      </c>
      <c r="H32" s="3" t="s">
        <v>321</v>
      </c>
      <c r="I32" s="3" t="str">
        <f>FIXED(VLOOKUP($A32,'Full Sample-Single Family'!$A:$R,I$1,0),2)</f>
        <v>0.00</v>
      </c>
      <c r="J32" s="13" t="str">
        <f>FIXED(VLOOKUP($A32,'Full Sample-Single Family'!$A:$R,J$1,0),2)</f>
        <v>0.00</v>
      </c>
      <c r="K32" s="9" t="s">
        <v>321</v>
      </c>
      <c r="L32" s="3" t="s">
        <v>321</v>
      </c>
      <c r="M32" s="3" t="str">
        <f>FIXED(VLOOKUP($A32,'Full Sample-No Sub'!$A:$R,M$1,0),2)</f>
        <v>0.00</v>
      </c>
      <c r="N32" s="13" t="str">
        <f>FIXED(VLOOKUP($A32,'Full Sample-No Sub'!$A:$R,N$1,0),2)</f>
        <v>1.00</v>
      </c>
      <c r="O32" s="9" t="s">
        <v>321</v>
      </c>
      <c r="P32" s="3" t="s">
        <v>321</v>
      </c>
      <c r="Q32" s="3" t="str">
        <f>FIXED(VLOOKUP($A32,'Small Sample 1-Single Family'!$A:$R,Q$1,0),2)</f>
        <v>0.00</v>
      </c>
      <c r="R32" s="3" t="str">
        <f>FIXED(VLOOKUP($A32,'Small Sample 1-Single Family'!$A:$R,R$1,0),2)</f>
        <v>0.00</v>
      </c>
      <c r="S32" s="9" t="s">
        <v>321</v>
      </c>
      <c r="T32" s="3" t="s">
        <v>321</v>
      </c>
      <c r="U32" s="3" t="str">
        <f>FIXED(VLOOKUP($A32,'Small Sample 1-Single Family'!$A:$R,U$1,0),2)</f>
        <v>0.00</v>
      </c>
      <c r="V32" s="13" t="str">
        <f>FIXED(VLOOKUP($A32,'Small Sample 1-Single Family'!$A:$R,V$1,0),2)</f>
        <v>0.00</v>
      </c>
      <c r="W32" s="9" t="s">
        <v>321</v>
      </c>
      <c r="X32" s="3" t="s">
        <v>321</v>
      </c>
      <c r="Y32" s="3" t="str">
        <f>FIXED(VLOOKUP($A32,'Small Sample 1-No Sub'!$A:$R,Y$1,0),2)</f>
        <v>0.00</v>
      </c>
      <c r="Z32" s="3" t="str">
        <f>FIXED(VLOOKUP($A32,'Small Sample 1-No Sub'!$A:$R,Z$1,0),2)</f>
        <v>1.00</v>
      </c>
      <c r="AA32" s="9" t="s">
        <v>321</v>
      </c>
      <c r="AB32" s="3" t="s">
        <v>321</v>
      </c>
      <c r="AC32" s="3" t="str">
        <f>FIXED(VLOOKUP($A32,'Small Sample 2-Single Family'!$A:$R,AC$1,0),2)</f>
        <v>0.00</v>
      </c>
      <c r="AD32" s="3" t="str">
        <f>FIXED(VLOOKUP($A32,'Small Sample 2-Single Family'!$A:$R,AD$1,0),2)</f>
        <v>0.00</v>
      </c>
      <c r="AE32" s="9" t="s">
        <v>321</v>
      </c>
      <c r="AF32" s="3" t="s">
        <v>321</v>
      </c>
      <c r="AG32" s="3" t="str">
        <f>FIXED(VLOOKUP($A32,'Small Sample 2-Single Family'!$A:$R,AG$1,0),2)</f>
        <v>0.00</v>
      </c>
      <c r="AH32" s="13" t="str">
        <f>FIXED(VLOOKUP($A32,'Small Sample 2-Single Family'!$A:$R,AH$1,0),2)</f>
        <v>0.00</v>
      </c>
      <c r="AI32" s="9" t="s">
        <v>321</v>
      </c>
      <c r="AJ32" s="3" t="s">
        <v>321</v>
      </c>
      <c r="AK32" s="3" t="e" vm="1">
        <f>FIXED(VLOOKUP($A32,'Full Sample-Townhouse'!$A:$R,AK$1,0),2)</f>
        <v>#VALUE!</v>
      </c>
      <c r="AL32" s="3" t="e" vm="1">
        <f>FIXED(VLOOKUP($A32,'Full Sample-Townhouse'!$A:$R,AL$1,0),2)</f>
        <v>#VALUE!</v>
      </c>
    </row>
    <row r="33" spans="1:38" x14ac:dyDescent="0.25">
      <c r="A33" t="s">
        <v>26</v>
      </c>
      <c r="B33" s="4" t="s">
        <v>110</v>
      </c>
      <c r="C33" s="9" t="s">
        <v>321</v>
      </c>
      <c r="D33" s="3" t="s">
        <v>321</v>
      </c>
      <c r="E33" s="3" t="str">
        <f>FIXED(VLOOKUP($A33,'Full Sample-Single Family'!$A:$R,E$1,0),2)</f>
        <v>0.00</v>
      </c>
      <c r="F33" s="3" t="str">
        <f>FIXED(VLOOKUP($A33,'Full Sample-Single Family'!$A:$R,F$1,0),2)</f>
        <v>1.00</v>
      </c>
      <c r="G33" s="9" t="s">
        <v>321</v>
      </c>
      <c r="H33" s="3" t="s">
        <v>321</v>
      </c>
      <c r="I33" s="3" t="str">
        <f>FIXED(VLOOKUP($A33,'Full Sample-Single Family'!$A:$R,I$1,0),2)</f>
        <v>0.00</v>
      </c>
      <c r="J33" s="13" t="str">
        <f>FIXED(VLOOKUP($A33,'Full Sample-Single Family'!$A:$R,J$1,0),2)</f>
        <v>1.00</v>
      </c>
      <c r="K33" s="9" t="s">
        <v>321</v>
      </c>
      <c r="L33" s="3" t="s">
        <v>321</v>
      </c>
      <c r="M33" s="3" t="str">
        <f>FIXED(VLOOKUP($A33,'Full Sample-No Sub'!$A:$R,M$1,0),2)</f>
        <v>0.00</v>
      </c>
      <c r="N33" s="13" t="str">
        <f>FIXED(VLOOKUP($A33,'Full Sample-No Sub'!$A:$R,N$1,0),2)</f>
        <v>1.00</v>
      </c>
      <c r="O33" s="9" t="s">
        <v>321</v>
      </c>
      <c r="P33" s="3" t="s">
        <v>321</v>
      </c>
      <c r="Q33" s="3" t="str">
        <f>FIXED(VLOOKUP($A33,'Small Sample 1-Single Family'!$A:$R,Q$1,0),2)</f>
        <v>0.00</v>
      </c>
      <c r="R33" s="3" t="str">
        <f>FIXED(VLOOKUP($A33,'Small Sample 1-Single Family'!$A:$R,R$1,0),2)</f>
        <v>1.00</v>
      </c>
      <c r="S33" s="9" t="s">
        <v>321</v>
      </c>
      <c r="T33" s="3" t="s">
        <v>321</v>
      </c>
      <c r="U33" s="3" t="str">
        <f>FIXED(VLOOKUP($A33,'Small Sample 1-Single Family'!$A:$R,U$1,0),2)</f>
        <v>0.00</v>
      </c>
      <c r="V33" s="13" t="str">
        <f>FIXED(VLOOKUP($A33,'Small Sample 1-Single Family'!$A:$R,V$1,0),2)</f>
        <v>0.00</v>
      </c>
      <c r="W33" s="9" t="s">
        <v>321</v>
      </c>
      <c r="X33" s="3" t="s">
        <v>321</v>
      </c>
      <c r="Y33" s="3" t="str">
        <f>FIXED(VLOOKUP($A33,'Small Sample 1-No Sub'!$A:$R,Y$1,0),2)</f>
        <v>0.00</v>
      </c>
      <c r="Z33" s="3" t="str">
        <f>FIXED(VLOOKUP($A33,'Small Sample 1-No Sub'!$A:$R,Z$1,0),2)</f>
        <v>1.00</v>
      </c>
      <c r="AA33" s="9" t="s">
        <v>321</v>
      </c>
      <c r="AB33" s="3" t="s">
        <v>321</v>
      </c>
      <c r="AC33" s="3" t="str">
        <f>FIXED(VLOOKUP($A33,'Small Sample 2-Single Family'!$A:$R,AC$1,0),2)</f>
        <v>0.00</v>
      </c>
      <c r="AD33" s="3" t="str">
        <f>FIXED(VLOOKUP($A33,'Small Sample 2-Single Family'!$A:$R,AD$1,0),2)</f>
        <v>1.00</v>
      </c>
      <c r="AE33" s="9" t="s">
        <v>321</v>
      </c>
      <c r="AF33" s="3" t="s">
        <v>321</v>
      </c>
      <c r="AG33" s="3" t="str">
        <f>FIXED(VLOOKUP($A33,'Small Sample 2-Single Family'!$A:$R,AG$1,0),2)</f>
        <v>0.00</v>
      </c>
      <c r="AH33" s="13" t="str">
        <f>FIXED(VLOOKUP($A33,'Small Sample 2-Single Family'!$A:$R,AH$1,0),2)</f>
        <v>1.00</v>
      </c>
      <c r="AI33" s="9" t="s">
        <v>321</v>
      </c>
      <c r="AJ33" s="3" t="s">
        <v>321</v>
      </c>
      <c r="AK33" s="3" t="e" vm="1">
        <f>FIXED(VLOOKUP($A33,'Full Sample-Townhouse'!$A:$R,AK$1,0),2)</f>
        <v>#VALUE!</v>
      </c>
      <c r="AL33" s="3" t="e" vm="1">
        <f>FIXED(VLOOKUP($A33,'Full Sample-Townhouse'!$A:$R,AL$1,0),2)</f>
        <v>#VALUE!</v>
      </c>
    </row>
    <row r="34" spans="1:38" x14ac:dyDescent="0.25">
      <c r="A34" t="s">
        <v>27</v>
      </c>
      <c r="B34" s="4" t="s">
        <v>111</v>
      </c>
      <c r="C34" s="9" t="s">
        <v>321</v>
      </c>
      <c r="D34" s="3" t="s">
        <v>321</v>
      </c>
      <c r="E34" s="3" t="str">
        <f>FIXED(VLOOKUP($A34,'Full Sample-Single Family'!$A:$R,E$1,0),2)</f>
        <v>0.00</v>
      </c>
      <c r="F34" s="3" t="str">
        <f>FIXED(VLOOKUP($A34,'Full Sample-Single Family'!$A:$R,F$1,0),2)</f>
        <v>0.00</v>
      </c>
      <c r="G34" s="9" t="s">
        <v>321</v>
      </c>
      <c r="H34" s="3" t="s">
        <v>321</v>
      </c>
      <c r="I34" s="3" t="str">
        <f>FIXED(VLOOKUP($A34,'Full Sample-Single Family'!$A:$R,I$1,0),2)</f>
        <v>0.00</v>
      </c>
      <c r="J34" s="13" t="str">
        <f>FIXED(VLOOKUP($A34,'Full Sample-Single Family'!$A:$R,J$1,0),2)</f>
        <v>0.00</v>
      </c>
      <c r="K34" s="9" t="s">
        <v>321</v>
      </c>
      <c r="L34" s="3" t="s">
        <v>321</v>
      </c>
      <c r="M34" s="3" t="str">
        <f>FIXED(VLOOKUP($A34,'Full Sample-No Sub'!$A:$R,M$1,0),2)</f>
        <v>0.00</v>
      </c>
      <c r="N34" s="13" t="str">
        <f>FIXED(VLOOKUP($A34,'Full Sample-No Sub'!$A:$R,N$1,0),2)</f>
        <v>1.00</v>
      </c>
      <c r="O34" s="9" t="s">
        <v>321</v>
      </c>
      <c r="P34" s="3" t="s">
        <v>321</v>
      </c>
      <c r="Q34" s="3" t="str">
        <f>FIXED(VLOOKUP($A34,'Small Sample 1-Single Family'!$A:$R,Q$1,0),2)</f>
        <v>0.00</v>
      </c>
      <c r="R34" s="3" t="str">
        <f>FIXED(VLOOKUP($A34,'Small Sample 1-Single Family'!$A:$R,R$1,0),2)</f>
        <v>0.00</v>
      </c>
      <c r="S34" s="9" t="s">
        <v>321</v>
      </c>
      <c r="T34" s="3" t="s">
        <v>321</v>
      </c>
      <c r="U34" s="3" t="str">
        <f>FIXED(VLOOKUP($A34,'Small Sample 1-Single Family'!$A:$R,U$1,0),2)</f>
        <v>0.00</v>
      </c>
      <c r="V34" s="13" t="str">
        <f>FIXED(VLOOKUP($A34,'Small Sample 1-Single Family'!$A:$R,V$1,0),2)</f>
        <v>1.00</v>
      </c>
      <c r="W34" s="9" t="s">
        <v>321</v>
      </c>
      <c r="X34" s="3" t="s">
        <v>321</v>
      </c>
      <c r="Y34" s="3" t="str">
        <f>FIXED(VLOOKUP($A34,'Small Sample 1-No Sub'!$A:$R,Y$1,0),2)</f>
        <v>0.00</v>
      </c>
      <c r="Z34" s="3" t="str">
        <f>FIXED(VLOOKUP($A34,'Small Sample 1-No Sub'!$A:$R,Z$1,0),2)</f>
        <v>1.00</v>
      </c>
      <c r="AA34" s="9" t="s">
        <v>321</v>
      </c>
      <c r="AB34" s="3" t="s">
        <v>321</v>
      </c>
      <c r="AC34" s="3" t="str">
        <f>FIXED(VLOOKUP($A34,'Small Sample 2-Single Family'!$A:$R,AC$1,0),2)</f>
        <v>0.00</v>
      </c>
      <c r="AD34" s="3" t="str">
        <f>FIXED(VLOOKUP($A34,'Small Sample 2-Single Family'!$A:$R,AD$1,0),2)</f>
        <v>0.00</v>
      </c>
      <c r="AE34" s="9" t="s">
        <v>321</v>
      </c>
      <c r="AF34" s="3" t="s">
        <v>321</v>
      </c>
      <c r="AG34" s="3" t="str">
        <f>FIXED(VLOOKUP($A34,'Small Sample 2-Single Family'!$A:$R,AG$1,0),2)</f>
        <v>0.00</v>
      </c>
      <c r="AH34" s="13" t="str">
        <f>FIXED(VLOOKUP($A34,'Small Sample 2-Single Family'!$A:$R,AH$1,0),2)</f>
        <v>0.00</v>
      </c>
      <c r="AI34" s="9" t="s">
        <v>321</v>
      </c>
      <c r="AJ34" s="3" t="s">
        <v>321</v>
      </c>
      <c r="AK34" s="3" t="e" vm="1">
        <f>FIXED(VLOOKUP($A34,'Full Sample-Townhouse'!$A:$R,AK$1,0),2)</f>
        <v>#VALUE!</v>
      </c>
      <c r="AL34" s="3" t="e" vm="1">
        <f>FIXED(VLOOKUP($A34,'Full Sample-Townhouse'!$A:$R,AL$1,0),2)</f>
        <v>#VALUE!</v>
      </c>
    </row>
    <row r="35" spans="1:38" x14ac:dyDescent="0.25">
      <c r="A35" t="s">
        <v>28</v>
      </c>
      <c r="B35" s="4" t="s">
        <v>112</v>
      </c>
      <c r="C35" s="9" t="str">
        <f>FIXED(VLOOKUP($A35,'Full Sample-Single Family'!$A:$R,C$1,0),2)</f>
        <v>0.92</v>
      </c>
      <c r="D35" s="3" t="str">
        <f>FIXED(VLOOKUP($A35,'Full Sample-Single Family'!$A:$R,D$1,0),2)</f>
        <v>0.27</v>
      </c>
      <c r="E35" s="3" t="str">
        <f>FIXED(VLOOKUP($A35,'Full Sample-Single Family'!$A:$R,E$1,0),2)</f>
        <v>0.00</v>
      </c>
      <c r="F35" s="3" t="str">
        <f>FIXED(VLOOKUP($A35,'Full Sample-Single Family'!$A:$R,F$1,0),2)</f>
        <v>1.00</v>
      </c>
      <c r="G35" s="9" t="str">
        <f>FIXED(VLOOKUP($A35,'Full Sample-Single Family'!$A:$R,G$1,0),2)</f>
        <v>0.92</v>
      </c>
      <c r="H35" s="3" t="str">
        <f>FIXED(VLOOKUP($A35,'Full Sample-Single Family'!$A:$R,H$1,0),2)</f>
        <v>0.28</v>
      </c>
      <c r="I35" s="3" t="str">
        <f>FIXED(VLOOKUP($A35,'Full Sample-Single Family'!$A:$R,I$1,0),2)</f>
        <v>0.00</v>
      </c>
      <c r="J35" s="13" t="str">
        <f>FIXED(VLOOKUP($A35,'Full Sample-Single Family'!$A:$R,J$1,0),2)</f>
        <v>1.00</v>
      </c>
      <c r="K35" s="9" t="str">
        <f>FIXED(VLOOKUP($A35,'Full Sample-Single Family'!$A:$R,K$1,0),2)</f>
        <v>0.92</v>
      </c>
      <c r="L35" s="3" t="str">
        <f>FIXED(VLOOKUP($A35,'Full Sample-Single Family'!$A:$R,L$1,0),2)</f>
        <v>0.27</v>
      </c>
      <c r="M35" s="3" t="str">
        <f>FIXED(VLOOKUP($A35,'Full Sample-No Sub'!$A:$R,M$1,0),2)</f>
        <v>0.00</v>
      </c>
      <c r="N35" s="13" t="str">
        <f>FIXED(VLOOKUP($A35,'Full Sample-No Sub'!$A:$R,N$1,0),2)</f>
        <v>1.00</v>
      </c>
      <c r="O35" s="9" t="str">
        <f>FIXED(VLOOKUP($A35,'Small Sample 1-Single Family'!$A:$R,O$1,0),2)</f>
        <v>0.92</v>
      </c>
      <c r="P35" s="3" t="str">
        <f>FIXED(VLOOKUP($A35,'Small Sample 1-Single Family'!$A:$R,P$1,0),2)</f>
        <v>0.27</v>
      </c>
      <c r="Q35" s="3" t="str">
        <f>FIXED(VLOOKUP($A35,'Small Sample 1-Single Family'!$A:$R,Q$1,0),2)</f>
        <v>0.00</v>
      </c>
      <c r="R35" s="3" t="str">
        <f>FIXED(VLOOKUP($A35,'Small Sample 1-Single Family'!$A:$R,R$1,0),2)</f>
        <v>1.00</v>
      </c>
      <c r="S35" s="9" t="str">
        <f>FIXED(VLOOKUP($A35,'Small Sample 1-Single Family'!$A:$R,S$1,0),2)</f>
        <v>0.02</v>
      </c>
      <c r="T35" s="3" t="str">
        <f>FIXED(VLOOKUP($A35,'Small Sample 1-Single Family'!$A:$R,T$1,0),2)</f>
        <v>0.14</v>
      </c>
      <c r="U35" s="3" t="str">
        <f>FIXED(VLOOKUP($A35,'Small Sample 1-Single Family'!$A:$R,U$1,0),2)</f>
        <v>0.00</v>
      </c>
      <c r="V35" s="13" t="str">
        <f>FIXED(VLOOKUP($A35,'Small Sample 1-Single Family'!$A:$R,V$1,0),2)</f>
        <v>1.00</v>
      </c>
      <c r="W35" s="9" t="str">
        <f>FIXED(VLOOKUP($A35,'Small Sample 1-Single Family'!$A:$R,W$1,0),2)</f>
        <v>0.92</v>
      </c>
      <c r="X35" s="3" t="str">
        <f>FIXED(VLOOKUP($A35,'Small Sample 1-Single Family'!$A:$R,X$1,0),2)</f>
        <v>0.27</v>
      </c>
      <c r="Y35" s="3" t="str">
        <f>FIXED(VLOOKUP($A35,'Small Sample 1-No Sub'!$A:$R,Y$1,0),2)</f>
        <v>0.00</v>
      </c>
      <c r="Z35" s="3" t="str">
        <f>FIXED(VLOOKUP($A35,'Small Sample 1-No Sub'!$A:$R,Z$1,0),2)</f>
        <v>1.00</v>
      </c>
      <c r="AA35" s="9" t="str">
        <f>FIXED(VLOOKUP($A35,'Small Sample 2-Single Family'!$A:$R,AA$1,0),2)</f>
        <v>0.92</v>
      </c>
      <c r="AB35" s="3" t="str">
        <f>FIXED(VLOOKUP($A35,'Small Sample 2-Single Family'!$A:$R,AB$1,0),2)</f>
        <v>0.27</v>
      </c>
      <c r="AC35" s="3" t="str">
        <f>FIXED(VLOOKUP($A35,'Small Sample 2-Single Family'!$A:$R,AC$1,0),2)</f>
        <v>0.00</v>
      </c>
      <c r="AD35" s="3" t="str">
        <f>FIXED(VLOOKUP($A35,'Small Sample 2-Single Family'!$A:$R,AD$1,0),2)</f>
        <v>1.00</v>
      </c>
      <c r="AE35" s="9" t="str">
        <f>FIXED(VLOOKUP($A35,'Small Sample 2-Single Family'!$A:$R,AE$1,0),2)</f>
        <v>0.92</v>
      </c>
      <c r="AF35" s="3" t="str">
        <f>FIXED(VLOOKUP($A35,'Small Sample 2-Single Family'!$A:$R,AF$1,0),2)</f>
        <v>0.28</v>
      </c>
      <c r="AG35" s="3" t="str">
        <f>FIXED(VLOOKUP($A35,'Small Sample 2-Single Family'!$A:$R,AG$1,0),2)</f>
        <v>0.00</v>
      </c>
      <c r="AH35" s="13" t="str">
        <f>FIXED(VLOOKUP($A35,'Small Sample 2-Single Family'!$A:$R,AH$1,0),2)</f>
        <v>1.00</v>
      </c>
      <c r="AI35" s="9" t="str">
        <f>FIXED(VLOOKUP($A35,'Small Sample 2-Single Family'!$A:$R,AI$1,0),2)</f>
        <v>0.93</v>
      </c>
      <c r="AJ35" s="3" t="str">
        <f>FIXED(VLOOKUP($A35,'Small Sample 2-Single Family'!$A:$R,AJ$1,0),2)</f>
        <v>0.26</v>
      </c>
      <c r="AK35" s="3" t="e" vm="1">
        <f>FIXED(VLOOKUP($A35,'Full Sample-Townhouse'!$A:$R,AK$1,0),2)</f>
        <v>#VALUE!</v>
      </c>
      <c r="AL35" s="3" t="e" vm="1">
        <f>FIXED(VLOOKUP($A35,'Full Sample-Townhouse'!$A:$R,AL$1,0),2)</f>
        <v>#VALUE!</v>
      </c>
    </row>
    <row r="36" spans="1:38" x14ac:dyDescent="0.25">
      <c r="A36" t="s">
        <v>29</v>
      </c>
      <c r="B36" s="4" t="s">
        <v>113</v>
      </c>
      <c r="C36" s="9" t="str">
        <f>FIXED(VLOOKUP($A36,'Full Sample-Single Family'!$A:$R,C$1,0),2)</f>
        <v>0.02</v>
      </c>
      <c r="D36" s="3" t="str">
        <f>FIXED(VLOOKUP($A36,'Full Sample-Single Family'!$A:$R,D$1,0),2)</f>
        <v>0.14</v>
      </c>
      <c r="E36" s="3" t="str">
        <f>FIXED(VLOOKUP($A36,'Full Sample-Single Family'!$A:$R,E$1,0),2)</f>
        <v>0.00</v>
      </c>
      <c r="F36" s="3" t="str">
        <f>FIXED(VLOOKUP($A36,'Full Sample-Single Family'!$A:$R,F$1,0),2)</f>
        <v>1.00</v>
      </c>
      <c r="G36" s="9" t="str">
        <f>FIXED(VLOOKUP($A36,'Full Sample-Single Family'!$A:$R,G$1,0),2)</f>
        <v>0.02</v>
      </c>
      <c r="H36" s="3" t="str">
        <f>FIXED(VLOOKUP($A36,'Full Sample-Single Family'!$A:$R,H$1,0),2)</f>
        <v>0.14</v>
      </c>
      <c r="I36" s="3" t="str">
        <f>FIXED(VLOOKUP($A36,'Full Sample-Single Family'!$A:$R,I$1,0),2)</f>
        <v>0.00</v>
      </c>
      <c r="J36" s="13" t="str">
        <f>FIXED(VLOOKUP($A36,'Full Sample-Single Family'!$A:$R,J$1,0),2)</f>
        <v>1.00</v>
      </c>
      <c r="K36" s="9" t="str">
        <f>FIXED(VLOOKUP($A36,'Full Sample-Single Family'!$A:$R,K$1,0),2)</f>
        <v>0.02</v>
      </c>
      <c r="L36" s="3" t="str">
        <f>FIXED(VLOOKUP($A36,'Full Sample-Single Family'!$A:$R,L$1,0),2)</f>
        <v>0.13</v>
      </c>
      <c r="M36" s="3" t="str">
        <f>FIXED(VLOOKUP($A36,'Full Sample-No Sub'!$A:$R,M$1,0),2)</f>
        <v>0.00</v>
      </c>
      <c r="N36" s="13" t="str">
        <f>FIXED(VLOOKUP($A36,'Full Sample-No Sub'!$A:$R,N$1,0),2)</f>
        <v>1.00</v>
      </c>
      <c r="O36" s="9" t="str">
        <f>FIXED(VLOOKUP($A36,'Small Sample 1-Single Family'!$A:$R,O$1,0),2)</f>
        <v>0.02</v>
      </c>
      <c r="P36" s="3" t="str">
        <f>FIXED(VLOOKUP($A36,'Small Sample 1-Single Family'!$A:$R,P$1,0),2)</f>
        <v>0.14</v>
      </c>
      <c r="Q36" s="3" t="str">
        <f>FIXED(VLOOKUP($A36,'Small Sample 1-Single Family'!$A:$R,Q$1,0),2)</f>
        <v>0.00</v>
      </c>
      <c r="R36" s="3" t="str">
        <f>FIXED(VLOOKUP($A36,'Small Sample 1-Single Family'!$A:$R,R$1,0),2)</f>
        <v>1.00</v>
      </c>
      <c r="S36" s="9" t="str">
        <f>FIXED(VLOOKUP($A36,'Small Sample 1-Single Family'!$A:$R,S$1,0),2)</f>
        <v>0.04</v>
      </c>
      <c r="T36" s="3" t="str">
        <f>FIXED(VLOOKUP($A36,'Small Sample 1-Single Family'!$A:$R,T$1,0),2)</f>
        <v>0.19</v>
      </c>
      <c r="U36" s="3" t="str">
        <f>FIXED(VLOOKUP($A36,'Small Sample 1-Single Family'!$A:$R,U$1,0),2)</f>
        <v>0.00</v>
      </c>
      <c r="V36" s="13" t="str">
        <f>FIXED(VLOOKUP($A36,'Small Sample 1-Single Family'!$A:$R,V$1,0),2)</f>
        <v>1.00</v>
      </c>
      <c r="W36" s="9" t="str">
        <f>FIXED(VLOOKUP($A36,'Small Sample 1-Single Family'!$A:$R,W$1,0),2)</f>
        <v>0.02</v>
      </c>
      <c r="X36" s="3" t="str">
        <f>FIXED(VLOOKUP($A36,'Small Sample 1-Single Family'!$A:$R,X$1,0),2)</f>
        <v>0.13</v>
      </c>
      <c r="Y36" s="3" t="str">
        <f>FIXED(VLOOKUP($A36,'Small Sample 1-No Sub'!$A:$R,Y$1,0),2)</f>
        <v>0.00</v>
      </c>
      <c r="Z36" s="3" t="str">
        <f>FIXED(VLOOKUP($A36,'Small Sample 1-No Sub'!$A:$R,Z$1,0),2)</f>
        <v>1.00</v>
      </c>
      <c r="AA36" s="9" t="str">
        <f>FIXED(VLOOKUP($A36,'Small Sample 2-Single Family'!$A:$R,AA$1,0),2)</f>
        <v>0.02</v>
      </c>
      <c r="AB36" s="3" t="str">
        <f>FIXED(VLOOKUP($A36,'Small Sample 2-Single Family'!$A:$R,AB$1,0),2)</f>
        <v>0.14</v>
      </c>
      <c r="AC36" s="3" t="str">
        <f>FIXED(VLOOKUP($A36,'Small Sample 2-Single Family'!$A:$R,AC$1,0),2)</f>
        <v>0.00</v>
      </c>
      <c r="AD36" s="3" t="str">
        <f>FIXED(VLOOKUP($A36,'Small Sample 2-Single Family'!$A:$R,AD$1,0),2)</f>
        <v>1.00</v>
      </c>
      <c r="AE36" s="9" t="str">
        <f>FIXED(VLOOKUP($A36,'Small Sample 2-Single Family'!$A:$R,AE$1,0),2)</f>
        <v>0.02</v>
      </c>
      <c r="AF36" s="3" t="str">
        <f>FIXED(VLOOKUP($A36,'Small Sample 2-Single Family'!$A:$R,AF$1,0),2)</f>
        <v>0.14</v>
      </c>
      <c r="AG36" s="3" t="str">
        <f>FIXED(VLOOKUP($A36,'Small Sample 2-Single Family'!$A:$R,AG$1,0),2)</f>
        <v>0.00</v>
      </c>
      <c r="AH36" s="13" t="str">
        <f>FIXED(VLOOKUP($A36,'Small Sample 2-Single Family'!$A:$R,AH$1,0),2)</f>
        <v>1.00</v>
      </c>
      <c r="AI36" s="9" t="str">
        <f>FIXED(VLOOKUP($A36,'Small Sample 2-Single Family'!$A:$R,AI$1,0),2)</f>
        <v>0.02</v>
      </c>
      <c r="AJ36" s="3" t="str">
        <f>FIXED(VLOOKUP($A36,'Small Sample 2-Single Family'!$A:$R,AJ$1,0),2)</f>
        <v>0.14</v>
      </c>
      <c r="AK36" s="3" t="e" vm="1">
        <f>FIXED(VLOOKUP($A36,'Full Sample-Townhouse'!$A:$R,AK$1,0),2)</f>
        <v>#VALUE!</v>
      </c>
      <c r="AL36" s="3" t="e" vm="1">
        <f>FIXED(VLOOKUP($A36,'Full Sample-Townhouse'!$A:$R,AL$1,0),2)</f>
        <v>#VALUE!</v>
      </c>
    </row>
    <row r="37" spans="1:38" x14ac:dyDescent="0.25">
      <c r="A37" t="s">
        <v>30</v>
      </c>
      <c r="B37" s="4" t="s">
        <v>114</v>
      </c>
      <c r="C37" s="9" t="str">
        <f>FIXED(VLOOKUP($A37,'Full Sample-Single Family'!$A:$R,C$1,0),2)</f>
        <v>0.04</v>
      </c>
      <c r="D37" s="3" t="str">
        <f>FIXED(VLOOKUP($A37,'Full Sample-Single Family'!$A:$R,D$1,0),2)</f>
        <v>0.19</v>
      </c>
      <c r="E37" s="3" t="str">
        <f>FIXED(VLOOKUP($A37,'Full Sample-Single Family'!$A:$R,E$1,0),2)</f>
        <v>0.00</v>
      </c>
      <c r="F37" s="3" t="str">
        <f>FIXED(VLOOKUP($A37,'Full Sample-Single Family'!$A:$R,F$1,0),2)</f>
        <v>1.00</v>
      </c>
      <c r="G37" s="9" t="str">
        <f>FIXED(VLOOKUP($A37,'Full Sample-Single Family'!$A:$R,G$1,0),2)</f>
        <v>0.03</v>
      </c>
      <c r="H37" s="3" t="str">
        <f>FIXED(VLOOKUP($A37,'Full Sample-Single Family'!$A:$R,H$1,0),2)</f>
        <v>0.18</v>
      </c>
      <c r="I37" s="3" t="str">
        <f>FIXED(VLOOKUP($A37,'Full Sample-Single Family'!$A:$R,I$1,0),2)</f>
        <v>0.00</v>
      </c>
      <c r="J37" s="13" t="str">
        <f>FIXED(VLOOKUP($A37,'Full Sample-Single Family'!$A:$R,J$1,0),2)</f>
        <v>1.00</v>
      </c>
      <c r="K37" s="9" t="str">
        <f>FIXED(VLOOKUP($A37,'Full Sample-Single Family'!$A:$R,K$1,0),2)</f>
        <v>0.05</v>
      </c>
      <c r="L37" s="3" t="str">
        <f>FIXED(VLOOKUP($A37,'Full Sample-Single Family'!$A:$R,L$1,0),2)</f>
        <v>0.21</v>
      </c>
      <c r="M37" s="3" t="str">
        <f>FIXED(VLOOKUP($A37,'Full Sample-No Sub'!$A:$R,M$1,0),2)</f>
        <v>0.00</v>
      </c>
      <c r="N37" s="13" t="str">
        <f>FIXED(VLOOKUP($A37,'Full Sample-No Sub'!$A:$R,N$1,0),2)</f>
        <v>1.00</v>
      </c>
      <c r="O37" s="9" t="str">
        <f>FIXED(VLOOKUP($A37,'Small Sample 1-Single Family'!$A:$R,O$1,0),2)</f>
        <v>0.04</v>
      </c>
      <c r="P37" s="3" t="str">
        <f>FIXED(VLOOKUP($A37,'Small Sample 1-Single Family'!$A:$R,P$1,0),2)</f>
        <v>0.20</v>
      </c>
      <c r="Q37" s="3" t="str">
        <f>FIXED(VLOOKUP($A37,'Small Sample 1-Single Family'!$A:$R,Q$1,0),2)</f>
        <v>0.00</v>
      </c>
      <c r="R37" s="3" t="str">
        <f>FIXED(VLOOKUP($A37,'Small Sample 1-Single Family'!$A:$R,R$1,0),2)</f>
        <v>1.00</v>
      </c>
      <c r="S37" s="9" t="str">
        <f>FIXED(VLOOKUP($A37,'Small Sample 1-Single Family'!$A:$R,S$1,0),2)</f>
        <v>0.00</v>
      </c>
      <c r="T37" s="3" t="str">
        <f>FIXED(VLOOKUP($A37,'Small Sample 1-Single Family'!$A:$R,T$1,0),2)</f>
        <v>0.00</v>
      </c>
      <c r="U37" s="3" t="str">
        <f>FIXED(VLOOKUP($A37,'Small Sample 1-Single Family'!$A:$R,U$1,0),2)</f>
        <v>0.00</v>
      </c>
      <c r="V37" s="13" t="str">
        <f>FIXED(VLOOKUP($A37,'Small Sample 1-Single Family'!$A:$R,V$1,0),2)</f>
        <v>0.00</v>
      </c>
      <c r="W37" s="9" t="str">
        <f>FIXED(VLOOKUP($A37,'Small Sample 1-Single Family'!$A:$R,W$1,0),2)</f>
        <v>0.05</v>
      </c>
      <c r="X37" s="3" t="str">
        <f>FIXED(VLOOKUP($A37,'Small Sample 1-Single Family'!$A:$R,X$1,0),2)</f>
        <v>0.21</v>
      </c>
      <c r="Y37" s="3" t="str">
        <f>FIXED(VLOOKUP($A37,'Small Sample 1-No Sub'!$A:$R,Y$1,0),2)</f>
        <v>0.00</v>
      </c>
      <c r="Z37" s="3" t="str">
        <f>FIXED(VLOOKUP($A37,'Small Sample 1-No Sub'!$A:$R,Z$1,0),2)</f>
        <v>1.00</v>
      </c>
      <c r="AA37" s="9" t="str">
        <f>FIXED(VLOOKUP($A37,'Small Sample 2-Single Family'!$A:$R,AA$1,0),2)</f>
        <v>0.04</v>
      </c>
      <c r="AB37" s="3" t="str">
        <f>FIXED(VLOOKUP($A37,'Small Sample 2-Single Family'!$A:$R,AB$1,0),2)</f>
        <v>0.20</v>
      </c>
      <c r="AC37" s="3" t="str">
        <f>FIXED(VLOOKUP($A37,'Small Sample 2-Single Family'!$A:$R,AC$1,0),2)</f>
        <v>0.00</v>
      </c>
      <c r="AD37" s="3" t="str">
        <f>FIXED(VLOOKUP($A37,'Small Sample 2-Single Family'!$A:$R,AD$1,0),2)</f>
        <v>1.00</v>
      </c>
      <c r="AE37" s="9" t="str">
        <f>FIXED(VLOOKUP($A37,'Small Sample 2-Single Family'!$A:$R,AE$1,0),2)</f>
        <v>0.03</v>
      </c>
      <c r="AF37" s="3" t="str">
        <f>FIXED(VLOOKUP($A37,'Small Sample 2-Single Family'!$A:$R,AF$1,0),2)</f>
        <v>0.18</v>
      </c>
      <c r="AG37" s="3" t="str">
        <f>FIXED(VLOOKUP($A37,'Small Sample 2-Single Family'!$A:$R,AG$1,0),2)</f>
        <v>0.00</v>
      </c>
      <c r="AH37" s="13" t="str">
        <f>FIXED(VLOOKUP($A37,'Small Sample 2-Single Family'!$A:$R,AH$1,0),2)</f>
        <v>1.00</v>
      </c>
      <c r="AI37" s="9" t="str">
        <f>FIXED(VLOOKUP($A37,'Small Sample 2-Single Family'!$A:$R,AI$1,0),2)</f>
        <v>0.05</v>
      </c>
      <c r="AJ37" s="3" t="str">
        <f>FIXED(VLOOKUP($A37,'Small Sample 2-Single Family'!$A:$R,AJ$1,0),2)</f>
        <v>0.22</v>
      </c>
      <c r="AK37" s="3" t="e" vm="1">
        <f>FIXED(VLOOKUP($A37,'Full Sample-Townhouse'!$A:$R,AK$1,0),2)</f>
        <v>#VALUE!</v>
      </c>
      <c r="AL37" s="3" t="e" vm="1">
        <f>FIXED(VLOOKUP($A37,'Full Sample-Townhouse'!$A:$R,AL$1,0),2)</f>
        <v>#VALUE!</v>
      </c>
    </row>
    <row r="38" spans="1:38" x14ac:dyDescent="0.25">
      <c r="A38" t="s">
        <v>31</v>
      </c>
      <c r="B38" s="4" t="s">
        <v>115</v>
      </c>
      <c r="C38" s="9" t="s">
        <v>321</v>
      </c>
      <c r="D38" s="3" t="s">
        <v>321</v>
      </c>
      <c r="E38" s="3" t="str">
        <f>FIXED(VLOOKUP($A38,'Full Sample-Single Family'!$A:$R,E$1,0),2)</f>
        <v>0.00</v>
      </c>
      <c r="F38" s="3" t="str">
        <f>FIXED(VLOOKUP($A38,'Full Sample-Single Family'!$A:$R,F$1,0),2)</f>
        <v>0.00</v>
      </c>
      <c r="G38" s="9" t="s">
        <v>321</v>
      </c>
      <c r="H38" s="3" t="s">
        <v>321</v>
      </c>
      <c r="I38" s="3" t="str">
        <f>FIXED(VLOOKUP($A38,'Full Sample-Single Family'!$A:$R,I$1,0),2)</f>
        <v>0.00</v>
      </c>
      <c r="J38" s="13" t="str">
        <f>FIXED(VLOOKUP($A38,'Full Sample-Single Family'!$A:$R,J$1,0),2)</f>
        <v>0.00</v>
      </c>
      <c r="K38" s="9" t="s">
        <v>321</v>
      </c>
      <c r="L38" s="3" t="s">
        <v>321</v>
      </c>
      <c r="M38" s="3" t="str">
        <f>FIXED(VLOOKUP($A38,'Full Sample-No Sub'!$A:$R,M$1,0),2)</f>
        <v>0.00</v>
      </c>
      <c r="N38" s="13" t="str">
        <f>FIXED(VLOOKUP($A38,'Full Sample-No Sub'!$A:$R,N$1,0),2)</f>
        <v>1.00</v>
      </c>
      <c r="O38" s="9" t="s">
        <v>321</v>
      </c>
      <c r="P38" s="3" t="s">
        <v>321</v>
      </c>
      <c r="Q38" s="3" t="str">
        <f>FIXED(VLOOKUP($A38,'Small Sample 1-Single Family'!$A:$R,Q$1,0),2)</f>
        <v>0.00</v>
      </c>
      <c r="R38" s="3" t="str">
        <f>FIXED(VLOOKUP($A38,'Small Sample 1-Single Family'!$A:$R,R$1,0),2)</f>
        <v>0.00</v>
      </c>
      <c r="S38" s="9" t="s">
        <v>321</v>
      </c>
      <c r="T38" s="3" t="s">
        <v>321</v>
      </c>
      <c r="U38" s="3" t="str">
        <f>FIXED(VLOOKUP($A38,'Small Sample 1-Single Family'!$A:$R,U$1,0),2)</f>
        <v>1.00</v>
      </c>
      <c r="V38" s="13" t="str">
        <f>FIXED(VLOOKUP($A38,'Small Sample 1-Single Family'!$A:$R,V$1,0),2)</f>
        <v>1.00</v>
      </c>
      <c r="W38" s="9" t="s">
        <v>321</v>
      </c>
      <c r="X38" s="3" t="s">
        <v>321</v>
      </c>
      <c r="Y38" s="3" t="str">
        <f>FIXED(VLOOKUP($A38,'Small Sample 1-No Sub'!$A:$R,Y$1,0),2)</f>
        <v>0.00</v>
      </c>
      <c r="Z38" s="3" t="str">
        <f>FIXED(VLOOKUP($A38,'Small Sample 1-No Sub'!$A:$R,Z$1,0),2)</f>
        <v>1.00</v>
      </c>
      <c r="AA38" s="9" t="s">
        <v>321</v>
      </c>
      <c r="AB38" s="3" t="s">
        <v>321</v>
      </c>
      <c r="AC38" s="3" t="str">
        <f>FIXED(VLOOKUP($A38,'Small Sample 2-Single Family'!$A:$R,AC$1,0),2)</f>
        <v>0.00</v>
      </c>
      <c r="AD38" s="3" t="str">
        <f>FIXED(VLOOKUP($A38,'Small Sample 2-Single Family'!$A:$R,AD$1,0),2)</f>
        <v>0.00</v>
      </c>
      <c r="AE38" s="9" t="s">
        <v>321</v>
      </c>
      <c r="AF38" s="3" t="s">
        <v>321</v>
      </c>
      <c r="AG38" s="3" t="str">
        <f>FIXED(VLOOKUP($A38,'Small Sample 2-Single Family'!$A:$R,AG$1,0),2)</f>
        <v>0.00</v>
      </c>
      <c r="AH38" s="13" t="str">
        <f>FIXED(VLOOKUP($A38,'Small Sample 2-Single Family'!$A:$R,AH$1,0),2)</f>
        <v>0.00</v>
      </c>
      <c r="AI38" s="9" t="s">
        <v>321</v>
      </c>
      <c r="AJ38" s="3" t="s">
        <v>321</v>
      </c>
      <c r="AK38" s="3" t="e" vm="1">
        <f>FIXED(VLOOKUP($A38,'Full Sample-Townhouse'!$A:$R,AK$1,0),2)</f>
        <v>#VALUE!</v>
      </c>
      <c r="AL38" s="3" t="e" vm="1">
        <f>FIXED(VLOOKUP($A38,'Full Sample-Townhouse'!$A:$R,AL$1,0),2)</f>
        <v>#VALUE!</v>
      </c>
    </row>
    <row r="39" spans="1:38" x14ac:dyDescent="0.25">
      <c r="A39" t="s">
        <v>62</v>
      </c>
      <c r="B39" s="4" t="s">
        <v>138</v>
      </c>
      <c r="C39" s="9" t="str">
        <f>FIXED(VLOOKUP($A39,'Full Sample-Single Family'!$A:$R,C$1,0),2)</f>
        <v>0.87</v>
      </c>
      <c r="D39" s="3" t="str">
        <f>FIXED(VLOOKUP($A39,'Full Sample-Single Family'!$A:$R,D$1,0),2)</f>
        <v>0.33</v>
      </c>
      <c r="E39" s="3" t="str">
        <f>FIXED(VLOOKUP($A39,'Full Sample-Single Family'!$A:$R,E$1,0),2)</f>
        <v>0.00</v>
      </c>
      <c r="F39" s="3" t="str">
        <f>FIXED(VLOOKUP($A39,'Full Sample-Single Family'!$A:$R,F$1,0),2)</f>
        <v>1.00</v>
      </c>
      <c r="G39" s="9" t="str">
        <f>FIXED(VLOOKUP($A39,'Full Sample-Single Family'!$A:$R,G$1,0),2)</f>
        <v>0.87</v>
      </c>
      <c r="H39" s="3" t="str">
        <f>FIXED(VLOOKUP($A39,'Full Sample-Single Family'!$A:$R,H$1,0),2)</f>
        <v>0.34</v>
      </c>
      <c r="I39" s="3" t="str">
        <f>FIXED(VLOOKUP($A39,'Full Sample-Single Family'!$A:$R,I$1,0),2)</f>
        <v>0.00</v>
      </c>
      <c r="J39" s="13" t="str">
        <f>FIXED(VLOOKUP($A39,'Full Sample-Single Family'!$A:$R,J$1,0),2)</f>
        <v>1.00</v>
      </c>
      <c r="K39" s="9" t="str">
        <f>FIXED(VLOOKUP($A39,'Full Sample-Single Family'!$A:$R,K$1,0),2)</f>
        <v>0.88</v>
      </c>
      <c r="L39" s="3" t="str">
        <f>FIXED(VLOOKUP($A39,'Full Sample-Single Family'!$A:$R,L$1,0),2)</f>
        <v>0.33</v>
      </c>
      <c r="M39" s="3" t="str">
        <f>FIXED(VLOOKUP($A39,'Full Sample-No Sub'!$A:$R,M$1,0),2)</f>
        <v>0.00</v>
      </c>
      <c r="N39" s="13" t="str">
        <f>FIXED(VLOOKUP($A39,'Full Sample-No Sub'!$A:$R,N$1,0),2)</f>
        <v>1.00</v>
      </c>
      <c r="O39" s="9" t="str">
        <f>FIXED(VLOOKUP($A39,'Small Sample 1-Single Family'!$A:$R,O$1,0),2)</f>
        <v>0.88</v>
      </c>
      <c r="P39" s="3" t="str">
        <f>FIXED(VLOOKUP($A39,'Small Sample 1-Single Family'!$A:$R,P$1,0),2)</f>
        <v>0.32</v>
      </c>
      <c r="Q39" s="3" t="str">
        <f>FIXED(VLOOKUP($A39,'Small Sample 1-Single Family'!$A:$R,Q$1,0),2)</f>
        <v>0.00</v>
      </c>
      <c r="R39" s="3" t="str">
        <f>FIXED(VLOOKUP($A39,'Small Sample 1-Single Family'!$A:$R,R$1,0),2)</f>
        <v>1.00</v>
      </c>
      <c r="S39" s="9" t="str">
        <f>FIXED(VLOOKUP($A39,'Small Sample 1-Single Family'!$A:$R,S$1,0),2)</f>
        <v>0.02</v>
      </c>
      <c r="T39" s="3" t="str">
        <f>FIXED(VLOOKUP($A39,'Small Sample 1-Single Family'!$A:$R,T$1,0),2)</f>
        <v>0.13</v>
      </c>
      <c r="U39" s="3" t="str">
        <f>FIXED(VLOOKUP($A39,'Small Sample 1-Single Family'!$A:$R,U$1,0),2)</f>
        <v>0.00</v>
      </c>
      <c r="V39" s="13" t="str">
        <f>FIXED(VLOOKUP($A39,'Small Sample 1-Single Family'!$A:$R,V$1,0),2)</f>
        <v>1.00</v>
      </c>
      <c r="W39" s="9" t="str">
        <f>FIXED(VLOOKUP($A39,'Small Sample 1-Single Family'!$A:$R,W$1,0),2)</f>
        <v>0.88</v>
      </c>
      <c r="X39" s="3" t="str">
        <f>FIXED(VLOOKUP($A39,'Small Sample 1-Single Family'!$A:$R,X$1,0),2)</f>
        <v>0.33</v>
      </c>
      <c r="Y39" s="3" t="str">
        <f>FIXED(VLOOKUP($A39,'Small Sample 1-No Sub'!$A:$R,Y$1,0),2)</f>
        <v>0.00</v>
      </c>
      <c r="Z39" s="3" t="str">
        <f>FIXED(VLOOKUP($A39,'Small Sample 1-No Sub'!$A:$R,Z$1,0),2)</f>
        <v>1.00</v>
      </c>
      <c r="AA39" s="9" t="str">
        <f>FIXED(VLOOKUP($A39,'Small Sample 2-Single Family'!$A:$R,AA$1,0),2)</f>
        <v>0.88</v>
      </c>
      <c r="AB39" s="3" t="str">
        <f>FIXED(VLOOKUP($A39,'Small Sample 2-Single Family'!$A:$R,AB$1,0),2)</f>
        <v>0.32</v>
      </c>
      <c r="AC39" s="3" t="str">
        <f>FIXED(VLOOKUP($A39,'Small Sample 2-Single Family'!$A:$R,AC$1,0),2)</f>
        <v>0.00</v>
      </c>
      <c r="AD39" s="3" t="str">
        <f>FIXED(VLOOKUP($A39,'Small Sample 2-Single Family'!$A:$R,AD$1,0),2)</f>
        <v>1.00</v>
      </c>
      <c r="AE39" s="9" t="str">
        <f>FIXED(VLOOKUP($A39,'Small Sample 2-Single Family'!$A:$R,AE$1,0),2)</f>
        <v>0.87</v>
      </c>
      <c r="AF39" s="3" t="str">
        <f>FIXED(VLOOKUP($A39,'Small Sample 2-Single Family'!$A:$R,AF$1,0),2)</f>
        <v>0.33</v>
      </c>
      <c r="AG39" s="3" t="str">
        <f>FIXED(VLOOKUP($A39,'Small Sample 2-Single Family'!$A:$R,AG$1,0),2)</f>
        <v>0.00</v>
      </c>
      <c r="AH39" s="13" t="str">
        <f>FIXED(VLOOKUP($A39,'Small Sample 2-Single Family'!$A:$R,AH$1,0),2)</f>
        <v>1.00</v>
      </c>
      <c r="AI39" s="9" t="str">
        <f>FIXED(VLOOKUP($A39,'Small Sample 2-Single Family'!$A:$R,AI$1,0),2)</f>
        <v>0.90</v>
      </c>
      <c r="AJ39" s="3" t="str">
        <f>FIXED(VLOOKUP($A39,'Small Sample 2-Single Family'!$A:$R,AJ$1,0),2)</f>
        <v>0.31</v>
      </c>
      <c r="AK39" s="3" t="e" vm="1">
        <f>FIXED(VLOOKUP($A39,'Full Sample-Townhouse'!$A:$R,AK$1,0),2)</f>
        <v>#VALUE!</v>
      </c>
      <c r="AL39" s="3" t="e" vm="1">
        <f>FIXED(VLOOKUP($A39,'Full Sample-Townhouse'!$A:$R,AL$1,0),2)</f>
        <v>#VALUE!</v>
      </c>
    </row>
    <row r="40" spans="1:38" x14ac:dyDescent="0.25">
      <c r="A40" t="s">
        <v>63</v>
      </c>
      <c r="B40" s="4" t="s">
        <v>145</v>
      </c>
      <c r="C40" s="9" t="str">
        <f>FIXED(VLOOKUP($A40,'Full Sample-Single Family'!$A:$R,C$1,0),2)</f>
        <v>0.02</v>
      </c>
      <c r="D40" s="3" t="str">
        <f>FIXED(VLOOKUP($A40,'Full Sample-Single Family'!$A:$R,D$1,0),2)</f>
        <v>0.13</v>
      </c>
      <c r="E40" s="3" t="str">
        <f>FIXED(VLOOKUP($A40,'Full Sample-Single Family'!$A:$R,E$1,0),2)</f>
        <v>0.00</v>
      </c>
      <c r="F40" s="3" t="str">
        <f>FIXED(VLOOKUP($A40,'Full Sample-Single Family'!$A:$R,F$1,0),2)</f>
        <v>1.00</v>
      </c>
      <c r="G40" s="9" t="str">
        <f>FIXED(VLOOKUP($A40,'Full Sample-Single Family'!$A:$R,G$1,0),2)</f>
        <v>0.02</v>
      </c>
      <c r="H40" s="3" t="str">
        <f>FIXED(VLOOKUP($A40,'Full Sample-Single Family'!$A:$R,H$1,0),2)</f>
        <v>0.13</v>
      </c>
      <c r="I40" s="3" t="str">
        <f>FIXED(VLOOKUP($A40,'Full Sample-Single Family'!$A:$R,I$1,0),2)</f>
        <v>0.00</v>
      </c>
      <c r="J40" s="13" t="str">
        <f>FIXED(VLOOKUP($A40,'Full Sample-Single Family'!$A:$R,J$1,0),2)</f>
        <v>1.00</v>
      </c>
      <c r="K40" s="9" t="str">
        <f>FIXED(VLOOKUP($A40,'Full Sample-Single Family'!$A:$R,K$1,0),2)</f>
        <v>0.02</v>
      </c>
      <c r="L40" s="3" t="str">
        <f>FIXED(VLOOKUP($A40,'Full Sample-Single Family'!$A:$R,L$1,0),2)</f>
        <v>0.13</v>
      </c>
      <c r="M40" s="3" t="str">
        <f>FIXED(VLOOKUP($A40,'Full Sample-No Sub'!$A:$R,M$1,0),2)</f>
        <v>0.00</v>
      </c>
      <c r="N40" s="13" t="str">
        <f>FIXED(VLOOKUP($A40,'Full Sample-No Sub'!$A:$R,N$1,0),2)</f>
        <v>1.00</v>
      </c>
      <c r="O40" s="9" t="str">
        <f>FIXED(VLOOKUP($A40,'Small Sample 1-Single Family'!$A:$R,O$1,0),2)</f>
        <v>0.02</v>
      </c>
      <c r="P40" s="3" t="str">
        <f>FIXED(VLOOKUP($A40,'Small Sample 1-Single Family'!$A:$R,P$1,0),2)</f>
        <v>0.13</v>
      </c>
      <c r="Q40" s="3" t="str">
        <f>FIXED(VLOOKUP($A40,'Small Sample 1-Single Family'!$A:$R,Q$1,0),2)</f>
        <v>0.00</v>
      </c>
      <c r="R40" s="3" t="str">
        <f>FIXED(VLOOKUP($A40,'Small Sample 1-Single Family'!$A:$R,R$1,0),2)</f>
        <v>1.00</v>
      </c>
      <c r="S40" s="9" t="str">
        <f>FIXED(VLOOKUP($A40,'Small Sample 1-Single Family'!$A:$R,S$1,0),2)</f>
        <v>0.00</v>
      </c>
      <c r="T40" s="3" t="str">
        <f>FIXED(VLOOKUP($A40,'Small Sample 1-Single Family'!$A:$R,T$1,0),2)</f>
        <v>0.01</v>
      </c>
      <c r="U40" s="3" t="str">
        <f>FIXED(VLOOKUP($A40,'Small Sample 1-Single Family'!$A:$R,U$1,0),2)</f>
        <v>0.00</v>
      </c>
      <c r="V40" s="13" t="str">
        <f>FIXED(VLOOKUP($A40,'Small Sample 1-Single Family'!$A:$R,V$1,0),2)</f>
        <v>1.00</v>
      </c>
      <c r="W40" s="9" t="str">
        <f>FIXED(VLOOKUP($A40,'Small Sample 1-Single Family'!$A:$R,W$1,0),2)</f>
        <v>0.02</v>
      </c>
      <c r="X40" s="3" t="str">
        <f>FIXED(VLOOKUP($A40,'Small Sample 1-Single Family'!$A:$R,X$1,0),2)</f>
        <v>0.13</v>
      </c>
      <c r="Y40" s="3" t="str">
        <f>FIXED(VLOOKUP($A40,'Small Sample 1-No Sub'!$A:$R,Y$1,0),2)</f>
        <v>0.00</v>
      </c>
      <c r="Z40" s="3" t="str">
        <f>FIXED(VLOOKUP($A40,'Small Sample 1-No Sub'!$A:$R,Z$1,0),2)</f>
        <v>1.00</v>
      </c>
      <c r="AA40" s="9" t="str">
        <f>FIXED(VLOOKUP($A40,'Small Sample 2-Single Family'!$A:$R,AA$1,0),2)</f>
        <v>0.02</v>
      </c>
      <c r="AB40" s="3" t="str">
        <f>FIXED(VLOOKUP($A40,'Small Sample 2-Single Family'!$A:$R,AB$1,0),2)</f>
        <v>0.13</v>
      </c>
      <c r="AC40" s="3" t="str">
        <f>FIXED(VLOOKUP($A40,'Small Sample 2-Single Family'!$A:$R,AC$1,0),2)</f>
        <v>0.00</v>
      </c>
      <c r="AD40" s="3" t="str">
        <f>FIXED(VLOOKUP($A40,'Small Sample 2-Single Family'!$A:$R,AD$1,0),2)</f>
        <v>1.00</v>
      </c>
      <c r="AE40" s="9" t="str">
        <f>FIXED(VLOOKUP($A40,'Small Sample 2-Single Family'!$A:$R,AE$1,0),2)</f>
        <v>0.02</v>
      </c>
      <c r="AF40" s="3" t="str">
        <f>FIXED(VLOOKUP($A40,'Small Sample 2-Single Family'!$A:$R,AF$1,0),2)</f>
        <v>0.13</v>
      </c>
      <c r="AG40" s="3" t="str">
        <f>FIXED(VLOOKUP($A40,'Small Sample 2-Single Family'!$A:$R,AG$1,0),2)</f>
        <v>0.00</v>
      </c>
      <c r="AH40" s="13" t="str">
        <f>FIXED(VLOOKUP($A40,'Small Sample 2-Single Family'!$A:$R,AH$1,0),2)</f>
        <v>1.00</v>
      </c>
      <c r="AI40" s="9" t="str">
        <f>FIXED(VLOOKUP($A40,'Small Sample 2-Single Family'!$A:$R,AI$1,0),2)</f>
        <v>0.02</v>
      </c>
      <c r="AJ40" s="3" t="str">
        <f>FIXED(VLOOKUP($A40,'Small Sample 2-Single Family'!$A:$R,AJ$1,0),2)</f>
        <v>0.13</v>
      </c>
      <c r="AK40" s="3" t="e" vm="1">
        <f>FIXED(VLOOKUP($A40,'Full Sample-Townhouse'!$A:$R,AK$1,0),2)</f>
        <v>#VALUE!</v>
      </c>
      <c r="AL40" s="3" t="e" vm="1">
        <f>FIXED(VLOOKUP($A40,'Full Sample-Townhouse'!$A:$R,AL$1,0),2)</f>
        <v>#VALUE!</v>
      </c>
    </row>
    <row r="41" spans="1:38" x14ac:dyDescent="0.25">
      <c r="A41" t="s">
        <v>64</v>
      </c>
      <c r="B41" s="4" t="s">
        <v>139</v>
      </c>
      <c r="C41" s="23">
        <f>VLOOKUP($A41,'Full Sample-Single Family'!$A:$R,C$1,0)</f>
        <v>1E-4</v>
      </c>
      <c r="D41" s="3" t="str">
        <f>FIXED(VLOOKUP($A41,'Full Sample-Single Family'!$A:$R,D$1,0),2)</f>
        <v>0.01</v>
      </c>
      <c r="E41" s="3" t="str">
        <f>FIXED(VLOOKUP($A41,'Full Sample-Single Family'!$A:$R,E$1,0),2)</f>
        <v>0.00</v>
      </c>
      <c r="F41" s="3" t="str">
        <f>FIXED(VLOOKUP($A41,'Full Sample-Single Family'!$A:$R,F$1,0),2)</f>
        <v>1.00</v>
      </c>
      <c r="G41" s="23">
        <f>VLOOKUP($A41,'Full Sample-Single Family'!$A:$R,G$1,0)</f>
        <v>2.0000000000000001E-4</v>
      </c>
      <c r="H41" s="3" t="str">
        <f>FIXED(VLOOKUP($A41,'Full Sample-Single Family'!$A:$R,H$1,0),2)</f>
        <v>0.01</v>
      </c>
      <c r="I41" s="3" t="str">
        <f>FIXED(VLOOKUP($A41,'Full Sample-Single Family'!$A:$R,I$1,0),2)</f>
        <v>0.00</v>
      </c>
      <c r="J41" s="13" t="str">
        <f>FIXED(VLOOKUP($A41,'Full Sample-Single Family'!$A:$R,J$1,0),2)</f>
        <v>1.00</v>
      </c>
      <c r="K41" s="23">
        <f>VLOOKUP($A41,'Full Sample-Single Family'!$A:$R,K$1,0)</f>
        <v>1E-4</v>
      </c>
      <c r="L41" s="3" t="str">
        <f>FIXED(VLOOKUP($A41,'Full Sample-Single Family'!$A:$R,L$1,0),2)</f>
        <v>0.01</v>
      </c>
      <c r="M41" s="3" t="str">
        <f>FIXED(VLOOKUP($A41,'Full Sample-No Sub'!$A:$R,M$1,0),2)</f>
        <v>0.00</v>
      </c>
      <c r="N41" s="13" t="str">
        <f>FIXED(VLOOKUP($A41,'Full Sample-No Sub'!$A:$R,N$1,0),2)</f>
        <v>1.00</v>
      </c>
      <c r="O41" s="23">
        <f>VLOOKUP($A41,'Small Sample 1-Single Family'!$A:$R,O$1,0)</f>
        <v>2.0000000000000001E-4</v>
      </c>
      <c r="P41" s="3" t="str">
        <f>FIXED(VLOOKUP($A41,'Small Sample 1-Single Family'!$A:$R,P$1,0),2)</f>
        <v>0.01</v>
      </c>
      <c r="Q41" s="3" t="str">
        <f>FIXED(VLOOKUP($A41,'Small Sample 1-Single Family'!$A:$R,Q$1,0),2)</f>
        <v>0.00</v>
      </c>
      <c r="R41" s="3" t="str">
        <f>FIXED(VLOOKUP($A41,'Small Sample 1-Single Family'!$A:$R,R$1,0),2)</f>
        <v>1.00</v>
      </c>
      <c r="S41" s="23">
        <f>VLOOKUP($A41,'Small Sample 1-Single Family'!$A:$R,S$1,0)</f>
        <v>6.7000000000000004E-2</v>
      </c>
      <c r="T41" s="3" t="str">
        <f>FIXED(VLOOKUP($A41,'Small Sample 1-Single Family'!$A:$R,T$1,0),2)</f>
        <v>0.25</v>
      </c>
      <c r="U41" s="3" t="str">
        <f>FIXED(VLOOKUP($A41,'Small Sample 1-Single Family'!$A:$R,U$1,0),2)</f>
        <v>0.00</v>
      </c>
      <c r="V41" s="13" t="str">
        <f>FIXED(VLOOKUP($A41,'Small Sample 1-Single Family'!$A:$R,V$1,0),2)</f>
        <v>1.00</v>
      </c>
      <c r="W41" s="23">
        <f>VLOOKUP($A41,'Small Sample 1-Single Family'!$A:$R,W$1,0)</f>
        <v>1E-4</v>
      </c>
      <c r="X41" s="3" t="str">
        <f>FIXED(VLOOKUP($A41,'Small Sample 1-Single Family'!$A:$R,X$1,0),2)</f>
        <v>0.01</v>
      </c>
      <c r="Y41" s="3" t="str">
        <f>FIXED(VLOOKUP($A41,'Small Sample 1-No Sub'!$A:$R,Y$1,0),2)</f>
        <v>0.00</v>
      </c>
      <c r="Z41" s="3" t="str">
        <f>FIXED(VLOOKUP($A41,'Small Sample 1-No Sub'!$A:$R,Z$1,0),2)</f>
        <v>1.00</v>
      </c>
      <c r="AA41" s="23">
        <f>VLOOKUP($A41,'Small Sample 2-Single Family'!$A:$R,AA$1,0)</f>
        <v>2.0000000000000001E-4</v>
      </c>
      <c r="AB41" s="3" t="str">
        <f>FIXED(VLOOKUP($A41,'Small Sample 2-Single Family'!$A:$R,AB$1,0),2)</f>
        <v>0.01</v>
      </c>
      <c r="AC41" s="3" t="str">
        <f>FIXED(VLOOKUP($A41,'Small Sample 2-Single Family'!$A:$R,AC$1,0),2)</f>
        <v>0.00</v>
      </c>
      <c r="AD41" s="3" t="str">
        <f>FIXED(VLOOKUP($A41,'Small Sample 2-Single Family'!$A:$R,AD$1,0),2)</f>
        <v>1.00</v>
      </c>
      <c r="AE41" s="23">
        <f>VLOOKUP($A41,'Small Sample 2-Single Family'!$A:$R,AE$1,0)</f>
        <v>2.0000000000000001E-4</v>
      </c>
      <c r="AF41" s="3" t="str">
        <f>FIXED(VLOOKUP($A41,'Small Sample 2-Single Family'!$A:$R,AF$1,0),2)</f>
        <v>0.01</v>
      </c>
      <c r="AG41" s="3" t="str">
        <f>FIXED(VLOOKUP($A41,'Small Sample 2-Single Family'!$A:$R,AG$1,0),2)</f>
        <v>0.00</v>
      </c>
      <c r="AH41" s="13" t="str">
        <f>FIXED(VLOOKUP($A41,'Small Sample 2-Single Family'!$A:$R,AH$1,0),2)</f>
        <v>1.00</v>
      </c>
      <c r="AI41" s="23">
        <f>VLOOKUP($A41,'Small Sample 2-Single Family'!$A:$R,AI$1,0)</f>
        <v>1E-4</v>
      </c>
      <c r="AJ41" s="3" t="str">
        <f>FIXED(VLOOKUP($A41,'Small Sample 2-Single Family'!$A:$R,AJ$1,0),2)</f>
        <v>0.01</v>
      </c>
      <c r="AK41" s="3" t="e" vm="1">
        <f>FIXED(VLOOKUP($A41,'Full Sample-Townhouse'!$A:$R,AK$1,0),2)</f>
        <v>#VALUE!</v>
      </c>
      <c r="AL41" s="3" t="e" vm="1">
        <f>FIXED(VLOOKUP($A41,'Full Sample-Townhouse'!$A:$R,AL$1,0),2)</f>
        <v>#VALUE!</v>
      </c>
    </row>
    <row r="42" spans="1:38" x14ac:dyDescent="0.25">
      <c r="A42" t="s">
        <v>65</v>
      </c>
      <c r="B42" s="4" t="s">
        <v>140</v>
      </c>
      <c r="C42" s="9" t="str">
        <f>FIXED(VLOOKUP($A42,'Full Sample-Single Family'!$A:$R,C$1,0),2)</f>
        <v>0.08</v>
      </c>
      <c r="D42" s="3" t="str">
        <f>FIXED(VLOOKUP($A42,'Full Sample-Single Family'!$A:$R,D$1,0),2)</f>
        <v>0.27</v>
      </c>
      <c r="E42" s="3" t="str">
        <f>FIXED(VLOOKUP($A42,'Full Sample-Single Family'!$A:$R,E$1,0),2)</f>
        <v>0.00</v>
      </c>
      <c r="F42" s="3" t="str">
        <f>FIXED(VLOOKUP($A42,'Full Sample-Single Family'!$A:$R,F$1,0),2)</f>
        <v>1.00</v>
      </c>
      <c r="G42" s="9" t="str">
        <f>FIXED(VLOOKUP($A42,'Full Sample-Single Family'!$A:$R,G$1,0),2)</f>
        <v>0.08</v>
      </c>
      <c r="H42" s="3" t="str">
        <f>FIXED(VLOOKUP($A42,'Full Sample-Single Family'!$A:$R,H$1,0),2)</f>
        <v>0.27</v>
      </c>
      <c r="I42" s="3" t="str">
        <f>FIXED(VLOOKUP($A42,'Full Sample-Single Family'!$A:$R,I$1,0),2)</f>
        <v>0.00</v>
      </c>
      <c r="J42" s="13" t="str">
        <f>FIXED(VLOOKUP($A42,'Full Sample-Single Family'!$A:$R,J$1,0),2)</f>
        <v>1.00</v>
      </c>
      <c r="K42" s="9" t="str">
        <f>FIXED(VLOOKUP($A42,'Full Sample-Single Family'!$A:$R,K$1,0),2)</f>
        <v>0.07</v>
      </c>
      <c r="L42" s="3" t="str">
        <f>FIXED(VLOOKUP($A42,'Full Sample-Single Family'!$A:$R,L$1,0),2)</f>
        <v>0.26</v>
      </c>
      <c r="M42" s="3" t="str">
        <f>FIXED(VLOOKUP($A42,'Full Sample-No Sub'!$A:$R,M$1,0),2)</f>
        <v>0.00</v>
      </c>
      <c r="N42" s="13" t="str">
        <f>FIXED(VLOOKUP($A42,'Full Sample-No Sub'!$A:$R,N$1,0),2)</f>
        <v>1.00</v>
      </c>
      <c r="O42" s="9" t="str">
        <f>FIXED(VLOOKUP($A42,'Small Sample 1-Single Family'!$A:$R,O$1,0),2)</f>
        <v>0.07</v>
      </c>
      <c r="P42" s="3" t="str">
        <f>FIXED(VLOOKUP($A42,'Small Sample 1-Single Family'!$A:$R,P$1,0),2)</f>
        <v>0.25</v>
      </c>
      <c r="Q42" s="3" t="str">
        <f>FIXED(VLOOKUP($A42,'Small Sample 1-Single Family'!$A:$R,Q$1,0),2)</f>
        <v>0.00</v>
      </c>
      <c r="R42" s="3" t="str">
        <f>FIXED(VLOOKUP($A42,'Small Sample 1-Single Family'!$A:$R,R$1,0),2)</f>
        <v>1.00</v>
      </c>
      <c r="S42" s="9" t="str">
        <f>FIXED(VLOOKUP($A42,'Small Sample 1-Single Family'!$A:$R,S$1,0),2)</f>
        <v>0.02</v>
      </c>
      <c r="T42" s="3" t="str">
        <f>FIXED(VLOOKUP($A42,'Small Sample 1-Single Family'!$A:$R,T$1,0),2)</f>
        <v>0.13</v>
      </c>
      <c r="U42" s="3" t="str">
        <f>FIXED(VLOOKUP($A42,'Small Sample 1-Single Family'!$A:$R,U$1,0),2)</f>
        <v>0.00</v>
      </c>
      <c r="V42" s="13" t="str">
        <f>FIXED(VLOOKUP($A42,'Small Sample 1-Single Family'!$A:$R,V$1,0),2)</f>
        <v>1.00</v>
      </c>
      <c r="W42" s="9" t="str">
        <f>FIXED(VLOOKUP($A42,'Small Sample 1-Single Family'!$A:$R,W$1,0),2)</f>
        <v>0.07</v>
      </c>
      <c r="X42" s="3" t="str">
        <f>FIXED(VLOOKUP($A42,'Small Sample 1-Single Family'!$A:$R,X$1,0),2)</f>
        <v>0.26</v>
      </c>
      <c r="Y42" s="3" t="str">
        <f>FIXED(VLOOKUP($A42,'Small Sample 1-No Sub'!$A:$R,Y$1,0),2)</f>
        <v>0.00</v>
      </c>
      <c r="Z42" s="3" t="str">
        <f>FIXED(VLOOKUP($A42,'Small Sample 1-No Sub'!$A:$R,Z$1,0),2)</f>
        <v>1.00</v>
      </c>
      <c r="AA42" s="9" t="str">
        <f>FIXED(VLOOKUP($A42,'Small Sample 2-Single Family'!$A:$R,AA$1,0),2)</f>
        <v>0.07</v>
      </c>
      <c r="AB42" s="3" t="str">
        <f>FIXED(VLOOKUP($A42,'Small Sample 2-Single Family'!$A:$R,AB$1,0),2)</f>
        <v>0.25</v>
      </c>
      <c r="AC42" s="3" t="str">
        <f>FIXED(VLOOKUP($A42,'Small Sample 2-Single Family'!$A:$R,AC$1,0),2)</f>
        <v>0.00</v>
      </c>
      <c r="AD42" s="3" t="str">
        <f>FIXED(VLOOKUP($A42,'Small Sample 2-Single Family'!$A:$R,AD$1,0),2)</f>
        <v>1.00</v>
      </c>
      <c r="AE42" s="9" t="str">
        <f>FIXED(VLOOKUP($A42,'Small Sample 2-Single Family'!$A:$R,AE$1,0),2)</f>
        <v>0.08</v>
      </c>
      <c r="AF42" s="3" t="str">
        <f>FIXED(VLOOKUP($A42,'Small Sample 2-Single Family'!$A:$R,AF$1,0),2)</f>
        <v>0.27</v>
      </c>
      <c r="AG42" s="3" t="str">
        <f>FIXED(VLOOKUP($A42,'Small Sample 2-Single Family'!$A:$R,AG$1,0),2)</f>
        <v>0.00</v>
      </c>
      <c r="AH42" s="13" t="str">
        <f>FIXED(VLOOKUP($A42,'Small Sample 2-Single Family'!$A:$R,AH$1,0),2)</f>
        <v>1.00</v>
      </c>
      <c r="AI42" s="9" t="str">
        <f>FIXED(VLOOKUP($A42,'Small Sample 2-Single Family'!$A:$R,AI$1,0),2)</f>
        <v>0.06</v>
      </c>
      <c r="AJ42" s="3" t="str">
        <f>FIXED(VLOOKUP($A42,'Small Sample 2-Single Family'!$A:$R,AJ$1,0),2)</f>
        <v>0.23</v>
      </c>
      <c r="AK42" s="3" t="e" vm="1">
        <f>FIXED(VLOOKUP($A42,'Full Sample-Townhouse'!$A:$R,AK$1,0),2)</f>
        <v>#VALUE!</v>
      </c>
      <c r="AL42" s="3" t="e" vm="1">
        <f>FIXED(VLOOKUP($A42,'Full Sample-Townhouse'!$A:$R,AL$1,0),2)</f>
        <v>#VALUE!</v>
      </c>
    </row>
    <row r="43" spans="1:38" x14ac:dyDescent="0.25">
      <c r="A43" t="s">
        <v>66</v>
      </c>
      <c r="B43" s="4" t="s">
        <v>141</v>
      </c>
      <c r="C43" s="9" t="str">
        <f>FIXED(VLOOKUP($A43,'Full Sample-Single Family'!$A:$R,C$1,0),2)</f>
        <v>0.02</v>
      </c>
      <c r="D43" s="3" t="str">
        <f>FIXED(VLOOKUP($A43,'Full Sample-Single Family'!$A:$R,D$1,0),2)</f>
        <v>0.13</v>
      </c>
      <c r="E43" s="3" t="str">
        <f>FIXED(VLOOKUP($A43,'Full Sample-Single Family'!$A:$R,E$1,0),2)</f>
        <v>0.00</v>
      </c>
      <c r="F43" s="3" t="str">
        <f>FIXED(VLOOKUP($A43,'Full Sample-Single Family'!$A:$R,F$1,0),2)</f>
        <v>1.00</v>
      </c>
      <c r="G43" s="9" t="str">
        <f>FIXED(VLOOKUP($A43,'Full Sample-Single Family'!$A:$R,G$1,0),2)</f>
        <v>0.02</v>
      </c>
      <c r="H43" s="3" t="str">
        <f>FIXED(VLOOKUP($A43,'Full Sample-Single Family'!$A:$R,H$1,0),2)</f>
        <v>0.13</v>
      </c>
      <c r="I43" s="3" t="str">
        <f>FIXED(VLOOKUP($A43,'Full Sample-Single Family'!$A:$R,I$1,0),2)</f>
        <v>0.00</v>
      </c>
      <c r="J43" s="13" t="str">
        <f>FIXED(VLOOKUP($A43,'Full Sample-Single Family'!$A:$R,J$1,0),2)</f>
        <v>1.00</v>
      </c>
      <c r="K43" s="9" t="str">
        <f>FIXED(VLOOKUP($A43,'Full Sample-Single Family'!$A:$R,K$1,0),2)</f>
        <v>0.02</v>
      </c>
      <c r="L43" s="3" t="str">
        <f>FIXED(VLOOKUP($A43,'Full Sample-Single Family'!$A:$R,L$1,0),2)</f>
        <v>0.13</v>
      </c>
      <c r="M43" s="3" t="str">
        <f>FIXED(VLOOKUP($A43,'Full Sample-No Sub'!$A:$R,M$1,0),2)</f>
        <v>0.00</v>
      </c>
      <c r="N43" s="13" t="str">
        <f>FIXED(VLOOKUP($A43,'Full Sample-No Sub'!$A:$R,N$1,0),2)</f>
        <v>1.00</v>
      </c>
      <c r="O43" s="9" t="str">
        <f>FIXED(VLOOKUP($A43,'Small Sample 1-Single Family'!$A:$R,O$1,0),2)</f>
        <v>0.02</v>
      </c>
      <c r="P43" s="3" t="str">
        <f>FIXED(VLOOKUP($A43,'Small Sample 1-Single Family'!$A:$R,P$1,0),2)</f>
        <v>0.13</v>
      </c>
      <c r="Q43" s="3" t="str">
        <f>FIXED(VLOOKUP($A43,'Small Sample 1-Single Family'!$A:$R,Q$1,0),2)</f>
        <v>0.00</v>
      </c>
      <c r="R43" s="3" t="str">
        <f>FIXED(VLOOKUP($A43,'Small Sample 1-Single Family'!$A:$R,R$1,0),2)</f>
        <v>1.00</v>
      </c>
      <c r="S43" s="9" t="str">
        <f>FIXED(VLOOKUP($A43,'Small Sample 1-Single Family'!$A:$R,S$1,0),2)</f>
        <v>0.00</v>
      </c>
      <c r="T43" s="3" t="str">
        <f>FIXED(VLOOKUP($A43,'Small Sample 1-Single Family'!$A:$R,T$1,0),2)</f>
        <v>0.02</v>
      </c>
      <c r="U43" s="3" t="str">
        <f>FIXED(VLOOKUP($A43,'Small Sample 1-Single Family'!$A:$R,U$1,0),2)</f>
        <v>0.00</v>
      </c>
      <c r="V43" s="13" t="str">
        <f>FIXED(VLOOKUP($A43,'Small Sample 1-Single Family'!$A:$R,V$1,0),2)</f>
        <v>1.00</v>
      </c>
      <c r="W43" s="9" t="str">
        <f>FIXED(VLOOKUP($A43,'Small Sample 1-Single Family'!$A:$R,W$1,0),2)</f>
        <v>0.02</v>
      </c>
      <c r="X43" s="3" t="str">
        <f>FIXED(VLOOKUP($A43,'Small Sample 1-Single Family'!$A:$R,X$1,0),2)</f>
        <v>0.14</v>
      </c>
      <c r="Y43" s="3" t="str">
        <f>FIXED(VLOOKUP($A43,'Small Sample 1-No Sub'!$A:$R,Y$1,0),2)</f>
        <v>0.00</v>
      </c>
      <c r="Z43" s="3" t="str">
        <f>FIXED(VLOOKUP($A43,'Small Sample 1-No Sub'!$A:$R,Z$1,0),2)</f>
        <v>1.00</v>
      </c>
      <c r="AA43" s="9" t="str">
        <f>FIXED(VLOOKUP($A43,'Small Sample 2-Single Family'!$A:$R,AA$1,0),2)</f>
        <v>0.02</v>
      </c>
      <c r="AB43" s="3" t="str">
        <f>FIXED(VLOOKUP($A43,'Small Sample 2-Single Family'!$A:$R,AB$1,0),2)</f>
        <v>0.13</v>
      </c>
      <c r="AC43" s="3" t="str">
        <f>FIXED(VLOOKUP($A43,'Small Sample 2-Single Family'!$A:$R,AC$1,0),2)</f>
        <v>0.00</v>
      </c>
      <c r="AD43" s="3" t="str">
        <f>FIXED(VLOOKUP($A43,'Small Sample 2-Single Family'!$A:$R,AD$1,0),2)</f>
        <v>1.00</v>
      </c>
      <c r="AE43" s="9" t="str">
        <f>FIXED(VLOOKUP($A43,'Small Sample 2-Single Family'!$A:$R,AE$1,0),2)</f>
        <v>0.02</v>
      </c>
      <c r="AF43" s="3" t="str">
        <f>FIXED(VLOOKUP($A43,'Small Sample 2-Single Family'!$A:$R,AF$1,0),2)</f>
        <v>0.13</v>
      </c>
      <c r="AG43" s="3" t="str">
        <f>FIXED(VLOOKUP($A43,'Small Sample 2-Single Family'!$A:$R,AG$1,0),2)</f>
        <v>0.00</v>
      </c>
      <c r="AH43" s="13" t="str">
        <f>FIXED(VLOOKUP($A43,'Small Sample 2-Single Family'!$A:$R,AH$1,0),2)</f>
        <v>1.00</v>
      </c>
      <c r="AI43" s="9" t="str">
        <f>FIXED(VLOOKUP($A43,'Small Sample 2-Single Family'!$A:$R,AI$1,0),2)</f>
        <v>0.02</v>
      </c>
      <c r="AJ43" s="3" t="str">
        <f>FIXED(VLOOKUP($A43,'Small Sample 2-Single Family'!$A:$R,AJ$1,0),2)</f>
        <v>0.13</v>
      </c>
      <c r="AK43" s="3" t="e" vm="1">
        <f>FIXED(VLOOKUP($A43,'Full Sample-Townhouse'!$A:$R,AK$1,0),2)</f>
        <v>#VALUE!</v>
      </c>
      <c r="AL43" s="3" t="e" vm="1">
        <f>FIXED(VLOOKUP($A43,'Full Sample-Townhouse'!$A:$R,AL$1,0),2)</f>
        <v>#VALUE!</v>
      </c>
    </row>
    <row r="44" spans="1:38" x14ac:dyDescent="0.25">
      <c r="A44" t="s">
        <v>67</v>
      </c>
      <c r="B44" s="4" t="s">
        <v>142</v>
      </c>
      <c r="C44" s="9" t="str">
        <f>FIXED(VLOOKUP($A44,'Full Sample-Single Family'!$A:$R,C$1,0),2)</f>
        <v>0.00</v>
      </c>
      <c r="D44" s="3" t="str">
        <f>FIXED(VLOOKUP($A44,'Full Sample-Single Family'!$A:$R,D$1,0),2)</f>
        <v>0.02</v>
      </c>
      <c r="E44" s="3" t="str">
        <f>FIXED(VLOOKUP($A44,'Full Sample-Single Family'!$A:$R,E$1,0),2)</f>
        <v>0.00</v>
      </c>
      <c r="F44" s="3" t="str">
        <f>FIXED(VLOOKUP($A44,'Full Sample-Single Family'!$A:$R,F$1,0),2)</f>
        <v>1.00</v>
      </c>
      <c r="G44" s="9" t="str">
        <f>FIXED(VLOOKUP($A44,'Full Sample-Single Family'!$A:$R,G$1,0),2)</f>
        <v>0.00</v>
      </c>
      <c r="H44" s="3" t="str">
        <f>FIXED(VLOOKUP($A44,'Full Sample-Single Family'!$A:$R,H$1,0),2)</f>
        <v>0.02</v>
      </c>
      <c r="I44" s="3" t="str">
        <f>FIXED(VLOOKUP($A44,'Full Sample-Single Family'!$A:$R,I$1,0),2)</f>
        <v>0.00</v>
      </c>
      <c r="J44" s="13" t="str">
        <f>FIXED(VLOOKUP($A44,'Full Sample-Single Family'!$A:$R,J$1,0),2)</f>
        <v>1.00</v>
      </c>
      <c r="K44" s="9" t="str">
        <f>FIXED(VLOOKUP($A44,'Full Sample-Single Family'!$A:$R,K$1,0),2)</f>
        <v>0.00</v>
      </c>
      <c r="L44" s="3" t="str">
        <f>FIXED(VLOOKUP($A44,'Full Sample-Single Family'!$A:$R,L$1,0),2)</f>
        <v>0.02</v>
      </c>
      <c r="M44" s="3" t="str">
        <f>FIXED(VLOOKUP($A44,'Full Sample-No Sub'!$A:$R,M$1,0),2)</f>
        <v>0.00</v>
      </c>
      <c r="N44" s="13" t="str">
        <f>FIXED(VLOOKUP($A44,'Full Sample-No Sub'!$A:$R,N$1,0),2)</f>
        <v>1.00</v>
      </c>
      <c r="O44" s="9" t="str">
        <f>FIXED(VLOOKUP($A44,'Small Sample 1-Single Family'!$A:$R,O$1,0),2)</f>
        <v>0.00</v>
      </c>
      <c r="P44" s="3" t="str">
        <f>FIXED(VLOOKUP($A44,'Small Sample 1-Single Family'!$A:$R,P$1,0),2)</f>
        <v>0.02</v>
      </c>
      <c r="Q44" s="3" t="str">
        <f>FIXED(VLOOKUP($A44,'Small Sample 1-Single Family'!$A:$R,Q$1,0),2)</f>
        <v>0.00</v>
      </c>
      <c r="R44" s="3" t="str">
        <f>FIXED(VLOOKUP($A44,'Small Sample 1-Single Family'!$A:$R,R$1,0),2)</f>
        <v>1.00</v>
      </c>
      <c r="S44" s="9" t="str">
        <f>FIXED(VLOOKUP($A44,'Small Sample 1-Single Family'!$A:$R,S$1,0),2)</f>
        <v>0.01</v>
      </c>
      <c r="T44" s="3" t="str">
        <f>FIXED(VLOOKUP($A44,'Small Sample 1-Single Family'!$A:$R,T$1,0),2)</f>
        <v>0.12</v>
      </c>
      <c r="U44" s="3" t="str">
        <f>FIXED(VLOOKUP($A44,'Small Sample 1-Single Family'!$A:$R,U$1,0),2)</f>
        <v>0.00</v>
      </c>
      <c r="V44" s="13" t="str">
        <f>FIXED(VLOOKUP($A44,'Small Sample 1-Single Family'!$A:$R,V$1,0),2)</f>
        <v>1.00</v>
      </c>
      <c r="W44" s="9" t="str">
        <f>FIXED(VLOOKUP($A44,'Small Sample 1-Single Family'!$A:$R,W$1,0),2)</f>
        <v>0.00</v>
      </c>
      <c r="X44" s="3" t="str">
        <f>FIXED(VLOOKUP($A44,'Small Sample 1-Single Family'!$A:$R,X$1,0),2)</f>
        <v>0.02</v>
      </c>
      <c r="Y44" s="3" t="str">
        <f>FIXED(VLOOKUP($A44,'Small Sample 1-No Sub'!$A:$R,Y$1,0),2)</f>
        <v>0.00</v>
      </c>
      <c r="Z44" s="3" t="str">
        <f>FIXED(VLOOKUP($A44,'Small Sample 1-No Sub'!$A:$R,Z$1,0),2)</f>
        <v>1.00</v>
      </c>
      <c r="AA44" s="9" t="str">
        <f>FIXED(VLOOKUP($A44,'Small Sample 2-Single Family'!$A:$R,AA$1,0),2)</f>
        <v>0.00</v>
      </c>
      <c r="AB44" s="3" t="str">
        <f>FIXED(VLOOKUP($A44,'Small Sample 2-Single Family'!$A:$R,AB$1,0),2)</f>
        <v>0.02</v>
      </c>
      <c r="AC44" s="3" t="str">
        <f>FIXED(VLOOKUP($A44,'Small Sample 2-Single Family'!$A:$R,AC$1,0),2)</f>
        <v>0.00</v>
      </c>
      <c r="AD44" s="3" t="str">
        <f>FIXED(VLOOKUP($A44,'Small Sample 2-Single Family'!$A:$R,AD$1,0),2)</f>
        <v>1.00</v>
      </c>
      <c r="AE44" s="9" t="str">
        <f>FIXED(VLOOKUP($A44,'Small Sample 2-Single Family'!$A:$R,AE$1,0),2)</f>
        <v>0.00</v>
      </c>
      <c r="AF44" s="3" t="str">
        <f>FIXED(VLOOKUP($A44,'Small Sample 2-Single Family'!$A:$R,AF$1,0),2)</f>
        <v>0.02</v>
      </c>
      <c r="AG44" s="3" t="str">
        <f>FIXED(VLOOKUP($A44,'Small Sample 2-Single Family'!$A:$R,AG$1,0),2)</f>
        <v>0.00</v>
      </c>
      <c r="AH44" s="13" t="str">
        <f>FIXED(VLOOKUP($A44,'Small Sample 2-Single Family'!$A:$R,AH$1,0),2)</f>
        <v>1.00</v>
      </c>
      <c r="AI44" s="9" t="str">
        <f>FIXED(VLOOKUP($A44,'Small Sample 2-Single Family'!$A:$R,AI$1,0),2)</f>
        <v>0.00</v>
      </c>
      <c r="AJ44" s="3" t="str">
        <f>FIXED(VLOOKUP($A44,'Small Sample 2-Single Family'!$A:$R,AJ$1,0),2)</f>
        <v>0.02</v>
      </c>
      <c r="AK44" s="3" t="e" vm="1">
        <f>FIXED(VLOOKUP($A44,'Full Sample-Townhouse'!$A:$R,AK$1,0),2)</f>
        <v>#VALUE!</v>
      </c>
      <c r="AL44" s="3" t="e" vm="1">
        <f>FIXED(VLOOKUP($A44,'Full Sample-Townhouse'!$A:$R,AL$1,0),2)</f>
        <v>#VALUE!</v>
      </c>
    </row>
    <row r="45" spans="1:38" x14ac:dyDescent="0.25">
      <c r="A45" t="s">
        <v>68</v>
      </c>
      <c r="B45" s="4" t="s">
        <v>143</v>
      </c>
      <c r="C45" s="9" t="str">
        <f>FIXED(VLOOKUP($A45,'Full Sample-Single Family'!$A:$R,C$1,0),2)</f>
        <v>0.01</v>
      </c>
      <c r="D45" s="3" t="str">
        <f>FIXED(VLOOKUP($A45,'Full Sample-Single Family'!$A:$R,D$1,0),2)</f>
        <v>0.12</v>
      </c>
      <c r="E45" s="3" t="str">
        <f>FIXED(VLOOKUP($A45,'Full Sample-Single Family'!$A:$R,E$1,0),2)</f>
        <v>0.00</v>
      </c>
      <c r="F45" s="3" t="str">
        <f>FIXED(VLOOKUP($A45,'Full Sample-Single Family'!$A:$R,F$1,0),2)</f>
        <v>1.00</v>
      </c>
      <c r="G45" s="9" t="str">
        <f>FIXED(VLOOKUP($A45,'Full Sample-Single Family'!$A:$R,G$1,0),2)</f>
        <v>0.01</v>
      </c>
      <c r="H45" s="3" t="str">
        <f>FIXED(VLOOKUP($A45,'Full Sample-Single Family'!$A:$R,H$1,0),2)</f>
        <v>0.12</v>
      </c>
      <c r="I45" s="3" t="str">
        <f>FIXED(VLOOKUP($A45,'Full Sample-Single Family'!$A:$R,I$1,0),2)</f>
        <v>0.00</v>
      </c>
      <c r="J45" s="13" t="str">
        <f>FIXED(VLOOKUP($A45,'Full Sample-Single Family'!$A:$R,J$1,0),2)</f>
        <v>1.00</v>
      </c>
      <c r="K45" s="9" t="str">
        <f>FIXED(VLOOKUP($A45,'Full Sample-Single Family'!$A:$R,K$1,0),2)</f>
        <v>0.01</v>
      </c>
      <c r="L45" s="3" t="str">
        <f>FIXED(VLOOKUP($A45,'Full Sample-Single Family'!$A:$R,L$1,0),2)</f>
        <v>0.12</v>
      </c>
      <c r="M45" s="3" t="str">
        <f>FIXED(VLOOKUP($A45,'Full Sample-No Sub'!$A:$R,M$1,0),2)</f>
        <v>0.00</v>
      </c>
      <c r="N45" s="13" t="str">
        <f>FIXED(VLOOKUP($A45,'Full Sample-No Sub'!$A:$R,N$1,0),2)</f>
        <v>1.00</v>
      </c>
      <c r="O45" s="9" t="str">
        <f>FIXED(VLOOKUP($A45,'Small Sample 1-Single Family'!$A:$R,O$1,0),2)</f>
        <v>0.01</v>
      </c>
      <c r="P45" s="3" t="str">
        <f>FIXED(VLOOKUP($A45,'Small Sample 1-Single Family'!$A:$R,P$1,0),2)</f>
        <v>0.12</v>
      </c>
      <c r="Q45" s="3" t="str">
        <f>FIXED(VLOOKUP($A45,'Small Sample 1-Single Family'!$A:$R,Q$1,0),2)</f>
        <v>0.00</v>
      </c>
      <c r="R45" s="3" t="str">
        <f>FIXED(VLOOKUP($A45,'Small Sample 1-Single Family'!$A:$R,R$1,0),2)</f>
        <v>1.00</v>
      </c>
      <c r="S45" s="9" t="str">
        <f>FIXED(VLOOKUP($A45,'Small Sample 1-Single Family'!$A:$R,S$1,0),2)</f>
        <v>0.00</v>
      </c>
      <c r="T45" s="3" t="str">
        <f>FIXED(VLOOKUP($A45,'Small Sample 1-Single Family'!$A:$R,T$1,0),2)</f>
        <v>0.00</v>
      </c>
      <c r="U45" s="3" t="str">
        <f>FIXED(VLOOKUP($A45,'Small Sample 1-Single Family'!$A:$R,U$1,0),2)</f>
        <v>0.00</v>
      </c>
      <c r="V45" s="13" t="str">
        <f>FIXED(VLOOKUP($A45,'Small Sample 1-Single Family'!$A:$R,V$1,0),2)</f>
        <v>0.00</v>
      </c>
      <c r="W45" s="9" t="str">
        <f>FIXED(VLOOKUP($A45,'Small Sample 1-Single Family'!$A:$R,W$1,0),2)</f>
        <v>0.01</v>
      </c>
      <c r="X45" s="3" t="str">
        <f>FIXED(VLOOKUP($A45,'Small Sample 1-Single Family'!$A:$R,X$1,0),2)</f>
        <v>0.12</v>
      </c>
      <c r="Y45" s="3" t="str">
        <f>FIXED(VLOOKUP($A45,'Small Sample 1-No Sub'!$A:$R,Y$1,0),2)</f>
        <v>0.00</v>
      </c>
      <c r="Z45" s="3" t="str">
        <f>FIXED(VLOOKUP($A45,'Small Sample 1-No Sub'!$A:$R,Z$1,0),2)</f>
        <v>1.00</v>
      </c>
      <c r="AA45" s="9" t="str">
        <f>FIXED(VLOOKUP($A45,'Small Sample 2-Single Family'!$A:$R,AA$1,0),2)</f>
        <v>0.01</v>
      </c>
      <c r="AB45" s="3" t="str">
        <f>FIXED(VLOOKUP($A45,'Small Sample 2-Single Family'!$A:$R,AB$1,0),2)</f>
        <v>0.12</v>
      </c>
      <c r="AC45" s="3" t="str">
        <f>FIXED(VLOOKUP($A45,'Small Sample 2-Single Family'!$A:$R,AC$1,0),2)</f>
        <v>0.00</v>
      </c>
      <c r="AD45" s="3" t="str">
        <f>FIXED(VLOOKUP($A45,'Small Sample 2-Single Family'!$A:$R,AD$1,0),2)</f>
        <v>1.00</v>
      </c>
      <c r="AE45" s="9" t="str">
        <f>FIXED(VLOOKUP($A45,'Small Sample 2-Single Family'!$A:$R,AE$1,0),2)</f>
        <v>0.01</v>
      </c>
      <c r="AF45" s="3" t="str">
        <f>FIXED(VLOOKUP($A45,'Small Sample 2-Single Family'!$A:$R,AF$1,0),2)</f>
        <v>0.12</v>
      </c>
      <c r="AG45" s="3" t="str">
        <f>FIXED(VLOOKUP($A45,'Small Sample 2-Single Family'!$A:$R,AG$1,0),2)</f>
        <v>0.00</v>
      </c>
      <c r="AH45" s="13" t="str">
        <f>FIXED(VLOOKUP($A45,'Small Sample 2-Single Family'!$A:$R,AH$1,0),2)</f>
        <v>1.00</v>
      </c>
      <c r="AI45" s="9" t="str">
        <f>FIXED(VLOOKUP($A45,'Small Sample 2-Single Family'!$A:$R,AI$1,0),2)</f>
        <v>0.02</v>
      </c>
      <c r="AJ45" s="3" t="str">
        <f>FIXED(VLOOKUP($A45,'Small Sample 2-Single Family'!$A:$R,AJ$1,0),2)</f>
        <v>0.12</v>
      </c>
      <c r="AK45" s="3" t="e" vm="1">
        <f>FIXED(VLOOKUP($A45,'Full Sample-Townhouse'!$A:$R,AK$1,0),2)</f>
        <v>#VALUE!</v>
      </c>
      <c r="AL45" s="3" t="e" vm="1">
        <f>FIXED(VLOOKUP($A45,'Full Sample-Townhouse'!$A:$R,AL$1,0),2)</f>
        <v>#VALUE!</v>
      </c>
    </row>
    <row r="46" spans="1:38" x14ac:dyDescent="0.25">
      <c r="A46" t="s">
        <v>69</v>
      </c>
      <c r="B46" s="4" t="s">
        <v>144</v>
      </c>
      <c r="C46" s="9" t="str">
        <f>FIXED(VLOOKUP($A46,'Full Sample-Single Family'!$A:$R,C$1,0),2)</f>
        <v>0.00</v>
      </c>
      <c r="D46" s="3" t="str">
        <f>FIXED(VLOOKUP($A46,'Full Sample-Single Family'!$A:$R,D$1,0),2)</f>
        <v>0.01</v>
      </c>
      <c r="E46" s="3" t="str">
        <f>FIXED(VLOOKUP($A46,'Full Sample-Single Family'!$A:$R,E$1,0),2)</f>
        <v>0.00</v>
      </c>
      <c r="F46" s="3" t="str">
        <f>FIXED(VLOOKUP($A46,'Full Sample-Single Family'!$A:$R,F$1,0),2)</f>
        <v>1.00</v>
      </c>
      <c r="G46" s="9" t="str">
        <f>FIXED(VLOOKUP($A46,'Full Sample-Single Family'!$A:$R,G$1,0),2)</f>
        <v>0.00</v>
      </c>
      <c r="H46" s="3" t="str">
        <f>FIXED(VLOOKUP($A46,'Full Sample-Single Family'!$A:$R,H$1,0),2)</f>
        <v>0.00</v>
      </c>
      <c r="I46" s="3" t="str">
        <f>FIXED(VLOOKUP($A46,'Full Sample-Single Family'!$A:$R,I$1,0),2)</f>
        <v>0.00</v>
      </c>
      <c r="J46" s="13" t="str">
        <f>FIXED(VLOOKUP($A46,'Full Sample-Single Family'!$A:$R,J$1,0),2)</f>
        <v>0.00</v>
      </c>
      <c r="K46" s="9" t="str">
        <f>FIXED(VLOOKUP($A46,'Full Sample-Single Family'!$A:$R,K$1,0),2)</f>
        <v>0.00</v>
      </c>
      <c r="L46" s="3" t="str">
        <f>FIXED(VLOOKUP($A46,'Full Sample-Single Family'!$A:$R,L$1,0),2)</f>
        <v>0.02</v>
      </c>
      <c r="M46" s="3" t="str">
        <f>FIXED(VLOOKUP($A46,'Full Sample-No Sub'!$A:$R,M$1,0),2)</f>
        <v>0.00</v>
      </c>
      <c r="N46" s="13" t="str">
        <f>FIXED(VLOOKUP($A46,'Full Sample-No Sub'!$A:$R,N$1,0),2)</f>
        <v>1.00</v>
      </c>
      <c r="O46" s="9" t="str">
        <f>FIXED(VLOOKUP($A46,'Small Sample 1-Single Family'!$A:$R,O$1,0),2)</f>
        <v>0.00</v>
      </c>
      <c r="P46" s="3" t="str">
        <f>FIXED(VLOOKUP($A46,'Small Sample 1-Single Family'!$A:$R,P$1,0),2)</f>
        <v>0.01</v>
      </c>
      <c r="Q46" s="3" t="str">
        <f>FIXED(VLOOKUP($A46,'Small Sample 1-Single Family'!$A:$R,Q$1,0),2)</f>
        <v>0.00</v>
      </c>
      <c r="R46" s="3" t="str">
        <f>FIXED(VLOOKUP($A46,'Small Sample 1-Single Family'!$A:$R,R$1,0),2)</f>
        <v>1.00</v>
      </c>
      <c r="S46" s="9" t="str">
        <f>FIXED(VLOOKUP($A46,'Small Sample 1-Single Family'!$A:$R,S$1,0),2)</f>
        <v>0.22</v>
      </c>
      <c r="T46" s="3" t="str">
        <f>FIXED(VLOOKUP($A46,'Small Sample 1-Single Family'!$A:$R,T$1,0),2)</f>
        <v>0.41</v>
      </c>
      <c r="U46" s="3" t="str">
        <f>FIXED(VLOOKUP($A46,'Small Sample 1-Single Family'!$A:$R,U$1,0),2)</f>
        <v>0.00</v>
      </c>
      <c r="V46" s="13" t="str">
        <f>FIXED(VLOOKUP($A46,'Small Sample 1-Single Family'!$A:$R,V$1,0),2)</f>
        <v>1.00</v>
      </c>
      <c r="W46" s="9" t="str">
        <f>FIXED(VLOOKUP($A46,'Small Sample 1-Single Family'!$A:$R,W$1,0),2)</f>
        <v>0.00</v>
      </c>
      <c r="X46" s="3" t="str">
        <f>FIXED(VLOOKUP($A46,'Small Sample 1-Single Family'!$A:$R,X$1,0),2)</f>
        <v>0.02</v>
      </c>
      <c r="Y46" s="3" t="str">
        <f>FIXED(VLOOKUP($A46,'Small Sample 1-No Sub'!$A:$R,Y$1,0),2)</f>
        <v>0.00</v>
      </c>
      <c r="Z46" s="3" t="str">
        <f>FIXED(VLOOKUP($A46,'Small Sample 1-No Sub'!$A:$R,Z$1,0),2)</f>
        <v>1.00</v>
      </c>
      <c r="AA46" s="9" t="str">
        <f>FIXED(VLOOKUP($A46,'Small Sample 2-Single Family'!$A:$R,AA$1,0),2)</f>
        <v>0.00</v>
      </c>
      <c r="AB46" s="3" t="str">
        <f>FIXED(VLOOKUP($A46,'Small Sample 2-Single Family'!$A:$R,AB$1,0),2)</f>
        <v>0.01</v>
      </c>
      <c r="AC46" s="3" t="str">
        <f>FIXED(VLOOKUP($A46,'Small Sample 2-Single Family'!$A:$R,AC$1,0),2)</f>
        <v>0.00</v>
      </c>
      <c r="AD46" s="3" t="str">
        <f>FIXED(VLOOKUP($A46,'Small Sample 2-Single Family'!$A:$R,AD$1,0),2)</f>
        <v>1.00</v>
      </c>
      <c r="AE46" s="9" t="str">
        <f>FIXED(VLOOKUP($A46,'Small Sample 2-Single Family'!$A:$R,AE$1,0),2)</f>
        <v>0.00</v>
      </c>
      <c r="AF46" s="3" t="str">
        <f>FIXED(VLOOKUP($A46,'Small Sample 2-Single Family'!$A:$R,AF$1,0),2)</f>
        <v>0.00</v>
      </c>
      <c r="AG46" s="3" t="str">
        <f>FIXED(VLOOKUP($A46,'Small Sample 2-Single Family'!$A:$R,AG$1,0),2)</f>
        <v>0.00</v>
      </c>
      <c r="AH46" s="13" t="str">
        <f>FIXED(VLOOKUP($A46,'Small Sample 2-Single Family'!$A:$R,AH$1,0),2)</f>
        <v>0.00</v>
      </c>
      <c r="AI46" s="9" t="str">
        <f>FIXED(VLOOKUP($A46,'Small Sample 2-Single Family'!$A:$R,AI$1,0),2)</f>
        <v>0.00</v>
      </c>
      <c r="AJ46" s="3" t="str">
        <f>FIXED(VLOOKUP($A46,'Small Sample 2-Single Family'!$A:$R,AJ$1,0),2)</f>
        <v>0.02</v>
      </c>
      <c r="AK46" s="3" t="e" vm="1">
        <f>FIXED(VLOOKUP($A46,'Full Sample-Townhouse'!$A:$R,AK$1,0),2)</f>
        <v>#VALUE!</v>
      </c>
      <c r="AL46" s="3" t="e" vm="1">
        <f>FIXED(VLOOKUP($A46,'Full Sample-Townhouse'!$A:$R,AL$1,0),2)</f>
        <v>#VALUE!</v>
      </c>
    </row>
    <row r="47" spans="1:38" x14ac:dyDescent="0.25">
      <c r="A47" t="s">
        <v>50</v>
      </c>
      <c r="B47" s="4" t="s">
        <v>130</v>
      </c>
      <c r="C47" s="9" t="str">
        <f>FIXED(VLOOKUP($A47,'Full Sample-Single Family'!$A:$R,C$1,0),2)</f>
        <v>24.80</v>
      </c>
      <c r="D47" s="3" t="str">
        <f>FIXED(VLOOKUP($A47,'Full Sample-Single Family'!$A:$R,D$1,0),2)</f>
        <v>52.43</v>
      </c>
      <c r="E47" s="3" t="str">
        <f>FIXED(VLOOKUP($A47,'Full Sample-Single Family'!$A:$R,E$1,0),2)</f>
        <v>0.00</v>
      </c>
      <c r="F47" s="3" t="str">
        <f>FIXED(VLOOKUP($A47,'Full Sample-Single Family'!$A:$R,F$1,0),2)</f>
        <v>667.00</v>
      </c>
      <c r="G47" s="9" t="str">
        <f>FIXED(VLOOKUP($A47,'Full Sample-Single Family'!$A:$R,G$1,0),2)</f>
        <v>24.94</v>
      </c>
      <c r="H47" s="3" t="str">
        <f>FIXED(VLOOKUP($A47,'Full Sample-Single Family'!$A:$R,H$1,0),2)</f>
        <v>50.92</v>
      </c>
      <c r="I47" s="3" t="str">
        <f>FIXED(VLOOKUP($A47,'Full Sample-Single Family'!$A:$R,I$1,0),2)</f>
        <v>0.00</v>
      </c>
      <c r="J47" s="13" t="str">
        <f>FIXED(VLOOKUP($A47,'Full Sample-Single Family'!$A:$R,J$1,0),2)</f>
        <v>667.00</v>
      </c>
      <c r="K47" s="9" t="str">
        <f>FIXED(VLOOKUP($A47,'Full Sample-Single Family'!$A:$R,K$1,0),2)</f>
        <v>24.62</v>
      </c>
      <c r="L47" s="3" t="str">
        <f>FIXED(VLOOKUP($A47,'Full Sample-Single Family'!$A:$R,L$1,0),2)</f>
        <v>54.44</v>
      </c>
      <c r="M47" s="3" t="str">
        <f>FIXED(VLOOKUP($A47,'Full Sample-No Sub'!$A:$R,M$1,0),2)</f>
        <v>0.00</v>
      </c>
      <c r="N47" s="13" t="str">
        <f>FIXED(VLOOKUP($A47,'Full Sample-No Sub'!$A:$R,N$1,0),2)</f>
        <v>1,000.00</v>
      </c>
      <c r="O47" s="9" t="str">
        <f>FIXED(VLOOKUP($A47,'Small Sample 1-Single Family'!$A:$R,O$1,0),2)</f>
        <v>23.51</v>
      </c>
      <c r="P47" s="3" t="str">
        <f>FIXED(VLOOKUP($A47,'Small Sample 1-Single Family'!$A:$R,P$1,0),2)</f>
        <v>52.05</v>
      </c>
      <c r="Q47" s="3" t="str">
        <f>FIXED(VLOOKUP($A47,'Small Sample 1-Single Family'!$A:$R,Q$1,0),2)</f>
        <v>0.00</v>
      </c>
      <c r="R47" s="3" t="str">
        <f>FIXED(VLOOKUP($A47,'Small Sample 1-Single Family'!$A:$R,R$1,0),2)</f>
        <v>667.00</v>
      </c>
      <c r="S47" s="9" t="str">
        <f>FIXED(VLOOKUP($A47,'Small Sample 1-Single Family'!$A:$R,S$1,0),2)</f>
        <v>0.00</v>
      </c>
      <c r="T47" s="3" t="str">
        <f>FIXED(VLOOKUP($A47,'Small Sample 1-Single Family'!$A:$R,T$1,0),2)</f>
        <v>0.00</v>
      </c>
      <c r="U47" s="3" t="str">
        <f>FIXED(VLOOKUP($A47,'Small Sample 1-Single Family'!$A:$R,U$1,0),2)</f>
        <v>0.00</v>
      </c>
      <c r="V47" s="13" t="str">
        <f>FIXED(VLOOKUP($A47,'Small Sample 1-Single Family'!$A:$R,V$1,0),2)</f>
        <v>0.00</v>
      </c>
      <c r="W47" s="9" t="str">
        <f>FIXED(VLOOKUP($A47,'Small Sample 1-Single Family'!$A:$R,W$1,0),2)</f>
        <v>24.47</v>
      </c>
      <c r="X47" s="3" t="str">
        <f>FIXED(VLOOKUP($A47,'Small Sample 1-Single Family'!$A:$R,X$1,0),2)</f>
        <v>54.20</v>
      </c>
      <c r="Y47" s="3" t="str">
        <f>FIXED(VLOOKUP($A47,'Small Sample 1-No Sub'!$A:$R,Y$1,0),2)</f>
        <v>0.00</v>
      </c>
      <c r="Z47" s="3" t="str">
        <f>FIXED(VLOOKUP($A47,'Small Sample 1-No Sub'!$A:$R,Z$1,0),2)</f>
        <v>1,000.00</v>
      </c>
      <c r="AA47" s="9" t="str">
        <f>FIXED(VLOOKUP($A47,'Small Sample 2-Single Family'!$A:$R,AA$1,0),2)</f>
        <v>23.17</v>
      </c>
      <c r="AB47" s="3" t="str">
        <f>FIXED(VLOOKUP($A47,'Small Sample 2-Single Family'!$A:$R,AB$1,0),2)</f>
        <v>51.19</v>
      </c>
      <c r="AC47" s="3" t="str">
        <f>FIXED(VLOOKUP($A47,'Small Sample 2-Single Family'!$A:$R,AC$1,0),2)</f>
        <v>0.00</v>
      </c>
      <c r="AD47" s="3" t="str">
        <f>FIXED(VLOOKUP($A47,'Small Sample 2-Single Family'!$A:$R,AD$1,0),2)</f>
        <v>667.00</v>
      </c>
      <c r="AE47" s="9" t="str">
        <f>FIXED(VLOOKUP($A47,'Small Sample 2-Single Family'!$A:$R,AE$1,0),2)</f>
        <v>24.55</v>
      </c>
      <c r="AF47" s="3" t="str">
        <f>FIXED(VLOOKUP($A47,'Small Sample 2-Single Family'!$A:$R,AF$1,0),2)</f>
        <v>51.05</v>
      </c>
      <c r="AG47" s="3" t="str">
        <f>FIXED(VLOOKUP($A47,'Small Sample 2-Single Family'!$A:$R,AG$1,0),2)</f>
        <v>0.00</v>
      </c>
      <c r="AH47" s="13" t="str">
        <f>FIXED(VLOOKUP($A47,'Small Sample 2-Single Family'!$A:$R,AH$1,0),2)</f>
        <v>667.00</v>
      </c>
      <c r="AI47" s="9" t="str">
        <f>FIXED(VLOOKUP($A47,'Small Sample 2-Single Family'!$A:$R,AI$1,0),2)</f>
        <v>20.85</v>
      </c>
      <c r="AJ47" s="3" t="str">
        <f>FIXED(VLOOKUP($A47,'Small Sample 2-Single Family'!$A:$R,AJ$1,0),2)</f>
        <v>51.35</v>
      </c>
      <c r="AK47" s="3" t="e" vm="1">
        <f>FIXED(VLOOKUP($A47,'Full Sample-Townhouse'!$A:$R,AK$1,0),2)</f>
        <v>#VALUE!</v>
      </c>
      <c r="AL47" s="3" t="e" vm="1">
        <f>FIXED(VLOOKUP($A47,'Full Sample-Townhouse'!$A:$R,AL$1,0),2)</f>
        <v>#VALUE!</v>
      </c>
    </row>
    <row r="48" spans="1:38" x14ac:dyDescent="0.25">
      <c r="A48" t="s">
        <v>74</v>
      </c>
      <c r="B48" s="4" t="s">
        <v>150</v>
      </c>
      <c r="C48" s="9" t="str">
        <f>FIXED(VLOOKUP($A48,'Full Sample-Single Family'!$A:$R,C$1,0),2)</f>
        <v>0.00</v>
      </c>
      <c r="D48" s="3" t="str">
        <f>FIXED(VLOOKUP($A48,'Full Sample-Single Family'!$A:$R,D$1,0),2)</f>
        <v>0.06</v>
      </c>
      <c r="E48" s="3" t="str">
        <f>FIXED(VLOOKUP($A48,'Full Sample-Single Family'!$A:$R,E$1,0),2)</f>
        <v>0.00</v>
      </c>
      <c r="F48" s="3" t="str">
        <f>FIXED(VLOOKUP($A48,'Full Sample-Single Family'!$A:$R,F$1,0),2)</f>
        <v>1.00</v>
      </c>
      <c r="G48" s="9" t="str">
        <f>FIXED(VLOOKUP($A48,'Full Sample-Single Family'!$A:$R,G$1,0),2)</f>
        <v>0.00</v>
      </c>
      <c r="H48" s="3" t="str">
        <f>FIXED(VLOOKUP($A48,'Full Sample-Single Family'!$A:$R,H$1,0),2)</f>
        <v>0.07</v>
      </c>
      <c r="I48" s="3" t="str">
        <f>FIXED(VLOOKUP($A48,'Full Sample-Single Family'!$A:$R,I$1,0),2)</f>
        <v>0.00</v>
      </c>
      <c r="J48" s="13" t="str">
        <f>FIXED(VLOOKUP($A48,'Full Sample-Single Family'!$A:$R,J$1,0),2)</f>
        <v>1.00</v>
      </c>
      <c r="K48" s="9" t="str">
        <f>FIXED(VLOOKUP($A48,'Full Sample-Single Family'!$A:$R,K$1,0),2)</f>
        <v>0.00</v>
      </c>
      <c r="L48" s="3" t="str">
        <f>FIXED(VLOOKUP($A48,'Full Sample-Single Family'!$A:$R,L$1,0),2)</f>
        <v>0.06</v>
      </c>
      <c r="M48" s="3" t="str">
        <f>FIXED(VLOOKUP($A48,'Full Sample-No Sub'!$A:$R,M$1,0),2)</f>
        <v>0.00</v>
      </c>
      <c r="N48" s="13" t="str">
        <f>FIXED(VLOOKUP($A48,'Full Sample-No Sub'!$A:$R,N$1,0),2)</f>
        <v>1.00</v>
      </c>
      <c r="O48" s="9" t="str">
        <f>FIXED(VLOOKUP($A48,'Small Sample 1-Single Family'!$A:$R,O$1,0),2)</f>
        <v>0.00</v>
      </c>
      <c r="P48" s="3" t="str">
        <f>FIXED(VLOOKUP($A48,'Small Sample 1-Single Family'!$A:$R,P$1,0),2)</f>
        <v>0.06</v>
      </c>
      <c r="Q48" s="3" t="str">
        <f>FIXED(VLOOKUP($A48,'Small Sample 1-Single Family'!$A:$R,Q$1,0),2)</f>
        <v>0.00</v>
      </c>
      <c r="R48" s="3" t="str">
        <f>FIXED(VLOOKUP($A48,'Small Sample 1-Single Family'!$A:$R,R$1,0),2)</f>
        <v>1.00</v>
      </c>
      <c r="S48" s="9" t="str">
        <f>FIXED(VLOOKUP($A48,'Small Sample 1-Single Family'!$A:$R,S$1,0),2)</f>
        <v>0.04</v>
      </c>
      <c r="T48" s="3" t="str">
        <f>FIXED(VLOOKUP($A48,'Small Sample 1-Single Family'!$A:$R,T$1,0),2)</f>
        <v>0.19</v>
      </c>
      <c r="U48" s="3" t="str">
        <f>FIXED(VLOOKUP($A48,'Small Sample 1-Single Family'!$A:$R,U$1,0),2)</f>
        <v>0.00</v>
      </c>
      <c r="V48" s="13" t="str">
        <f>FIXED(VLOOKUP($A48,'Small Sample 1-Single Family'!$A:$R,V$1,0),2)</f>
        <v>1.00</v>
      </c>
      <c r="W48" s="9" t="str">
        <f>FIXED(VLOOKUP($A48,'Small Sample 1-Single Family'!$A:$R,W$1,0),2)</f>
        <v>0.00</v>
      </c>
      <c r="X48" s="3" t="str">
        <f>FIXED(VLOOKUP($A48,'Small Sample 1-Single Family'!$A:$R,X$1,0),2)</f>
        <v>0.06</v>
      </c>
      <c r="Y48" s="3" t="str">
        <f>FIXED(VLOOKUP($A48,'Small Sample 1-No Sub'!$A:$R,Y$1,0),2)</f>
        <v>0.00</v>
      </c>
      <c r="Z48" s="3" t="str">
        <f>FIXED(VLOOKUP($A48,'Small Sample 1-No Sub'!$A:$R,Z$1,0),2)</f>
        <v>1.00</v>
      </c>
      <c r="AA48" s="9" t="str">
        <f>FIXED(VLOOKUP($A48,'Small Sample 2-Single Family'!$A:$R,AA$1,0),2)</f>
        <v>0.00</v>
      </c>
      <c r="AB48" s="3" t="str">
        <f>FIXED(VLOOKUP($A48,'Small Sample 2-Single Family'!$A:$R,AB$1,0),2)</f>
        <v>0.07</v>
      </c>
      <c r="AC48" s="3" t="str">
        <f>FIXED(VLOOKUP($A48,'Small Sample 2-Single Family'!$A:$R,AC$1,0),2)</f>
        <v>0.00</v>
      </c>
      <c r="AD48" s="3" t="str">
        <f>FIXED(VLOOKUP($A48,'Small Sample 2-Single Family'!$A:$R,AD$1,0),2)</f>
        <v>1.00</v>
      </c>
      <c r="AE48" s="9" t="str">
        <f>FIXED(VLOOKUP($A48,'Small Sample 2-Single Family'!$A:$R,AE$1,0),2)</f>
        <v>0.00</v>
      </c>
      <c r="AF48" s="3" t="str">
        <f>FIXED(VLOOKUP($A48,'Small Sample 2-Single Family'!$A:$R,AF$1,0),2)</f>
        <v>0.07</v>
      </c>
      <c r="AG48" s="3" t="str">
        <f>FIXED(VLOOKUP($A48,'Small Sample 2-Single Family'!$A:$R,AG$1,0),2)</f>
        <v>0.00</v>
      </c>
      <c r="AH48" s="13" t="str">
        <f>FIXED(VLOOKUP($A48,'Small Sample 2-Single Family'!$A:$R,AH$1,0),2)</f>
        <v>1.00</v>
      </c>
      <c r="AI48" s="9" t="str">
        <f>FIXED(VLOOKUP($A48,'Small Sample 2-Single Family'!$A:$R,AI$1,0),2)</f>
        <v>0.00</v>
      </c>
      <c r="AJ48" s="3" t="str">
        <f>FIXED(VLOOKUP($A48,'Small Sample 2-Single Family'!$A:$R,AJ$1,0),2)</f>
        <v>0.06</v>
      </c>
      <c r="AK48" s="3" t="e" vm="1">
        <f>FIXED(VLOOKUP($A48,'Full Sample-Townhouse'!$A:$R,AK$1,0),2)</f>
        <v>#VALUE!</v>
      </c>
      <c r="AL48" s="3" t="e" vm="1">
        <f>FIXED(VLOOKUP($A48,'Full Sample-Townhouse'!$A:$R,AL$1,0),2)</f>
        <v>#VALUE!</v>
      </c>
    </row>
    <row r="49" spans="1:73" x14ac:dyDescent="0.25">
      <c r="A49" t="s">
        <v>75</v>
      </c>
      <c r="B49" s="4" t="s">
        <v>151</v>
      </c>
      <c r="C49" s="9" t="str">
        <f>FIXED(VLOOKUP($A49,'Full Sample-Single Family'!$A:$R,C$1,0),2)</f>
        <v>0.03</v>
      </c>
      <c r="D49" s="3" t="str">
        <f>FIXED(VLOOKUP($A49,'Full Sample-Single Family'!$A:$R,D$1,0),2)</f>
        <v>0.18</v>
      </c>
      <c r="E49" s="3" t="str">
        <f>FIXED(VLOOKUP($A49,'Full Sample-Single Family'!$A:$R,E$1,0),2)</f>
        <v>0.00</v>
      </c>
      <c r="F49" s="3" t="str">
        <f>FIXED(VLOOKUP($A49,'Full Sample-Single Family'!$A:$R,F$1,0),2)</f>
        <v>1.00</v>
      </c>
      <c r="G49" s="9" t="str">
        <f>FIXED(VLOOKUP($A49,'Full Sample-Single Family'!$A:$R,G$1,0),2)</f>
        <v>0.04</v>
      </c>
      <c r="H49" s="3" t="str">
        <f>FIXED(VLOOKUP($A49,'Full Sample-Single Family'!$A:$R,H$1,0),2)</f>
        <v>0.19</v>
      </c>
      <c r="I49" s="3" t="str">
        <f>FIXED(VLOOKUP($A49,'Full Sample-Single Family'!$A:$R,I$1,0),2)</f>
        <v>0.00</v>
      </c>
      <c r="J49" s="13" t="str">
        <f>FIXED(VLOOKUP($A49,'Full Sample-Single Family'!$A:$R,J$1,0),2)</f>
        <v>1.00</v>
      </c>
      <c r="K49" s="9" t="str">
        <f>FIXED(VLOOKUP($A49,'Full Sample-Single Family'!$A:$R,K$1,0),2)</f>
        <v>0.03</v>
      </c>
      <c r="L49" s="3" t="str">
        <f>FIXED(VLOOKUP($A49,'Full Sample-Single Family'!$A:$R,L$1,0),2)</f>
        <v>0.16</v>
      </c>
      <c r="M49" s="3" t="str">
        <f>FIXED(VLOOKUP($A49,'Full Sample-No Sub'!$A:$R,M$1,0),2)</f>
        <v>0.00</v>
      </c>
      <c r="N49" s="13" t="str">
        <f>FIXED(VLOOKUP($A49,'Full Sample-No Sub'!$A:$R,N$1,0),2)</f>
        <v>1.00</v>
      </c>
      <c r="O49" s="9" t="str">
        <f>FIXED(VLOOKUP($A49,'Small Sample 1-Single Family'!$A:$R,O$1,0),2)</f>
        <v>0.03</v>
      </c>
      <c r="P49" s="3" t="str">
        <f>FIXED(VLOOKUP($A49,'Small Sample 1-Single Family'!$A:$R,P$1,0),2)</f>
        <v>0.18</v>
      </c>
      <c r="Q49" s="3" t="str">
        <f>FIXED(VLOOKUP($A49,'Small Sample 1-Single Family'!$A:$R,Q$1,0),2)</f>
        <v>0.00</v>
      </c>
      <c r="R49" s="3" t="str">
        <f>FIXED(VLOOKUP($A49,'Small Sample 1-Single Family'!$A:$R,R$1,0),2)</f>
        <v>1.00</v>
      </c>
      <c r="S49" s="9" t="str">
        <f>FIXED(VLOOKUP($A49,'Small Sample 1-Single Family'!$A:$R,S$1,0),2)</f>
        <v>0.53</v>
      </c>
      <c r="T49" s="3" t="str">
        <f>FIXED(VLOOKUP($A49,'Small Sample 1-Single Family'!$A:$R,T$1,0),2)</f>
        <v>0.50</v>
      </c>
      <c r="U49" s="3" t="str">
        <f>FIXED(VLOOKUP($A49,'Small Sample 1-Single Family'!$A:$R,U$1,0),2)</f>
        <v>0.00</v>
      </c>
      <c r="V49" s="13" t="str">
        <f>FIXED(VLOOKUP($A49,'Small Sample 1-Single Family'!$A:$R,V$1,0),2)</f>
        <v>1.00</v>
      </c>
      <c r="W49" s="9" t="str">
        <f>FIXED(VLOOKUP($A49,'Small Sample 1-Single Family'!$A:$R,W$1,0),2)</f>
        <v>0.03</v>
      </c>
      <c r="X49" s="3" t="str">
        <f>FIXED(VLOOKUP($A49,'Small Sample 1-Single Family'!$A:$R,X$1,0),2)</f>
        <v>0.16</v>
      </c>
      <c r="Y49" s="3" t="str">
        <f>FIXED(VLOOKUP($A49,'Small Sample 1-No Sub'!$A:$R,Y$1,0),2)</f>
        <v>0.00</v>
      </c>
      <c r="Z49" s="3" t="str">
        <f>FIXED(VLOOKUP($A49,'Small Sample 1-No Sub'!$A:$R,Z$1,0),2)</f>
        <v>1.00</v>
      </c>
      <c r="AA49" s="9" t="str">
        <f>FIXED(VLOOKUP($A49,'Small Sample 2-Single Family'!$A:$R,AA$1,0),2)</f>
        <v>0.03</v>
      </c>
      <c r="AB49" s="3" t="str">
        <f>FIXED(VLOOKUP($A49,'Small Sample 2-Single Family'!$A:$R,AB$1,0),2)</f>
        <v>0.18</v>
      </c>
      <c r="AC49" s="3" t="str">
        <f>FIXED(VLOOKUP($A49,'Small Sample 2-Single Family'!$A:$R,AC$1,0),2)</f>
        <v>0.00</v>
      </c>
      <c r="AD49" s="3" t="str">
        <f>FIXED(VLOOKUP($A49,'Small Sample 2-Single Family'!$A:$R,AD$1,0),2)</f>
        <v>1.00</v>
      </c>
      <c r="AE49" s="9" t="str">
        <f>FIXED(VLOOKUP($A49,'Small Sample 2-Single Family'!$A:$R,AE$1,0),2)</f>
        <v>0.04</v>
      </c>
      <c r="AF49" s="3" t="str">
        <f>FIXED(VLOOKUP($A49,'Small Sample 2-Single Family'!$A:$R,AF$1,0),2)</f>
        <v>0.19</v>
      </c>
      <c r="AG49" s="3" t="str">
        <f>FIXED(VLOOKUP($A49,'Small Sample 2-Single Family'!$A:$R,AG$1,0),2)</f>
        <v>0.00</v>
      </c>
      <c r="AH49" s="13" t="str">
        <f>FIXED(VLOOKUP($A49,'Small Sample 2-Single Family'!$A:$R,AH$1,0),2)</f>
        <v>1.00</v>
      </c>
      <c r="AI49" s="9" t="str">
        <f>FIXED(VLOOKUP($A49,'Small Sample 2-Single Family'!$A:$R,AI$1,0),2)</f>
        <v>0.03</v>
      </c>
      <c r="AJ49" s="3" t="str">
        <f>FIXED(VLOOKUP($A49,'Small Sample 2-Single Family'!$A:$R,AJ$1,0),2)</f>
        <v>0.17</v>
      </c>
      <c r="AK49" s="3" t="e" vm="1">
        <f>FIXED(VLOOKUP($A49,'Full Sample-Townhouse'!$A:$R,AK$1,0),2)</f>
        <v>#VALUE!</v>
      </c>
      <c r="AL49" s="3" t="e" vm="1">
        <f>FIXED(VLOOKUP($A49,'Full Sample-Townhouse'!$A:$R,AL$1,0),2)</f>
        <v>#VALUE!</v>
      </c>
    </row>
    <row r="50" spans="1:73" x14ac:dyDescent="0.25">
      <c r="A50" t="s">
        <v>76</v>
      </c>
      <c r="B50" s="4" t="s">
        <v>152</v>
      </c>
      <c r="C50" s="9" t="str">
        <f>FIXED(VLOOKUP($A50,'Full Sample-Single Family'!$A:$R,C$1,0),2)</f>
        <v>0.51</v>
      </c>
      <c r="D50" s="3" t="str">
        <f>FIXED(VLOOKUP($A50,'Full Sample-Single Family'!$A:$R,D$1,0),2)</f>
        <v>0.50</v>
      </c>
      <c r="E50" s="3" t="str">
        <f>FIXED(VLOOKUP($A50,'Full Sample-Single Family'!$A:$R,E$1,0),2)</f>
        <v>0.00</v>
      </c>
      <c r="F50" s="3" t="str">
        <f>FIXED(VLOOKUP($A50,'Full Sample-Single Family'!$A:$R,F$1,0),2)</f>
        <v>1.00</v>
      </c>
      <c r="G50" s="9" t="str">
        <f>FIXED(VLOOKUP($A50,'Full Sample-Single Family'!$A:$R,G$1,0),2)</f>
        <v>0.54</v>
      </c>
      <c r="H50" s="3" t="str">
        <f>FIXED(VLOOKUP($A50,'Full Sample-Single Family'!$A:$R,H$1,0),2)</f>
        <v>0.50</v>
      </c>
      <c r="I50" s="3" t="str">
        <f>FIXED(VLOOKUP($A50,'Full Sample-Single Family'!$A:$R,I$1,0),2)</f>
        <v>0.00</v>
      </c>
      <c r="J50" s="13" t="str">
        <f>FIXED(VLOOKUP($A50,'Full Sample-Single Family'!$A:$R,J$1,0),2)</f>
        <v>1.00</v>
      </c>
      <c r="K50" s="9" t="str">
        <f>FIXED(VLOOKUP($A50,'Full Sample-Single Family'!$A:$R,K$1,0),2)</f>
        <v>0.47</v>
      </c>
      <c r="L50" s="3" t="str">
        <f>FIXED(VLOOKUP($A50,'Full Sample-Single Family'!$A:$R,L$1,0),2)</f>
        <v>0.50</v>
      </c>
      <c r="M50" s="3" t="str">
        <f>FIXED(VLOOKUP($A50,'Full Sample-No Sub'!$A:$R,M$1,0),2)</f>
        <v>0.00</v>
      </c>
      <c r="N50" s="13" t="str">
        <f>FIXED(VLOOKUP($A50,'Full Sample-No Sub'!$A:$R,N$1,0),2)</f>
        <v>1.00</v>
      </c>
      <c r="O50" s="9" t="str">
        <f>FIXED(VLOOKUP($A50,'Small Sample 1-Single Family'!$A:$R,O$1,0),2)</f>
        <v>0.50</v>
      </c>
      <c r="P50" s="3" t="str">
        <f>FIXED(VLOOKUP($A50,'Small Sample 1-Single Family'!$A:$R,P$1,0),2)</f>
        <v>0.50</v>
      </c>
      <c r="Q50" s="3" t="str">
        <f>FIXED(VLOOKUP($A50,'Small Sample 1-Single Family'!$A:$R,Q$1,0),2)</f>
        <v>0.00</v>
      </c>
      <c r="R50" s="3" t="str">
        <f>FIXED(VLOOKUP($A50,'Small Sample 1-Single Family'!$A:$R,R$1,0),2)</f>
        <v>1.00</v>
      </c>
      <c r="S50" s="9" t="str">
        <f>FIXED(VLOOKUP($A50,'Small Sample 1-Single Family'!$A:$R,S$1,0),2)</f>
        <v>0.12</v>
      </c>
      <c r="T50" s="3" t="str">
        <f>FIXED(VLOOKUP($A50,'Small Sample 1-Single Family'!$A:$R,T$1,0),2)</f>
        <v>0.32</v>
      </c>
      <c r="U50" s="3" t="str">
        <f>FIXED(VLOOKUP($A50,'Small Sample 1-Single Family'!$A:$R,U$1,0),2)</f>
        <v>0.00</v>
      </c>
      <c r="V50" s="13" t="str">
        <f>FIXED(VLOOKUP($A50,'Small Sample 1-Single Family'!$A:$R,V$1,0),2)</f>
        <v>1.00</v>
      </c>
      <c r="W50" s="9" t="str">
        <f>FIXED(VLOOKUP($A50,'Small Sample 1-Single Family'!$A:$R,W$1,0),2)</f>
        <v>0.47</v>
      </c>
      <c r="X50" s="3" t="str">
        <f>FIXED(VLOOKUP($A50,'Small Sample 1-Single Family'!$A:$R,X$1,0),2)</f>
        <v>0.50</v>
      </c>
      <c r="Y50" s="3" t="str">
        <f>FIXED(VLOOKUP($A50,'Small Sample 1-No Sub'!$A:$R,Y$1,0),2)</f>
        <v>0.00</v>
      </c>
      <c r="Z50" s="3" t="str">
        <f>FIXED(VLOOKUP($A50,'Small Sample 1-No Sub'!$A:$R,Z$1,0),2)</f>
        <v>1.00</v>
      </c>
      <c r="AA50" s="9" t="str">
        <f>FIXED(VLOOKUP($A50,'Small Sample 2-Single Family'!$A:$R,AA$1,0),2)</f>
        <v>0.52</v>
      </c>
      <c r="AB50" s="3" t="str">
        <f>FIXED(VLOOKUP($A50,'Small Sample 2-Single Family'!$A:$R,AB$1,0),2)</f>
        <v>0.50</v>
      </c>
      <c r="AC50" s="3" t="str">
        <f>FIXED(VLOOKUP($A50,'Small Sample 2-Single Family'!$A:$R,AC$1,0),2)</f>
        <v>0.00</v>
      </c>
      <c r="AD50" s="3" t="str">
        <f>FIXED(VLOOKUP($A50,'Small Sample 2-Single Family'!$A:$R,AD$1,0),2)</f>
        <v>1.00</v>
      </c>
      <c r="AE50" s="9" t="str">
        <f>FIXED(VLOOKUP($A50,'Small Sample 2-Single Family'!$A:$R,AE$1,0),2)</f>
        <v>0.54</v>
      </c>
      <c r="AF50" s="3" t="str">
        <f>FIXED(VLOOKUP($A50,'Small Sample 2-Single Family'!$A:$R,AF$1,0),2)</f>
        <v>0.50</v>
      </c>
      <c r="AG50" s="3" t="str">
        <f>FIXED(VLOOKUP($A50,'Small Sample 2-Single Family'!$A:$R,AG$1,0),2)</f>
        <v>0.00</v>
      </c>
      <c r="AH50" s="13" t="str">
        <f>FIXED(VLOOKUP($A50,'Small Sample 2-Single Family'!$A:$R,AH$1,0),2)</f>
        <v>1.00</v>
      </c>
      <c r="AI50" s="9" t="str">
        <f>FIXED(VLOOKUP($A50,'Small Sample 2-Single Family'!$A:$R,AI$1,0),2)</f>
        <v>0.47</v>
      </c>
      <c r="AJ50" s="3" t="str">
        <f>FIXED(VLOOKUP($A50,'Small Sample 2-Single Family'!$A:$R,AJ$1,0),2)</f>
        <v>0.50</v>
      </c>
      <c r="AK50" s="3" t="e" vm="1">
        <f>FIXED(VLOOKUP($A50,'Full Sample-Townhouse'!$A:$R,AK$1,0),2)</f>
        <v>#VALUE!</v>
      </c>
      <c r="AL50" s="3" t="e" vm="1">
        <f>FIXED(VLOOKUP($A50,'Full Sample-Townhouse'!$A:$R,AL$1,0),2)</f>
        <v>#VALUE!</v>
      </c>
    </row>
    <row r="51" spans="1:73" x14ac:dyDescent="0.25">
      <c r="A51" t="s">
        <v>77</v>
      </c>
      <c r="B51" s="4" t="s">
        <v>153</v>
      </c>
      <c r="C51" s="9" t="str">
        <f>FIXED(VLOOKUP($A51,'Full Sample-Single Family'!$A:$R,C$1,0),2)</f>
        <v>0.12</v>
      </c>
      <c r="D51" s="3" t="str">
        <f>FIXED(VLOOKUP($A51,'Full Sample-Single Family'!$A:$R,D$1,0),2)</f>
        <v>0.33</v>
      </c>
      <c r="E51" s="3" t="str">
        <f>FIXED(VLOOKUP($A51,'Full Sample-Single Family'!$A:$R,E$1,0),2)</f>
        <v>0.00</v>
      </c>
      <c r="F51" s="3" t="str">
        <f>FIXED(VLOOKUP($A51,'Full Sample-Single Family'!$A:$R,F$1,0),2)</f>
        <v>1.00</v>
      </c>
      <c r="G51" s="9" t="str">
        <f>FIXED(VLOOKUP($A51,'Full Sample-Single Family'!$A:$R,G$1,0),2)</f>
        <v>0.12</v>
      </c>
      <c r="H51" s="3" t="str">
        <f>FIXED(VLOOKUP($A51,'Full Sample-Single Family'!$A:$R,H$1,0),2)</f>
        <v>0.32</v>
      </c>
      <c r="I51" s="3" t="str">
        <f>FIXED(VLOOKUP($A51,'Full Sample-Single Family'!$A:$R,I$1,0),2)</f>
        <v>0.00</v>
      </c>
      <c r="J51" s="13" t="str">
        <f>FIXED(VLOOKUP($A51,'Full Sample-Single Family'!$A:$R,J$1,0),2)</f>
        <v>1.00</v>
      </c>
      <c r="K51" s="9" t="str">
        <f>FIXED(VLOOKUP($A51,'Full Sample-Single Family'!$A:$R,K$1,0),2)</f>
        <v>0.13</v>
      </c>
      <c r="L51" s="3" t="str">
        <f>FIXED(VLOOKUP($A51,'Full Sample-Single Family'!$A:$R,L$1,0),2)</f>
        <v>0.34</v>
      </c>
      <c r="M51" s="3" t="str">
        <f>FIXED(VLOOKUP($A51,'Full Sample-No Sub'!$A:$R,M$1,0),2)</f>
        <v>0.00</v>
      </c>
      <c r="N51" s="13" t="str">
        <f>FIXED(VLOOKUP($A51,'Full Sample-No Sub'!$A:$R,N$1,0),2)</f>
        <v>1.00</v>
      </c>
      <c r="O51" s="9" t="str">
        <f>FIXED(VLOOKUP($A51,'Small Sample 1-Single Family'!$A:$R,O$1,0),2)</f>
        <v>0.12</v>
      </c>
      <c r="P51" s="3" t="str">
        <f>FIXED(VLOOKUP($A51,'Small Sample 1-Single Family'!$A:$R,P$1,0),2)</f>
        <v>0.33</v>
      </c>
      <c r="Q51" s="3" t="str">
        <f>FIXED(VLOOKUP($A51,'Small Sample 1-Single Family'!$A:$R,Q$1,0),2)</f>
        <v>0.00</v>
      </c>
      <c r="R51" s="3" t="str">
        <f>FIXED(VLOOKUP($A51,'Small Sample 1-Single Family'!$A:$R,R$1,0),2)</f>
        <v>1.00</v>
      </c>
      <c r="S51" s="9" t="str">
        <f>FIXED(VLOOKUP($A51,'Small Sample 1-Single Family'!$A:$R,S$1,0),2)</f>
        <v>0.24</v>
      </c>
      <c r="T51" s="3" t="str">
        <f>FIXED(VLOOKUP($A51,'Small Sample 1-Single Family'!$A:$R,T$1,0),2)</f>
        <v>0.43</v>
      </c>
      <c r="U51" s="3" t="str">
        <f>FIXED(VLOOKUP($A51,'Small Sample 1-Single Family'!$A:$R,U$1,0),2)</f>
        <v>0.00</v>
      </c>
      <c r="V51" s="13" t="str">
        <f>FIXED(VLOOKUP($A51,'Small Sample 1-Single Family'!$A:$R,V$1,0),2)</f>
        <v>1.00</v>
      </c>
      <c r="W51" s="9" t="str">
        <f>FIXED(VLOOKUP($A51,'Small Sample 1-Single Family'!$A:$R,W$1,0),2)</f>
        <v>0.13</v>
      </c>
      <c r="X51" s="3" t="str">
        <f>FIXED(VLOOKUP($A51,'Small Sample 1-Single Family'!$A:$R,X$1,0),2)</f>
        <v>0.34</v>
      </c>
      <c r="Y51" s="3" t="str">
        <f>FIXED(VLOOKUP($A51,'Small Sample 1-No Sub'!$A:$R,Y$1,0),2)</f>
        <v>0.00</v>
      </c>
      <c r="Z51" s="3" t="str">
        <f>FIXED(VLOOKUP($A51,'Small Sample 1-No Sub'!$A:$R,Z$1,0),2)</f>
        <v>1.00</v>
      </c>
      <c r="AA51" s="9" t="str">
        <f>FIXED(VLOOKUP($A51,'Small Sample 2-Single Family'!$A:$R,AA$1,0),2)</f>
        <v>0.12</v>
      </c>
      <c r="AB51" s="3" t="str">
        <f>FIXED(VLOOKUP($A51,'Small Sample 2-Single Family'!$A:$R,AB$1,0),2)</f>
        <v>0.33</v>
      </c>
      <c r="AC51" s="3" t="str">
        <f>FIXED(VLOOKUP($A51,'Small Sample 2-Single Family'!$A:$R,AC$1,0),2)</f>
        <v>0.00</v>
      </c>
      <c r="AD51" s="3" t="str">
        <f>FIXED(VLOOKUP($A51,'Small Sample 2-Single Family'!$A:$R,AD$1,0),2)</f>
        <v>1.00</v>
      </c>
      <c r="AE51" s="9" t="str">
        <f>FIXED(VLOOKUP($A51,'Small Sample 2-Single Family'!$A:$R,AE$1,0),2)</f>
        <v>0.12</v>
      </c>
      <c r="AF51" s="3" t="str">
        <f>FIXED(VLOOKUP($A51,'Small Sample 2-Single Family'!$A:$R,AF$1,0),2)</f>
        <v>0.32</v>
      </c>
      <c r="AG51" s="3" t="str">
        <f>FIXED(VLOOKUP($A51,'Small Sample 2-Single Family'!$A:$R,AG$1,0),2)</f>
        <v>0.00</v>
      </c>
      <c r="AH51" s="13" t="str">
        <f>FIXED(VLOOKUP($A51,'Small Sample 2-Single Family'!$A:$R,AH$1,0),2)</f>
        <v>1.00</v>
      </c>
      <c r="AI51" s="9" t="str">
        <f>FIXED(VLOOKUP($A51,'Small Sample 2-Single Family'!$A:$R,AI$1,0),2)</f>
        <v>0.13</v>
      </c>
      <c r="AJ51" s="3" t="str">
        <f>FIXED(VLOOKUP($A51,'Small Sample 2-Single Family'!$A:$R,AJ$1,0),2)</f>
        <v>0.33</v>
      </c>
      <c r="AK51" s="3" t="e" vm="1">
        <f>FIXED(VLOOKUP($A51,'Full Sample-Townhouse'!$A:$R,AK$1,0),2)</f>
        <v>#VALUE!</v>
      </c>
      <c r="AL51" s="3" t="e" vm="1">
        <f>FIXED(VLOOKUP($A51,'Full Sample-Townhouse'!$A:$R,AL$1,0),2)</f>
        <v>#VALUE!</v>
      </c>
    </row>
    <row r="52" spans="1:73" x14ac:dyDescent="0.25">
      <c r="A52" t="s">
        <v>78</v>
      </c>
      <c r="B52" s="4" t="s">
        <v>154</v>
      </c>
      <c r="C52" s="9" t="str">
        <f>FIXED(VLOOKUP($A52,'Full Sample-Single Family'!$A:$R,C$1,0),2)</f>
        <v>0.25</v>
      </c>
      <c r="D52" s="3" t="str">
        <f>FIXED(VLOOKUP($A52,'Full Sample-Single Family'!$A:$R,D$1,0),2)</f>
        <v>0.43</v>
      </c>
      <c r="E52" s="3" t="str">
        <f>FIXED(VLOOKUP($A52,'Full Sample-Single Family'!$A:$R,E$1,0),2)</f>
        <v>0.00</v>
      </c>
      <c r="F52" s="3" t="str">
        <f>FIXED(VLOOKUP($A52,'Full Sample-Single Family'!$A:$R,F$1,0),2)</f>
        <v>1.00</v>
      </c>
      <c r="G52" s="9" t="str">
        <f>FIXED(VLOOKUP($A52,'Full Sample-Single Family'!$A:$R,G$1,0),2)</f>
        <v>0.24</v>
      </c>
      <c r="H52" s="3" t="str">
        <f>FIXED(VLOOKUP($A52,'Full Sample-Single Family'!$A:$R,H$1,0),2)</f>
        <v>0.42</v>
      </c>
      <c r="I52" s="3" t="str">
        <f>FIXED(VLOOKUP($A52,'Full Sample-Single Family'!$A:$R,I$1,0),2)</f>
        <v>0.00</v>
      </c>
      <c r="J52" s="13" t="str">
        <f>FIXED(VLOOKUP($A52,'Full Sample-Single Family'!$A:$R,J$1,0),2)</f>
        <v>1.00</v>
      </c>
      <c r="K52" s="9" t="str">
        <f>FIXED(VLOOKUP($A52,'Full Sample-Single Family'!$A:$R,K$1,0),2)</f>
        <v>0.28</v>
      </c>
      <c r="L52" s="3" t="str">
        <f>FIXED(VLOOKUP($A52,'Full Sample-Single Family'!$A:$R,L$1,0),2)</f>
        <v>0.45</v>
      </c>
      <c r="M52" s="3" t="str">
        <f>FIXED(VLOOKUP($A52,'Full Sample-No Sub'!$A:$R,M$1,0),2)</f>
        <v>0.00</v>
      </c>
      <c r="N52" s="13" t="str">
        <f>FIXED(VLOOKUP($A52,'Full Sample-No Sub'!$A:$R,N$1,0),2)</f>
        <v>1.00</v>
      </c>
      <c r="O52" s="9" t="str">
        <f>FIXED(VLOOKUP($A52,'Small Sample 1-Single Family'!$A:$R,O$1,0),2)</f>
        <v>0.26</v>
      </c>
      <c r="P52" s="3" t="str">
        <f>FIXED(VLOOKUP($A52,'Small Sample 1-Single Family'!$A:$R,P$1,0),2)</f>
        <v>0.44</v>
      </c>
      <c r="Q52" s="3" t="str">
        <f>FIXED(VLOOKUP($A52,'Small Sample 1-Single Family'!$A:$R,Q$1,0),2)</f>
        <v>0.00</v>
      </c>
      <c r="R52" s="3" t="str">
        <f>FIXED(VLOOKUP($A52,'Small Sample 1-Single Family'!$A:$R,R$1,0),2)</f>
        <v>1.00</v>
      </c>
      <c r="S52" s="9" t="str">
        <f>FIXED(VLOOKUP($A52,'Small Sample 1-Single Family'!$A:$R,S$1,0),2)</f>
        <v>0.07</v>
      </c>
      <c r="T52" s="3" t="str">
        <f>FIXED(VLOOKUP($A52,'Small Sample 1-Single Family'!$A:$R,T$1,0),2)</f>
        <v>0.26</v>
      </c>
      <c r="U52" s="3" t="str">
        <f>FIXED(VLOOKUP($A52,'Small Sample 1-Single Family'!$A:$R,U$1,0),2)</f>
        <v>0.00</v>
      </c>
      <c r="V52" s="13" t="str">
        <f>FIXED(VLOOKUP($A52,'Small Sample 1-Single Family'!$A:$R,V$1,0),2)</f>
        <v>1.00</v>
      </c>
      <c r="W52" s="9" t="str">
        <f>FIXED(VLOOKUP($A52,'Small Sample 1-Single Family'!$A:$R,W$1,0),2)</f>
        <v>0.28</v>
      </c>
      <c r="X52" s="3" t="str">
        <f>FIXED(VLOOKUP($A52,'Small Sample 1-Single Family'!$A:$R,X$1,0),2)</f>
        <v>0.45</v>
      </c>
      <c r="Y52" s="3" t="str">
        <f>FIXED(VLOOKUP($A52,'Small Sample 1-No Sub'!$A:$R,Y$1,0),2)</f>
        <v>0.00</v>
      </c>
      <c r="Z52" s="3" t="str">
        <f>FIXED(VLOOKUP($A52,'Small Sample 1-No Sub'!$A:$R,Z$1,0),2)</f>
        <v>1.00</v>
      </c>
      <c r="AA52" s="9" t="str">
        <f>FIXED(VLOOKUP($A52,'Small Sample 2-Single Family'!$A:$R,AA$1,0),2)</f>
        <v>0.25</v>
      </c>
      <c r="AB52" s="3" t="str">
        <f>FIXED(VLOOKUP($A52,'Small Sample 2-Single Family'!$A:$R,AB$1,0),2)</f>
        <v>0.43</v>
      </c>
      <c r="AC52" s="3" t="str">
        <f>FIXED(VLOOKUP($A52,'Small Sample 2-Single Family'!$A:$R,AC$1,0),2)</f>
        <v>0.00</v>
      </c>
      <c r="AD52" s="3" t="str">
        <f>FIXED(VLOOKUP($A52,'Small Sample 2-Single Family'!$A:$R,AD$1,0),2)</f>
        <v>1.00</v>
      </c>
      <c r="AE52" s="9" t="str">
        <f>FIXED(VLOOKUP($A52,'Small Sample 2-Single Family'!$A:$R,AE$1,0),2)</f>
        <v>0.23</v>
      </c>
      <c r="AF52" s="3" t="str">
        <f>FIXED(VLOOKUP($A52,'Small Sample 2-Single Family'!$A:$R,AF$1,0),2)</f>
        <v>0.42</v>
      </c>
      <c r="AG52" s="3" t="str">
        <f>FIXED(VLOOKUP($A52,'Small Sample 2-Single Family'!$A:$R,AG$1,0),2)</f>
        <v>0.00</v>
      </c>
      <c r="AH52" s="13" t="str">
        <f>FIXED(VLOOKUP($A52,'Small Sample 2-Single Family'!$A:$R,AH$1,0),2)</f>
        <v>1.00</v>
      </c>
      <c r="AI52" s="9" t="str">
        <f>FIXED(VLOOKUP($A52,'Small Sample 2-Single Family'!$A:$R,AI$1,0),2)</f>
        <v>0.27</v>
      </c>
      <c r="AJ52" s="3" t="str">
        <f>FIXED(VLOOKUP($A52,'Small Sample 2-Single Family'!$A:$R,AJ$1,0),2)</f>
        <v>0.44</v>
      </c>
      <c r="AK52" s="3" t="e" vm="1">
        <f>FIXED(VLOOKUP($A52,'Full Sample-Townhouse'!$A:$R,AK$1,0),2)</f>
        <v>#VALUE!</v>
      </c>
      <c r="AL52" s="3" t="e" vm="1">
        <f>FIXED(VLOOKUP($A52,'Full Sample-Townhouse'!$A:$R,AL$1,0),2)</f>
        <v>#VALUE!</v>
      </c>
    </row>
    <row r="53" spans="1:73" x14ac:dyDescent="0.25">
      <c r="A53" t="s">
        <v>170</v>
      </c>
      <c r="B53" s="4" t="s">
        <v>176</v>
      </c>
      <c r="C53" s="9" t="str">
        <f>FIXED(VLOOKUP($A53,'Full Sample-Single Family'!$A:$R,C$1,0),2)</f>
        <v>0.08</v>
      </c>
      <c r="D53" s="3" t="str">
        <f>FIXED(VLOOKUP($A53,'Full Sample-Single Family'!$A:$R,D$1,0),2)</f>
        <v>0.27</v>
      </c>
      <c r="E53" s="3" t="str">
        <f>FIXED(VLOOKUP($A53,'Full Sample-Single Family'!$A:$R,E$1,0),2)</f>
        <v>0.00</v>
      </c>
      <c r="F53" s="3" t="str">
        <f>FIXED(VLOOKUP($A53,'Full Sample-Single Family'!$A:$R,F$1,0),2)</f>
        <v>1.00</v>
      </c>
      <c r="G53" s="9" t="str">
        <f>FIXED(VLOOKUP($A53,'Full Sample-Single Family'!$A:$R,G$1,0),2)</f>
        <v>0.07</v>
      </c>
      <c r="H53" s="3" t="str">
        <f>FIXED(VLOOKUP($A53,'Full Sample-Single Family'!$A:$R,H$1,0),2)</f>
        <v>0.25</v>
      </c>
      <c r="I53" s="3" t="str">
        <f>FIXED(VLOOKUP($A53,'Full Sample-Single Family'!$A:$R,I$1,0),2)</f>
        <v>0.00</v>
      </c>
      <c r="J53" s="13" t="str">
        <f>FIXED(VLOOKUP($A53,'Full Sample-Single Family'!$A:$R,J$1,0),2)</f>
        <v>1.00</v>
      </c>
      <c r="K53" s="9" t="str">
        <f>FIXED(VLOOKUP($A53,'Full Sample-Single Family'!$A:$R,K$1,0),2)</f>
        <v>0.10</v>
      </c>
      <c r="L53" s="3" t="str">
        <f>FIXED(VLOOKUP($A53,'Full Sample-Single Family'!$A:$R,L$1,0),2)</f>
        <v>0.29</v>
      </c>
      <c r="M53" s="3" t="str">
        <f>FIXED(VLOOKUP($A53,'Full Sample-No Sub'!$A:$R,M$1,0),2)</f>
        <v>0.00</v>
      </c>
      <c r="N53" s="13" t="str">
        <f>FIXED(VLOOKUP($A53,'Full Sample-No Sub'!$A:$R,N$1,0),2)</f>
        <v>1.00</v>
      </c>
      <c r="O53" s="9" t="str">
        <f>FIXED(VLOOKUP($A53,'Small Sample 1-Single Family'!$A:$R,O$1,0),2)</f>
        <v>0.08</v>
      </c>
      <c r="P53" s="3" t="str">
        <f>FIXED(VLOOKUP($A53,'Small Sample 1-Single Family'!$A:$R,P$1,0),2)</f>
        <v>0.28</v>
      </c>
      <c r="Q53" s="3" t="str">
        <f>FIXED(VLOOKUP($A53,'Small Sample 1-Single Family'!$A:$R,Q$1,0),2)</f>
        <v>0.00</v>
      </c>
      <c r="R53" s="3" t="str">
        <f>FIXED(VLOOKUP($A53,'Small Sample 1-Single Family'!$A:$R,R$1,0),2)</f>
        <v>1.00</v>
      </c>
      <c r="S53" s="9" t="str">
        <f>FIXED(VLOOKUP($A53,'Small Sample 1-Single Family'!$A:$R,S$1,0),2)</f>
        <v>0.03</v>
      </c>
      <c r="T53" s="3" t="str">
        <f>FIXED(VLOOKUP($A53,'Small Sample 1-Single Family'!$A:$R,T$1,0),2)</f>
        <v>0.17</v>
      </c>
      <c r="U53" s="3" t="str">
        <f>FIXED(VLOOKUP($A53,'Small Sample 1-Single Family'!$A:$R,U$1,0),2)</f>
        <v>0.00</v>
      </c>
      <c r="V53" s="13" t="str">
        <f>FIXED(VLOOKUP($A53,'Small Sample 1-Single Family'!$A:$R,V$1,0),2)</f>
        <v>1.00</v>
      </c>
      <c r="W53" s="9" t="str">
        <f>FIXED(VLOOKUP($A53,'Small Sample 1-Single Family'!$A:$R,W$1,0),2)</f>
        <v>0.10</v>
      </c>
      <c r="X53" s="3" t="str">
        <f>FIXED(VLOOKUP($A53,'Small Sample 1-Single Family'!$A:$R,X$1,0),2)</f>
        <v>0.30</v>
      </c>
      <c r="Y53" s="3" t="str">
        <f>FIXED(VLOOKUP($A53,'Small Sample 1-No Sub'!$A:$R,Y$1,0),2)</f>
        <v>0.00</v>
      </c>
      <c r="Z53" s="3" t="str">
        <f>FIXED(VLOOKUP($A53,'Small Sample 1-No Sub'!$A:$R,Z$1,0),2)</f>
        <v>1.00</v>
      </c>
      <c r="AA53" s="9" t="str">
        <f>FIXED(VLOOKUP($A53,'Small Sample 2-Single Family'!$A:$R,AA$1,0),2)</f>
        <v>0.08</v>
      </c>
      <c r="AB53" s="3" t="str">
        <f>FIXED(VLOOKUP($A53,'Small Sample 2-Single Family'!$A:$R,AB$1,0),2)</f>
        <v>0.27</v>
      </c>
      <c r="AC53" s="3" t="str">
        <f>FIXED(VLOOKUP($A53,'Small Sample 2-Single Family'!$A:$R,AC$1,0),2)</f>
        <v>0.00</v>
      </c>
      <c r="AD53" s="3" t="str">
        <f>FIXED(VLOOKUP($A53,'Small Sample 2-Single Family'!$A:$R,AD$1,0),2)</f>
        <v>1.00</v>
      </c>
      <c r="AE53" s="9" t="str">
        <f>FIXED(VLOOKUP($A53,'Small Sample 2-Single Family'!$A:$R,AE$1,0),2)</f>
        <v>0.07</v>
      </c>
      <c r="AF53" s="3" t="str">
        <f>FIXED(VLOOKUP($A53,'Small Sample 2-Single Family'!$A:$R,AF$1,0),2)</f>
        <v>0.25</v>
      </c>
      <c r="AG53" s="3" t="str">
        <f>FIXED(VLOOKUP($A53,'Small Sample 2-Single Family'!$A:$R,AG$1,0),2)</f>
        <v>0.00</v>
      </c>
      <c r="AH53" s="13" t="str">
        <f>FIXED(VLOOKUP($A53,'Small Sample 2-Single Family'!$A:$R,AH$1,0),2)</f>
        <v>1.00</v>
      </c>
      <c r="AI53" s="9" t="str">
        <f>FIXED(VLOOKUP($A53,'Small Sample 2-Single Family'!$A:$R,AI$1,0),2)</f>
        <v>0.10</v>
      </c>
      <c r="AJ53" s="3" t="str">
        <f>FIXED(VLOOKUP($A53,'Small Sample 2-Single Family'!$A:$R,AJ$1,0),2)</f>
        <v>0.30</v>
      </c>
      <c r="AK53" s="3" t="e" vm="1">
        <f>FIXED(VLOOKUP($A53,'Full Sample-Townhouse'!$A:$R,AK$1,0),2)</f>
        <v>#VALUE!</v>
      </c>
      <c r="AL53" s="3" t="e" vm="1">
        <f>FIXED(VLOOKUP($A53,'Full Sample-Townhouse'!$A:$R,AL$1,0),2)</f>
        <v>#VALUE!</v>
      </c>
    </row>
    <row r="54" spans="1:73" x14ac:dyDescent="0.25">
      <c r="A54" t="s">
        <v>52</v>
      </c>
      <c r="B54" s="4" t="s">
        <v>132</v>
      </c>
      <c r="C54" s="9" t="str">
        <f>FIXED(VLOOKUP($A54,'Full Sample-Single Family'!$A:$R,C$1,0),2)</f>
        <v>0.44</v>
      </c>
      <c r="D54" s="3" t="str">
        <f>FIXED(VLOOKUP($A54,'Full Sample-Single Family'!$A:$R,D$1,0),2)</f>
        <v>0.50</v>
      </c>
      <c r="E54" s="3" t="str">
        <f>FIXED(VLOOKUP($A54,'Full Sample-Single Family'!$A:$R,E$1,0),2)</f>
        <v>0.00</v>
      </c>
      <c r="F54" s="3" t="str">
        <f>FIXED(VLOOKUP($A54,'Full Sample-Single Family'!$A:$R,F$1,0),2)</f>
        <v>1.00</v>
      </c>
      <c r="G54" s="9" t="str">
        <f>FIXED(VLOOKUP($A54,'Full Sample-Single Family'!$A:$R,G$1,0),2)</f>
        <v>0.41</v>
      </c>
      <c r="H54" s="3" t="str">
        <f>FIXED(VLOOKUP($A54,'Full Sample-Single Family'!$A:$R,H$1,0),2)</f>
        <v>0.49</v>
      </c>
      <c r="I54" s="3" t="str">
        <f>FIXED(VLOOKUP($A54,'Full Sample-Single Family'!$A:$R,I$1,0),2)</f>
        <v>0.00</v>
      </c>
      <c r="J54" s="13" t="str">
        <f>FIXED(VLOOKUP($A54,'Full Sample-Single Family'!$A:$R,J$1,0),2)</f>
        <v>1.00</v>
      </c>
      <c r="K54" s="9" t="str">
        <f>FIXED(VLOOKUP($A54,'Full Sample-Single Family'!$A:$R,K$1,0),2)</f>
        <v>0.49</v>
      </c>
      <c r="L54" s="3" t="str">
        <f>FIXED(VLOOKUP($A54,'Full Sample-Single Family'!$A:$R,L$1,0),2)</f>
        <v>0.50</v>
      </c>
      <c r="M54" s="3" t="str">
        <f>FIXED(VLOOKUP($A54,'Full Sample-No Sub'!$A:$R,M$1,0),2)</f>
        <v>0.00</v>
      </c>
      <c r="N54" s="13" t="str">
        <f>FIXED(VLOOKUP($A54,'Full Sample-No Sub'!$A:$R,N$1,0),2)</f>
        <v>1.00</v>
      </c>
      <c r="O54" s="9" t="str">
        <f>FIXED(VLOOKUP($A54,'Small Sample 1-Single Family'!$A:$R,O$1,0),2)</f>
        <v>0.45</v>
      </c>
      <c r="P54" s="3" t="str">
        <f>FIXED(VLOOKUP($A54,'Small Sample 1-Single Family'!$A:$R,P$1,0),2)</f>
        <v>0.50</v>
      </c>
      <c r="Q54" s="3" t="str">
        <f>FIXED(VLOOKUP($A54,'Small Sample 1-Single Family'!$A:$R,Q$1,0),2)</f>
        <v>0.00</v>
      </c>
      <c r="R54" s="3" t="str">
        <f>FIXED(VLOOKUP($A54,'Small Sample 1-Single Family'!$A:$R,R$1,0),2)</f>
        <v>1.00</v>
      </c>
      <c r="S54" s="9" t="str">
        <f>FIXED(VLOOKUP($A54,'Small Sample 1-Single Family'!$A:$R,S$1,0),2)</f>
        <v>2,363,564.00</v>
      </c>
      <c r="T54" s="3" t="str">
        <f>FIXED(VLOOKUP($A54,'Small Sample 1-Single Family'!$A:$R,T$1,0),2)</f>
        <v>7,783.81</v>
      </c>
      <c r="U54" s="3" t="str">
        <f>FIXED(VLOOKUP($A54,'Small Sample 1-Single Family'!$A:$R,U$1,0),2)</f>
        <v>2,350,907.00</v>
      </c>
      <c r="V54" s="13" t="str">
        <f>FIXED(VLOOKUP($A54,'Small Sample 1-Single Family'!$A:$R,V$1,0),2)</f>
        <v>2,399,920.00</v>
      </c>
      <c r="W54" s="9" t="str">
        <f>FIXED(VLOOKUP($A54,'Small Sample 1-Single Family'!$A:$R,W$1,0),2)</f>
        <v>0.49</v>
      </c>
      <c r="X54" s="3" t="str">
        <f>FIXED(VLOOKUP($A54,'Small Sample 1-Single Family'!$A:$R,X$1,0),2)</f>
        <v>0.50</v>
      </c>
      <c r="Y54" s="3" t="str">
        <f>FIXED(VLOOKUP($A54,'Small Sample 1-No Sub'!$A:$R,Y$1,0),2)</f>
        <v>0.00</v>
      </c>
      <c r="Z54" s="3" t="str">
        <f>FIXED(VLOOKUP($A54,'Small Sample 1-No Sub'!$A:$R,Z$1,0),2)</f>
        <v>1.00</v>
      </c>
      <c r="AA54" s="9" t="str">
        <f>FIXED(VLOOKUP($A54,'Small Sample 2-Single Family'!$A:$R,AA$1,0),2)</f>
        <v>0.43</v>
      </c>
      <c r="AB54" s="3" t="str">
        <f>FIXED(VLOOKUP($A54,'Small Sample 2-Single Family'!$A:$R,AB$1,0),2)</f>
        <v>0.49</v>
      </c>
      <c r="AC54" s="3" t="str">
        <f>FIXED(VLOOKUP($A54,'Small Sample 2-Single Family'!$A:$R,AC$1,0),2)</f>
        <v>0.00</v>
      </c>
      <c r="AD54" s="3" t="str">
        <f>FIXED(VLOOKUP($A54,'Small Sample 2-Single Family'!$A:$R,AD$1,0),2)</f>
        <v>1.00</v>
      </c>
      <c r="AE54" s="9" t="str">
        <f>FIXED(VLOOKUP($A54,'Small Sample 2-Single Family'!$A:$R,AE$1,0),2)</f>
        <v>0.40</v>
      </c>
      <c r="AF54" s="3" t="str">
        <f>FIXED(VLOOKUP($A54,'Small Sample 2-Single Family'!$A:$R,AF$1,0),2)</f>
        <v>0.49</v>
      </c>
      <c r="AG54" s="3" t="str">
        <f>FIXED(VLOOKUP($A54,'Small Sample 2-Single Family'!$A:$R,AG$1,0),2)</f>
        <v>0.00</v>
      </c>
      <c r="AH54" s="13" t="str">
        <f>FIXED(VLOOKUP($A54,'Small Sample 2-Single Family'!$A:$R,AH$1,0),2)</f>
        <v>1.00</v>
      </c>
      <c r="AI54" s="9" t="str">
        <f>FIXED(VLOOKUP($A54,'Small Sample 2-Single Family'!$A:$R,AI$1,0),2)</f>
        <v>0.47</v>
      </c>
      <c r="AJ54" s="3" t="str">
        <f>FIXED(VLOOKUP($A54,'Small Sample 2-Single Family'!$A:$R,AJ$1,0),2)</f>
        <v>0.50</v>
      </c>
      <c r="AK54" s="3" t="e" vm="1">
        <f>FIXED(VLOOKUP($A54,'Full Sample-Townhouse'!$A:$R,AK$1,0),2)</f>
        <v>#VALUE!</v>
      </c>
      <c r="AL54" s="3" t="e" vm="1">
        <f>FIXED(VLOOKUP($A54,'Full Sample-Townhouse'!$A:$R,AL$1,0),2)</f>
        <v>#VALUE!</v>
      </c>
    </row>
    <row r="55" spans="1:73" x14ac:dyDescent="0.25">
      <c r="A55" t="s">
        <v>51</v>
      </c>
      <c r="B55" t="s">
        <v>131</v>
      </c>
      <c r="C55" s="9" t="str">
        <f>FIXED(VLOOKUP($A55,'Full Sample-Single Family'!$A:$R,C$1,0),2)</f>
        <v>0.02</v>
      </c>
      <c r="D55" s="3" t="str">
        <f>FIXED(VLOOKUP($A55,'Full Sample-Single Family'!$A:$R,D$1,0),2)</f>
        <v>0.14</v>
      </c>
      <c r="E55" s="3" t="str">
        <f>FIXED(VLOOKUP($A55,'Full Sample-Single Family'!$A:$R,E$1,0),2)</f>
        <v>0.00</v>
      </c>
      <c r="F55" s="3" t="str">
        <f>FIXED(VLOOKUP($A55,'Full Sample-Single Family'!$A:$R,F$1,0),2)</f>
        <v>1.00</v>
      </c>
      <c r="G55" s="9" t="str">
        <f>FIXED(VLOOKUP($A55,'Full Sample-Single Family'!$A:$R,G$1,0),2)</f>
        <v>0.00</v>
      </c>
      <c r="H55" s="3" t="str">
        <f>FIXED(VLOOKUP($A55,'Full Sample-Single Family'!$A:$R,H$1,0),2)</f>
        <v>0.00</v>
      </c>
      <c r="I55" s="3" t="str">
        <f>FIXED(VLOOKUP($A55,'Full Sample-Single Family'!$A:$R,I$1,0),2)</f>
        <v>0.00</v>
      </c>
      <c r="J55" s="13" t="str">
        <f>FIXED(VLOOKUP($A55,'Full Sample-Single Family'!$A:$R,J$1,0),2)</f>
        <v>0.00</v>
      </c>
      <c r="K55" s="9" t="str">
        <f>FIXED(VLOOKUP($A55,'Full Sample-Single Family'!$A:$R,K$1,0),2)</f>
        <v>0.05</v>
      </c>
      <c r="L55" s="3" t="str">
        <f>FIXED(VLOOKUP($A55,'Full Sample-Single Family'!$A:$R,L$1,0),2)</f>
        <v>0.22</v>
      </c>
      <c r="M55" s="3" t="str">
        <f>FIXED(VLOOKUP($A55,'Full Sample-No Sub'!$A:$R,M$1,0),2)</f>
        <v>0.00</v>
      </c>
      <c r="N55" s="13" t="str">
        <f>FIXED(VLOOKUP($A55,'Full Sample-No Sub'!$A:$R,N$1,0),2)</f>
        <v>23.00</v>
      </c>
      <c r="O55" s="9" t="str">
        <f>FIXED(VLOOKUP($A55,'Small Sample 1-Single Family'!$A:$R,O$1,0),2)</f>
        <v>0.02</v>
      </c>
      <c r="P55" s="3" t="str">
        <f>FIXED(VLOOKUP($A55,'Small Sample 1-Single Family'!$A:$R,P$1,0),2)</f>
        <v>0.15</v>
      </c>
      <c r="Q55" s="3" t="str">
        <f>FIXED(VLOOKUP($A55,'Small Sample 1-Single Family'!$A:$R,Q$1,0),2)</f>
        <v>0.00</v>
      </c>
      <c r="R55" s="3" t="str">
        <f>FIXED(VLOOKUP($A55,'Small Sample 1-Single Family'!$A:$R,R$1,0),2)</f>
        <v>1.00</v>
      </c>
      <c r="S55" s="9" t="str">
        <f>FIXED(VLOOKUP($A55,'Small Sample 1-Single Family'!$A:$R,S$1,0),2)</f>
        <v>0.42</v>
      </c>
      <c r="T55" s="3" t="str">
        <f>FIXED(VLOOKUP($A55,'Small Sample 1-Single Family'!$A:$R,T$1,0),2)</f>
        <v>0.49</v>
      </c>
      <c r="U55" s="3" t="str">
        <f>FIXED(VLOOKUP($A55,'Small Sample 1-Single Family'!$A:$R,U$1,0),2)</f>
        <v>0.00</v>
      </c>
      <c r="V55" s="13" t="str">
        <f>FIXED(VLOOKUP($A55,'Small Sample 1-Single Family'!$A:$R,V$1,0),2)</f>
        <v>1.00</v>
      </c>
      <c r="W55" s="9" t="str">
        <f>FIXED(VLOOKUP($A55,'Small Sample 1-Single Family'!$A:$R,W$1,0),2)</f>
        <v>0.05</v>
      </c>
      <c r="X55" s="3" t="str">
        <f>FIXED(VLOOKUP($A55,'Small Sample 1-Single Family'!$A:$R,X$1,0),2)</f>
        <v>0.22</v>
      </c>
      <c r="Y55" s="3" t="str">
        <f>FIXED(VLOOKUP($A55,'Small Sample 1-No Sub'!$A:$R,Y$1,0),2)</f>
        <v>0.00</v>
      </c>
      <c r="Z55" s="3" t="str">
        <f>FIXED(VLOOKUP($A55,'Small Sample 1-No Sub'!$A:$R,Z$1,0),2)</f>
        <v>23.00</v>
      </c>
      <c r="AA55" s="9" t="str">
        <f>FIXED(VLOOKUP($A55,'Small Sample 2-Single Family'!$A:$R,AA$1,0),2)</f>
        <v>0.02</v>
      </c>
      <c r="AB55" s="3" t="str">
        <f>FIXED(VLOOKUP($A55,'Small Sample 2-Single Family'!$A:$R,AB$1,0),2)</f>
        <v>0.14</v>
      </c>
      <c r="AC55" s="3" t="str">
        <f>FIXED(VLOOKUP($A55,'Small Sample 2-Single Family'!$A:$R,AC$1,0),2)</f>
        <v>0.00</v>
      </c>
      <c r="AD55" s="3" t="str">
        <f>FIXED(VLOOKUP($A55,'Small Sample 2-Single Family'!$A:$R,AD$1,0),2)</f>
        <v>1.00</v>
      </c>
      <c r="AE55" s="9" t="str">
        <f>FIXED(VLOOKUP($A55,'Small Sample 2-Single Family'!$A:$R,AE$1,0),2)</f>
        <v>0.00</v>
      </c>
      <c r="AF55" s="3" t="str">
        <f>FIXED(VLOOKUP($A55,'Small Sample 2-Single Family'!$A:$R,AF$1,0),2)</f>
        <v>0.00</v>
      </c>
      <c r="AG55" s="3" t="str">
        <f>FIXED(VLOOKUP($A55,'Small Sample 2-Single Family'!$A:$R,AG$1,0),2)</f>
        <v>0.00</v>
      </c>
      <c r="AH55" s="13" t="str">
        <f>FIXED(VLOOKUP($A55,'Small Sample 2-Single Family'!$A:$R,AH$1,0),2)</f>
        <v>0.00</v>
      </c>
      <c r="AI55" s="9" t="str">
        <f>FIXED(VLOOKUP($A55,'Small Sample 2-Single Family'!$A:$R,AI$1,0),2)</f>
        <v>0.05</v>
      </c>
      <c r="AJ55" s="3" t="str">
        <f>FIXED(VLOOKUP($A55,'Small Sample 2-Single Family'!$A:$R,AJ$1,0),2)</f>
        <v>0.22</v>
      </c>
      <c r="AK55" s="3" t="e" vm="1">
        <f>FIXED(VLOOKUP($A55,'Full Sample-Townhouse'!$A:$R,AK$1,0),2)</f>
        <v>#VALUE!</v>
      </c>
      <c r="AL55" s="3" t="e" vm="1">
        <f>FIXED(VLOOKUP($A55,'Full Sample-Townhouse'!$A:$R,AL$1,0),2)</f>
        <v>#VALUE!</v>
      </c>
    </row>
    <row r="56" spans="1:73" x14ac:dyDescent="0.25">
      <c r="A56" t="s">
        <v>38</v>
      </c>
      <c r="B56" t="s">
        <v>185</v>
      </c>
      <c r="C56" s="9" t="str">
        <f>FIXED(VLOOKUP($A56,'Full Sample-Single Family'!$A:$R,C$1,0),2)</f>
        <v>2.50</v>
      </c>
      <c r="D56" s="3" t="str">
        <f>FIXED(VLOOKUP($A56,'Full Sample-Single Family'!$A:$R,D$1,0),2)</f>
        <v>2.58</v>
      </c>
      <c r="E56" s="3" t="str">
        <f>FIXED(VLOOKUP($A56,'Full Sample-Single Family'!$A:$R,E$1,0),2)</f>
        <v>0.00</v>
      </c>
      <c r="F56" s="3" t="str">
        <f>FIXED(VLOOKUP($A56,'Full Sample-Single Family'!$A:$R,F$1,0),2)</f>
        <v>13.55</v>
      </c>
      <c r="G56" s="9" t="str">
        <f>FIXED(VLOOKUP($A56,'Full Sample-Single Family'!$A:$R,G$1,0),2)</f>
        <v>2.56</v>
      </c>
      <c r="H56" s="3" t="str">
        <f>FIXED(VLOOKUP($A56,'Full Sample-Single Family'!$A:$R,H$1,0),2)</f>
        <v>2.62</v>
      </c>
      <c r="I56" s="3" t="str">
        <f>FIXED(VLOOKUP($A56,'Full Sample-Single Family'!$A:$R,I$1,0),2)</f>
        <v>0.00</v>
      </c>
      <c r="J56" s="13" t="str">
        <f>FIXED(VLOOKUP($A56,'Full Sample-Single Family'!$A:$R,J$1,0),2)</f>
        <v>13.55</v>
      </c>
      <c r="K56" s="9" t="str">
        <f>FIXED(VLOOKUP($A56,'Full Sample-Single Family'!$A:$R,K$1,0),2)</f>
        <v>2.42</v>
      </c>
      <c r="L56" s="3" t="str">
        <f>FIXED(VLOOKUP($A56,'Full Sample-Single Family'!$A:$R,L$1,0),2)</f>
        <v>2.52</v>
      </c>
      <c r="M56" s="3" t="str">
        <f>FIXED(VLOOKUP($A56,'Full Sample-No Sub'!$A:$R,M$1,0),2)</f>
        <v>0.00</v>
      </c>
      <c r="N56" s="13" t="str">
        <f>FIXED(VLOOKUP($A56,'Full Sample-No Sub'!$A:$R,N$1,0),2)</f>
        <v>13.48</v>
      </c>
      <c r="O56" s="9" t="str">
        <f>FIXED(VLOOKUP($A56,'Small Sample 1-Single Family'!$A:$R,O$1,0),2)</f>
        <v>2.53</v>
      </c>
      <c r="P56" s="3" t="str">
        <f>FIXED(VLOOKUP($A56,'Small Sample 1-Single Family'!$A:$R,P$1,0),2)</f>
        <v>2.61</v>
      </c>
      <c r="Q56" s="3" t="str">
        <f>FIXED(VLOOKUP($A56,'Small Sample 1-Single Family'!$A:$R,Q$1,0),2)</f>
        <v>0.00</v>
      </c>
      <c r="R56" s="3" t="str">
        <f>FIXED(VLOOKUP($A56,'Small Sample 1-Single Family'!$A:$R,R$1,0),2)</f>
        <v>13.55</v>
      </c>
      <c r="S56" s="9" t="str">
        <f>FIXED(VLOOKUP($A56,'Small Sample 1-Single Family'!$A:$R,S$1,0),2)</f>
        <v>0.53</v>
      </c>
      <c r="T56" s="3" t="str">
        <f>FIXED(VLOOKUP($A56,'Small Sample 1-Single Family'!$A:$R,T$1,0),2)</f>
        <v>0.32</v>
      </c>
      <c r="U56" s="3" t="str">
        <f>FIXED(VLOOKUP($A56,'Small Sample 1-Single Family'!$A:$R,U$1,0),2)</f>
        <v>0.00</v>
      </c>
      <c r="V56" s="13" t="str">
        <f>FIXED(VLOOKUP($A56,'Small Sample 1-Single Family'!$A:$R,V$1,0),2)</f>
        <v>3.30</v>
      </c>
      <c r="W56" s="9" t="str">
        <f>FIXED(VLOOKUP($A56,'Small Sample 1-Single Family'!$A:$R,W$1,0),2)</f>
        <v>2.43</v>
      </c>
      <c r="X56" s="3" t="str">
        <f>FIXED(VLOOKUP($A56,'Small Sample 1-Single Family'!$A:$R,X$1,0),2)</f>
        <v>2.54</v>
      </c>
      <c r="Y56" s="3" t="str">
        <f>FIXED(VLOOKUP($A56,'Small Sample 1-No Sub'!$A:$R,Y$1,0),2)</f>
        <v>0.00</v>
      </c>
      <c r="Z56" s="3" t="str">
        <f>FIXED(VLOOKUP($A56,'Small Sample 1-No Sub'!$A:$R,Z$1,0),2)</f>
        <v>13.48</v>
      </c>
      <c r="AA56" s="9" t="str">
        <f>FIXED(VLOOKUP($A56,'Small Sample 2-Single Family'!$A:$R,AA$1,0),2)</f>
        <v>2.53</v>
      </c>
      <c r="AB56" s="3" t="str">
        <f>FIXED(VLOOKUP($A56,'Small Sample 2-Single Family'!$A:$R,AB$1,0),2)</f>
        <v>2.61</v>
      </c>
      <c r="AC56" s="3" t="str">
        <f>FIXED(VLOOKUP($A56,'Small Sample 2-Single Family'!$A:$R,AC$1,0),2)</f>
        <v>0.00</v>
      </c>
      <c r="AD56" s="3" t="str">
        <f>FIXED(VLOOKUP($A56,'Small Sample 2-Single Family'!$A:$R,AD$1,0),2)</f>
        <v>13.55</v>
      </c>
      <c r="AE56" s="9" t="str">
        <f>FIXED(VLOOKUP($A56,'Small Sample 2-Single Family'!$A:$R,AE$1,0),2)</f>
        <v>2.57</v>
      </c>
      <c r="AF56" s="3" t="str">
        <f>FIXED(VLOOKUP($A56,'Small Sample 2-Single Family'!$A:$R,AF$1,0),2)</f>
        <v>2.64</v>
      </c>
      <c r="AG56" s="3" t="str">
        <f>FIXED(VLOOKUP($A56,'Small Sample 2-Single Family'!$A:$R,AG$1,0),2)</f>
        <v>0.00</v>
      </c>
      <c r="AH56" s="13" t="str">
        <f>FIXED(VLOOKUP($A56,'Small Sample 2-Single Family'!$A:$R,AH$1,0),2)</f>
        <v>13.55</v>
      </c>
      <c r="AI56" s="9" t="str">
        <f>FIXED(VLOOKUP($A56,'Small Sample 2-Single Family'!$A:$R,AI$1,0),2)</f>
        <v>2.47</v>
      </c>
      <c r="AJ56" s="3" t="str">
        <f>FIXED(VLOOKUP($A56,'Small Sample 2-Single Family'!$A:$R,AJ$1,0),2)</f>
        <v>2.57</v>
      </c>
      <c r="AK56" s="3" t="e" vm="1">
        <f>FIXED(VLOOKUP($A56,'Full Sample-Townhouse'!$A:$R,AK$1,0),2)</f>
        <v>#VALUE!</v>
      </c>
      <c r="AL56" s="3" t="e" vm="1">
        <f>FIXED(VLOOKUP($A56,'Full Sample-Townhouse'!$A:$R,AL$1,0),2)</f>
        <v>#VALUE!</v>
      </c>
    </row>
    <row r="57" spans="1:73" x14ac:dyDescent="0.25">
      <c r="A57" t="s">
        <v>39</v>
      </c>
      <c r="B57" t="s">
        <v>177</v>
      </c>
      <c r="C57" s="9" t="str">
        <f>FIXED(VLOOKUP($A57,'Full Sample-Single Family'!$A:$R,C$1,0),2)</f>
        <v>0.53</v>
      </c>
      <c r="D57" s="3" t="str">
        <f>FIXED(VLOOKUP($A57,'Full Sample-Single Family'!$A:$R,D$1,0),2)</f>
        <v>0.33</v>
      </c>
      <c r="E57" s="3" t="str">
        <f>FIXED(VLOOKUP($A57,'Full Sample-Single Family'!$A:$R,E$1,0),2)</f>
        <v>0.00</v>
      </c>
      <c r="F57" s="3" t="str">
        <f>FIXED(VLOOKUP($A57,'Full Sample-Single Family'!$A:$R,F$1,0),2)</f>
        <v>3.56</v>
      </c>
      <c r="G57" s="9" t="str">
        <f>FIXED(VLOOKUP($A57,'Full Sample-Single Family'!$A:$R,G$1,0),2)</f>
        <v>0.53</v>
      </c>
      <c r="H57" s="3" t="str">
        <f>FIXED(VLOOKUP($A57,'Full Sample-Single Family'!$A:$R,H$1,0),2)</f>
        <v>0.32</v>
      </c>
      <c r="I57" s="3" t="str">
        <f>FIXED(VLOOKUP($A57,'Full Sample-Single Family'!$A:$R,I$1,0),2)</f>
        <v>0.00</v>
      </c>
      <c r="J57" s="13" t="str">
        <f>FIXED(VLOOKUP($A57,'Full Sample-Single Family'!$A:$R,J$1,0),2)</f>
        <v>3.30</v>
      </c>
      <c r="K57" s="9" t="str">
        <f>FIXED(VLOOKUP($A57,'Full Sample-Single Family'!$A:$R,K$1,0),2)</f>
        <v>0.53</v>
      </c>
      <c r="L57" s="3" t="str">
        <f>FIXED(VLOOKUP($A57,'Full Sample-Single Family'!$A:$R,L$1,0),2)</f>
        <v>0.33</v>
      </c>
      <c r="M57" s="3" t="str">
        <f>FIXED(VLOOKUP($A57,'Full Sample-No Sub'!$A:$R,M$1,0),2)</f>
        <v>0.00</v>
      </c>
      <c r="N57" s="13" t="str">
        <f>FIXED(VLOOKUP($A57,'Full Sample-No Sub'!$A:$R,N$1,0),2)</f>
        <v>3.56</v>
      </c>
      <c r="O57" s="9" t="str">
        <f>FIXED(VLOOKUP($A57,'Small Sample 1-Single Family'!$A:$R,O$1,0),2)</f>
        <v>0.53</v>
      </c>
      <c r="P57" s="3" t="str">
        <f>FIXED(VLOOKUP($A57,'Small Sample 1-Single Family'!$A:$R,P$1,0),2)</f>
        <v>0.33</v>
      </c>
      <c r="Q57" s="3" t="str">
        <f>FIXED(VLOOKUP($A57,'Small Sample 1-Single Family'!$A:$R,Q$1,0),2)</f>
        <v>0.00</v>
      </c>
      <c r="R57" s="3" t="str">
        <f>FIXED(VLOOKUP($A57,'Small Sample 1-Single Family'!$A:$R,R$1,0),2)</f>
        <v>3.56</v>
      </c>
      <c r="S57" s="9" t="str">
        <f>FIXED(VLOOKUP($A57,'Small Sample 1-Single Family'!$A:$R,S$1,0),2)</f>
        <v>5.05</v>
      </c>
      <c r="T57" s="3" t="str">
        <f>FIXED(VLOOKUP($A57,'Small Sample 1-Single Family'!$A:$R,T$1,0),2)</f>
        <v>4.11</v>
      </c>
      <c r="U57" s="3" t="str">
        <f>FIXED(VLOOKUP($A57,'Small Sample 1-Single Family'!$A:$R,U$1,0),2)</f>
        <v>0.02</v>
      </c>
      <c r="V57" s="13" t="str">
        <f>FIXED(VLOOKUP($A57,'Small Sample 1-Single Family'!$A:$R,V$1,0),2)</f>
        <v>21.00</v>
      </c>
      <c r="W57" s="9" t="str">
        <f>FIXED(VLOOKUP($A57,'Small Sample 1-Single Family'!$A:$R,W$1,0),2)</f>
        <v>0.53</v>
      </c>
      <c r="X57" s="3" t="str">
        <f>FIXED(VLOOKUP($A57,'Small Sample 1-Single Family'!$A:$R,X$1,0),2)</f>
        <v>0.34</v>
      </c>
      <c r="Y57" s="3" t="str">
        <f>FIXED(VLOOKUP($A57,'Small Sample 1-No Sub'!$A:$R,Y$1,0),2)</f>
        <v>0.00</v>
      </c>
      <c r="Z57" s="3" t="str">
        <f>FIXED(VLOOKUP($A57,'Small Sample 1-No Sub'!$A:$R,Z$1,0),2)</f>
        <v>3.56</v>
      </c>
      <c r="AA57" s="9" t="str">
        <f>FIXED(VLOOKUP($A57,'Small Sample 2-Single Family'!$A:$R,AA$1,0),2)</f>
        <v>0.53</v>
      </c>
      <c r="AB57" s="3" t="str">
        <f>FIXED(VLOOKUP($A57,'Small Sample 2-Single Family'!$A:$R,AB$1,0),2)</f>
        <v>0.33</v>
      </c>
      <c r="AC57" s="3" t="str">
        <f>FIXED(VLOOKUP($A57,'Small Sample 2-Single Family'!$A:$R,AC$1,0),2)</f>
        <v>0.00</v>
      </c>
      <c r="AD57" s="3" t="str">
        <f>FIXED(VLOOKUP($A57,'Small Sample 2-Single Family'!$A:$R,AD$1,0),2)</f>
        <v>3.56</v>
      </c>
      <c r="AE57" s="9" t="str">
        <f>FIXED(VLOOKUP($A57,'Small Sample 2-Single Family'!$A:$R,AE$1,0),2)</f>
        <v>0.53</v>
      </c>
      <c r="AF57" s="3" t="str">
        <f>FIXED(VLOOKUP($A57,'Small Sample 2-Single Family'!$A:$R,AF$1,0),2)</f>
        <v>0.33</v>
      </c>
      <c r="AG57" s="3" t="str">
        <f>FIXED(VLOOKUP($A57,'Small Sample 2-Single Family'!$A:$R,AG$1,0),2)</f>
        <v>0.00</v>
      </c>
      <c r="AH57" s="13" t="str">
        <f>FIXED(VLOOKUP($A57,'Small Sample 2-Single Family'!$A:$R,AH$1,0),2)</f>
        <v>3.30</v>
      </c>
      <c r="AI57" s="9" t="str">
        <f>FIXED(VLOOKUP($A57,'Small Sample 2-Single Family'!$A:$R,AI$1,0),2)</f>
        <v>0.52</v>
      </c>
      <c r="AJ57" s="3" t="str">
        <f>FIXED(VLOOKUP($A57,'Small Sample 2-Single Family'!$A:$R,AJ$1,0),2)</f>
        <v>0.34</v>
      </c>
      <c r="AK57" s="3" t="e" vm="1">
        <f>FIXED(VLOOKUP($A57,'Full Sample-Townhouse'!$A:$R,AK$1,0),2)</f>
        <v>#VALUE!</v>
      </c>
      <c r="AL57" s="3" t="e" vm="1">
        <f>FIXED(VLOOKUP($A57,'Full Sample-Townhouse'!$A:$R,AL$1,0),2)</f>
        <v>#VALUE!</v>
      </c>
    </row>
    <row r="58" spans="1:73" x14ac:dyDescent="0.25">
      <c r="A58" t="s">
        <v>40</v>
      </c>
      <c r="B58" t="s">
        <v>178</v>
      </c>
      <c r="C58" s="9" t="str">
        <f>FIXED(VLOOKUP($A58,'Full Sample-Single Family'!$A:$R,C$1,0),2)</f>
        <v>5.26</v>
      </c>
      <c r="D58" s="3" t="str">
        <f>FIXED(VLOOKUP($A58,'Full Sample-Single Family'!$A:$R,D$1,0),2)</f>
        <v>4.24</v>
      </c>
      <c r="E58" s="3" t="str">
        <f>FIXED(VLOOKUP($A58,'Full Sample-Single Family'!$A:$R,E$1,0),2)</f>
        <v>0.01</v>
      </c>
      <c r="F58" s="3" t="str">
        <f>FIXED(VLOOKUP($A58,'Full Sample-Single Family'!$A:$R,F$1,0),2)</f>
        <v>21.00</v>
      </c>
      <c r="G58" s="9" t="str">
        <f>FIXED(VLOOKUP($A58,'Full Sample-Single Family'!$A:$R,G$1,0),2)</f>
        <v>5.25</v>
      </c>
      <c r="H58" s="3" t="str">
        <f>FIXED(VLOOKUP($A58,'Full Sample-Single Family'!$A:$R,H$1,0),2)</f>
        <v>4.20</v>
      </c>
      <c r="I58" s="3" t="str">
        <f>FIXED(VLOOKUP($A58,'Full Sample-Single Family'!$A:$R,I$1,0),2)</f>
        <v>0.01</v>
      </c>
      <c r="J58" s="13" t="str">
        <f>FIXED(VLOOKUP($A58,'Full Sample-Single Family'!$A:$R,J$1,0),2)</f>
        <v>21.00</v>
      </c>
      <c r="K58" s="9" t="str">
        <f>FIXED(VLOOKUP($A58,'Full Sample-Single Family'!$A:$R,K$1,0),2)</f>
        <v>5.28</v>
      </c>
      <c r="L58" s="3" t="str">
        <f>FIXED(VLOOKUP($A58,'Full Sample-Single Family'!$A:$R,L$1,0),2)</f>
        <v>4.29</v>
      </c>
      <c r="M58" s="3" t="str">
        <f>FIXED(VLOOKUP($A58,'Full Sample-No Sub'!$A:$R,M$1,0),2)</f>
        <v>0.01</v>
      </c>
      <c r="N58" s="13" t="str">
        <f>FIXED(VLOOKUP($A58,'Full Sample-No Sub'!$A:$R,N$1,0),2)</f>
        <v>20.93</v>
      </c>
      <c r="O58" s="9" t="str">
        <f>FIXED(VLOOKUP($A58,'Small Sample 1-Single Family'!$A:$R,O$1,0),2)</f>
        <v>5.15</v>
      </c>
      <c r="P58" s="3" t="str">
        <f>FIXED(VLOOKUP($A58,'Small Sample 1-Single Family'!$A:$R,P$1,0),2)</f>
        <v>4.19</v>
      </c>
      <c r="Q58" s="3" t="str">
        <f>FIXED(VLOOKUP($A58,'Small Sample 1-Single Family'!$A:$R,Q$1,0),2)</f>
        <v>0.01</v>
      </c>
      <c r="R58" s="3" t="str">
        <f>FIXED(VLOOKUP($A58,'Small Sample 1-Single Family'!$A:$R,R$1,0),2)</f>
        <v>21.00</v>
      </c>
      <c r="S58" s="9" t="str">
        <f>FIXED(VLOOKUP($A58,'Small Sample 1-Single Family'!$A:$R,S$1,0),2)</f>
        <v>10.89</v>
      </c>
      <c r="T58" s="3" t="str">
        <f>FIXED(VLOOKUP($A58,'Small Sample 1-Single Family'!$A:$R,T$1,0),2)</f>
        <v>5.59</v>
      </c>
      <c r="U58" s="3" t="str">
        <f>FIXED(VLOOKUP($A58,'Small Sample 1-Single Family'!$A:$R,U$1,0),2)</f>
        <v>0.32</v>
      </c>
      <c r="V58" s="13" t="str">
        <f>FIXED(VLOOKUP($A58,'Small Sample 1-Single Family'!$A:$R,V$1,0),2)</f>
        <v>30.00</v>
      </c>
      <c r="W58" s="9" t="str">
        <f>FIXED(VLOOKUP($A58,'Small Sample 1-Single Family'!$A:$R,W$1,0),2)</f>
        <v>5.26</v>
      </c>
      <c r="X58" s="3" t="str">
        <f>FIXED(VLOOKUP($A58,'Small Sample 1-Single Family'!$A:$R,X$1,0),2)</f>
        <v>4.27</v>
      </c>
      <c r="Y58" s="3" t="str">
        <f>FIXED(VLOOKUP($A58,'Small Sample 1-No Sub'!$A:$R,Y$1,0),2)</f>
        <v>0.01</v>
      </c>
      <c r="Z58" s="3" t="str">
        <f>FIXED(VLOOKUP($A58,'Small Sample 1-No Sub'!$A:$R,Z$1,0),2)</f>
        <v>20.93</v>
      </c>
      <c r="AA58" s="9" t="str">
        <f>FIXED(VLOOKUP($A58,'Small Sample 2-Single Family'!$A:$R,AA$1,0),2)</f>
        <v>5.15</v>
      </c>
      <c r="AB58" s="3" t="str">
        <f>FIXED(VLOOKUP($A58,'Small Sample 2-Single Family'!$A:$R,AB$1,0),2)</f>
        <v>4.19</v>
      </c>
      <c r="AC58" s="3" t="str">
        <f>FIXED(VLOOKUP($A58,'Small Sample 2-Single Family'!$A:$R,AC$1,0),2)</f>
        <v>0.01</v>
      </c>
      <c r="AD58" s="3" t="str">
        <f>FIXED(VLOOKUP($A58,'Small Sample 2-Single Family'!$A:$R,AD$1,0),2)</f>
        <v>21.00</v>
      </c>
      <c r="AE58" s="9" t="str">
        <f>FIXED(VLOOKUP($A58,'Small Sample 2-Single Family'!$A:$R,AE$1,0),2)</f>
        <v>5.19</v>
      </c>
      <c r="AF58" s="3" t="str">
        <f>FIXED(VLOOKUP($A58,'Small Sample 2-Single Family'!$A:$R,AF$1,0),2)</f>
        <v>4.17</v>
      </c>
      <c r="AG58" s="3" t="str">
        <f>FIXED(VLOOKUP($A58,'Small Sample 2-Single Family'!$A:$R,AG$1,0),2)</f>
        <v>0.01</v>
      </c>
      <c r="AH58" s="13" t="str">
        <f>FIXED(VLOOKUP($A58,'Small Sample 2-Single Family'!$A:$R,AH$1,0),2)</f>
        <v>21.00</v>
      </c>
      <c r="AI58" s="9" t="str">
        <f>FIXED(VLOOKUP($A58,'Small Sample 2-Single Family'!$A:$R,AI$1,0),2)</f>
        <v>5.08</v>
      </c>
      <c r="AJ58" s="3" t="str">
        <f>FIXED(VLOOKUP($A58,'Small Sample 2-Single Family'!$A:$R,AJ$1,0),2)</f>
        <v>4.21</v>
      </c>
      <c r="AK58" s="3" t="e" vm="1">
        <f>FIXED(VLOOKUP($A58,'Full Sample-Townhouse'!$A:$R,AK$1,0),2)</f>
        <v>#VALUE!</v>
      </c>
      <c r="AL58" s="3" t="e" vm="1">
        <f>FIXED(VLOOKUP($A58,'Full Sample-Townhouse'!$A:$R,AL$1,0),2)</f>
        <v>#VALUE!</v>
      </c>
    </row>
    <row r="59" spans="1:73" x14ac:dyDescent="0.25">
      <c r="A59" t="s">
        <v>41</v>
      </c>
      <c r="B59" t="s">
        <v>179</v>
      </c>
      <c r="C59" s="9" t="str">
        <f>FIXED(VLOOKUP($A59,'Full Sample-Single Family'!$A:$R,C$1,0),2)</f>
        <v>10.82</v>
      </c>
      <c r="D59" s="3" t="str">
        <f>FIXED(VLOOKUP($A59,'Full Sample-Single Family'!$A:$R,D$1,0),2)</f>
        <v>5.60</v>
      </c>
      <c r="E59" s="3" t="str">
        <f>FIXED(VLOOKUP($A59,'Full Sample-Single Family'!$A:$R,E$1,0),2)</f>
        <v>0.32</v>
      </c>
      <c r="F59" s="3" t="str">
        <f>FIXED(VLOOKUP($A59,'Full Sample-Single Family'!$A:$R,F$1,0),2)</f>
        <v>30.99</v>
      </c>
      <c r="G59" s="9" t="str">
        <f>FIXED(VLOOKUP($A59,'Full Sample-Single Family'!$A:$R,G$1,0),2)</f>
        <v>10.76</v>
      </c>
      <c r="H59" s="3" t="str">
        <f>FIXED(VLOOKUP($A59,'Full Sample-Single Family'!$A:$R,H$1,0),2)</f>
        <v>5.60</v>
      </c>
      <c r="I59" s="3" t="str">
        <f>FIXED(VLOOKUP($A59,'Full Sample-Single Family'!$A:$R,I$1,0),2)</f>
        <v>0.32</v>
      </c>
      <c r="J59" s="13" t="str">
        <f>FIXED(VLOOKUP($A59,'Full Sample-Single Family'!$A:$R,J$1,0),2)</f>
        <v>30.00</v>
      </c>
      <c r="K59" s="9" t="str">
        <f>FIXED(VLOOKUP($A59,'Full Sample-Single Family'!$A:$R,K$1,0),2)</f>
        <v>10.92</v>
      </c>
      <c r="L59" s="3" t="str">
        <f>FIXED(VLOOKUP($A59,'Full Sample-Single Family'!$A:$R,L$1,0),2)</f>
        <v>5.59</v>
      </c>
      <c r="M59" s="3" t="str">
        <f>FIXED(VLOOKUP($A59,'Full Sample-No Sub'!$A:$R,M$1,0),2)</f>
        <v>0.99</v>
      </c>
      <c r="N59" s="13" t="str">
        <f>FIXED(VLOOKUP($A59,'Full Sample-No Sub'!$A:$R,N$1,0),2)</f>
        <v>30.99</v>
      </c>
      <c r="O59" s="9" t="str">
        <f>FIXED(VLOOKUP($A59,'Small Sample 1-Single Family'!$A:$R,O$1,0),2)</f>
        <v>10.90</v>
      </c>
      <c r="P59" s="3" t="str">
        <f>FIXED(VLOOKUP($A59,'Small Sample 1-Single Family'!$A:$R,P$1,0),2)</f>
        <v>5.60</v>
      </c>
      <c r="Q59" s="3" t="str">
        <f>FIXED(VLOOKUP($A59,'Small Sample 1-Single Family'!$A:$R,Q$1,0),2)</f>
        <v>0.32</v>
      </c>
      <c r="R59" s="3" t="str">
        <f>FIXED(VLOOKUP($A59,'Small Sample 1-Single Family'!$A:$R,R$1,0),2)</f>
        <v>30.99</v>
      </c>
      <c r="S59" s="9" t="str">
        <f>FIXED(VLOOKUP($A59,'Small Sample 1-Single Family'!$A:$R,S$1,0),2)</f>
        <v>1.02</v>
      </c>
      <c r="T59" s="3" t="str">
        <f>FIXED(VLOOKUP($A59,'Small Sample 1-Single Family'!$A:$R,T$1,0),2)</f>
        <v>0.78</v>
      </c>
      <c r="U59" s="3" t="str">
        <f>FIXED(VLOOKUP($A59,'Small Sample 1-Single Family'!$A:$R,U$1,0),2)</f>
        <v>0.03</v>
      </c>
      <c r="V59" s="13" t="str">
        <f>FIXED(VLOOKUP($A59,'Small Sample 1-Single Family'!$A:$R,V$1,0),2)</f>
        <v>7.83</v>
      </c>
      <c r="W59" s="9" t="str">
        <f>FIXED(VLOOKUP($A59,'Small Sample 1-Single Family'!$A:$R,W$1,0),2)</f>
        <v>10.91</v>
      </c>
      <c r="X59" s="3" t="str">
        <f>FIXED(VLOOKUP($A59,'Small Sample 1-Single Family'!$A:$R,X$1,0),2)</f>
        <v>5.60</v>
      </c>
      <c r="Y59" s="3" t="str">
        <f>FIXED(VLOOKUP($A59,'Small Sample 1-No Sub'!$A:$R,Y$1,0),2)</f>
        <v>0.99</v>
      </c>
      <c r="Z59" s="3" t="str">
        <f>FIXED(VLOOKUP($A59,'Small Sample 1-No Sub'!$A:$R,Z$1,0),2)</f>
        <v>30.99</v>
      </c>
      <c r="AA59" s="9" t="str">
        <f>FIXED(VLOOKUP($A59,'Small Sample 2-Single Family'!$A:$R,AA$1,0),2)</f>
        <v>10.90</v>
      </c>
      <c r="AB59" s="3" t="str">
        <f>FIXED(VLOOKUP($A59,'Small Sample 2-Single Family'!$A:$R,AB$1,0),2)</f>
        <v>5.60</v>
      </c>
      <c r="AC59" s="3" t="str">
        <f>FIXED(VLOOKUP($A59,'Small Sample 2-Single Family'!$A:$R,AC$1,0),2)</f>
        <v>0.32</v>
      </c>
      <c r="AD59" s="3" t="str">
        <f>FIXED(VLOOKUP($A59,'Small Sample 2-Single Family'!$A:$R,AD$1,0),2)</f>
        <v>30.99</v>
      </c>
      <c r="AE59" s="9" t="str">
        <f>FIXED(VLOOKUP($A59,'Small Sample 2-Single Family'!$A:$R,AE$1,0),2)</f>
        <v>10.79</v>
      </c>
      <c r="AF59" s="3" t="str">
        <f>FIXED(VLOOKUP($A59,'Small Sample 2-Single Family'!$A:$R,AF$1,0),2)</f>
        <v>5.61</v>
      </c>
      <c r="AG59" s="3" t="str">
        <f>FIXED(VLOOKUP($A59,'Small Sample 2-Single Family'!$A:$R,AG$1,0),2)</f>
        <v>0.32</v>
      </c>
      <c r="AH59" s="13" t="str">
        <f>FIXED(VLOOKUP($A59,'Small Sample 2-Single Family'!$A:$R,AH$1,0),2)</f>
        <v>30.00</v>
      </c>
      <c r="AI59" s="9" t="str">
        <f>FIXED(VLOOKUP($A59,'Small Sample 2-Single Family'!$A:$R,AI$1,0),2)</f>
        <v>11.09</v>
      </c>
      <c r="AJ59" s="3" t="str">
        <f>FIXED(VLOOKUP($A59,'Small Sample 2-Single Family'!$A:$R,AJ$1,0),2)</f>
        <v>5.57</v>
      </c>
      <c r="AK59" s="3" t="e" vm="1">
        <f>FIXED(VLOOKUP($A59,'Full Sample-Townhouse'!$A:$R,AK$1,0),2)</f>
        <v>#VALUE!</v>
      </c>
      <c r="AL59" s="3" t="e" vm="1">
        <f>FIXED(VLOOKUP($A59,'Full Sample-Townhouse'!$A:$R,AL$1,0),2)</f>
        <v>#VALUE!</v>
      </c>
    </row>
    <row r="60" spans="1:73" x14ac:dyDescent="0.25">
      <c r="A60" t="s">
        <v>173</v>
      </c>
      <c r="B60" t="s">
        <v>180</v>
      </c>
      <c r="C60" s="9" t="str">
        <f>FIXED(VLOOKUP($A60,'Full Sample-Single Family'!$A:$R,C$1,0),2)</f>
        <v>1.06</v>
      </c>
      <c r="D60" s="3" t="str">
        <f>FIXED(VLOOKUP($A60,'Full Sample-Single Family'!$A:$R,D$1,0),2)</f>
        <v>0.82</v>
      </c>
      <c r="E60" s="3" t="str">
        <f>FIXED(VLOOKUP($A60,'Full Sample-Single Family'!$A:$R,E$1,0),2)</f>
        <v>0.02</v>
      </c>
      <c r="F60" s="3" t="str">
        <f>FIXED(VLOOKUP($A60,'Full Sample-Single Family'!$A:$R,F$1,0),2)</f>
        <v>7.83</v>
      </c>
      <c r="G60" s="9" t="str">
        <f>FIXED(VLOOKUP($A60,'Full Sample-Single Family'!$A:$R,G$1,0),2)</f>
        <v>1.05</v>
      </c>
      <c r="H60" s="3" t="str">
        <f>FIXED(VLOOKUP($A60,'Full Sample-Single Family'!$A:$R,H$1,0),2)</f>
        <v>0.80</v>
      </c>
      <c r="I60" s="3" t="str">
        <f>FIXED(VLOOKUP($A60,'Full Sample-Single Family'!$A:$R,I$1,0),2)</f>
        <v>0.03</v>
      </c>
      <c r="J60" s="13" t="str">
        <f>FIXED(VLOOKUP($A60,'Full Sample-Single Family'!$A:$R,J$1,0),2)</f>
        <v>7.83</v>
      </c>
      <c r="K60" s="9" t="str">
        <f>FIXED(VLOOKUP($A60,'Full Sample-Single Family'!$A:$R,K$1,0),2)</f>
        <v>1.07</v>
      </c>
      <c r="L60" s="3" t="str">
        <f>FIXED(VLOOKUP($A60,'Full Sample-Single Family'!$A:$R,L$1,0),2)</f>
        <v>0.85</v>
      </c>
      <c r="M60" s="3" t="str">
        <f>FIXED(VLOOKUP($A60,'Full Sample-No Sub'!$A:$R,M$1,0),2)</f>
        <v>0.02</v>
      </c>
      <c r="N60" s="13" t="str">
        <f>FIXED(VLOOKUP($A60,'Full Sample-No Sub'!$A:$R,N$1,0),2)</f>
        <v>196.49</v>
      </c>
      <c r="O60" s="9" t="str">
        <f>FIXED(VLOOKUP($A60,'Small Sample 1-Single Family'!$A:$R,O$1,0),2)</f>
        <v>1.04</v>
      </c>
      <c r="P60" s="3" t="str">
        <f>FIXED(VLOOKUP($A60,'Small Sample 1-Single Family'!$A:$R,P$1,0),2)</f>
        <v>0.81</v>
      </c>
      <c r="Q60" s="3" t="str">
        <f>FIXED(VLOOKUP($A60,'Small Sample 1-Single Family'!$A:$R,Q$1,0),2)</f>
        <v>0.02</v>
      </c>
      <c r="R60" s="3" t="str">
        <f>FIXED(VLOOKUP($A60,'Small Sample 1-Single Family'!$A:$R,R$1,0),2)</f>
        <v>7.83</v>
      </c>
      <c r="S60" s="9" t="str">
        <f>FIXED(VLOOKUP($A60,'Small Sample 1-Single Family'!$A:$R,S$1,0),2)</f>
        <v>2.46</v>
      </c>
      <c r="T60" s="3" t="str">
        <f>FIXED(VLOOKUP($A60,'Small Sample 1-Single Family'!$A:$R,T$1,0),2)</f>
        <v>1.80</v>
      </c>
      <c r="U60" s="3" t="str">
        <f>FIXED(VLOOKUP($A60,'Small Sample 1-Single Family'!$A:$R,U$1,0),2)</f>
        <v>0.04</v>
      </c>
      <c r="V60" s="13" t="str">
        <f>FIXED(VLOOKUP($A60,'Small Sample 1-Single Family'!$A:$R,V$1,0),2)</f>
        <v>17.68</v>
      </c>
      <c r="W60" s="9" t="str">
        <f>FIXED(VLOOKUP($A60,'Small Sample 1-Single Family'!$A:$R,W$1,0),2)</f>
        <v>1.06</v>
      </c>
      <c r="X60" s="3" t="str">
        <f>FIXED(VLOOKUP($A60,'Small Sample 1-Single Family'!$A:$R,X$1,0),2)</f>
        <v>0.85</v>
      </c>
      <c r="Y60" s="3" t="str">
        <f>FIXED(VLOOKUP($A60,'Small Sample 1-No Sub'!$A:$R,Y$1,0),2)</f>
        <v>0.02</v>
      </c>
      <c r="Z60" s="3" t="str">
        <f>FIXED(VLOOKUP($A60,'Small Sample 1-No Sub'!$A:$R,Z$1,0),2)</f>
        <v>196.49</v>
      </c>
      <c r="AA60" s="9" t="str">
        <f>FIXED(VLOOKUP($A60,'Small Sample 2-Single Family'!$A:$R,AA$1,0),2)</f>
        <v>1.04</v>
      </c>
      <c r="AB60" s="3" t="str">
        <f>FIXED(VLOOKUP($A60,'Small Sample 2-Single Family'!$A:$R,AB$1,0),2)</f>
        <v>0.81</v>
      </c>
      <c r="AC60" s="3" t="str">
        <f>FIXED(VLOOKUP($A60,'Small Sample 2-Single Family'!$A:$R,AC$1,0),2)</f>
        <v>0.02</v>
      </c>
      <c r="AD60" s="3" t="str">
        <f>FIXED(VLOOKUP($A60,'Small Sample 2-Single Family'!$A:$R,AD$1,0),2)</f>
        <v>7.83</v>
      </c>
      <c r="AE60" s="9" t="str">
        <f>FIXED(VLOOKUP($A60,'Small Sample 2-Single Family'!$A:$R,AE$1,0),2)</f>
        <v>1.05</v>
      </c>
      <c r="AF60" s="3" t="str">
        <f>FIXED(VLOOKUP($A60,'Small Sample 2-Single Family'!$A:$R,AF$1,0),2)</f>
        <v>0.80</v>
      </c>
      <c r="AG60" s="3" t="str">
        <f>FIXED(VLOOKUP($A60,'Small Sample 2-Single Family'!$A:$R,AG$1,0),2)</f>
        <v>0.03</v>
      </c>
      <c r="AH60" s="13" t="str">
        <f>FIXED(VLOOKUP($A60,'Small Sample 2-Single Family'!$A:$R,AH$1,0),2)</f>
        <v>7.83</v>
      </c>
      <c r="AI60" s="9" t="str">
        <f>FIXED(VLOOKUP($A60,'Small Sample 2-Single Family'!$A:$R,AI$1,0),2)</f>
        <v>1.04</v>
      </c>
      <c r="AJ60" s="3" t="str">
        <f>FIXED(VLOOKUP($A60,'Small Sample 2-Single Family'!$A:$R,AJ$1,0),2)</f>
        <v>0.83</v>
      </c>
      <c r="AK60" s="3" t="e" vm="1">
        <f>FIXED(VLOOKUP($A60,'Full Sample-Townhouse'!$A:$R,AK$1,0),2)</f>
        <v>#VALUE!</v>
      </c>
      <c r="AL60" s="3" t="e" vm="1">
        <f>FIXED(VLOOKUP($A60,'Full Sample-Townhouse'!$A:$R,AL$1,0),2)</f>
        <v>#VALUE!</v>
      </c>
      <c r="AN60" s="23"/>
      <c r="AO60" s="3"/>
      <c r="AP60" s="3"/>
      <c r="AQ60" s="3"/>
      <c r="AR60" s="23"/>
      <c r="AS60" s="3"/>
      <c r="AT60" s="3"/>
      <c r="AU60" s="13"/>
      <c r="AV60" s="23"/>
      <c r="AW60" s="3"/>
      <c r="AX60" s="3"/>
      <c r="AY60" s="13"/>
      <c r="AZ60" s="23"/>
      <c r="BA60" s="3"/>
      <c r="BB60" s="3"/>
      <c r="BC60" s="3"/>
      <c r="BD60" s="23"/>
      <c r="BE60" s="3"/>
      <c r="BF60" s="3"/>
      <c r="BG60" s="13"/>
      <c r="BH60" s="23"/>
      <c r="BI60" s="3"/>
      <c r="BJ60" s="3"/>
      <c r="BK60" s="3"/>
      <c r="BL60" s="23"/>
      <c r="BM60" s="3"/>
      <c r="BN60" s="3"/>
      <c r="BO60" s="3"/>
      <c r="BP60" s="23"/>
      <c r="BQ60" s="3"/>
      <c r="BR60" s="3"/>
      <c r="BS60" s="13"/>
      <c r="BT60" s="23"/>
      <c r="BU60" s="3"/>
    </row>
    <row r="61" spans="1:73" x14ac:dyDescent="0.25">
      <c r="A61" t="s">
        <v>174</v>
      </c>
      <c r="B61" t="s">
        <v>181</v>
      </c>
      <c r="C61" s="9" t="str">
        <f>FIXED(VLOOKUP($A61,'Full Sample-Single Family'!$A:$R,C$1,0),2)</f>
        <v>2.49</v>
      </c>
      <c r="D61" s="3" t="str">
        <f>FIXED(VLOOKUP($A61,'Full Sample-Single Family'!$A:$R,D$1,0),2)</f>
        <v>1.82</v>
      </c>
      <c r="E61" s="3" t="str">
        <f>FIXED(VLOOKUP($A61,'Full Sample-Single Family'!$A:$R,E$1,0),2)</f>
        <v>0.04</v>
      </c>
      <c r="F61" s="3" t="str">
        <f>FIXED(VLOOKUP($A61,'Full Sample-Single Family'!$A:$R,F$1,0),2)</f>
        <v>17.68</v>
      </c>
      <c r="G61" s="9" t="str">
        <f>FIXED(VLOOKUP($A61,'Full Sample-Single Family'!$A:$R,G$1,0),2)</f>
        <v>2.47</v>
      </c>
      <c r="H61" s="3" t="str">
        <f>FIXED(VLOOKUP($A61,'Full Sample-Single Family'!$A:$R,H$1,0),2)</f>
        <v>1.80</v>
      </c>
      <c r="I61" s="3" t="str">
        <f>FIXED(VLOOKUP($A61,'Full Sample-Single Family'!$A:$R,I$1,0),2)</f>
        <v>0.04</v>
      </c>
      <c r="J61" s="13" t="str">
        <f>FIXED(VLOOKUP($A61,'Full Sample-Single Family'!$A:$R,J$1,0),2)</f>
        <v>17.68</v>
      </c>
      <c r="K61" s="9" t="str">
        <f>FIXED(VLOOKUP($A61,'Full Sample-Single Family'!$A:$R,K$1,0),2)</f>
        <v>2.51</v>
      </c>
      <c r="L61" s="3" t="str">
        <f>FIXED(VLOOKUP($A61,'Full Sample-Single Family'!$A:$R,L$1,0),2)</f>
        <v>1.84</v>
      </c>
      <c r="M61" s="3" t="str">
        <f>FIXED(VLOOKUP($A61,'Full Sample-No Sub'!$A:$R,M$1,0),2)</f>
        <v>0.04</v>
      </c>
      <c r="N61" s="13" t="str">
        <f>FIXED(VLOOKUP($A61,'Full Sample-No Sub'!$A:$R,N$1,0),2)</f>
        <v>17.66</v>
      </c>
      <c r="O61" s="9" t="str">
        <f>FIXED(VLOOKUP($A61,'Small Sample 1-Single Family'!$A:$R,O$1,0),2)</f>
        <v>2.48</v>
      </c>
      <c r="P61" s="3" t="str">
        <f>FIXED(VLOOKUP($A61,'Small Sample 1-Single Family'!$A:$R,P$1,0),2)</f>
        <v>1.82</v>
      </c>
      <c r="Q61" s="3" t="str">
        <f>FIXED(VLOOKUP($A61,'Small Sample 1-Single Family'!$A:$R,Q$1,0),2)</f>
        <v>0.04</v>
      </c>
      <c r="R61" s="3" t="str">
        <f>FIXED(VLOOKUP($A61,'Small Sample 1-Single Family'!$A:$R,R$1,0),2)</f>
        <v>17.68</v>
      </c>
      <c r="S61" s="9" t="str">
        <f>FIXED(VLOOKUP($A61,'Small Sample 1-Single Family'!$A:$R,S$1,0),2)</f>
        <v>2.53</v>
      </c>
      <c r="T61" s="3" t="str">
        <f>FIXED(VLOOKUP($A61,'Small Sample 1-Single Family'!$A:$R,T$1,0),2)</f>
        <v>1.71</v>
      </c>
      <c r="U61" s="3" t="str">
        <f>FIXED(VLOOKUP($A61,'Small Sample 1-Single Family'!$A:$R,U$1,0),2)</f>
        <v>0.05</v>
      </c>
      <c r="V61" s="13" t="str">
        <f>FIXED(VLOOKUP($A61,'Small Sample 1-Single Family'!$A:$R,V$1,0),2)</f>
        <v>17.68</v>
      </c>
      <c r="W61" s="9" t="str">
        <f>FIXED(VLOOKUP($A61,'Small Sample 1-Single Family'!$A:$R,W$1,0),2)</f>
        <v>2.51</v>
      </c>
      <c r="X61" s="3" t="str">
        <f>FIXED(VLOOKUP($A61,'Small Sample 1-Single Family'!$A:$R,X$1,0),2)</f>
        <v>1.85</v>
      </c>
      <c r="Y61" s="3" t="str">
        <f>FIXED(VLOOKUP($A61,'Small Sample 1-No Sub'!$A:$R,Y$1,0),2)</f>
        <v>0.04</v>
      </c>
      <c r="Z61" s="3" t="str">
        <f>FIXED(VLOOKUP($A61,'Small Sample 1-No Sub'!$A:$R,Z$1,0),2)</f>
        <v>17.66</v>
      </c>
      <c r="AA61" s="9" t="str">
        <f>FIXED(VLOOKUP($A61,'Small Sample 2-Single Family'!$A:$R,AA$1,0),2)</f>
        <v>2.48</v>
      </c>
      <c r="AB61" s="3" t="str">
        <f>FIXED(VLOOKUP($A61,'Small Sample 2-Single Family'!$A:$R,AB$1,0),2)</f>
        <v>1.82</v>
      </c>
      <c r="AC61" s="3" t="str">
        <f>FIXED(VLOOKUP($A61,'Small Sample 2-Single Family'!$A:$R,AC$1,0),2)</f>
        <v>0.04</v>
      </c>
      <c r="AD61" s="3" t="str">
        <f>FIXED(VLOOKUP($A61,'Small Sample 2-Single Family'!$A:$R,AD$1,0),2)</f>
        <v>17.68</v>
      </c>
      <c r="AE61" s="9" t="str">
        <f>FIXED(VLOOKUP($A61,'Small Sample 2-Single Family'!$A:$R,AE$1,0),2)</f>
        <v>2.47</v>
      </c>
      <c r="AF61" s="3" t="str">
        <f>FIXED(VLOOKUP($A61,'Small Sample 2-Single Family'!$A:$R,AF$1,0),2)</f>
        <v>1.80</v>
      </c>
      <c r="AG61" s="3" t="str">
        <f>FIXED(VLOOKUP($A61,'Small Sample 2-Single Family'!$A:$R,AG$1,0),2)</f>
        <v>0.04</v>
      </c>
      <c r="AH61" s="13" t="str">
        <f>FIXED(VLOOKUP($A61,'Small Sample 2-Single Family'!$A:$R,AH$1,0),2)</f>
        <v>17.68</v>
      </c>
      <c r="AI61" s="9" t="str">
        <f>FIXED(VLOOKUP($A61,'Small Sample 2-Single Family'!$A:$R,AI$1,0),2)</f>
        <v>2.51</v>
      </c>
      <c r="AJ61" s="3" t="str">
        <f>FIXED(VLOOKUP($A61,'Small Sample 2-Single Family'!$A:$R,AJ$1,0),2)</f>
        <v>1.87</v>
      </c>
      <c r="AK61" s="3" t="e" vm="1">
        <f>FIXED(VLOOKUP($A61,'Full Sample-Townhouse'!$A:$R,AK$1,0),2)</f>
        <v>#VALUE!</v>
      </c>
      <c r="AL61" s="3" t="e" vm="1">
        <f>FIXED(VLOOKUP($A61,'Full Sample-Townhouse'!$A:$R,AL$1,0),2)</f>
        <v>#VALUE!</v>
      </c>
    </row>
    <row r="62" spans="1:73" x14ac:dyDescent="0.25">
      <c r="A62" t="s">
        <v>175</v>
      </c>
      <c r="B62" t="s">
        <v>182</v>
      </c>
      <c r="C62" s="9" t="str">
        <f>FIXED(VLOOKUP($A62,'Full Sample-Single Family'!$A:$R,C$1,0),2)</f>
        <v>2.58</v>
      </c>
      <c r="D62" s="3" t="str">
        <f>FIXED(VLOOKUP($A62,'Full Sample-Single Family'!$A:$R,D$1,0),2)</f>
        <v>1.73</v>
      </c>
      <c r="E62" s="3" t="str">
        <f>FIXED(VLOOKUP($A62,'Full Sample-Single Family'!$A:$R,E$1,0),2)</f>
        <v>0.04</v>
      </c>
      <c r="F62" s="3" t="str">
        <f>FIXED(VLOOKUP($A62,'Full Sample-Single Family'!$A:$R,F$1,0),2)</f>
        <v>17.68</v>
      </c>
      <c r="G62" s="9" t="str">
        <f>FIXED(VLOOKUP($A62,'Full Sample-Single Family'!$A:$R,G$1,0),2)</f>
        <v>2.56</v>
      </c>
      <c r="H62" s="3" t="str">
        <f>FIXED(VLOOKUP($A62,'Full Sample-Single Family'!$A:$R,H$1,0),2)</f>
        <v>1.70</v>
      </c>
      <c r="I62" s="3" t="str">
        <f>FIXED(VLOOKUP($A62,'Full Sample-Single Family'!$A:$R,I$1,0),2)</f>
        <v>0.05</v>
      </c>
      <c r="J62" s="13" t="str">
        <f>FIXED(VLOOKUP($A62,'Full Sample-Single Family'!$A:$R,J$1,0),2)</f>
        <v>17.68</v>
      </c>
      <c r="K62" s="9" t="str">
        <f>FIXED(VLOOKUP($A62,'Full Sample-Single Family'!$A:$R,K$1,0),2)</f>
        <v>2.61</v>
      </c>
      <c r="L62" s="3" t="str">
        <f>FIXED(VLOOKUP($A62,'Full Sample-Single Family'!$A:$R,L$1,0),2)</f>
        <v>1.76</v>
      </c>
      <c r="M62" s="3" t="str">
        <f>FIXED(VLOOKUP($A62,'Full Sample-No Sub'!$A:$R,M$1,0),2)</f>
        <v>0.03</v>
      </c>
      <c r="N62" s="13" t="str">
        <f>FIXED(VLOOKUP($A62,'Full Sample-No Sub'!$A:$R,N$1,0),2)</f>
        <v>17.66</v>
      </c>
      <c r="O62" s="9" t="str">
        <f>FIXED(VLOOKUP($A62,'Small Sample 1-Single Family'!$A:$R,O$1,0),2)</f>
        <v>2.57</v>
      </c>
      <c r="P62" s="3" t="str">
        <f>FIXED(VLOOKUP($A62,'Small Sample 1-Single Family'!$A:$R,P$1,0),2)</f>
        <v>1.74</v>
      </c>
      <c r="Q62" s="3" t="str">
        <f>FIXED(VLOOKUP($A62,'Small Sample 1-Single Family'!$A:$R,Q$1,0),2)</f>
        <v>0.04</v>
      </c>
      <c r="R62" s="3" t="str">
        <f>FIXED(VLOOKUP($A62,'Small Sample 1-Single Family'!$A:$R,R$1,0),2)</f>
        <v>17.68</v>
      </c>
      <c r="S62" s="9" t="str">
        <f>FIXED(VLOOKUP($A62,'Small Sample 1-Single Family'!$A:$R,S$1,0),2)</f>
        <v>0.22</v>
      </c>
      <c r="T62" s="3" t="str">
        <f>FIXED(VLOOKUP($A62,'Small Sample 1-Single Family'!$A:$R,T$1,0),2)</f>
        <v>0.15</v>
      </c>
      <c r="U62" s="3" t="str">
        <f>FIXED(VLOOKUP($A62,'Small Sample 1-Single Family'!$A:$R,U$1,0),2)</f>
        <v>0.00</v>
      </c>
      <c r="V62" s="13" t="str">
        <f>FIXED(VLOOKUP($A62,'Small Sample 1-Single Family'!$A:$R,V$1,0),2)</f>
        <v>0.86</v>
      </c>
      <c r="W62" s="9" t="str">
        <f>FIXED(VLOOKUP($A62,'Small Sample 1-Single Family'!$A:$R,W$1,0),2)</f>
        <v>2.61</v>
      </c>
      <c r="X62" s="3" t="str">
        <f>FIXED(VLOOKUP($A62,'Small Sample 1-Single Family'!$A:$R,X$1,0),2)</f>
        <v>1.77</v>
      </c>
      <c r="Y62" s="3" t="str">
        <f>FIXED(VLOOKUP($A62,'Small Sample 1-No Sub'!$A:$R,Y$1,0),2)</f>
        <v>0.03</v>
      </c>
      <c r="Z62" s="3" t="str">
        <f>FIXED(VLOOKUP($A62,'Small Sample 1-No Sub'!$A:$R,Z$1,0),2)</f>
        <v>17.66</v>
      </c>
      <c r="AA62" s="9" t="str">
        <f>FIXED(VLOOKUP($A62,'Small Sample 2-Single Family'!$A:$R,AA$1,0),2)</f>
        <v>2.57</v>
      </c>
      <c r="AB62" s="3" t="str">
        <f>FIXED(VLOOKUP($A62,'Small Sample 2-Single Family'!$A:$R,AB$1,0),2)</f>
        <v>1.74</v>
      </c>
      <c r="AC62" s="3" t="str">
        <f>FIXED(VLOOKUP($A62,'Small Sample 2-Single Family'!$A:$R,AC$1,0),2)</f>
        <v>0.04</v>
      </c>
      <c r="AD62" s="3" t="str">
        <f>FIXED(VLOOKUP($A62,'Small Sample 2-Single Family'!$A:$R,AD$1,0),2)</f>
        <v>17.68</v>
      </c>
      <c r="AE62" s="9" t="str">
        <f>FIXED(VLOOKUP($A62,'Small Sample 2-Single Family'!$A:$R,AE$1,0),2)</f>
        <v>2.55</v>
      </c>
      <c r="AF62" s="3" t="str">
        <f>FIXED(VLOOKUP($A62,'Small Sample 2-Single Family'!$A:$R,AF$1,0),2)</f>
        <v>1.70</v>
      </c>
      <c r="AG62" s="3" t="str">
        <f>FIXED(VLOOKUP($A62,'Small Sample 2-Single Family'!$A:$R,AG$1,0),2)</f>
        <v>0.05</v>
      </c>
      <c r="AH62" s="13" t="str">
        <f>FIXED(VLOOKUP($A62,'Small Sample 2-Single Family'!$A:$R,AH$1,0),2)</f>
        <v>17.68</v>
      </c>
      <c r="AI62" s="9" t="str">
        <f>FIXED(VLOOKUP($A62,'Small Sample 2-Single Family'!$A:$R,AI$1,0),2)</f>
        <v>2.60</v>
      </c>
      <c r="AJ62" s="3" t="str">
        <f>FIXED(VLOOKUP($A62,'Small Sample 2-Single Family'!$A:$R,AJ$1,0),2)</f>
        <v>1.80</v>
      </c>
      <c r="AK62" s="3" t="e" vm="1">
        <f>FIXED(VLOOKUP($A62,'Full Sample-Townhouse'!$A:$R,AK$1,0),2)</f>
        <v>#VALUE!</v>
      </c>
      <c r="AL62" s="3" t="e" vm="1">
        <f>FIXED(VLOOKUP($A62,'Full Sample-Townhouse'!$A:$R,AL$1,0),2)</f>
        <v>#VALUE!</v>
      </c>
    </row>
    <row r="63" spans="1:73" x14ac:dyDescent="0.25">
      <c r="A63" t="s">
        <v>53</v>
      </c>
      <c r="B63" t="s">
        <v>183</v>
      </c>
      <c r="C63" s="9" t="str">
        <f>FIXED(VLOOKUP($A63,'Full Sample-Single Family'!$A:$R,C$1,0),2)</f>
        <v>2,363,465.00</v>
      </c>
      <c r="D63" s="3" t="str">
        <f>FIXED(VLOOKUP($A63,'Full Sample-Single Family'!$A:$R,D$1,0),2)</f>
        <v>7,873.16</v>
      </c>
      <c r="E63" s="3" t="str">
        <f>FIXED(VLOOKUP($A63,'Full Sample-Single Family'!$A:$R,E$1,0),2)</f>
        <v>2,350,907.00</v>
      </c>
      <c r="F63" s="3" t="str">
        <f>FIXED(VLOOKUP($A63,'Full Sample-Single Family'!$A:$R,F$1,0),2)</f>
        <v>2,399,920.00</v>
      </c>
      <c r="G63" s="9" t="str">
        <f>FIXED(VLOOKUP($A63,'Full Sample-Single Family'!$A:$R,G$1,0),2)</f>
        <v>2,363,456.00</v>
      </c>
      <c r="H63" s="3" t="str">
        <f>FIXED(VLOOKUP($A63,'Full Sample-Single Family'!$A:$R,H$1,0),2)</f>
        <v>7,714.92</v>
      </c>
      <c r="I63" s="3" t="str">
        <f>FIXED(VLOOKUP($A63,'Full Sample-Single Family'!$A:$R,I$1,0),2)</f>
        <v>2,350,907.00</v>
      </c>
      <c r="J63" s="13" t="str">
        <f>FIXED(VLOOKUP($A63,'Full Sample-Single Family'!$A:$R,J$1,0),2)</f>
        <v>2,399,920.00</v>
      </c>
      <c r="K63" s="9" t="str">
        <f>FIXED(VLOOKUP($A63,'Full Sample-Single Family'!$A:$R,K$1,0),2)</f>
        <v>2,363,479.00</v>
      </c>
      <c r="L63" s="3" t="str">
        <f>FIXED(VLOOKUP($A63,'Full Sample-Single Family'!$A:$R,L$1,0),2)</f>
        <v>8,084.88</v>
      </c>
      <c r="M63" s="3" t="str">
        <f>FIXED(VLOOKUP($A63,'Full Sample-No Sub'!$A:$R,M$1,0),2)</f>
        <v>2,350,907.00</v>
      </c>
      <c r="N63" s="13" t="str">
        <f>FIXED(VLOOKUP($A63,'Full Sample-No Sub'!$A:$R,N$1,0),2)</f>
        <v>2,400,056.00</v>
      </c>
      <c r="O63" s="9" t="str">
        <f>FIXED(VLOOKUP($A63,'Small Sample 1-Single Family'!$A:$R,O$1,0),2)</f>
        <v>2,363,536.00</v>
      </c>
      <c r="P63" s="3" t="str">
        <f>FIXED(VLOOKUP($A63,'Small Sample 1-Single Family'!$A:$R,P$1,0),2)</f>
        <v>7,934.49</v>
      </c>
      <c r="Q63" s="3" t="str">
        <f>FIXED(VLOOKUP($A63,'Small Sample 1-Single Family'!$A:$R,Q$1,0),2)</f>
        <v>2,350,907.00</v>
      </c>
      <c r="R63" s="3" t="str">
        <f>FIXED(VLOOKUP($A63,'Small Sample 1-Single Family'!$A:$R,R$1,0),2)</f>
        <v>2,399,920.00</v>
      </c>
      <c r="S63" s="9" t="str">
        <f>FIXED(VLOOKUP($A63,'Small Sample 1-Single Family'!$A:$R,S$1,0),2)</f>
        <v>611,417.90</v>
      </c>
      <c r="T63" s="3" t="str">
        <f>FIXED(VLOOKUP($A63,'Small Sample 1-Single Family'!$A:$R,T$1,0),2)</f>
        <v>14,570.43</v>
      </c>
      <c r="U63" s="3" t="str">
        <f>FIXED(VLOOKUP($A63,'Small Sample 1-Single Family'!$A:$R,U$1,0),2)</f>
        <v>579,824.20</v>
      </c>
      <c r="V63" s="13" t="str">
        <f>FIXED(VLOOKUP($A63,'Small Sample 1-Single Family'!$A:$R,V$1,0),2)</f>
        <v>638,667.70</v>
      </c>
      <c r="W63" s="9" t="str">
        <f>FIXED(VLOOKUP($A63,'Small Sample 1-Single Family'!$A:$R,W$1,0),2)</f>
        <v>2,363,504.00</v>
      </c>
      <c r="X63" s="3" t="str">
        <f>FIXED(VLOOKUP($A63,'Small Sample 1-Single Family'!$A:$R,X$1,0),2)</f>
        <v>8,102.26</v>
      </c>
      <c r="Y63" s="3" t="str">
        <f>FIXED(VLOOKUP($A63,'Small Sample 1-No Sub'!$A:$R,Y$1,0),2)</f>
        <v>2,350,907.00</v>
      </c>
      <c r="Z63" s="3" t="str">
        <f>FIXED(VLOOKUP($A63,'Small Sample 1-No Sub'!$A:$R,Z$1,0),2)</f>
        <v>2,400,056.00</v>
      </c>
      <c r="AA63" s="9" t="str">
        <f>FIXED(VLOOKUP($A63,'Small Sample 2-Single Family'!$A:$R,AA$1,0),2)</f>
        <v>2,363,536.00</v>
      </c>
      <c r="AB63" s="3" t="str">
        <f>FIXED(VLOOKUP($A63,'Small Sample 2-Single Family'!$A:$R,AB$1,0),2)</f>
        <v>7,934.49</v>
      </c>
      <c r="AC63" s="3" t="str">
        <f>FIXED(VLOOKUP($A63,'Small Sample 2-Single Family'!$A:$R,AC$1,0),2)</f>
        <v>2,350,907.00</v>
      </c>
      <c r="AD63" s="3" t="str">
        <f>FIXED(VLOOKUP($A63,'Small Sample 2-Single Family'!$A:$R,AD$1,0),2)</f>
        <v>2,399,920.00</v>
      </c>
      <c r="AE63" s="9" t="str">
        <f>FIXED(VLOOKUP($A63,'Small Sample 2-Single Family'!$A:$R,AE$1,0),2)</f>
        <v>2,363,482.00</v>
      </c>
      <c r="AF63" s="3" t="str">
        <f>FIXED(VLOOKUP($A63,'Small Sample 2-Single Family'!$A:$R,AF$1,0),2)</f>
        <v>7,750.89</v>
      </c>
      <c r="AG63" s="3" t="str">
        <f>FIXED(VLOOKUP($A63,'Small Sample 2-Single Family'!$A:$R,AG$1,0),2)</f>
        <v>2,350,907.00</v>
      </c>
      <c r="AH63" s="13" t="str">
        <f>FIXED(VLOOKUP($A63,'Small Sample 2-Single Family'!$A:$R,AH$1,0),2)</f>
        <v>2,399,920.00</v>
      </c>
      <c r="AI63" s="9" t="str">
        <f>FIXED(VLOOKUP($A63,'Small Sample 2-Single Family'!$A:$R,AI$1,0),2)</f>
        <v>2,363,627.00</v>
      </c>
      <c r="AJ63" s="3" t="str">
        <f>FIXED(VLOOKUP($A63,'Small Sample 2-Single Family'!$A:$R,AJ$1,0),2)</f>
        <v>8,232.09</v>
      </c>
      <c r="AK63" s="3" t="e" vm="1">
        <f>FIXED(VLOOKUP($A63,'Full Sample-Townhouse'!$A:$R,AK$1,0),2)</f>
        <v>#VALUE!</v>
      </c>
      <c r="AL63" s="3" t="e" vm="1">
        <f>FIXED(VLOOKUP($A63,'Full Sample-Townhouse'!$A:$R,AL$1,0),2)</f>
        <v>#VALUE!</v>
      </c>
    </row>
    <row r="64" spans="1:73" x14ac:dyDescent="0.25">
      <c r="A64" t="s">
        <v>54</v>
      </c>
      <c r="B64" t="s">
        <v>184</v>
      </c>
      <c r="C64" s="9" t="str">
        <f>FIXED(VLOOKUP($A64,'Full Sample-Single Family'!$A:$R,C$1,0),2)</f>
        <v>610,985.60</v>
      </c>
      <c r="D64" s="3" t="str">
        <f>FIXED(VLOOKUP($A64,'Full Sample-Single Family'!$A:$R,D$1,0),2)</f>
        <v>14,875.62</v>
      </c>
      <c r="E64" s="3" t="str">
        <f>FIXED(VLOOKUP($A64,'Full Sample-Single Family'!$A:$R,E$1,0),2)</f>
        <v>579,824.20</v>
      </c>
      <c r="F64" s="3" t="str">
        <f>FIXED(VLOOKUP($A64,'Full Sample-Single Family'!$A:$R,F$1,0),2)</f>
        <v>638,667.70</v>
      </c>
      <c r="G64" s="9" t="str">
        <f>FIXED(VLOOKUP($A64,'Full Sample-Single Family'!$A:$R,G$1,0),2)</f>
        <v>610,586.60</v>
      </c>
      <c r="H64" s="3" t="str">
        <f>FIXED(VLOOKUP($A64,'Full Sample-Single Family'!$A:$R,H$1,0),2)</f>
        <v>14,742.77</v>
      </c>
      <c r="I64" s="3" t="str">
        <f>FIXED(VLOOKUP($A64,'Full Sample-Single Family'!$A:$R,I$1,0),2)</f>
        <v>579,824.20</v>
      </c>
      <c r="J64" s="13" t="str">
        <f>FIXED(VLOOKUP($A64,'Full Sample-Single Family'!$A:$R,J$1,0),2)</f>
        <v>638,667.70</v>
      </c>
      <c r="K64" s="9" t="str">
        <f>FIXED(VLOOKUP($A64,'Full Sample-Single Family'!$A:$R,K$1,0),2)</f>
        <v>611,531.10</v>
      </c>
      <c r="L64" s="3" t="str">
        <f>FIXED(VLOOKUP($A64,'Full Sample-Single Family'!$A:$R,L$1,0),2)</f>
        <v>15,039.02</v>
      </c>
      <c r="M64" s="3" t="str">
        <f>FIXED(VLOOKUP($A64,'Full Sample-No Sub'!$A:$R,M$1,0),2)</f>
        <v>579,905.60</v>
      </c>
      <c r="N64" s="13" t="str">
        <f>FIXED(VLOOKUP($A64,'Full Sample-No Sub'!$A:$R,N$1,0),2)</f>
        <v>638,597.20</v>
      </c>
      <c r="O64" s="9" t="str">
        <f>FIXED(VLOOKUP($A64,'Small Sample 1-Single Family'!$A:$R,O$1,0),2)</f>
        <v>611,470.30</v>
      </c>
      <c r="P64" s="3" t="str">
        <f>FIXED(VLOOKUP($A64,'Small Sample 1-Single Family'!$A:$R,P$1,0),2)</f>
        <v>14,767.15</v>
      </c>
      <c r="Q64" s="3" t="str">
        <f>FIXED(VLOOKUP($A64,'Small Sample 1-Single Family'!$A:$R,Q$1,0),2)</f>
        <v>579,824.20</v>
      </c>
      <c r="R64" s="3" t="str">
        <f>FIXED(VLOOKUP($A64,'Small Sample 1-Single Family'!$A:$R,R$1,0),2)</f>
        <v>638,667.70</v>
      </c>
      <c r="S64" s="9" t="str">
        <f>FIXED(VLOOKUP($A64,'Small Sample 1-Single Family'!$A:$R,S$1,0),2)</f>
        <v>0.00</v>
      </c>
      <c r="T64" s="3" t="str">
        <f>FIXED(VLOOKUP($A64,'Small Sample 1-Single Family'!$A:$R,T$1,0),2)</f>
        <v>0.00</v>
      </c>
      <c r="U64" s="3" t="str">
        <f>FIXED(VLOOKUP($A64,'Small Sample 1-Single Family'!$A:$R,U$1,0),2)</f>
        <v>0.00</v>
      </c>
      <c r="V64" s="13" t="str">
        <f>FIXED(VLOOKUP($A64,'Small Sample 1-Single Family'!$A:$R,V$1,0),2)</f>
        <v>0.00</v>
      </c>
      <c r="W64" s="9" t="str">
        <f>FIXED(VLOOKUP($A64,'Small Sample 1-Single Family'!$A:$R,W$1,0),2)</f>
        <v>611,529.60</v>
      </c>
      <c r="X64" s="3" t="str">
        <f>FIXED(VLOOKUP($A64,'Small Sample 1-Single Family'!$A:$R,X$1,0),2)</f>
        <v>14,987.65</v>
      </c>
      <c r="Y64" s="3" t="str">
        <f>FIXED(VLOOKUP($A64,'Small Sample 1-No Sub'!$A:$R,Y$1,0),2)</f>
        <v>579,905.60</v>
      </c>
      <c r="Z64" s="3" t="str">
        <f>FIXED(VLOOKUP($A64,'Small Sample 1-No Sub'!$A:$R,Z$1,0),2)</f>
        <v>638,597.20</v>
      </c>
      <c r="AA64" s="9" t="str">
        <f>FIXED(VLOOKUP($A64,'Small Sample 2-Single Family'!$A:$R,AA$1,0),2)</f>
        <v>611,470.30</v>
      </c>
      <c r="AB64" s="3" t="str">
        <f>FIXED(VLOOKUP($A64,'Small Sample 2-Single Family'!$A:$R,AB$1,0),2)</f>
        <v>14,767.15</v>
      </c>
      <c r="AC64" s="3" t="str">
        <f>FIXED(VLOOKUP($A64,'Small Sample 2-Single Family'!$A:$R,AC$1,0),2)</f>
        <v>579,824.20</v>
      </c>
      <c r="AD64" s="3" t="str">
        <f>FIXED(VLOOKUP($A64,'Small Sample 2-Single Family'!$A:$R,AD$1,0),2)</f>
        <v>638,667.70</v>
      </c>
      <c r="AE64" s="9" t="str">
        <f>FIXED(VLOOKUP($A64,'Small Sample 2-Single Family'!$A:$R,AE$1,0),2)</f>
        <v>610,832.70</v>
      </c>
      <c r="AF64" s="3" t="str">
        <f>FIXED(VLOOKUP($A64,'Small Sample 2-Single Family'!$A:$R,AF$1,0),2)</f>
        <v>14,701.23</v>
      </c>
      <c r="AG64" s="3" t="str">
        <f>FIXED(VLOOKUP($A64,'Small Sample 2-Single Family'!$A:$R,AG$1,0),2)</f>
        <v>579,824.20</v>
      </c>
      <c r="AH64" s="13" t="str">
        <f>FIXED(VLOOKUP($A64,'Small Sample 2-Single Family'!$A:$R,AH$1,0),2)</f>
        <v>638,667.70</v>
      </c>
      <c r="AI64" s="9" t="str">
        <f>FIXED(VLOOKUP($A64,'Small Sample 2-Single Family'!$A:$R,AI$1,0),2)</f>
        <v>612,536.40</v>
      </c>
      <c r="AJ64" s="3" t="str">
        <f>FIXED(VLOOKUP($A64,'Small Sample 2-Single Family'!$A:$R,AJ$1,0),2)</f>
        <v>14,816.53</v>
      </c>
      <c r="AK64" s="3" t="e" vm="1">
        <f>FIXED(VLOOKUP($A64,'Full Sample-Townhouse'!$A:$R,AK$1,0),2)</f>
        <v>#VALUE!</v>
      </c>
      <c r="AL64" s="3" t="e" vm="1">
        <f>FIXED(VLOOKUP($A64,'Full Sample-Townhouse'!$A:$R,AL$1,0),2)</f>
        <v>#VALUE!</v>
      </c>
    </row>
    <row r="65" spans="1:38" x14ac:dyDescent="0.25">
      <c r="A65" t="s">
        <v>79</v>
      </c>
      <c r="B65" s="4" t="s">
        <v>155</v>
      </c>
      <c r="C65" s="9" t="str">
        <f>FIXED(VLOOKUP($A65,'Full Sample-Single Family'!$A:$R,C$1,0),2)</f>
        <v>0.03</v>
      </c>
      <c r="D65" s="3" t="str">
        <f>FIXED(VLOOKUP($A65,'Full Sample-Single Family'!$A:$R,D$1,0),2)</f>
        <v>0.18</v>
      </c>
      <c r="E65" s="3" t="str">
        <f>FIXED(VLOOKUP($A65,'Full Sample-Single Family'!$A:$R,E$1,0),2)</f>
        <v>0.00</v>
      </c>
      <c r="F65" s="3" t="str">
        <f>FIXED(VLOOKUP($A65,'Full Sample-Single Family'!$A:$R,F$1,0),2)</f>
        <v>1.00</v>
      </c>
      <c r="G65" s="9" t="str">
        <f>FIXED(VLOOKUP($A65,'Full Sample-Single Family'!$A:$R,G$1,0),2)</f>
        <v>0.03</v>
      </c>
      <c r="H65" s="3" t="str">
        <f>FIXED(VLOOKUP($A65,'Full Sample-Single Family'!$A:$R,H$1,0),2)</f>
        <v>0.17</v>
      </c>
      <c r="I65" s="3" t="str">
        <f>FIXED(VLOOKUP($A65,'Full Sample-Single Family'!$A:$R,I$1,0),2)</f>
        <v>0.00</v>
      </c>
      <c r="J65" s="13" t="str">
        <f>FIXED(VLOOKUP($A65,'Full Sample-Single Family'!$A:$R,J$1,0),2)</f>
        <v>1.00</v>
      </c>
      <c r="K65" s="9" t="str">
        <f>FIXED(VLOOKUP($A65,'Full Sample-Single Family'!$A:$R,K$1,0),2)</f>
        <v>0.04</v>
      </c>
      <c r="L65" s="3" t="str">
        <f>FIXED(VLOOKUP($A65,'Full Sample-Single Family'!$A:$R,L$1,0),2)</f>
        <v>0.19</v>
      </c>
      <c r="M65" s="3" t="str">
        <f>FIXED(VLOOKUP($A65,'Full Sample-No Sub'!$A:$R,M$1,0),2)</f>
        <v>0.00</v>
      </c>
      <c r="N65" s="13" t="str">
        <f>FIXED(VLOOKUP($A65,'Full Sample-No Sub'!$A:$R,N$1,0),2)</f>
        <v>1.00</v>
      </c>
      <c r="O65" s="9" t="str">
        <f>FIXED(VLOOKUP($A65,'Small Sample 1-Single Family'!$A:$R,O$1,0),2)</f>
        <v>0.03</v>
      </c>
      <c r="P65" s="3" t="str">
        <f>FIXED(VLOOKUP($A65,'Small Sample 1-Single Family'!$A:$R,P$1,0),2)</f>
        <v>0.18</v>
      </c>
      <c r="Q65" s="3" t="str">
        <f>FIXED(VLOOKUP($A65,'Small Sample 1-Single Family'!$A:$R,Q$1,0),2)</f>
        <v>0.00</v>
      </c>
      <c r="R65" s="3" t="str">
        <f>FIXED(VLOOKUP($A65,'Small Sample 1-Single Family'!$A:$R,R$1,0),2)</f>
        <v>1.00</v>
      </c>
      <c r="S65" s="9" t="str">
        <f>FIXED(VLOOKUP($A65,'Small Sample 1-Single Family'!$A:$R,S$1,0),2)</f>
        <v>0.00</v>
      </c>
      <c r="T65" s="3" t="str">
        <f>FIXED(VLOOKUP($A65,'Small Sample 1-Single Family'!$A:$R,T$1,0),2)</f>
        <v>0.02</v>
      </c>
      <c r="U65" s="3" t="str">
        <f>FIXED(VLOOKUP($A65,'Small Sample 1-Single Family'!$A:$R,U$1,0),2)</f>
        <v>0.00</v>
      </c>
      <c r="V65" s="13" t="str">
        <f>FIXED(VLOOKUP($A65,'Small Sample 1-Single Family'!$A:$R,V$1,0),2)</f>
        <v>1.00</v>
      </c>
      <c r="W65" s="9" t="str">
        <f>FIXED(VLOOKUP($A65,'Small Sample 1-Single Family'!$A:$R,W$1,0),2)</f>
        <v>0.04</v>
      </c>
      <c r="X65" s="3" t="str">
        <f>FIXED(VLOOKUP($A65,'Small Sample 1-Single Family'!$A:$R,X$1,0),2)</f>
        <v>0.18</v>
      </c>
      <c r="Y65" s="3" t="str">
        <f>FIXED(VLOOKUP($A65,'Small Sample 1-No Sub'!$A:$R,Y$1,0),2)</f>
        <v>0.00</v>
      </c>
      <c r="Z65" s="3" t="str">
        <f>FIXED(VLOOKUP($A65,'Small Sample 1-No Sub'!$A:$R,Z$1,0),2)</f>
        <v>1.00</v>
      </c>
      <c r="AA65" s="9" t="str">
        <f>FIXED(VLOOKUP($A65,'Small Sample 2-Single Family'!$A:$R,AA$1,0),2)</f>
        <v>0.03</v>
      </c>
      <c r="AB65" s="3" t="str">
        <f>FIXED(VLOOKUP($A65,'Small Sample 2-Single Family'!$A:$R,AB$1,0),2)</f>
        <v>0.18</v>
      </c>
      <c r="AC65" s="3" t="str">
        <f>FIXED(VLOOKUP($A65,'Small Sample 2-Single Family'!$A:$R,AC$1,0),2)</f>
        <v>0.00</v>
      </c>
      <c r="AD65" s="3" t="str">
        <f>FIXED(VLOOKUP($A65,'Small Sample 2-Single Family'!$A:$R,AD$1,0),2)</f>
        <v>1.00</v>
      </c>
      <c r="AE65" s="9" t="str">
        <f>FIXED(VLOOKUP($A65,'Small Sample 2-Single Family'!$A:$R,AE$1,0),2)</f>
        <v>0.03</v>
      </c>
      <c r="AF65" s="3" t="str">
        <f>FIXED(VLOOKUP($A65,'Small Sample 2-Single Family'!$A:$R,AF$1,0),2)</f>
        <v>0.17</v>
      </c>
      <c r="AG65" s="3" t="str">
        <f>FIXED(VLOOKUP($A65,'Small Sample 2-Single Family'!$A:$R,AG$1,0),2)</f>
        <v>0.00</v>
      </c>
      <c r="AH65" s="13" t="str">
        <f>FIXED(VLOOKUP($A65,'Small Sample 2-Single Family'!$A:$R,AH$1,0),2)</f>
        <v>1.00</v>
      </c>
      <c r="AI65" s="9" t="str">
        <f>FIXED(VLOOKUP($A65,'Small Sample 2-Single Family'!$A:$R,AI$1,0),2)</f>
        <v>0.04</v>
      </c>
      <c r="AJ65" s="3" t="str">
        <f>FIXED(VLOOKUP($A65,'Small Sample 2-Single Family'!$A:$R,AJ$1,0),2)</f>
        <v>0.19</v>
      </c>
      <c r="AK65" s="3" t="e" vm="1">
        <f>FIXED(VLOOKUP($A65,'Full Sample-Townhouse'!$A:$R,AK$1,0),2)</f>
        <v>#VALUE!</v>
      </c>
      <c r="AL65" s="3" t="e" vm="1">
        <f>FIXED(VLOOKUP($A65,'Full Sample-Townhouse'!$A:$R,AL$1,0),2)</f>
        <v>#VALUE!</v>
      </c>
    </row>
    <row r="66" spans="1:38" x14ac:dyDescent="0.25">
      <c r="A66" t="s">
        <v>80</v>
      </c>
      <c r="B66" s="4" t="s">
        <v>156</v>
      </c>
      <c r="C66" s="23">
        <f>VLOOKUP($A66,'Full Sample-Single Family'!$A:$R,C$1,0)</f>
        <v>2.9999999999999997E-4</v>
      </c>
      <c r="D66" s="3" t="str">
        <f>FIXED(VLOOKUP($A66,'Full Sample-Single Family'!$A:$R,D$1,0),2)</f>
        <v>0.02</v>
      </c>
      <c r="E66" s="3" t="str">
        <f>FIXED(VLOOKUP($A66,'Full Sample-Single Family'!$A:$R,E$1,0),2)</f>
        <v>0.00</v>
      </c>
      <c r="F66" s="3" t="str">
        <f>FIXED(VLOOKUP($A66,'Full Sample-Single Family'!$A:$R,F$1,0),2)</f>
        <v>1.00</v>
      </c>
      <c r="G66" s="23">
        <f>VLOOKUP($A66,'Full Sample-Single Family'!$A:$R,G$1,0)</f>
        <v>5.0000000000000001E-4</v>
      </c>
      <c r="H66" s="3" t="str">
        <f>FIXED(VLOOKUP($A66,'Full Sample-Single Family'!$A:$R,H$1,0),2)</f>
        <v>0.02</v>
      </c>
      <c r="I66" s="3" t="str">
        <f>FIXED(VLOOKUP($A66,'Full Sample-Single Family'!$A:$R,I$1,0),2)</f>
        <v>0.00</v>
      </c>
      <c r="J66" s="13" t="str">
        <f>FIXED(VLOOKUP($A66,'Full Sample-Single Family'!$A:$R,J$1,0),2)</f>
        <v>1.00</v>
      </c>
      <c r="K66" s="23">
        <f>VLOOKUP($A66,'Full Sample-Single Family'!$A:$R,K$1,0)</f>
        <v>1E-4</v>
      </c>
      <c r="L66" s="3" t="str">
        <f>FIXED(VLOOKUP($A66,'Full Sample-Single Family'!$A:$R,L$1,0),2)</f>
        <v>0.01</v>
      </c>
      <c r="M66" s="3" t="str">
        <f>FIXED(VLOOKUP($A66,'Full Sample-No Sub'!$A:$R,M$1,0),2)</f>
        <v>0.00</v>
      </c>
      <c r="N66" s="13" t="str">
        <f>FIXED(VLOOKUP($A66,'Full Sample-No Sub'!$A:$R,N$1,0),2)</f>
        <v>1.00</v>
      </c>
      <c r="O66" s="23">
        <f>VLOOKUP($A66,'Small Sample 1-Single Family'!$A:$R,O$1,0)</f>
        <v>4.0000000000000002E-4</v>
      </c>
      <c r="P66" s="3" t="str">
        <f>FIXED(VLOOKUP($A66,'Small Sample 1-Single Family'!$A:$R,P$1,0),2)</f>
        <v>0.02</v>
      </c>
      <c r="Q66" s="3" t="str">
        <f>FIXED(VLOOKUP($A66,'Small Sample 1-Single Family'!$A:$R,Q$1,0),2)</f>
        <v>0.00</v>
      </c>
      <c r="R66" s="3" t="str">
        <f>FIXED(VLOOKUP($A66,'Small Sample 1-Single Family'!$A:$R,R$1,0),2)</f>
        <v>1.00</v>
      </c>
      <c r="S66" s="23">
        <f>VLOOKUP($A66,'Small Sample 1-Single Family'!$A:$R,S$1,0)</f>
        <v>3.0000000000000001E-3</v>
      </c>
      <c r="T66" s="3" t="str">
        <f>FIXED(VLOOKUP($A66,'Small Sample 1-Single Family'!$A:$R,T$1,0),2)</f>
        <v>0.05</v>
      </c>
      <c r="U66" s="3" t="str">
        <f>FIXED(VLOOKUP($A66,'Small Sample 1-Single Family'!$A:$R,U$1,0),2)</f>
        <v>0.00</v>
      </c>
      <c r="V66" s="13" t="str">
        <f>FIXED(VLOOKUP($A66,'Small Sample 1-Single Family'!$A:$R,V$1,0),2)</f>
        <v>1.00</v>
      </c>
      <c r="W66" s="23">
        <f>VLOOKUP($A66,'Small Sample 1-Single Family'!$A:$R,W$1,0)</f>
        <v>1E-4</v>
      </c>
      <c r="X66" s="3" t="str">
        <f>FIXED(VLOOKUP($A66,'Small Sample 1-Single Family'!$A:$R,X$1,0),2)</f>
        <v>0.01</v>
      </c>
      <c r="Y66" s="3" t="str">
        <f>FIXED(VLOOKUP($A66,'Small Sample 1-No Sub'!$A:$R,Y$1,0),2)</f>
        <v>0.00</v>
      </c>
      <c r="Z66" s="3" t="str">
        <f>FIXED(VLOOKUP($A66,'Small Sample 1-No Sub'!$A:$R,Z$1,0),2)</f>
        <v>1.00</v>
      </c>
      <c r="AA66" s="23">
        <f>VLOOKUP($A66,'Small Sample 2-Single Family'!$A:$R,AA$1,0)</f>
        <v>4.0000000000000002E-4</v>
      </c>
      <c r="AB66" s="3" t="str">
        <f>FIXED(VLOOKUP($A66,'Small Sample 2-Single Family'!$A:$R,AB$1,0),2)</f>
        <v>0.02</v>
      </c>
      <c r="AC66" s="3" t="str">
        <f>FIXED(VLOOKUP($A66,'Small Sample 2-Single Family'!$A:$R,AC$1,0),2)</f>
        <v>0.00</v>
      </c>
      <c r="AD66" s="3" t="str">
        <f>FIXED(VLOOKUP($A66,'Small Sample 2-Single Family'!$A:$R,AD$1,0),2)</f>
        <v>1.00</v>
      </c>
      <c r="AE66" s="23">
        <f>VLOOKUP($A66,'Small Sample 2-Single Family'!$A:$R,AE$1,0)</f>
        <v>5.0000000000000001E-4</v>
      </c>
      <c r="AF66" s="3" t="str">
        <f>FIXED(VLOOKUP($A66,'Small Sample 2-Single Family'!$A:$R,AF$1,0),2)</f>
        <v>0.02</v>
      </c>
      <c r="AG66" s="3" t="str">
        <f>FIXED(VLOOKUP($A66,'Small Sample 2-Single Family'!$A:$R,AG$1,0),2)</f>
        <v>0.00</v>
      </c>
      <c r="AH66" s="13" t="str">
        <f>FIXED(VLOOKUP($A66,'Small Sample 2-Single Family'!$A:$R,AH$1,0),2)</f>
        <v>1.00</v>
      </c>
      <c r="AI66" s="23">
        <f>VLOOKUP($A66,'Small Sample 2-Single Family'!$A:$R,AI$1,0)</f>
        <v>1E-4</v>
      </c>
      <c r="AJ66" s="3" t="str">
        <f>FIXED(VLOOKUP($A66,'Small Sample 2-Single Family'!$A:$R,AJ$1,0),2)</f>
        <v>0.01</v>
      </c>
      <c r="AK66" s="3" t="e" vm="1">
        <f>FIXED(VLOOKUP($A66,'Full Sample-Townhouse'!$A:$R,AK$1,0),2)</f>
        <v>#VALUE!</v>
      </c>
      <c r="AL66" s="3" t="e" vm="1">
        <f>FIXED(VLOOKUP($A66,'Full Sample-Townhouse'!$A:$R,AL$1,0),2)</f>
        <v>#VALUE!</v>
      </c>
    </row>
    <row r="67" spans="1:38" x14ac:dyDescent="0.25">
      <c r="A67" t="s">
        <v>81</v>
      </c>
      <c r="B67" s="4" t="s">
        <v>157</v>
      </c>
      <c r="C67" s="23">
        <f>VLOOKUP($A67,'Full Sample-Single Family'!$A:$R,C$1,0)</f>
        <v>3.0000000000000001E-3</v>
      </c>
      <c r="D67" s="3" t="str">
        <f>FIXED(VLOOKUP($A67,'Full Sample-Single Family'!$A:$R,D$1,0),2)</f>
        <v>0.06</v>
      </c>
      <c r="E67" s="3" t="str">
        <f>FIXED(VLOOKUP($A67,'Full Sample-Single Family'!$A:$R,E$1,0),2)</f>
        <v>0.00</v>
      </c>
      <c r="F67" s="3" t="str">
        <f>FIXED(VLOOKUP($A67,'Full Sample-Single Family'!$A:$R,F$1,0),2)</f>
        <v>1.00</v>
      </c>
      <c r="G67" s="23">
        <f>VLOOKUP($A67,'Full Sample-Single Family'!$A:$R,G$1,0)</f>
        <v>3.0000000000000001E-3</v>
      </c>
      <c r="H67" s="3" t="str">
        <f>FIXED(VLOOKUP($A67,'Full Sample-Single Family'!$A:$R,H$1,0),2)</f>
        <v>0.06</v>
      </c>
      <c r="I67" s="3" t="str">
        <f>FIXED(VLOOKUP($A67,'Full Sample-Single Family'!$A:$R,I$1,0),2)</f>
        <v>0.00</v>
      </c>
      <c r="J67" s="13" t="str">
        <f>FIXED(VLOOKUP($A67,'Full Sample-Single Family'!$A:$R,J$1,0),2)</f>
        <v>1.00</v>
      </c>
      <c r="K67" s="23">
        <f>VLOOKUP($A67,'Full Sample-Single Family'!$A:$R,K$1,0)</f>
        <v>4.0000000000000001E-3</v>
      </c>
      <c r="L67" s="3" t="str">
        <f>FIXED(VLOOKUP($A67,'Full Sample-Single Family'!$A:$R,L$1,0),2)</f>
        <v>0.06</v>
      </c>
      <c r="M67" s="3" t="str">
        <f>FIXED(VLOOKUP($A67,'Full Sample-No Sub'!$A:$R,M$1,0),2)</f>
        <v>0.00</v>
      </c>
      <c r="N67" s="13" t="str">
        <f>FIXED(VLOOKUP($A67,'Full Sample-No Sub'!$A:$R,N$1,0),2)</f>
        <v>1.00</v>
      </c>
      <c r="O67" s="23">
        <f>VLOOKUP($A67,'Small Sample 1-Single Family'!$A:$R,O$1,0)</f>
        <v>3.0000000000000001E-3</v>
      </c>
      <c r="P67" s="3" t="str">
        <f>FIXED(VLOOKUP($A67,'Small Sample 1-Single Family'!$A:$R,P$1,0),2)</f>
        <v>0.06</v>
      </c>
      <c r="Q67" s="3" t="str">
        <f>FIXED(VLOOKUP($A67,'Small Sample 1-Single Family'!$A:$R,Q$1,0),2)</f>
        <v>0.00</v>
      </c>
      <c r="R67" s="3" t="str">
        <f>FIXED(VLOOKUP($A67,'Small Sample 1-Single Family'!$A:$R,R$1,0),2)</f>
        <v>1.00</v>
      </c>
      <c r="S67" s="23">
        <f>VLOOKUP($A67,'Small Sample 1-Single Family'!$A:$R,S$1,0)</f>
        <v>4.0000000000000001E-3</v>
      </c>
      <c r="T67" s="3" t="str">
        <f>FIXED(VLOOKUP($A67,'Small Sample 1-Single Family'!$A:$R,T$1,0),2)</f>
        <v>0.06</v>
      </c>
      <c r="U67" s="3" t="str">
        <f>FIXED(VLOOKUP($A67,'Small Sample 1-Single Family'!$A:$R,U$1,0),2)</f>
        <v>0.00</v>
      </c>
      <c r="V67" s="13" t="str">
        <f>FIXED(VLOOKUP($A67,'Small Sample 1-Single Family'!$A:$R,V$1,0),2)</f>
        <v>1.00</v>
      </c>
      <c r="W67" s="23">
        <f>VLOOKUP($A67,'Small Sample 1-Single Family'!$A:$R,W$1,0)</f>
        <v>4.0000000000000001E-3</v>
      </c>
      <c r="X67" s="3" t="str">
        <f>FIXED(VLOOKUP($A67,'Small Sample 1-Single Family'!$A:$R,X$1,0),2)</f>
        <v>0.06</v>
      </c>
      <c r="Y67" s="3" t="str">
        <f>FIXED(VLOOKUP($A67,'Small Sample 1-No Sub'!$A:$R,Y$1,0),2)</f>
        <v>0.00</v>
      </c>
      <c r="Z67" s="3" t="str">
        <f>FIXED(VLOOKUP($A67,'Small Sample 1-No Sub'!$A:$R,Z$1,0),2)</f>
        <v>1.00</v>
      </c>
      <c r="AA67" s="23">
        <f>VLOOKUP($A67,'Small Sample 2-Single Family'!$A:$R,AA$1,0)</f>
        <v>3.0000000000000001E-3</v>
      </c>
      <c r="AB67" s="3" t="str">
        <f>FIXED(VLOOKUP($A67,'Small Sample 2-Single Family'!$A:$R,AB$1,0),2)</f>
        <v>0.06</v>
      </c>
      <c r="AC67" s="3" t="str">
        <f>FIXED(VLOOKUP($A67,'Small Sample 2-Single Family'!$A:$R,AC$1,0),2)</f>
        <v>0.00</v>
      </c>
      <c r="AD67" s="3" t="str">
        <f>FIXED(VLOOKUP($A67,'Small Sample 2-Single Family'!$A:$R,AD$1,0),2)</f>
        <v>1.00</v>
      </c>
      <c r="AE67" s="23">
        <f>VLOOKUP($A67,'Small Sample 2-Single Family'!$A:$R,AE$1,0)</f>
        <v>3.0000000000000001E-3</v>
      </c>
      <c r="AF67" s="3" t="str">
        <f>FIXED(VLOOKUP($A67,'Small Sample 2-Single Family'!$A:$R,AF$1,0),2)</f>
        <v>0.06</v>
      </c>
      <c r="AG67" s="3" t="str">
        <f>FIXED(VLOOKUP($A67,'Small Sample 2-Single Family'!$A:$R,AG$1,0),2)</f>
        <v>0.00</v>
      </c>
      <c r="AH67" s="13" t="str">
        <f>FIXED(VLOOKUP($A67,'Small Sample 2-Single Family'!$A:$R,AH$1,0),2)</f>
        <v>1.00</v>
      </c>
      <c r="AI67" s="23">
        <f>VLOOKUP($A67,'Small Sample 2-Single Family'!$A:$R,AI$1,0)</f>
        <v>3.0000000000000001E-3</v>
      </c>
      <c r="AJ67" s="3" t="str">
        <f>FIXED(VLOOKUP($A67,'Small Sample 2-Single Family'!$A:$R,AJ$1,0),2)</f>
        <v>0.05</v>
      </c>
      <c r="AK67" s="3" t="e" vm="1">
        <f>FIXED(VLOOKUP($A67,'Full Sample-Townhouse'!$A:$R,AK$1,0),2)</f>
        <v>#VALUE!</v>
      </c>
      <c r="AL67" s="3" t="e" vm="1">
        <f>FIXED(VLOOKUP($A67,'Full Sample-Townhouse'!$A:$R,AL$1,0),2)</f>
        <v>#VALUE!</v>
      </c>
    </row>
    <row r="68" spans="1:38" x14ac:dyDescent="0.25">
      <c r="A68" t="s">
        <v>82</v>
      </c>
      <c r="B68" s="4" t="s">
        <v>158</v>
      </c>
      <c r="C68" s="23">
        <f>VLOOKUP($A68,'Full Sample-Single Family'!$A:$R,C$1,0)</f>
        <v>4.0000000000000001E-3</v>
      </c>
      <c r="D68" s="3" t="str">
        <f>FIXED(VLOOKUP($A68,'Full Sample-Single Family'!$A:$R,D$1,0),2)</f>
        <v>0.06</v>
      </c>
      <c r="E68" s="3" t="str">
        <f>FIXED(VLOOKUP($A68,'Full Sample-Single Family'!$A:$R,E$1,0),2)</f>
        <v>0.00</v>
      </c>
      <c r="F68" s="3" t="str">
        <f>FIXED(VLOOKUP($A68,'Full Sample-Single Family'!$A:$R,F$1,0),2)</f>
        <v>1.00</v>
      </c>
      <c r="G68" s="23">
        <f>VLOOKUP($A68,'Full Sample-Single Family'!$A:$R,G$1,0)</f>
        <v>4.0000000000000001E-3</v>
      </c>
      <c r="H68" s="3" t="str">
        <f>FIXED(VLOOKUP($A68,'Full Sample-Single Family'!$A:$R,H$1,0),2)</f>
        <v>0.06</v>
      </c>
      <c r="I68" s="3" t="str">
        <f>FIXED(VLOOKUP($A68,'Full Sample-Single Family'!$A:$R,I$1,0),2)</f>
        <v>0.00</v>
      </c>
      <c r="J68" s="13" t="str">
        <f>FIXED(VLOOKUP($A68,'Full Sample-Single Family'!$A:$R,J$1,0),2)</f>
        <v>1.00</v>
      </c>
      <c r="K68" s="23">
        <f>VLOOKUP($A68,'Full Sample-Single Family'!$A:$R,K$1,0)</f>
        <v>4.0000000000000001E-3</v>
      </c>
      <c r="L68" s="3" t="str">
        <f>FIXED(VLOOKUP($A68,'Full Sample-Single Family'!$A:$R,L$1,0),2)</f>
        <v>0.06</v>
      </c>
      <c r="M68" s="3" t="str">
        <f>FIXED(VLOOKUP($A68,'Full Sample-No Sub'!$A:$R,M$1,0),2)</f>
        <v>0.00</v>
      </c>
      <c r="N68" s="13" t="str">
        <f>FIXED(VLOOKUP($A68,'Full Sample-No Sub'!$A:$R,N$1,0),2)</f>
        <v>1.00</v>
      </c>
      <c r="O68" s="23">
        <f>VLOOKUP($A68,'Small Sample 1-Single Family'!$A:$R,O$1,0)</f>
        <v>4.0000000000000001E-3</v>
      </c>
      <c r="P68" s="3" t="str">
        <f>FIXED(VLOOKUP($A68,'Small Sample 1-Single Family'!$A:$R,P$1,0),2)</f>
        <v>0.06</v>
      </c>
      <c r="Q68" s="3" t="str">
        <f>FIXED(VLOOKUP($A68,'Small Sample 1-Single Family'!$A:$R,Q$1,0),2)</f>
        <v>0.00</v>
      </c>
      <c r="R68" s="3" t="str">
        <f>FIXED(VLOOKUP($A68,'Small Sample 1-Single Family'!$A:$R,R$1,0),2)</f>
        <v>1.00</v>
      </c>
      <c r="S68" s="23">
        <f>VLOOKUP($A68,'Small Sample 1-Single Family'!$A:$R,S$1,0)</f>
        <v>0.54500000000000004</v>
      </c>
      <c r="T68" s="3" t="str">
        <f>FIXED(VLOOKUP($A68,'Small Sample 1-Single Family'!$A:$R,T$1,0),2)</f>
        <v>0.50</v>
      </c>
      <c r="U68" s="3" t="str">
        <f>FIXED(VLOOKUP($A68,'Small Sample 1-Single Family'!$A:$R,U$1,0),2)</f>
        <v>0.00</v>
      </c>
      <c r="V68" s="13" t="str">
        <f>FIXED(VLOOKUP($A68,'Small Sample 1-Single Family'!$A:$R,V$1,0),2)</f>
        <v>1.00</v>
      </c>
      <c r="W68" s="23">
        <f>VLOOKUP($A68,'Small Sample 1-Single Family'!$A:$R,W$1,0)</f>
        <v>4.0000000000000001E-3</v>
      </c>
      <c r="X68" s="3" t="str">
        <f>FIXED(VLOOKUP($A68,'Small Sample 1-Single Family'!$A:$R,X$1,0),2)</f>
        <v>0.06</v>
      </c>
      <c r="Y68" s="3" t="str">
        <f>FIXED(VLOOKUP($A68,'Small Sample 1-No Sub'!$A:$R,Y$1,0),2)</f>
        <v>0.00</v>
      </c>
      <c r="Z68" s="3" t="str">
        <f>FIXED(VLOOKUP($A68,'Small Sample 1-No Sub'!$A:$R,Z$1,0),2)</f>
        <v>1.00</v>
      </c>
      <c r="AA68" s="23">
        <f>VLOOKUP($A68,'Small Sample 2-Single Family'!$A:$R,AA$1,0)</f>
        <v>4.0000000000000001E-3</v>
      </c>
      <c r="AB68" s="3" t="str">
        <f>FIXED(VLOOKUP($A68,'Small Sample 2-Single Family'!$A:$R,AB$1,0),2)</f>
        <v>0.06</v>
      </c>
      <c r="AC68" s="3" t="str">
        <f>FIXED(VLOOKUP($A68,'Small Sample 2-Single Family'!$A:$R,AC$1,0),2)</f>
        <v>0.00</v>
      </c>
      <c r="AD68" s="3" t="str">
        <f>FIXED(VLOOKUP($A68,'Small Sample 2-Single Family'!$A:$R,AD$1,0),2)</f>
        <v>1.00</v>
      </c>
      <c r="AE68" s="23">
        <f>VLOOKUP($A68,'Small Sample 2-Single Family'!$A:$R,AE$1,0)</f>
        <v>4.0000000000000001E-3</v>
      </c>
      <c r="AF68" s="3" t="str">
        <f>FIXED(VLOOKUP($A68,'Small Sample 2-Single Family'!$A:$R,AF$1,0),2)</f>
        <v>0.06</v>
      </c>
      <c r="AG68" s="3" t="str">
        <f>FIXED(VLOOKUP($A68,'Small Sample 2-Single Family'!$A:$R,AG$1,0),2)</f>
        <v>0.00</v>
      </c>
      <c r="AH68" s="13" t="str">
        <f>FIXED(VLOOKUP($A68,'Small Sample 2-Single Family'!$A:$R,AH$1,0),2)</f>
        <v>1.00</v>
      </c>
      <c r="AI68" s="23">
        <f>VLOOKUP($A68,'Small Sample 2-Single Family'!$A:$R,AI$1,0)</f>
        <v>4.0000000000000001E-3</v>
      </c>
      <c r="AJ68" s="3" t="str">
        <f>FIXED(VLOOKUP($A68,'Small Sample 2-Single Family'!$A:$R,AJ$1,0),2)</f>
        <v>0.06</v>
      </c>
      <c r="AK68" s="3" t="e" vm="1">
        <f>FIXED(VLOOKUP($A68,'Full Sample-Townhouse'!$A:$R,AK$1,0),2)</f>
        <v>#VALUE!</v>
      </c>
      <c r="AL68" s="3" t="e" vm="1">
        <f>FIXED(VLOOKUP($A68,'Full Sample-Townhouse'!$A:$R,AL$1,0),2)</f>
        <v>#VALUE!</v>
      </c>
    </row>
    <row r="69" spans="1:38" x14ac:dyDescent="0.25">
      <c r="A69" t="s">
        <v>83</v>
      </c>
      <c r="B69" s="4" t="s">
        <v>159</v>
      </c>
      <c r="C69" s="9" t="str">
        <f>FIXED(VLOOKUP($A69,'Full Sample-Single Family'!$A:$R,C$1,0),2)</f>
        <v>0.55</v>
      </c>
      <c r="D69" s="3" t="str">
        <f>FIXED(VLOOKUP($A69,'Full Sample-Single Family'!$A:$R,D$1,0),2)</f>
        <v>0.50</v>
      </c>
      <c r="E69" s="3" t="str">
        <f>FIXED(VLOOKUP($A69,'Full Sample-Single Family'!$A:$R,E$1,0),2)</f>
        <v>0.00</v>
      </c>
      <c r="F69" s="3" t="str">
        <f>FIXED(VLOOKUP($A69,'Full Sample-Single Family'!$A:$R,F$1,0),2)</f>
        <v>1.00</v>
      </c>
      <c r="G69" s="9" t="str">
        <f>FIXED(VLOOKUP($A69,'Full Sample-Single Family'!$A:$R,G$1,0),2)</f>
        <v>0.56</v>
      </c>
      <c r="H69" s="3" t="str">
        <f>FIXED(VLOOKUP($A69,'Full Sample-Single Family'!$A:$R,H$1,0),2)</f>
        <v>0.50</v>
      </c>
      <c r="I69" s="3" t="str">
        <f>FIXED(VLOOKUP($A69,'Full Sample-Single Family'!$A:$R,I$1,0),2)</f>
        <v>0.00</v>
      </c>
      <c r="J69" s="13" t="str">
        <f>FIXED(VLOOKUP($A69,'Full Sample-Single Family'!$A:$R,J$1,0),2)</f>
        <v>1.00</v>
      </c>
      <c r="K69" s="9" t="str">
        <f>FIXED(VLOOKUP($A69,'Full Sample-Single Family'!$A:$R,K$1,0),2)</f>
        <v>0.53</v>
      </c>
      <c r="L69" s="3" t="str">
        <f>FIXED(VLOOKUP($A69,'Full Sample-Single Family'!$A:$R,L$1,0),2)</f>
        <v>0.50</v>
      </c>
      <c r="M69" s="3" t="str">
        <f>FIXED(VLOOKUP($A69,'Full Sample-No Sub'!$A:$R,M$1,0),2)</f>
        <v>0.00</v>
      </c>
      <c r="N69" s="13" t="str">
        <f>FIXED(VLOOKUP($A69,'Full Sample-No Sub'!$A:$R,N$1,0),2)</f>
        <v>1.00</v>
      </c>
      <c r="O69" s="9" t="str">
        <f>FIXED(VLOOKUP($A69,'Small Sample 1-Single Family'!$A:$R,O$1,0),2)</f>
        <v>0.54</v>
      </c>
      <c r="P69" s="3" t="str">
        <f>FIXED(VLOOKUP($A69,'Small Sample 1-Single Family'!$A:$R,P$1,0),2)</f>
        <v>0.50</v>
      </c>
      <c r="Q69" s="3" t="str">
        <f>FIXED(VLOOKUP($A69,'Small Sample 1-Single Family'!$A:$R,Q$1,0),2)</f>
        <v>0.00</v>
      </c>
      <c r="R69" s="3" t="str">
        <f>FIXED(VLOOKUP($A69,'Small Sample 1-Single Family'!$A:$R,R$1,0),2)</f>
        <v>1.00</v>
      </c>
      <c r="S69" s="9" t="str">
        <f>FIXED(VLOOKUP($A69,'Small Sample 1-Single Family'!$A:$R,S$1,0),2)</f>
        <v>0.01</v>
      </c>
      <c r="T69" s="3" t="str">
        <f>FIXED(VLOOKUP($A69,'Small Sample 1-Single Family'!$A:$R,T$1,0),2)</f>
        <v>0.08</v>
      </c>
      <c r="U69" s="3" t="str">
        <f>FIXED(VLOOKUP($A69,'Small Sample 1-Single Family'!$A:$R,U$1,0),2)</f>
        <v>0.00</v>
      </c>
      <c r="V69" s="13" t="str">
        <f>FIXED(VLOOKUP($A69,'Small Sample 1-Single Family'!$A:$R,V$1,0),2)</f>
        <v>1.00</v>
      </c>
      <c r="W69" s="9" t="str">
        <f>FIXED(VLOOKUP($A69,'Small Sample 1-Single Family'!$A:$R,W$1,0),2)</f>
        <v>0.53</v>
      </c>
      <c r="X69" s="3" t="str">
        <f>FIXED(VLOOKUP($A69,'Small Sample 1-Single Family'!$A:$R,X$1,0),2)</f>
        <v>0.50</v>
      </c>
      <c r="Y69" s="3" t="str">
        <f>FIXED(VLOOKUP($A69,'Small Sample 1-No Sub'!$A:$R,Y$1,0),2)</f>
        <v>0.00</v>
      </c>
      <c r="Z69" s="3" t="str">
        <f>FIXED(VLOOKUP($A69,'Small Sample 1-No Sub'!$A:$R,Z$1,0),2)</f>
        <v>1.00</v>
      </c>
      <c r="AA69" s="9" t="str">
        <f>FIXED(VLOOKUP($A69,'Small Sample 2-Single Family'!$A:$R,AA$1,0),2)</f>
        <v>0.54</v>
      </c>
      <c r="AB69" s="3" t="str">
        <f>FIXED(VLOOKUP($A69,'Small Sample 2-Single Family'!$A:$R,AB$1,0),2)</f>
        <v>0.50</v>
      </c>
      <c r="AC69" s="3" t="str">
        <f>FIXED(VLOOKUP($A69,'Small Sample 2-Single Family'!$A:$R,AC$1,0),2)</f>
        <v>0.00</v>
      </c>
      <c r="AD69" s="3" t="str">
        <f>FIXED(VLOOKUP($A69,'Small Sample 2-Single Family'!$A:$R,AD$1,0),2)</f>
        <v>1.00</v>
      </c>
      <c r="AE69" s="9" t="str">
        <f>FIXED(VLOOKUP($A69,'Small Sample 2-Single Family'!$A:$R,AE$1,0),2)</f>
        <v>0.56</v>
      </c>
      <c r="AF69" s="3" t="str">
        <f>FIXED(VLOOKUP($A69,'Small Sample 2-Single Family'!$A:$R,AF$1,0),2)</f>
        <v>0.50</v>
      </c>
      <c r="AG69" s="3" t="str">
        <f>FIXED(VLOOKUP($A69,'Small Sample 2-Single Family'!$A:$R,AG$1,0),2)</f>
        <v>0.00</v>
      </c>
      <c r="AH69" s="13" t="str">
        <f>FIXED(VLOOKUP($A69,'Small Sample 2-Single Family'!$A:$R,AH$1,0),2)</f>
        <v>1.00</v>
      </c>
      <c r="AI69" s="9" t="str">
        <f>FIXED(VLOOKUP($A69,'Small Sample 2-Single Family'!$A:$R,AI$1,0),2)</f>
        <v>0.50</v>
      </c>
      <c r="AJ69" s="3" t="str">
        <f>FIXED(VLOOKUP($A69,'Small Sample 2-Single Family'!$A:$R,AJ$1,0),2)</f>
        <v>0.50</v>
      </c>
      <c r="AK69" s="3" t="e" vm="1">
        <f>FIXED(VLOOKUP($A69,'Full Sample-Townhouse'!$A:$R,AK$1,0),2)</f>
        <v>#VALUE!</v>
      </c>
      <c r="AL69" s="3" t="e" vm="1">
        <f>FIXED(VLOOKUP($A69,'Full Sample-Townhouse'!$A:$R,AL$1,0),2)</f>
        <v>#VALUE!</v>
      </c>
    </row>
    <row r="70" spans="1:38" x14ac:dyDescent="0.25">
      <c r="A70" t="s">
        <v>84</v>
      </c>
      <c r="B70" s="4" t="s">
        <v>160</v>
      </c>
      <c r="C70" s="9" t="str">
        <f>FIXED(VLOOKUP($A70,'Full Sample-Single Family'!$A:$R,C$1,0),2)</f>
        <v>0.01</v>
      </c>
      <c r="D70" s="3" t="str">
        <f>FIXED(VLOOKUP($A70,'Full Sample-Single Family'!$A:$R,D$1,0),2)</f>
        <v>0.09</v>
      </c>
      <c r="E70" s="3" t="str">
        <f>FIXED(VLOOKUP($A70,'Full Sample-Single Family'!$A:$R,E$1,0),2)</f>
        <v>0.00</v>
      </c>
      <c r="F70" s="3" t="str">
        <f>FIXED(VLOOKUP($A70,'Full Sample-Single Family'!$A:$R,F$1,0),2)</f>
        <v>1.00</v>
      </c>
      <c r="G70" s="9" t="str">
        <f>FIXED(VLOOKUP($A70,'Full Sample-Single Family'!$A:$R,G$1,0),2)</f>
        <v>0.01</v>
      </c>
      <c r="H70" s="3" t="str">
        <f>FIXED(VLOOKUP($A70,'Full Sample-Single Family'!$A:$R,H$1,0),2)</f>
        <v>0.08</v>
      </c>
      <c r="I70" s="3" t="str">
        <f>FIXED(VLOOKUP($A70,'Full Sample-Single Family'!$A:$R,I$1,0),2)</f>
        <v>0.00</v>
      </c>
      <c r="J70" s="13" t="str">
        <f>FIXED(VLOOKUP($A70,'Full Sample-Single Family'!$A:$R,J$1,0),2)</f>
        <v>1.00</v>
      </c>
      <c r="K70" s="9" t="str">
        <f>FIXED(VLOOKUP($A70,'Full Sample-Single Family'!$A:$R,K$1,0),2)</f>
        <v>0.01</v>
      </c>
      <c r="L70" s="3" t="str">
        <f>FIXED(VLOOKUP($A70,'Full Sample-Single Family'!$A:$R,L$1,0),2)</f>
        <v>0.10</v>
      </c>
      <c r="M70" s="3" t="str">
        <f>FIXED(VLOOKUP($A70,'Full Sample-No Sub'!$A:$R,M$1,0),2)</f>
        <v>0.00</v>
      </c>
      <c r="N70" s="13" t="str">
        <f>FIXED(VLOOKUP($A70,'Full Sample-No Sub'!$A:$R,N$1,0),2)</f>
        <v>1.00</v>
      </c>
      <c r="O70" s="9" t="str">
        <f>FIXED(VLOOKUP($A70,'Small Sample 1-Single Family'!$A:$R,O$1,0),2)</f>
        <v>0.01</v>
      </c>
      <c r="P70" s="3" t="str">
        <f>FIXED(VLOOKUP($A70,'Small Sample 1-Single Family'!$A:$R,P$1,0),2)</f>
        <v>0.09</v>
      </c>
      <c r="Q70" s="3" t="str">
        <f>FIXED(VLOOKUP($A70,'Small Sample 1-Single Family'!$A:$R,Q$1,0),2)</f>
        <v>0.00</v>
      </c>
      <c r="R70" s="3" t="str">
        <f>FIXED(VLOOKUP($A70,'Small Sample 1-Single Family'!$A:$R,R$1,0),2)</f>
        <v>1.00</v>
      </c>
      <c r="S70" s="9" t="str">
        <f>FIXED(VLOOKUP($A70,'Small Sample 1-Single Family'!$A:$R,S$1,0),2)</f>
        <v>0.41</v>
      </c>
      <c r="T70" s="3" t="str">
        <f>FIXED(VLOOKUP($A70,'Small Sample 1-Single Family'!$A:$R,T$1,0),2)</f>
        <v>0.49</v>
      </c>
      <c r="U70" s="3" t="str">
        <f>FIXED(VLOOKUP($A70,'Small Sample 1-Single Family'!$A:$R,U$1,0),2)</f>
        <v>0.00</v>
      </c>
      <c r="V70" s="13" t="str">
        <f>FIXED(VLOOKUP($A70,'Small Sample 1-Single Family'!$A:$R,V$1,0),2)</f>
        <v>1.00</v>
      </c>
      <c r="W70" s="9" t="str">
        <f>FIXED(VLOOKUP($A70,'Small Sample 1-Single Family'!$A:$R,W$1,0),2)</f>
        <v>0.01</v>
      </c>
      <c r="X70" s="3" t="str">
        <f>FIXED(VLOOKUP($A70,'Small Sample 1-Single Family'!$A:$R,X$1,0),2)</f>
        <v>0.10</v>
      </c>
      <c r="Y70" s="3" t="str">
        <f>FIXED(VLOOKUP($A70,'Small Sample 1-No Sub'!$A:$R,Y$1,0),2)</f>
        <v>0.00</v>
      </c>
      <c r="Z70" s="3" t="str">
        <f>FIXED(VLOOKUP($A70,'Small Sample 1-No Sub'!$A:$R,Z$1,0),2)</f>
        <v>1.00</v>
      </c>
      <c r="AA70" s="9" t="str">
        <f>FIXED(VLOOKUP($A70,'Small Sample 2-Single Family'!$A:$R,AA$1,0),2)</f>
        <v>0.01</v>
      </c>
      <c r="AB70" s="3" t="str">
        <f>FIXED(VLOOKUP($A70,'Small Sample 2-Single Family'!$A:$R,AB$1,0),2)</f>
        <v>0.09</v>
      </c>
      <c r="AC70" s="3" t="str">
        <f>FIXED(VLOOKUP($A70,'Small Sample 2-Single Family'!$A:$R,AC$1,0),2)</f>
        <v>0.00</v>
      </c>
      <c r="AD70" s="3" t="str">
        <f>FIXED(VLOOKUP($A70,'Small Sample 2-Single Family'!$A:$R,AD$1,0),2)</f>
        <v>1.00</v>
      </c>
      <c r="AE70" s="9" t="str">
        <f>FIXED(VLOOKUP($A70,'Small Sample 2-Single Family'!$A:$R,AE$1,0),2)</f>
        <v>0.01</v>
      </c>
      <c r="AF70" s="3" t="str">
        <f>FIXED(VLOOKUP($A70,'Small Sample 2-Single Family'!$A:$R,AF$1,0),2)</f>
        <v>0.08</v>
      </c>
      <c r="AG70" s="3" t="str">
        <f>FIXED(VLOOKUP($A70,'Small Sample 2-Single Family'!$A:$R,AG$1,0),2)</f>
        <v>0.00</v>
      </c>
      <c r="AH70" s="13" t="str">
        <f>FIXED(VLOOKUP($A70,'Small Sample 2-Single Family'!$A:$R,AH$1,0),2)</f>
        <v>1.00</v>
      </c>
      <c r="AI70" s="9" t="str">
        <f>FIXED(VLOOKUP($A70,'Small Sample 2-Single Family'!$A:$R,AI$1,0),2)</f>
        <v>0.01</v>
      </c>
      <c r="AJ70" s="3" t="str">
        <f>FIXED(VLOOKUP($A70,'Small Sample 2-Single Family'!$A:$R,AJ$1,0),2)</f>
        <v>0.10</v>
      </c>
      <c r="AK70" s="3" t="e" vm="1">
        <f>FIXED(VLOOKUP($A70,'Full Sample-Townhouse'!$A:$R,AK$1,0),2)</f>
        <v>#VALUE!</v>
      </c>
      <c r="AL70" s="3" t="e" vm="1">
        <f>FIXED(VLOOKUP($A70,'Full Sample-Townhouse'!$A:$R,AL$1,0),2)</f>
        <v>#VALUE!</v>
      </c>
    </row>
    <row r="71" spans="1:38" x14ac:dyDescent="0.25">
      <c r="A71" t="s">
        <v>85</v>
      </c>
      <c r="B71" s="4" t="s">
        <v>161</v>
      </c>
      <c r="C71" s="9" t="str">
        <f>FIXED(VLOOKUP($A71,'Full Sample-Single Family'!$A:$R,C$1,0),2)</f>
        <v>0.40</v>
      </c>
      <c r="D71" s="3" t="str">
        <f>FIXED(VLOOKUP($A71,'Full Sample-Single Family'!$A:$R,D$1,0),2)</f>
        <v>0.49</v>
      </c>
      <c r="E71" s="3" t="str">
        <f>FIXED(VLOOKUP($A71,'Full Sample-Single Family'!$A:$R,E$1,0),2)</f>
        <v>0.00</v>
      </c>
      <c r="F71" s="3" t="str">
        <f>FIXED(VLOOKUP($A71,'Full Sample-Single Family'!$A:$R,F$1,0),2)</f>
        <v>1.00</v>
      </c>
      <c r="G71" s="9" t="str">
        <f>FIXED(VLOOKUP($A71,'Full Sample-Single Family'!$A:$R,G$1,0),2)</f>
        <v>0.39</v>
      </c>
      <c r="H71" s="3" t="str">
        <f>FIXED(VLOOKUP($A71,'Full Sample-Single Family'!$A:$R,H$1,0),2)</f>
        <v>0.49</v>
      </c>
      <c r="I71" s="3" t="str">
        <f>FIXED(VLOOKUP($A71,'Full Sample-Single Family'!$A:$R,I$1,0),2)</f>
        <v>0.00</v>
      </c>
      <c r="J71" s="13" t="str">
        <f>FIXED(VLOOKUP($A71,'Full Sample-Single Family'!$A:$R,J$1,0),2)</f>
        <v>1.00</v>
      </c>
      <c r="K71" s="9" t="str">
        <f>FIXED(VLOOKUP($A71,'Full Sample-Single Family'!$A:$R,K$1,0),2)</f>
        <v>0.42</v>
      </c>
      <c r="L71" s="3" t="str">
        <f>FIXED(VLOOKUP($A71,'Full Sample-Single Family'!$A:$R,L$1,0),2)</f>
        <v>0.49</v>
      </c>
      <c r="M71" s="3" t="str">
        <f>FIXED(VLOOKUP($A71,'Full Sample-No Sub'!$A:$R,M$1,0),2)</f>
        <v>0.00</v>
      </c>
      <c r="N71" s="13" t="str">
        <f>FIXED(VLOOKUP($A71,'Full Sample-No Sub'!$A:$R,N$1,0),2)</f>
        <v>1.00</v>
      </c>
      <c r="O71" s="9" t="str">
        <f>FIXED(VLOOKUP($A71,'Small Sample 1-Single Family'!$A:$R,O$1,0),2)</f>
        <v>0.42</v>
      </c>
      <c r="P71" s="3" t="str">
        <f>FIXED(VLOOKUP($A71,'Small Sample 1-Single Family'!$A:$R,P$1,0),2)</f>
        <v>0.49</v>
      </c>
      <c r="Q71" s="3" t="str">
        <f>FIXED(VLOOKUP($A71,'Small Sample 1-Single Family'!$A:$R,Q$1,0),2)</f>
        <v>0.00</v>
      </c>
      <c r="R71" s="3" t="str">
        <f>FIXED(VLOOKUP($A71,'Small Sample 1-Single Family'!$A:$R,R$1,0),2)</f>
        <v>1.00</v>
      </c>
      <c r="S71" s="9" t="e">
        <f>FIXED(VLOOKUP($A71,'Small Sample 1-Single Family'!$A:$R,S$1,0),2)</f>
        <v>#VALUE!</v>
      </c>
      <c r="T71" s="3" t="e">
        <f>FIXED(VLOOKUP($A71,'Small Sample 1-Single Family'!$A:$R,T$1,0),2)</f>
        <v>#VALUE!</v>
      </c>
      <c r="U71" s="3" t="e">
        <f>FIXED(VLOOKUP($A71,'Small Sample 1-Single Family'!$A:$R,U$1,0),2)</f>
        <v>#VALUE!</v>
      </c>
      <c r="V71" s="13" t="e">
        <f>FIXED(VLOOKUP($A71,'Small Sample 1-Single Family'!$A:$R,V$1,0),2)</f>
        <v>#VALUE!</v>
      </c>
      <c r="W71" s="9" t="str">
        <f>FIXED(VLOOKUP($A71,'Small Sample 1-Single Family'!$A:$R,W$1,0),2)</f>
        <v>0.42</v>
      </c>
      <c r="X71" s="3" t="str">
        <f>FIXED(VLOOKUP($A71,'Small Sample 1-Single Family'!$A:$R,X$1,0),2)</f>
        <v>0.49</v>
      </c>
      <c r="Y71" s="3" t="str">
        <f>FIXED(VLOOKUP($A71,'Small Sample 1-No Sub'!$A:$R,Y$1,0),2)</f>
        <v>0.00</v>
      </c>
      <c r="Z71" s="3" t="str">
        <f>FIXED(VLOOKUP($A71,'Small Sample 1-No Sub'!$A:$R,Z$1,0),2)</f>
        <v>1.00</v>
      </c>
      <c r="AA71" s="9" t="str">
        <f>FIXED(VLOOKUP($A71,'Small Sample 2-Single Family'!$A:$R,AA$1,0),2)</f>
        <v>0.42</v>
      </c>
      <c r="AB71" s="3" t="str">
        <f>FIXED(VLOOKUP($A71,'Small Sample 2-Single Family'!$A:$R,AB$1,0),2)</f>
        <v>0.49</v>
      </c>
      <c r="AC71" s="3" t="str">
        <f>FIXED(VLOOKUP($A71,'Small Sample 2-Single Family'!$A:$R,AC$1,0),2)</f>
        <v>0.00</v>
      </c>
      <c r="AD71" s="3" t="str">
        <f>FIXED(VLOOKUP($A71,'Small Sample 2-Single Family'!$A:$R,AD$1,0),2)</f>
        <v>1.00</v>
      </c>
      <c r="AE71" s="9" t="str">
        <f>FIXED(VLOOKUP($A71,'Small Sample 2-Single Family'!$A:$R,AE$1,0),2)</f>
        <v>0.40</v>
      </c>
      <c r="AF71" s="3" t="str">
        <f>FIXED(VLOOKUP($A71,'Small Sample 2-Single Family'!$A:$R,AF$1,0),2)</f>
        <v>0.49</v>
      </c>
      <c r="AG71" s="3" t="str">
        <f>FIXED(VLOOKUP($A71,'Small Sample 2-Single Family'!$A:$R,AG$1,0),2)</f>
        <v>0.00</v>
      </c>
      <c r="AH71" s="13" t="str">
        <f>FIXED(VLOOKUP($A71,'Small Sample 2-Single Family'!$A:$R,AH$1,0),2)</f>
        <v>1.00</v>
      </c>
      <c r="AI71" s="9" t="str">
        <f>FIXED(VLOOKUP($A71,'Small Sample 2-Single Family'!$A:$R,AI$1,0),2)</f>
        <v>0.45</v>
      </c>
      <c r="AJ71" s="3" t="str">
        <f>FIXED(VLOOKUP($A71,'Small Sample 2-Single Family'!$A:$R,AJ$1,0),2)</f>
        <v>0.50</v>
      </c>
      <c r="AK71" s="3" t="e" vm="1">
        <f>FIXED(VLOOKUP($A71,'Full Sample-Townhouse'!$A:$R,AK$1,0),2)</f>
        <v>#VALUE!</v>
      </c>
      <c r="AL71" s="3" t="e" vm="1">
        <f>FIXED(VLOOKUP($A71,'Full Sample-Townhouse'!$A:$R,AL$1,0),2)</f>
        <v>#VALUE!</v>
      </c>
    </row>
    <row r="72" spans="1:38" x14ac:dyDescent="0.25">
      <c r="A72" t="s">
        <v>42</v>
      </c>
      <c r="B72" t="s">
        <v>121</v>
      </c>
      <c r="C72" s="9" t="str">
        <f>FIXED(VLOOKUP($A72,'Full Sample-Single Family'!$A:$R,C$1,0),2)</f>
        <v>0.22</v>
      </c>
      <c r="D72" s="3" t="str">
        <f>FIXED(VLOOKUP($A72,'Full Sample-Single Family'!$A:$R,D$1,0),2)</f>
        <v>0.16</v>
      </c>
      <c r="E72" s="3" t="str">
        <f>FIXED(VLOOKUP($A72,'Full Sample-Single Family'!$A:$R,E$1,0),2)</f>
        <v>0.00</v>
      </c>
      <c r="F72" s="3" t="str">
        <f>FIXED(VLOOKUP($A72,'Full Sample-Single Family'!$A:$R,F$1,0),2)</f>
        <v>0.92</v>
      </c>
      <c r="G72" s="9" t="str">
        <f>FIXED(VLOOKUP($A72,'Full Sample-Single Family'!$A:$R,G$1,0),2)</f>
        <v>0.22</v>
      </c>
      <c r="H72" s="3" t="str">
        <f>FIXED(VLOOKUP($A72,'Full Sample-Single Family'!$A:$R,H$1,0),2)</f>
        <v>0.15</v>
      </c>
      <c r="I72" s="3" t="str">
        <f>FIXED(VLOOKUP($A72,'Full Sample-Single Family'!$A:$R,I$1,0),2)</f>
        <v>0.00</v>
      </c>
      <c r="J72" s="13" t="str">
        <f>FIXED(VLOOKUP($A72,'Full Sample-Single Family'!$A:$R,J$1,0),2)</f>
        <v>0.86</v>
      </c>
      <c r="K72" s="9" t="str">
        <f>FIXED(VLOOKUP($A72,'Full Sample-Single Family'!$A:$R,K$1,0),2)</f>
        <v>0.22</v>
      </c>
      <c r="L72" s="3" t="str">
        <f>FIXED(VLOOKUP($A72,'Full Sample-Single Family'!$A:$R,L$1,0),2)</f>
        <v>0.16</v>
      </c>
      <c r="M72" s="3" t="str">
        <f>FIXED(VLOOKUP($A72,'Full Sample-No Sub'!$A:$R,M$1,0),2)</f>
        <v>0.00</v>
      </c>
      <c r="N72" s="13" t="str">
        <f>FIXED(VLOOKUP($A72,'Full Sample-No Sub'!$A:$R,N$1,0),2)</f>
        <v>0.92</v>
      </c>
      <c r="O72" s="9" t="str">
        <f>FIXED(VLOOKUP($A72,'Small Sample 1-Single Family'!$A:$R,O$1,0),2)</f>
        <v>0.22</v>
      </c>
      <c r="P72" s="3" t="str">
        <f>FIXED(VLOOKUP($A72,'Small Sample 1-Single Family'!$A:$R,P$1,0),2)</f>
        <v>0.16</v>
      </c>
      <c r="Q72" s="3" t="str">
        <f>FIXED(VLOOKUP($A72,'Small Sample 1-Single Family'!$A:$R,Q$1,0),2)</f>
        <v>0.00</v>
      </c>
      <c r="R72" s="3" t="str">
        <f>FIXED(VLOOKUP($A72,'Small Sample 1-Single Family'!$A:$R,R$1,0),2)</f>
        <v>0.92</v>
      </c>
      <c r="S72" s="9" t="str">
        <f>FIXED(VLOOKUP($A72,'Small Sample 1-Single Family'!$A:$R,S$1,0),2)</f>
        <v>0.02</v>
      </c>
      <c r="T72" s="3" t="str">
        <f>FIXED(VLOOKUP($A72,'Small Sample 1-Single Family'!$A:$R,T$1,0),2)</f>
        <v>0.03</v>
      </c>
      <c r="U72" s="3" t="str">
        <f>FIXED(VLOOKUP($A72,'Small Sample 1-Single Family'!$A:$R,U$1,0),2)</f>
        <v>0.00</v>
      </c>
      <c r="V72" s="13" t="str">
        <f>FIXED(VLOOKUP($A72,'Small Sample 1-Single Family'!$A:$R,V$1,0),2)</f>
        <v>0.36</v>
      </c>
      <c r="W72" s="9" t="str">
        <f>FIXED(VLOOKUP($A72,'Small Sample 1-Single Family'!$A:$R,W$1,0),2)</f>
        <v>0.22</v>
      </c>
      <c r="X72" s="3" t="str">
        <f>FIXED(VLOOKUP($A72,'Small Sample 1-Single Family'!$A:$R,X$1,0),2)</f>
        <v>0.16</v>
      </c>
      <c r="Y72" s="3" t="str">
        <f>FIXED(VLOOKUP($A72,'Small Sample 1-No Sub'!$A:$R,Y$1,0),2)</f>
        <v>0.00</v>
      </c>
      <c r="Z72" s="3" t="str">
        <f>FIXED(VLOOKUP($A72,'Small Sample 1-No Sub'!$A:$R,Z$1,0),2)</f>
        <v>0.92</v>
      </c>
      <c r="AA72" s="9" t="str">
        <f>FIXED(VLOOKUP($A72,'Small Sample 2-Single Family'!$A:$R,AA$1,0),2)</f>
        <v>0.22</v>
      </c>
      <c r="AB72" s="3" t="str">
        <f>FIXED(VLOOKUP($A72,'Small Sample 2-Single Family'!$A:$R,AB$1,0),2)</f>
        <v>0.16</v>
      </c>
      <c r="AC72" s="3" t="str">
        <f>FIXED(VLOOKUP($A72,'Small Sample 2-Single Family'!$A:$R,AC$1,0),2)</f>
        <v>0.00</v>
      </c>
      <c r="AD72" s="3" t="str">
        <f>FIXED(VLOOKUP($A72,'Small Sample 2-Single Family'!$A:$R,AD$1,0),2)</f>
        <v>0.92</v>
      </c>
      <c r="AE72" s="9" t="str">
        <f>FIXED(VLOOKUP($A72,'Small Sample 2-Single Family'!$A:$R,AE$1,0),2)</f>
        <v>0.22</v>
      </c>
      <c r="AF72" s="3" t="str">
        <f>FIXED(VLOOKUP($A72,'Small Sample 2-Single Family'!$A:$R,AF$1,0),2)</f>
        <v>0.15</v>
      </c>
      <c r="AG72" s="3" t="str">
        <f>FIXED(VLOOKUP($A72,'Small Sample 2-Single Family'!$A:$R,AG$1,0),2)</f>
        <v>0.00</v>
      </c>
      <c r="AH72" s="13" t="str">
        <f>FIXED(VLOOKUP($A72,'Small Sample 2-Single Family'!$A:$R,AH$1,0),2)</f>
        <v>0.86</v>
      </c>
      <c r="AI72" s="9" t="str">
        <f>FIXED(VLOOKUP($A72,'Small Sample 2-Single Family'!$A:$R,AI$1,0),2)</f>
        <v>0.21</v>
      </c>
      <c r="AJ72" s="3" t="str">
        <f>FIXED(VLOOKUP($A72,'Small Sample 2-Single Family'!$A:$R,AJ$1,0),2)</f>
        <v>0.17</v>
      </c>
      <c r="AK72" s="3" t="e" vm="1">
        <f>FIXED(VLOOKUP($A72,'Full Sample-Townhouse'!$A:$R,AK$1,0),2)</f>
        <v>#VALUE!</v>
      </c>
      <c r="AL72" s="3" t="e" vm="1">
        <f>FIXED(VLOOKUP($A72,'Full Sample-Townhouse'!$A:$R,AL$1,0),2)</f>
        <v>#VALUE!</v>
      </c>
    </row>
    <row r="73" spans="1:38" x14ac:dyDescent="0.25">
      <c r="A73" t="s">
        <v>43</v>
      </c>
      <c r="B73" t="s">
        <v>122</v>
      </c>
      <c r="C73" s="9" t="str">
        <f>FIXED(VLOOKUP($A73,'Full Sample-Single Family'!$A:$R,C$1,0),2)</f>
        <v>0.02</v>
      </c>
      <c r="D73" s="3" t="str">
        <f>FIXED(VLOOKUP($A73,'Full Sample-Single Family'!$A:$R,D$1,0),2)</f>
        <v>0.03</v>
      </c>
      <c r="E73" s="3" t="str">
        <f>FIXED(VLOOKUP($A73,'Full Sample-Single Family'!$A:$R,E$1,0),2)</f>
        <v>0.00</v>
      </c>
      <c r="F73" s="3" t="str">
        <f>FIXED(VLOOKUP($A73,'Full Sample-Single Family'!$A:$R,F$1,0),2)</f>
        <v>0.36</v>
      </c>
      <c r="G73" s="9" t="str">
        <f>FIXED(VLOOKUP($A73,'Full Sample-Single Family'!$A:$R,G$1,0),2)</f>
        <v>0.02</v>
      </c>
      <c r="H73" s="3" t="str">
        <f>FIXED(VLOOKUP($A73,'Full Sample-Single Family'!$A:$R,H$1,0),2)</f>
        <v>0.03</v>
      </c>
      <c r="I73" s="3" t="str">
        <f>FIXED(VLOOKUP($A73,'Full Sample-Single Family'!$A:$R,I$1,0),2)</f>
        <v>0.00</v>
      </c>
      <c r="J73" s="13" t="str">
        <f>FIXED(VLOOKUP($A73,'Full Sample-Single Family'!$A:$R,J$1,0),2)</f>
        <v>0.36</v>
      </c>
      <c r="K73" s="9" t="str">
        <f>FIXED(VLOOKUP($A73,'Full Sample-Single Family'!$A:$R,K$1,0),2)</f>
        <v>0.02</v>
      </c>
      <c r="L73" s="3" t="str">
        <f>FIXED(VLOOKUP($A73,'Full Sample-Single Family'!$A:$R,L$1,0),2)</f>
        <v>0.04</v>
      </c>
      <c r="M73" s="3" t="str">
        <f>FIXED(VLOOKUP($A73,'Full Sample-No Sub'!$A:$R,M$1,0),2)</f>
        <v>0.00</v>
      </c>
      <c r="N73" s="13" t="str">
        <f>FIXED(VLOOKUP($A73,'Full Sample-No Sub'!$A:$R,N$1,0),2)</f>
        <v>0.78</v>
      </c>
      <c r="O73" s="9" t="str">
        <f>FIXED(VLOOKUP($A73,'Small Sample 1-Single Family'!$A:$R,O$1,0),2)</f>
        <v>0.02</v>
      </c>
      <c r="P73" s="3" t="str">
        <f>FIXED(VLOOKUP($A73,'Small Sample 1-Single Family'!$A:$R,P$1,0),2)</f>
        <v>0.03</v>
      </c>
      <c r="Q73" s="3" t="str">
        <f>FIXED(VLOOKUP($A73,'Small Sample 1-Single Family'!$A:$R,Q$1,0),2)</f>
        <v>0.00</v>
      </c>
      <c r="R73" s="3" t="str">
        <f>FIXED(VLOOKUP($A73,'Small Sample 1-Single Family'!$A:$R,R$1,0),2)</f>
        <v>0.36</v>
      </c>
      <c r="S73" s="9" t="str">
        <f>FIXED(VLOOKUP($A73,'Small Sample 1-Single Family'!$A:$R,S$1,0),2)</f>
        <v>0.43</v>
      </c>
      <c r="T73" s="3" t="str">
        <f>FIXED(VLOOKUP($A73,'Small Sample 1-Single Family'!$A:$R,T$1,0),2)</f>
        <v>0.19</v>
      </c>
      <c r="U73" s="3" t="str">
        <f>FIXED(VLOOKUP($A73,'Small Sample 1-Single Family'!$A:$R,U$1,0),2)</f>
        <v>0.00</v>
      </c>
      <c r="V73" s="13" t="str">
        <f>FIXED(VLOOKUP($A73,'Small Sample 1-Single Family'!$A:$R,V$1,0),2)</f>
        <v>0.97</v>
      </c>
      <c r="W73" s="9" t="str">
        <f>FIXED(VLOOKUP($A73,'Small Sample 1-Single Family'!$A:$R,W$1,0),2)</f>
        <v>0.02</v>
      </c>
      <c r="X73" s="3" t="str">
        <f>FIXED(VLOOKUP($A73,'Small Sample 1-Single Family'!$A:$R,X$1,0),2)</f>
        <v>0.04</v>
      </c>
      <c r="Y73" s="3" t="str">
        <f>FIXED(VLOOKUP($A73,'Small Sample 1-No Sub'!$A:$R,Y$1,0),2)</f>
        <v>0.00</v>
      </c>
      <c r="Z73" s="3" t="str">
        <f>FIXED(VLOOKUP($A73,'Small Sample 1-No Sub'!$A:$R,Z$1,0),2)</f>
        <v>0.78</v>
      </c>
      <c r="AA73" s="9" t="str">
        <f>FIXED(VLOOKUP($A73,'Small Sample 2-Single Family'!$A:$R,AA$1,0),2)</f>
        <v>0.02</v>
      </c>
      <c r="AB73" s="3" t="str">
        <f>FIXED(VLOOKUP($A73,'Small Sample 2-Single Family'!$A:$R,AB$1,0),2)</f>
        <v>0.03</v>
      </c>
      <c r="AC73" s="3" t="str">
        <f>FIXED(VLOOKUP($A73,'Small Sample 2-Single Family'!$A:$R,AC$1,0),2)</f>
        <v>0.00</v>
      </c>
      <c r="AD73" s="3" t="str">
        <f>FIXED(VLOOKUP($A73,'Small Sample 2-Single Family'!$A:$R,AD$1,0),2)</f>
        <v>0.36</v>
      </c>
      <c r="AE73" s="9" t="str">
        <f>FIXED(VLOOKUP($A73,'Small Sample 2-Single Family'!$A:$R,AE$1,0),2)</f>
        <v>0.02</v>
      </c>
      <c r="AF73" s="3" t="str">
        <f>FIXED(VLOOKUP($A73,'Small Sample 2-Single Family'!$A:$R,AF$1,0),2)</f>
        <v>0.03</v>
      </c>
      <c r="AG73" s="3" t="str">
        <f>FIXED(VLOOKUP($A73,'Small Sample 2-Single Family'!$A:$R,AG$1,0),2)</f>
        <v>0.00</v>
      </c>
      <c r="AH73" s="13" t="str">
        <f>FIXED(VLOOKUP($A73,'Small Sample 2-Single Family'!$A:$R,AH$1,0),2)</f>
        <v>0.36</v>
      </c>
      <c r="AI73" s="9" t="str">
        <f>FIXED(VLOOKUP($A73,'Small Sample 2-Single Family'!$A:$R,AI$1,0),2)</f>
        <v>0.02</v>
      </c>
      <c r="AJ73" s="3" t="str">
        <f>FIXED(VLOOKUP($A73,'Small Sample 2-Single Family'!$A:$R,AJ$1,0),2)</f>
        <v>0.03</v>
      </c>
      <c r="AK73" s="3" t="e" vm="1">
        <f>FIXED(VLOOKUP($A73,'Full Sample-Townhouse'!$A:$R,AK$1,0),2)</f>
        <v>#VALUE!</v>
      </c>
      <c r="AL73" s="3" t="e" vm="1">
        <f>FIXED(VLOOKUP($A73,'Full Sample-Townhouse'!$A:$R,AL$1,0),2)</f>
        <v>#VALUE!</v>
      </c>
    </row>
    <row r="74" spans="1:38" x14ac:dyDescent="0.25">
      <c r="A74" t="s">
        <v>44</v>
      </c>
      <c r="B74" t="s">
        <v>123</v>
      </c>
      <c r="C74" s="9" t="str">
        <f>FIXED(VLOOKUP($A74,'Full Sample-Single Family'!$A:$R,C$1,0),2)</f>
        <v>0.41</v>
      </c>
      <c r="D74" s="3" t="str">
        <f>FIXED(VLOOKUP($A74,'Full Sample-Single Family'!$A:$R,D$1,0),2)</f>
        <v>0.19</v>
      </c>
      <c r="E74" s="3" t="str">
        <f>FIXED(VLOOKUP($A74,'Full Sample-Single Family'!$A:$R,E$1,0),2)</f>
        <v>0.00</v>
      </c>
      <c r="F74" s="3" t="str">
        <f>FIXED(VLOOKUP($A74,'Full Sample-Single Family'!$A:$R,F$1,0),2)</f>
        <v>0.97</v>
      </c>
      <c r="G74" s="9" t="str">
        <f>FIXED(VLOOKUP($A74,'Full Sample-Single Family'!$A:$R,G$1,0),2)</f>
        <v>0.42</v>
      </c>
      <c r="H74" s="3" t="str">
        <f>FIXED(VLOOKUP($A74,'Full Sample-Single Family'!$A:$R,H$1,0),2)</f>
        <v>0.19</v>
      </c>
      <c r="I74" s="3" t="str">
        <f>FIXED(VLOOKUP($A74,'Full Sample-Single Family'!$A:$R,I$1,0),2)</f>
        <v>0.00</v>
      </c>
      <c r="J74" s="13" t="str">
        <f>FIXED(VLOOKUP($A74,'Full Sample-Single Family'!$A:$R,J$1,0),2)</f>
        <v>0.97</v>
      </c>
      <c r="K74" s="9" t="str">
        <f>FIXED(VLOOKUP($A74,'Full Sample-Single Family'!$A:$R,K$1,0),2)</f>
        <v>0.41</v>
      </c>
      <c r="L74" s="3" t="str">
        <f>FIXED(VLOOKUP($A74,'Full Sample-Single Family'!$A:$R,L$1,0),2)</f>
        <v>0.20</v>
      </c>
      <c r="M74" s="3" t="str">
        <f>FIXED(VLOOKUP($A74,'Full Sample-No Sub'!$A:$R,M$1,0),2)</f>
        <v>0.00</v>
      </c>
      <c r="N74" s="13" t="str">
        <f>FIXED(VLOOKUP($A74,'Full Sample-No Sub'!$A:$R,N$1,0),2)</f>
        <v>1.00</v>
      </c>
      <c r="O74" s="9" t="str">
        <f>FIXED(VLOOKUP($A74,'Small Sample 1-Single Family'!$A:$R,O$1,0),2)</f>
        <v>0.42</v>
      </c>
      <c r="P74" s="3" t="str">
        <f>FIXED(VLOOKUP($A74,'Small Sample 1-Single Family'!$A:$R,P$1,0),2)</f>
        <v>0.20</v>
      </c>
      <c r="Q74" s="3" t="str">
        <f>FIXED(VLOOKUP($A74,'Small Sample 1-Single Family'!$A:$R,Q$1,0),2)</f>
        <v>0.00</v>
      </c>
      <c r="R74" s="3" t="str">
        <f>FIXED(VLOOKUP($A74,'Small Sample 1-Single Family'!$A:$R,R$1,0),2)</f>
        <v>0.97</v>
      </c>
      <c r="S74" s="9" t="str">
        <f>FIXED(VLOOKUP($A74,'Small Sample 1-Single Family'!$A:$R,S$1,0),2)</f>
        <v>0.08</v>
      </c>
      <c r="T74" s="3" t="str">
        <f>FIXED(VLOOKUP($A74,'Small Sample 1-Single Family'!$A:$R,T$1,0),2)</f>
        <v>0.09</v>
      </c>
      <c r="U74" s="3" t="str">
        <f>FIXED(VLOOKUP($A74,'Small Sample 1-Single Family'!$A:$R,U$1,0),2)</f>
        <v>0.00</v>
      </c>
      <c r="V74" s="13" t="str">
        <f>FIXED(VLOOKUP($A74,'Small Sample 1-Single Family'!$A:$R,V$1,0),2)</f>
        <v>0.61</v>
      </c>
      <c r="W74" s="9" t="str">
        <f>FIXED(VLOOKUP($A74,'Small Sample 1-Single Family'!$A:$R,W$1,0),2)</f>
        <v>0.41</v>
      </c>
      <c r="X74" s="3" t="str">
        <f>FIXED(VLOOKUP($A74,'Small Sample 1-Single Family'!$A:$R,X$1,0),2)</f>
        <v>0.20</v>
      </c>
      <c r="Y74" s="3" t="str">
        <f>FIXED(VLOOKUP($A74,'Small Sample 1-No Sub'!$A:$R,Y$1,0),2)</f>
        <v>0.00</v>
      </c>
      <c r="Z74" s="3" t="str">
        <f>FIXED(VLOOKUP($A74,'Small Sample 1-No Sub'!$A:$R,Z$1,0),2)</f>
        <v>1.00</v>
      </c>
      <c r="AA74" s="9" t="str">
        <f>FIXED(VLOOKUP($A74,'Small Sample 2-Single Family'!$A:$R,AA$1,0),2)</f>
        <v>0.42</v>
      </c>
      <c r="AB74" s="3" t="str">
        <f>FIXED(VLOOKUP($A74,'Small Sample 2-Single Family'!$A:$R,AB$1,0),2)</f>
        <v>0.19</v>
      </c>
      <c r="AC74" s="3" t="str">
        <f>FIXED(VLOOKUP($A74,'Small Sample 2-Single Family'!$A:$R,AC$1,0),2)</f>
        <v>0.00</v>
      </c>
      <c r="AD74" s="3" t="str">
        <f>FIXED(VLOOKUP($A74,'Small Sample 2-Single Family'!$A:$R,AD$1,0),2)</f>
        <v>0.97</v>
      </c>
      <c r="AE74" s="9" t="str">
        <f>FIXED(VLOOKUP($A74,'Small Sample 2-Single Family'!$A:$R,AE$1,0),2)</f>
        <v>0.42</v>
      </c>
      <c r="AF74" s="3" t="str">
        <f>FIXED(VLOOKUP($A74,'Small Sample 2-Single Family'!$A:$R,AF$1,0),2)</f>
        <v>0.19</v>
      </c>
      <c r="AG74" s="3" t="str">
        <f>FIXED(VLOOKUP($A74,'Small Sample 2-Single Family'!$A:$R,AG$1,0),2)</f>
        <v>0.00</v>
      </c>
      <c r="AH74" s="13" t="str">
        <f>FIXED(VLOOKUP($A74,'Small Sample 2-Single Family'!$A:$R,AH$1,0),2)</f>
        <v>0.97</v>
      </c>
      <c r="AI74" s="9" t="str">
        <f>FIXED(VLOOKUP($A74,'Small Sample 2-Single Family'!$A:$R,AI$1,0),2)</f>
        <v>0.42</v>
      </c>
      <c r="AJ74" s="3" t="str">
        <f>FIXED(VLOOKUP($A74,'Small Sample 2-Single Family'!$A:$R,AJ$1,0),2)</f>
        <v>0.20</v>
      </c>
      <c r="AK74" s="3" t="e" vm="1">
        <f>FIXED(VLOOKUP($A74,'Full Sample-Townhouse'!$A:$R,AK$1,0),2)</f>
        <v>#VALUE!</v>
      </c>
      <c r="AL74" s="3" t="e" vm="1">
        <f>FIXED(VLOOKUP($A74,'Full Sample-Townhouse'!$A:$R,AL$1,0),2)</f>
        <v>#VALUE!</v>
      </c>
    </row>
    <row r="75" spans="1:38" x14ac:dyDescent="0.25">
      <c r="A75" t="s">
        <v>45</v>
      </c>
      <c r="B75" t="s">
        <v>124</v>
      </c>
      <c r="C75" s="9" t="str">
        <f>FIXED(VLOOKUP($A75,'Full Sample-Single Family'!$A:$R,C$1,0),2)</f>
        <v>0.08</v>
      </c>
      <c r="D75" s="3" t="str">
        <f>FIXED(VLOOKUP($A75,'Full Sample-Single Family'!$A:$R,D$1,0),2)</f>
        <v>0.11</v>
      </c>
      <c r="E75" s="3" t="str">
        <f>FIXED(VLOOKUP($A75,'Full Sample-Single Family'!$A:$R,E$1,0),2)</f>
        <v>0.00</v>
      </c>
      <c r="F75" s="3" t="str">
        <f>FIXED(VLOOKUP($A75,'Full Sample-Single Family'!$A:$R,F$1,0),2)</f>
        <v>0.71</v>
      </c>
      <c r="G75" s="9" t="str">
        <f>FIXED(VLOOKUP($A75,'Full Sample-Single Family'!$A:$R,G$1,0),2)</f>
        <v>0.08</v>
      </c>
      <c r="H75" s="3" t="str">
        <f>FIXED(VLOOKUP($A75,'Full Sample-Single Family'!$A:$R,H$1,0),2)</f>
        <v>0.10</v>
      </c>
      <c r="I75" s="3" t="str">
        <f>FIXED(VLOOKUP($A75,'Full Sample-Single Family'!$A:$R,I$1,0),2)</f>
        <v>0.00</v>
      </c>
      <c r="J75" s="13" t="str">
        <f>FIXED(VLOOKUP($A75,'Full Sample-Single Family'!$A:$R,J$1,0),2)</f>
        <v>0.61</v>
      </c>
      <c r="K75" s="9" t="str">
        <f>FIXED(VLOOKUP($A75,'Full Sample-Single Family'!$A:$R,K$1,0),2)</f>
        <v>0.08</v>
      </c>
      <c r="L75" s="3" t="str">
        <f>FIXED(VLOOKUP($A75,'Full Sample-Single Family'!$A:$R,L$1,0),2)</f>
        <v>0.12</v>
      </c>
      <c r="M75" s="3" t="str">
        <f>FIXED(VLOOKUP($A75,'Full Sample-No Sub'!$A:$R,M$1,0),2)</f>
        <v>0.00</v>
      </c>
      <c r="N75" s="13" t="str">
        <f>FIXED(VLOOKUP($A75,'Full Sample-No Sub'!$A:$R,N$1,0),2)</f>
        <v>0.71</v>
      </c>
      <c r="O75" s="9" t="str">
        <f>FIXED(VLOOKUP($A75,'Small Sample 1-Single Family'!$A:$R,O$1,0),2)</f>
        <v>0.08</v>
      </c>
      <c r="P75" s="3" t="str">
        <f>FIXED(VLOOKUP($A75,'Small Sample 1-Single Family'!$A:$R,P$1,0),2)</f>
        <v>0.11</v>
      </c>
      <c r="Q75" s="3" t="str">
        <f>FIXED(VLOOKUP($A75,'Small Sample 1-Single Family'!$A:$R,Q$1,0),2)</f>
        <v>0.00</v>
      </c>
      <c r="R75" s="3" t="str">
        <f>FIXED(VLOOKUP($A75,'Small Sample 1-Single Family'!$A:$R,R$1,0),2)</f>
        <v>0.71</v>
      </c>
      <c r="S75" s="9" t="str">
        <f>FIXED(VLOOKUP($A75,'Small Sample 1-Single Family'!$A:$R,S$1,0),2)</f>
        <v>0.94</v>
      </c>
      <c r="T75" s="3" t="str">
        <f>FIXED(VLOOKUP($A75,'Small Sample 1-Single Family'!$A:$R,T$1,0),2)</f>
        <v>0.07</v>
      </c>
      <c r="U75" s="3" t="str">
        <f>FIXED(VLOOKUP($A75,'Small Sample 1-Single Family'!$A:$R,U$1,0),2)</f>
        <v>0.01</v>
      </c>
      <c r="V75" s="13" t="str">
        <f>FIXED(VLOOKUP($A75,'Small Sample 1-Single Family'!$A:$R,V$1,0),2)</f>
        <v>1.00</v>
      </c>
      <c r="W75" s="9" t="str">
        <f>FIXED(VLOOKUP($A75,'Small Sample 1-Single Family'!$A:$R,W$1,0),2)</f>
        <v>0.08</v>
      </c>
      <c r="X75" s="3" t="str">
        <f>FIXED(VLOOKUP($A75,'Small Sample 1-Single Family'!$A:$R,X$1,0),2)</f>
        <v>0.12</v>
      </c>
      <c r="Y75" s="3" t="str">
        <f>FIXED(VLOOKUP($A75,'Small Sample 1-No Sub'!$A:$R,Y$1,0),2)</f>
        <v>0.00</v>
      </c>
      <c r="Z75" s="3" t="str">
        <f>FIXED(VLOOKUP($A75,'Small Sample 1-No Sub'!$A:$R,Z$1,0),2)</f>
        <v>0.71</v>
      </c>
      <c r="AA75" s="9" t="str">
        <f>FIXED(VLOOKUP($A75,'Small Sample 2-Single Family'!$A:$R,AA$1,0),2)</f>
        <v>0.08</v>
      </c>
      <c r="AB75" s="3" t="str">
        <f>FIXED(VLOOKUP($A75,'Small Sample 2-Single Family'!$A:$R,AB$1,0),2)</f>
        <v>0.10</v>
      </c>
      <c r="AC75" s="3" t="str">
        <f>FIXED(VLOOKUP($A75,'Small Sample 2-Single Family'!$A:$R,AC$1,0),2)</f>
        <v>0.00</v>
      </c>
      <c r="AD75" s="3" t="str">
        <f>FIXED(VLOOKUP($A75,'Small Sample 2-Single Family'!$A:$R,AD$1,0),2)</f>
        <v>0.71</v>
      </c>
      <c r="AE75" s="9" t="str">
        <f>FIXED(VLOOKUP($A75,'Small Sample 2-Single Family'!$A:$R,AE$1,0),2)</f>
        <v>0.08</v>
      </c>
      <c r="AF75" s="3" t="str">
        <f>FIXED(VLOOKUP($A75,'Small Sample 2-Single Family'!$A:$R,AF$1,0),2)</f>
        <v>0.10</v>
      </c>
      <c r="AG75" s="3" t="str">
        <f>FIXED(VLOOKUP($A75,'Small Sample 2-Single Family'!$A:$R,AG$1,0),2)</f>
        <v>0.00</v>
      </c>
      <c r="AH75" s="13" t="str">
        <f>FIXED(VLOOKUP($A75,'Small Sample 2-Single Family'!$A:$R,AH$1,0),2)</f>
        <v>0.61</v>
      </c>
      <c r="AI75" s="9" t="str">
        <f>FIXED(VLOOKUP($A75,'Small Sample 2-Single Family'!$A:$R,AI$1,0),2)</f>
        <v>0.08</v>
      </c>
      <c r="AJ75" s="3" t="str">
        <f>FIXED(VLOOKUP($A75,'Small Sample 2-Single Family'!$A:$R,AJ$1,0),2)</f>
        <v>0.11</v>
      </c>
      <c r="AK75" s="3" t="e" vm="1">
        <f>FIXED(VLOOKUP($A75,'Full Sample-Townhouse'!$A:$R,AK$1,0),2)</f>
        <v>#VALUE!</v>
      </c>
      <c r="AL75" s="3" t="e" vm="1">
        <f>FIXED(VLOOKUP($A75,'Full Sample-Townhouse'!$A:$R,AL$1,0),2)</f>
        <v>#VALUE!</v>
      </c>
    </row>
    <row r="76" spans="1:38" x14ac:dyDescent="0.25">
      <c r="A76" t="s">
        <v>46</v>
      </c>
      <c r="B76" t="s">
        <v>126</v>
      </c>
      <c r="C76" s="9" t="str">
        <f>FIXED(VLOOKUP($A76,'Full Sample-Single Family'!$A:$R,C$1,0),2)</f>
        <v>0.94</v>
      </c>
      <c r="D76" s="3" t="str">
        <f>FIXED(VLOOKUP($A76,'Full Sample-Single Family'!$A:$R,D$1,0),2)</f>
        <v>0.08</v>
      </c>
      <c r="E76" s="3" t="str">
        <f>FIXED(VLOOKUP($A76,'Full Sample-Single Family'!$A:$R,E$1,0),2)</f>
        <v>0.01</v>
      </c>
      <c r="F76" s="3" t="str">
        <f>FIXED(VLOOKUP($A76,'Full Sample-Single Family'!$A:$R,F$1,0),2)</f>
        <v>1.00</v>
      </c>
      <c r="G76" s="9" t="str">
        <f>FIXED(VLOOKUP($A76,'Full Sample-Single Family'!$A:$R,G$1,0),2)</f>
        <v>0.94</v>
      </c>
      <c r="H76" s="3" t="str">
        <f>FIXED(VLOOKUP($A76,'Full Sample-Single Family'!$A:$R,H$1,0),2)</f>
        <v>0.07</v>
      </c>
      <c r="I76" s="3" t="str">
        <f>FIXED(VLOOKUP($A76,'Full Sample-Single Family'!$A:$R,I$1,0),2)</f>
        <v>0.01</v>
      </c>
      <c r="J76" s="13" t="str">
        <f>FIXED(VLOOKUP($A76,'Full Sample-Single Family'!$A:$R,J$1,0),2)</f>
        <v>1.00</v>
      </c>
      <c r="K76" s="9" t="str">
        <f>FIXED(VLOOKUP($A76,'Full Sample-Single Family'!$A:$R,K$1,0),2)</f>
        <v>0.93</v>
      </c>
      <c r="L76" s="3" t="str">
        <f>FIXED(VLOOKUP($A76,'Full Sample-Single Family'!$A:$R,L$1,0),2)</f>
        <v>0.09</v>
      </c>
      <c r="M76" s="3" t="str">
        <f>FIXED(VLOOKUP($A76,'Full Sample-No Sub'!$A:$R,M$1,0),2)</f>
        <v>0.07</v>
      </c>
      <c r="N76" s="13" t="str">
        <f>FIXED(VLOOKUP($A76,'Full Sample-No Sub'!$A:$R,N$1,0),2)</f>
        <v>1.00</v>
      </c>
      <c r="O76" s="9" t="str">
        <f>FIXED(VLOOKUP($A76,'Small Sample 1-Single Family'!$A:$R,O$1,0),2)</f>
        <v>0.94</v>
      </c>
      <c r="P76" s="3" t="str">
        <f>FIXED(VLOOKUP($A76,'Small Sample 1-Single Family'!$A:$R,P$1,0),2)</f>
        <v>0.08</v>
      </c>
      <c r="Q76" s="3" t="str">
        <f>FIXED(VLOOKUP($A76,'Small Sample 1-Single Family'!$A:$R,Q$1,0),2)</f>
        <v>0.01</v>
      </c>
      <c r="R76" s="3" t="str">
        <f>FIXED(VLOOKUP($A76,'Small Sample 1-Single Family'!$A:$R,R$1,0),2)</f>
        <v>1.00</v>
      </c>
      <c r="S76" s="9" t="str">
        <f>FIXED(VLOOKUP($A76,'Small Sample 1-Single Family'!$A:$R,S$1,0),2)</f>
        <v>0.06</v>
      </c>
      <c r="T76" s="3" t="str">
        <f>FIXED(VLOOKUP($A76,'Small Sample 1-Single Family'!$A:$R,T$1,0),2)</f>
        <v>0.07</v>
      </c>
      <c r="U76" s="3" t="str">
        <f>FIXED(VLOOKUP($A76,'Small Sample 1-Single Family'!$A:$R,U$1,0),2)</f>
        <v>0.00</v>
      </c>
      <c r="V76" s="13" t="str">
        <f>FIXED(VLOOKUP($A76,'Small Sample 1-Single Family'!$A:$R,V$1,0),2)</f>
        <v>0.67</v>
      </c>
      <c r="W76" s="9" t="str">
        <f>FIXED(VLOOKUP($A76,'Small Sample 1-Single Family'!$A:$R,W$1,0),2)</f>
        <v>0.93</v>
      </c>
      <c r="X76" s="3" t="str">
        <f>FIXED(VLOOKUP($A76,'Small Sample 1-Single Family'!$A:$R,X$1,0),2)</f>
        <v>0.09</v>
      </c>
      <c r="Y76" s="3" t="str">
        <f>FIXED(VLOOKUP($A76,'Small Sample 1-No Sub'!$A:$R,Y$1,0),2)</f>
        <v>0.07</v>
      </c>
      <c r="Z76" s="3" t="str">
        <f>FIXED(VLOOKUP($A76,'Small Sample 1-No Sub'!$A:$R,Z$1,0),2)</f>
        <v>1.00</v>
      </c>
      <c r="AA76" s="9" t="str">
        <f>FIXED(VLOOKUP($A76,'Small Sample 2-Single Family'!$A:$R,AA$1,0),2)</f>
        <v>0.93</v>
      </c>
      <c r="AB76" s="3" t="str">
        <f>FIXED(VLOOKUP($A76,'Small Sample 2-Single Family'!$A:$R,AB$1,0),2)</f>
        <v>0.08</v>
      </c>
      <c r="AC76" s="3" t="str">
        <f>FIXED(VLOOKUP($A76,'Small Sample 2-Single Family'!$A:$R,AC$1,0),2)</f>
        <v>0.01</v>
      </c>
      <c r="AD76" s="3" t="str">
        <f>FIXED(VLOOKUP($A76,'Small Sample 2-Single Family'!$A:$R,AD$1,0),2)</f>
        <v>1.00</v>
      </c>
      <c r="AE76" s="9" t="str">
        <f>FIXED(VLOOKUP($A76,'Small Sample 2-Single Family'!$A:$R,AE$1,0),2)</f>
        <v>0.94</v>
      </c>
      <c r="AF76" s="3" t="str">
        <f>FIXED(VLOOKUP($A76,'Small Sample 2-Single Family'!$A:$R,AF$1,0),2)</f>
        <v>0.07</v>
      </c>
      <c r="AG76" s="3" t="str">
        <f>FIXED(VLOOKUP($A76,'Small Sample 2-Single Family'!$A:$R,AG$1,0),2)</f>
        <v>0.01</v>
      </c>
      <c r="AH76" s="13" t="str">
        <f>FIXED(VLOOKUP($A76,'Small Sample 2-Single Family'!$A:$R,AH$1,0),2)</f>
        <v>1.00</v>
      </c>
      <c r="AI76" s="9" t="str">
        <f>FIXED(VLOOKUP($A76,'Small Sample 2-Single Family'!$A:$R,AI$1,0),2)</f>
        <v>0.93</v>
      </c>
      <c r="AJ76" s="3" t="str">
        <f>FIXED(VLOOKUP($A76,'Small Sample 2-Single Family'!$A:$R,AJ$1,0),2)</f>
        <v>0.09</v>
      </c>
      <c r="AK76" s="3" t="e" vm="1">
        <f>FIXED(VLOOKUP($A76,'Full Sample-Townhouse'!$A:$R,AK$1,0),2)</f>
        <v>#VALUE!</v>
      </c>
      <c r="AL76" s="3" t="e" vm="1">
        <f>FIXED(VLOOKUP($A76,'Full Sample-Townhouse'!$A:$R,AL$1,0),2)</f>
        <v>#VALUE!</v>
      </c>
    </row>
    <row r="77" spans="1:38" x14ac:dyDescent="0.25">
      <c r="A77" t="s">
        <v>47</v>
      </c>
      <c r="B77" t="s">
        <v>127</v>
      </c>
      <c r="C77" s="9" t="str">
        <f>FIXED(VLOOKUP($A77,'Full Sample-Single Family'!$A:$R,C$1,0),2)</f>
        <v>0.06</v>
      </c>
      <c r="D77" s="3" t="str">
        <f>FIXED(VLOOKUP($A77,'Full Sample-Single Family'!$A:$R,D$1,0),2)</f>
        <v>0.08</v>
      </c>
      <c r="E77" s="3" t="str">
        <f>FIXED(VLOOKUP($A77,'Full Sample-Single Family'!$A:$R,E$1,0),2)</f>
        <v>0.00</v>
      </c>
      <c r="F77" s="3" t="str">
        <f>FIXED(VLOOKUP($A77,'Full Sample-Single Family'!$A:$R,F$1,0),2)</f>
        <v>0.70</v>
      </c>
      <c r="G77" s="9" t="str">
        <f>FIXED(VLOOKUP($A77,'Full Sample-Single Family'!$A:$R,G$1,0),2)</f>
        <v>0.06</v>
      </c>
      <c r="H77" s="3" t="str">
        <f>FIXED(VLOOKUP($A77,'Full Sample-Single Family'!$A:$R,H$1,0),2)</f>
        <v>0.07</v>
      </c>
      <c r="I77" s="3" t="str">
        <f>FIXED(VLOOKUP($A77,'Full Sample-Single Family'!$A:$R,I$1,0),2)</f>
        <v>0.00</v>
      </c>
      <c r="J77" s="13" t="str">
        <f>FIXED(VLOOKUP($A77,'Full Sample-Single Family'!$A:$R,J$1,0),2)</f>
        <v>0.70</v>
      </c>
      <c r="K77" s="9" t="str">
        <f>FIXED(VLOOKUP($A77,'Full Sample-Single Family'!$A:$R,K$1,0),2)</f>
        <v>0.06</v>
      </c>
      <c r="L77" s="3" t="str">
        <f>FIXED(VLOOKUP($A77,'Full Sample-Single Family'!$A:$R,L$1,0),2)</f>
        <v>0.08</v>
      </c>
      <c r="M77" s="3" t="str">
        <f>FIXED(VLOOKUP($A77,'Full Sample-No Sub'!$A:$R,M$1,0),2)</f>
        <v>0.00</v>
      </c>
      <c r="N77" s="13" t="str">
        <f>FIXED(VLOOKUP($A77,'Full Sample-No Sub'!$A:$R,N$1,0),2)</f>
        <v>0.93</v>
      </c>
      <c r="O77" s="9" t="str">
        <f>FIXED(VLOOKUP($A77,'Small Sample 1-Single Family'!$A:$R,O$1,0),2)</f>
        <v>0.06</v>
      </c>
      <c r="P77" s="3" t="str">
        <f>FIXED(VLOOKUP($A77,'Small Sample 1-Single Family'!$A:$R,P$1,0),2)</f>
        <v>0.08</v>
      </c>
      <c r="Q77" s="3" t="str">
        <f>FIXED(VLOOKUP($A77,'Small Sample 1-Single Family'!$A:$R,Q$1,0),2)</f>
        <v>0.00</v>
      </c>
      <c r="R77" s="3" t="str">
        <f>FIXED(VLOOKUP($A77,'Small Sample 1-Single Family'!$A:$R,R$1,0),2)</f>
        <v>0.70</v>
      </c>
      <c r="S77" s="9" t="str">
        <f>FIXED(VLOOKUP($A77,'Small Sample 1-Single Family'!$A:$R,S$1,0),2)</f>
        <v>0.74</v>
      </c>
      <c r="T77" s="3" t="str">
        <f>FIXED(VLOOKUP($A77,'Small Sample 1-Single Family'!$A:$R,T$1,0),2)</f>
        <v>0.16</v>
      </c>
      <c r="U77" s="3" t="str">
        <f>FIXED(VLOOKUP($A77,'Small Sample 1-Single Family'!$A:$R,U$1,0),2)</f>
        <v>0.00</v>
      </c>
      <c r="V77" s="13" t="str">
        <f>FIXED(VLOOKUP($A77,'Small Sample 1-Single Family'!$A:$R,V$1,0),2)</f>
        <v>1.00</v>
      </c>
      <c r="W77" s="9" t="str">
        <f>FIXED(VLOOKUP($A77,'Small Sample 1-Single Family'!$A:$R,W$1,0),2)</f>
        <v>0.06</v>
      </c>
      <c r="X77" s="3" t="str">
        <f>FIXED(VLOOKUP($A77,'Small Sample 1-Single Family'!$A:$R,X$1,0),2)</f>
        <v>0.08</v>
      </c>
      <c r="Y77" s="3" t="str">
        <f>FIXED(VLOOKUP($A77,'Small Sample 1-No Sub'!$A:$R,Y$1,0),2)</f>
        <v>0.00</v>
      </c>
      <c r="Z77" s="3" t="str">
        <f>FIXED(VLOOKUP($A77,'Small Sample 1-No Sub'!$A:$R,Z$1,0),2)</f>
        <v>0.93</v>
      </c>
      <c r="AA77" s="9" t="str">
        <f>FIXED(VLOOKUP($A77,'Small Sample 2-Single Family'!$A:$R,AA$1,0),2)</f>
        <v>0.06</v>
      </c>
      <c r="AB77" s="3" t="str">
        <f>FIXED(VLOOKUP($A77,'Small Sample 2-Single Family'!$A:$R,AB$1,0),2)</f>
        <v>0.08</v>
      </c>
      <c r="AC77" s="3" t="str">
        <f>FIXED(VLOOKUP($A77,'Small Sample 2-Single Family'!$A:$R,AC$1,0),2)</f>
        <v>0.00</v>
      </c>
      <c r="AD77" s="3" t="str">
        <f>FIXED(VLOOKUP($A77,'Small Sample 2-Single Family'!$A:$R,AD$1,0),2)</f>
        <v>0.70</v>
      </c>
      <c r="AE77" s="9" t="str">
        <f>FIXED(VLOOKUP($A77,'Small Sample 2-Single Family'!$A:$R,AE$1,0),2)</f>
        <v>0.06</v>
      </c>
      <c r="AF77" s="3" t="str">
        <f>FIXED(VLOOKUP($A77,'Small Sample 2-Single Family'!$A:$R,AF$1,0),2)</f>
        <v>0.07</v>
      </c>
      <c r="AG77" s="3" t="str">
        <f>FIXED(VLOOKUP($A77,'Small Sample 2-Single Family'!$A:$R,AG$1,0),2)</f>
        <v>0.00</v>
      </c>
      <c r="AH77" s="13" t="str">
        <f>FIXED(VLOOKUP($A77,'Small Sample 2-Single Family'!$A:$R,AH$1,0),2)</f>
        <v>0.67</v>
      </c>
      <c r="AI77" s="9" t="str">
        <f>FIXED(VLOOKUP($A77,'Small Sample 2-Single Family'!$A:$R,AI$1,0),2)</f>
        <v>0.07</v>
      </c>
      <c r="AJ77" s="3" t="str">
        <f>FIXED(VLOOKUP($A77,'Small Sample 2-Single Family'!$A:$R,AJ$1,0),2)</f>
        <v>0.09</v>
      </c>
      <c r="AK77" s="3" t="e" vm="1">
        <f>FIXED(VLOOKUP($A77,'Full Sample-Townhouse'!$A:$R,AK$1,0),2)</f>
        <v>#VALUE!</v>
      </c>
      <c r="AL77" s="3" t="e" vm="1">
        <f>FIXED(VLOOKUP($A77,'Full Sample-Townhouse'!$A:$R,AL$1,0),2)</f>
        <v>#VALUE!</v>
      </c>
    </row>
    <row r="78" spans="1:38" x14ac:dyDescent="0.25">
      <c r="A78" t="s">
        <v>48</v>
      </c>
      <c r="B78" t="s">
        <v>128</v>
      </c>
      <c r="C78" s="9" t="str">
        <f>FIXED(VLOOKUP($A78,'Full Sample-Single Family'!$A:$R,C$1,0),2)</f>
        <v>0.75</v>
      </c>
      <c r="D78" s="3" t="str">
        <f>FIXED(VLOOKUP($A78,'Full Sample-Single Family'!$A:$R,D$1,0),2)</f>
        <v>0.17</v>
      </c>
      <c r="E78" s="3" t="str">
        <f>FIXED(VLOOKUP($A78,'Full Sample-Single Family'!$A:$R,E$1,0),2)</f>
        <v>0.00</v>
      </c>
      <c r="F78" s="3" t="str">
        <f>FIXED(VLOOKUP($A78,'Full Sample-Single Family'!$A:$R,F$1,0),2)</f>
        <v>1.00</v>
      </c>
      <c r="G78" s="9" t="str">
        <f>FIXED(VLOOKUP($A78,'Full Sample-Single Family'!$A:$R,G$1,0),2)</f>
        <v>0.74</v>
      </c>
      <c r="H78" s="3" t="str">
        <f>FIXED(VLOOKUP($A78,'Full Sample-Single Family'!$A:$R,H$1,0),2)</f>
        <v>0.16</v>
      </c>
      <c r="I78" s="3" t="str">
        <f>FIXED(VLOOKUP($A78,'Full Sample-Single Family'!$A:$R,I$1,0),2)</f>
        <v>0.00</v>
      </c>
      <c r="J78" s="13" t="str">
        <f>FIXED(VLOOKUP($A78,'Full Sample-Single Family'!$A:$R,J$1,0),2)</f>
        <v>1.00</v>
      </c>
      <c r="K78" s="9" t="str">
        <f>FIXED(VLOOKUP($A78,'Full Sample-Single Family'!$A:$R,K$1,0),2)</f>
        <v>0.76</v>
      </c>
      <c r="L78" s="3" t="str">
        <f>FIXED(VLOOKUP($A78,'Full Sample-Single Family'!$A:$R,L$1,0),2)</f>
        <v>0.17</v>
      </c>
      <c r="M78" s="3" t="str">
        <f>FIXED(VLOOKUP($A78,'Full Sample-No Sub'!$A:$R,M$1,0),2)</f>
        <v>0.00</v>
      </c>
      <c r="N78" s="13" t="str">
        <f>FIXED(VLOOKUP($A78,'Full Sample-No Sub'!$A:$R,N$1,0),2)</f>
        <v>1.00</v>
      </c>
      <c r="O78" s="9" t="str">
        <f>FIXED(VLOOKUP($A78,'Small Sample 1-Single Family'!$A:$R,O$1,0),2)</f>
        <v>0.75</v>
      </c>
      <c r="P78" s="3" t="str">
        <f>FIXED(VLOOKUP($A78,'Small Sample 1-Single Family'!$A:$R,P$1,0),2)</f>
        <v>0.17</v>
      </c>
      <c r="Q78" s="3" t="str">
        <f>FIXED(VLOOKUP($A78,'Small Sample 1-Single Family'!$A:$R,Q$1,0),2)</f>
        <v>0.00</v>
      </c>
      <c r="R78" s="3" t="str">
        <f>FIXED(VLOOKUP($A78,'Small Sample 1-Single Family'!$A:$R,R$1,0),2)</f>
        <v>1.00</v>
      </c>
      <c r="S78" s="9" t="str">
        <f>FIXED(VLOOKUP($A78,'Small Sample 1-Single Family'!$A:$R,S$1,0),2)</f>
        <v>0.26</v>
      </c>
      <c r="T78" s="3" t="str">
        <f>FIXED(VLOOKUP($A78,'Small Sample 1-Single Family'!$A:$R,T$1,0),2)</f>
        <v>0.16</v>
      </c>
      <c r="U78" s="3" t="str">
        <f>FIXED(VLOOKUP($A78,'Small Sample 1-Single Family'!$A:$R,U$1,0),2)</f>
        <v>0.00</v>
      </c>
      <c r="V78" s="13" t="str">
        <f>FIXED(VLOOKUP($A78,'Small Sample 1-Single Family'!$A:$R,V$1,0),2)</f>
        <v>1.00</v>
      </c>
      <c r="W78" s="9" t="str">
        <f>FIXED(VLOOKUP($A78,'Small Sample 1-Single Family'!$A:$R,W$1,0),2)</f>
        <v>0.76</v>
      </c>
      <c r="X78" s="3" t="str">
        <f>FIXED(VLOOKUP($A78,'Small Sample 1-Single Family'!$A:$R,X$1,0),2)</f>
        <v>0.17</v>
      </c>
      <c r="Y78" s="3" t="str">
        <f>FIXED(VLOOKUP($A78,'Small Sample 1-No Sub'!$A:$R,Y$1,0),2)</f>
        <v>0.00</v>
      </c>
      <c r="Z78" s="3" t="str">
        <f>FIXED(VLOOKUP($A78,'Small Sample 1-No Sub'!$A:$R,Z$1,0),2)</f>
        <v>1.00</v>
      </c>
      <c r="AA78" s="9" t="str">
        <f>FIXED(VLOOKUP($A78,'Small Sample 2-Single Family'!$A:$R,AA$1,0),2)</f>
        <v>0.75</v>
      </c>
      <c r="AB78" s="3" t="str">
        <f>FIXED(VLOOKUP($A78,'Small Sample 2-Single Family'!$A:$R,AB$1,0),2)</f>
        <v>0.17</v>
      </c>
      <c r="AC78" s="3" t="str">
        <f>FIXED(VLOOKUP($A78,'Small Sample 2-Single Family'!$A:$R,AC$1,0),2)</f>
        <v>0.00</v>
      </c>
      <c r="AD78" s="3" t="str">
        <f>FIXED(VLOOKUP($A78,'Small Sample 2-Single Family'!$A:$R,AD$1,0),2)</f>
        <v>1.00</v>
      </c>
      <c r="AE78" s="9" t="str">
        <f>FIXED(VLOOKUP($A78,'Small Sample 2-Single Family'!$A:$R,AE$1,0),2)</f>
        <v>0.74</v>
      </c>
      <c r="AF78" s="3" t="str">
        <f>FIXED(VLOOKUP($A78,'Small Sample 2-Single Family'!$A:$R,AF$1,0),2)</f>
        <v>0.16</v>
      </c>
      <c r="AG78" s="3" t="str">
        <f>FIXED(VLOOKUP($A78,'Small Sample 2-Single Family'!$A:$R,AG$1,0),2)</f>
        <v>0.00</v>
      </c>
      <c r="AH78" s="13" t="str">
        <f>FIXED(VLOOKUP($A78,'Small Sample 2-Single Family'!$A:$R,AH$1,0),2)</f>
        <v>1.00</v>
      </c>
      <c r="AI78" s="9" t="str">
        <f>FIXED(VLOOKUP($A78,'Small Sample 2-Single Family'!$A:$R,AI$1,0),2)</f>
        <v>0.76</v>
      </c>
      <c r="AJ78" s="3" t="str">
        <f>FIXED(VLOOKUP($A78,'Small Sample 2-Single Family'!$A:$R,AJ$1,0),2)</f>
        <v>0.18</v>
      </c>
      <c r="AK78" s="3" t="e" vm="1">
        <f>FIXED(VLOOKUP($A78,'Full Sample-Townhouse'!$A:$R,AK$1,0),2)</f>
        <v>#VALUE!</v>
      </c>
      <c r="AL78" s="3" t="e" vm="1">
        <f>FIXED(VLOOKUP($A78,'Full Sample-Townhouse'!$A:$R,AL$1,0),2)</f>
        <v>#VALUE!</v>
      </c>
    </row>
    <row r="79" spans="1:38" x14ac:dyDescent="0.25">
      <c r="A79" t="s">
        <v>49</v>
      </c>
      <c r="B79" t="s">
        <v>129</v>
      </c>
      <c r="C79" s="9" t="str">
        <f>FIXED(VLOOKUP($A79,'Full Sample-Single Family'!$A:$R,C$1,0),2)</f>
        <v>0.25</v>
      </c>
      <c r="D79" s="3" t="str">
        <f>FIXED(VLOOKUP($A79,'Full Sample-Single Family'!$A:$R,D$1,0),2)</f>
        <v>0.17</v>
      </c>
      <c r="E79" s="3" t="str">
        <f>FIXED(VLOOKUP($A79,'Full Sample-Single Family'!$A:$R,E$1,0),2)</f>
        <v>0.00</v>
      </c>
      <c r="F79" s="3" t="str">
        <f>FIXED(VLOOKUP($A79,'Full Sample-Single Family'!$A:$R,F$1,0),2)</f>
        <v>1.00</v>
      </c>
      <c r="G79" s="9" t="str">
        <f>FIXED(VLOOKUP($A79,'Full Sample-Single Family'!$A:$R,G$1,0),2)</f>
        <v>0.26</v>
      </c>
      <c r="H79" s="3" t="str">
        <f>FIXED(VLOOKUP($A79,'Full Sample-Single Family'!$A:$R,H$1,0),2)</f>
        <v>0.16</v>
      </c>
      <c r="I79" s="3" t="str">
        <f>FIXED(VLOOKUP($A79,'Full Sample-Single Family'!$A:$R,I$1,0),2)</f>
        <v>0.00</v>
      </c>
      <c r="J79" s="13" t="str">
        <f>FIXED(VLOOKUP($A79,'Full Sample-Single Family'!$A:$R,J$1,0),2)</f>
        <v>1.00</v>
      </c>
      <c r="K79" s="9" t="str">
        <f>FIXED(VLOOKUP($A79,'Full Sample-Single Family'!$A:$R,K$1,0),2)</f>
        <v>0.24</v>
      </c>
      <c r="L79" s="3" t="str">
        <f>FIXED(VLOOKUP($A79,'Full Sample-Single Family'!$A:$R,L$1,0),2)</f>
        <v>0.17</v>
      </c>
      <c r="M79" s="3" t="str">
        <f>FIXED(VLOOKUP($A79,'Full Sample-No Sub'!$A:$R,M$1,0),2)</f>
        <v>0.00</v>
      </c>
      <c r="N79" s="13" t="str">
        <f>FIXED(VLOOKUP($A79,'Full Sample-No Sub'!$A:$R,N$1,0),2)</f>
        <v>1.00</v>
      </c>
      <c r="O79" s="9" t="str">
        <f>FIXED(VLOOKUP($A79,'Small Sample 1-Single Family'!$A:$R,O$1,0),2)</f>
        <v>0.25</v>
      </c>
      <c r="P79" s="3" t="str">
        <f>FIXED(VLOOKUP($A79,'Small Sample 1-Single Family'!$A:$R,P$1,0),2)</f>
        <v>0.17</v>
      </c>
      <c r="Q79" s="3" t="str">
        <f>FIXED(VLOOKUP($A79,'Small Sample 1-Single Family'!$A:$R,Q$1,0),2)</f>
        <v>0.00</v>
      </c>
      <c r="R79" s="3" t="str">
        <f>FIXED(VLOOKUP($A79,'Small Sample 1-Single Family'!$A:$R,R$1,0),2)</f>
        <v>1.00</v>
      </c>
      <c r="S79" s="9" t="str">
        <f>FIXED(VLOOKUP($A79,'Small Sample 1-Single Family'!$A:$R,S$1,0),2)</f>
        <v>22.67</v>
      </c>
      <c r="T79" s="3" t="str">
        <f>FIXED(VLOOKUP($A79,'Small Sample 1-Single Family'!$A:$R,T$1,0),2)</f>
        <v>50.06</v>
      </c>
      <c r="U79" s="3" t="str">
        <f>FIXED(VLOOKUP($A79,'Small Sample 1-Single Family'!$A:$R,U$1,0),2)</f>
        <v>0.00</v>
      </c>
      <c r="V79" s="13" t="str">
        <f>FIXED(VLOOKUP($A79,'Small Sample 1-Single Family'!$A:$R,V$1,0),2)</f>
        <v>667.00</v>
      </c>
      <c r="W79" s="9" t="str">
        <f>FIXED(VLOOKUP($A79,'Small Sample 1-Single Family'!$A:$R,W$1,0),2)</f>
        <v>0.24</v>
      </c>
      <c r="X79" s="3" t="str">
        <f>FIXED(VLOOKUP($A79,'Small Sample 1-Single Family'!$A:$R,X$1,0),2)</f>
        <v>0.17</v>
      </c>
      <c r="Y79" s="3" t="str">
        <f>FIXED(VLOOKUP($A79,'Small Sample 1-No Sub'!$A:$R,Y$1,0),2)</f>
        <v>0.00</v>
      </c>
      <c r="Z79" s="3" t="str">
        <f>FIXED(VLOOKUP($A79,'Small Sample 1-No Sub'!$A:$R,Z$1,0),2)</f>
        <v>1.00</v>
      </c>
      <c r="AA79" s="9" t="str">
        <f>FIXED(VLOOKUP($A79,'Small Sample 2-Single Family'!$A:$R,AA$1,0),2)</f>
        <v>0.25</v>
      </c>
      <c r="AB79" s="3" t="str">
        <f>FIXED(VLOOKUP($A79,'Small Sample 2-Single Family'!$A:$R,AB$1,0),2)</f>
        <v>0.17</v>
      </c>
      <c r="AC79" s="3" t="str">
        <f>FIXED(VLOOKUP($A79,'Small Sample 2-Single Family'!$A:$R,AC$1,0),2)</f>
        <v>0.00</v>
      </c>
      <c r="AD79" s="3" t="str">
        <f>FIXED(VLOOKUP($A79,'Small Sample 2-Single Family'!$A:$R,AD$1,0),2)</f>
        <v>1.00</v>
      </c>
      <c r="AE79" s="9" t="str">
        <f>FIXED(VLOOKUP($A79,'Small Sample 2-Single Family'!$A:$R,AE$1,0),2)</f>
        <v>0.26</v>
      </c>
      <c r="AF79" s="3" t="str">
        <f>FIXED(VLOOKUP($A79,'Small Sample 2-Single Family'!$A:$R,AF$1,0),2)</f>
        <v>0.16</v>
      </c>
      <c r="AG79" s="3" t="str">
        <f>FIXED(VLOOKUP($A79,'Small Sample 2-Single Family'!$A:$R,AG$1,0),2)</f>
        <v>0.00</v>
      </c>
      <c r="AH79" s="13" t="str">
        <f>FIXED(VLOOKUP($A79,'Small Sample 2-Single Family'!$A:$R,AH$1,0),2)</f>
        <v>1.00</v>
      </c>
      <c r="AI79" s="9" t="str">
        <f>FIXED(VLOOKUP($A79,'Small Sample 2-Single Family'!$A:$R,AI$1,0),2)</f>
        <v>0.24</v>
      </c>
      <c r="AJ79" s="3" t="str">
        <f>FIXED(VLOOKUP($A79,'Small Sample 2-Single Family'!$A:$R,AJ$1,0),2)</f>
        <v>0.18</v>
      </c>
      <c r="AK79" s="3" t="e" vm="1">
        <f>FIXED(VLOOKUP($A79,'Full Sample-Townhouse'!$A:$R,AK$1,0),2)</f>
        <v>#VALUE!</v>
      </c>
      <c r="AL79" s="3" t="e" vm="1">
        <f>FIXED(VLOOKUP($A79,'Full Sample-Townhouse'!$A:$R,AL$1,0),2)</f>
        <v>#VALUE!</v>
      </c>
    </row>
    <row r="80" spans="1:38" x14ac:dyDescent="0.25">
      <c r="C80" s="9"/>
      <c r="G80" s="9"/>
      <c r="J80" s="13"/>
      <c r="K80" s="9"/>
      <c r="N80" s="13"/>
      <c r="O80" s="9"/>
      <c r="P80" s="3"/>
      <c r="Q80" s="3"/>
      <c r="R80" s="3"/>
      <c r="S80" s="9"/>
      <c r="T80" s="3"/>
      <c r="U80" s="3"/>
      <c r="V80" s="13"/>
      <c r="W80" s="9"/>
      <c r="X80" s="3"/>
      <c r="Y80" s="3"/>
      <c r="Z80" s="3"/>
      <c r="AA80" s="9"/>
      <c r="AB80" s="3"/>
      <c r="AC80" s="3"/>
      <c r="AD80" s="3"/>
      <c r="AE80" s="9"/>
      <c r="AF80" s="3"/>
      <c r="AG80" s="3"/>
      <c r="AH80" s="13"/>
      <c r="AI80" s="9"/>
      <c r="AJ80" s="3"/>
      <c r="AK80" s="3"/>
      <c r="AL80" s="3"/>
    </row>
    <row r="81" spans="1:38" x14ac:dyDescent="0.25">
      <c r="A81" t="s">
        <v>186</v>
      </c>
      <c r="B81" t="s">
        <v>187</v>
      </c>
      <c r="C81" s="28">
        <f>'Full Sample-Single Family'!B3</f>
        <v>22962</v>
      </c>
      <c r="D81" s="29"/>
      <c r="E81" s="29"/>
      <c r="F81" s="29"/>
      <c r="G81" s="28">
        <f>'Full Sample-Single Family'!H3</f>
        <v>13262</v>
      </c>
      <c r="H81" s="29"/>
      <c r="I81" s="29"/>
      <c r="J81" s="30"/>
      <c r="K81" s="28">
        <f>'Full Sample-Single Family'!N3</f>
        <v>9700</v>
      </c>
      <c r="L81" s="29"/>
      <c r="M81" s="29"/>
      <c r="N81" s="30"/>
      <c r="O81" s="28">
        <f>'Small Sample 1-Single Family'!B3</f>
        <v>19897</v>
      </c>
      <c r="P81" s="29"/>
      <c r="Q81" s="29"/>
      <c r="R81" s="29"/>
      <c r="S81" s="28">
        <f>'Small Sample 1-Single Family'!H3</f>
        <v>10573</v>
      </c>
      <c r="T81" s="29"/>
      <c r="U81" s="29"/>
      <c r="V81" s="30"/>
      <c r="W81" s="28">
        <f>'Small Sample 1-Single Family'!N3</f>
        <v>9324</v>
      </c>
      <c r="X81" s="29"/>
      <c r="Y81" s="29"/>
      <c r="Z81" s="29"/>
      <c r="AA81" s="28">
        <f>'Small Sample 2-Single Family'!B3</f>
        <v>19897</v>
      </c>
      <c r="AB81" s="29"/>
      <c r="AC81" s="29"/>
      <c r="AD81" s="29"/>
      <c r="AE81" s="28">
        <f>'Small Sample 2-Single Family'!H3</f>
        <v>12451</v>
      </c>
      <c r="AF81" s="29"/>
      <c r="AG81" s="29"/>
      <c r="AH81" s="30"/>
      <c r="AI81" s="28">
        <f>'Small Sample 2-Single Family'!N3</f>
        <v>7446</v>
      </c>
      <c r="AJ81" s="29"/>
      <c r="AK81" s="29"/>
      <c r="AL81" s="29"/>
    </row>
    <row r="82" spans="1:38" x14ac:dyDescent="0.25"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t="s">
        <v>17</v>
      </c>
      <c r="B85" t="s">
        <v>101</v>
      </c>
      <c r="C85" s="3" t="str">
        <f>FIXED(VLOOKUP($A85,'Full Sample-Single Family'!$A:$R,C$1,0),2)</f>
        <v>329.87</v>
      </c>
      <c r="D85" s="3" t="str">
        <f>FIXED(VLOOKUP($A85,'Full Sample-Single Family'!$A:$R,D$1,0),2)</f>
        <v>233.66</v>
      </c>
      <c r="E85" s="3" t="str">
        <f>FIXED(VLOOKUP($A85,'Full Sample-Single Family'!$A:$R,E$1,0),2)</f>
        <v>0.00</v>
      </c>
      <c r="F85" s="3" t="str">
        <f>FIXED(VLOOKUP($A85,'Full Sample-Single Family'!$A:$R,F$1,0),2)</f>
        <v>5,000.00</v>
      </c>
      <c r="G85" s="3" t="str">
        <f>FIXED(VLOOKUP($A85,'Full Sample-Single Family'!$A:$R,G$1,0),2)</f>
        <v>329.21</v>
      </c>
      <c r="H85" s="3" t="str">
        <f>FIXED(VLOOKUP($A85,'Full Sample-Single Family'!$A:$R,H$1,0),2)</f>
        <v>234.37</v>
      </c>
      <c r="I85" s="3" t="str">
        <f>FIXED(VLOOKUP($A85,'Full Sample-Single Family'!$A:$R,I$1,0),2)</f>
        <v>0.00</v>
      </c>
      <c r="J85" s="3" t="str">
        <f>FIXED(VLOOKUP($A85,'Full Sample-Single Family'!$A:$R,J$1,0),2)</f>
        <v>5,000.00</v>
      </c>
      <c r="K85" s="3" t="str">
        <f>FIXED(VLOOKUP($A85,'Full Sample-Single Family'!$A:$R,K$1,0),2)</f>
        <v>330.77</v>
      </c>
      <c r="L85" s="3" t="str">
        <f>FIXED(VLOOKUP($A85,'Full Sample-Single Family'!$A:$R,L$1,0),2)</f>
        <v>232.69</v>
      </c>
      <c r="M85" s="3" t="str">
        <f>FIXED(VLOOKUP($A85,'Full Sample-No Sub'!$A:$R,M$1,0),2)</f>
        <v>0.00</v>
      </c>
      <c r="N85" s="3" t="str">
        <f>FIXED(VLOOKUP($A85,'Full Sample-No Sub'!$A:$R,N$1,0),2)</f>
        <v>3,200.00</v>
      </c>
      <c r="O85" s="3" t="str">
        <f>FIXED(VLOOKUP($A85,'Small Sample 1-Single Family'!$A:$R,O$1,0),2)</f>
        <v>331.84</v>
      </c>
      <c r="P85" s="3" t="str">
        <f>FIXED(VLOOKUP($A85,'Small Sample 1-Single Family'!$A:$R,P$1,0),2)</f>
        <v>232.53</v>
      </c>
      <c r="Q85" s="3" t="str">
        <f>FIXED(VLOOKUP($A85,'Small Sample 1-Single Family'!$A:$R,Q$1,0),2)</f>
        <v>0.00</v>
      </c>
      <c r="R85" s="3" t="str">
        <f>FIXED(VLOOKUP($A85,'Small Sample 1-Single Family'!$A:$R,R$1,0),2)</f>
        <v>4,444.00</v>
      </c>
      <c r="S85" s="3" t="str">
        <f>FIXED(VLOOKUP($A85,'Small Sample 1-Single Family'!$A:$R,S$1,0),2)</f>
        <v>1,215,760.00</v>
      </c>
      <c r="T85" s="3" t="str">
        <f>FIXED(VLOOKUP($A85,'Small Sample 1-Single Family'!$A:$R,T$1,0),2)</f>
        <v>1,007,968.00</v>
      </c>
      <c r="U85" s="3" t="str">
        <f>FIXED(VLOOKUP($A85,'Small Sample 1-Single Family'!$A:$R,U$1,0),2)</f>
        <v>168,375.10</v>
      </c>
      <c r="V85" s="3" t="str">
        <f>FIXED(VLOOKUP($A85,'Small Sample 1-Single Family'!$A:$R,V$1,0),2)</f>
        <v>23,293,838.00</v>
      </c>
      <c r="W85" s="3" t="str">
        <f>FIXED(VLOOKUP($A85,'Small Sample 1-Single Family'!$A:$R,W$1,0),2)</f>
        <v>331.38</v>
      </c>
      <c r="X85" s="3" t="str">
        <f>FIXED(VLOOKUP($A85,'Small Sample 1-Single Family'!$A:$R,X$1,0),2)</f>
        <v>233.08</v>
      </c>
      <c r="Y85" s="3" t="str">
        <f>FIXED(VLOOKUP($A85,'Small Sample 1-No Sub'!$A:$R,Y$1,0),2)</f>
        <v>0.00</v>
      </c>
      <c r="Z85" s="3" t="str">
        <f>FIXED(VLOOKUP($A85,'Small Sample 1-No Sub'!$A:$R,Z$1,0),2)</f>
        <v>3,200.00</v>
      </c>
      <c r="AA85" s="3" t="str">
        <f>FIXED(VLOOKUP($A85,'Small Sample 2-Single Family'!$A:$R,AA$1,0),2)</f>
        <v>331.76</v>
      </c>
      <c r="AB85" s="3" t="str">
        <f>FIXED(VLOOKUP($A85,'Small Sample 2-Single Family'!$A:$R,AB$1,0),2)</f>
        <v>234.67</v>
      </c>
      <c r="AC85" s="3" t="str">
        <f>FIXED(VLOOKUP($A85,'Small Sample 2-Single Family'!$A:$R,AC$1,0),2)</f>
        <v>0.00</v>
      </c>
      <c r="AD85" s="3" t="str">
        <f>FIXED(VLOOKUP($A85,'Small Sample 2-Single Family'!$A:$R,AD$1,0),2)</f>
        <v>5,000.00</v>
      </c>
      <c r="AE85" s="3" t="str">
        <f>FIXED(VLOOKUP($A85,'Small Sample 2-Single Family'!$A:$R,AE$1,0),2)</f>
        <v>330.45</v>
      </c>
      <c r="AF85" s="3" t="str">
        <f>FIXED(VLOOKUP($A85,'Small Sample 2-Single Family'!$A:$R,AF$1,0),2)</f>
        <v>234.61</v>
      </c>
      <c r="AG85" s="3" t="str">
        <f>FIXED(VLOOKUP($A85,'Small Sample 2-Single Family'!$A:$R,AG$1,0),2)</f>
        <v>0.00</v>
      </c>
      <c r="AH85" s="3" t="str">
        <f>FIXED(VLOOKUP($A85,'Small Sample 2-Single Family'!$A:$R,AH$1,0),2)</f>
        <v>5,000.00</v>
      </c>
      <c r="AI85" s="3" t="str">
        <f>FIXED(VLOOKUP($A85,'Small Sample 2-Single Family'!$A:$R,AI$1,0),2)</f>
        <v>333.96</v>
      </c>
      <c r="AJ85" s="3" t="str">
        <f>FIXED(VLOOKUP($A85,'Small Sample 2-Single Family'!$A:$R,AJ$1,0),2)</f>
        <v>234.76</v>
      </c>
      <c r="AK85" s="3" t="e" vm="1">
        <f>FIXED(VLOOKUP($A85,'Full Sample-Townhouse'!$A:$R,AK$1,0),2)</f>
        <v>#VALUE!</v>
      </c>
      <c r="AL85" s="3" t="e" vm="1">
        <f>FIXED(VLOOKUP($A85,'Full Sample-Townhouse'!$A:$R,AL$1,0),2)</f>
        <v>#VALUE!</v>
      </c>
    </row>
    <row r="86" spans="1:38" x14ac:dyDescent="0.25">
      <c r="A86" t="s">
        <v>32</v>
      </c>
      <c r="B86" s="4" t="s">
        <v>116</v>
      </c>
      <c r="C86" s="3" t="str">
        <f>FIXED(VLOOKUP($A86,'Full Sample-Single Family'!$A:$R,C$1,0),2)</f>
        <v>1.00</v>
      </c>
      <c r="D86" s="3" t="str">
        <f>FIXED(VLOOKUP($A86,'Full Sample-Single Family'!$A:$R,D$1,0),2)</f>
        <v>0.02</v>
      </c>
      <c r="E86" s="3" t="str">
        <f>FIXED(VLOOKUP($A86,'Full Sample-Single Family'!$A:$R,E$1,0),2)</f>
        <v>0.00</v>
      </c>
      <c r="F86" s="3" t="str">
        <f>FIXED(VLOOKUP($A86,'Full Sample-Single Family'!$A:$R,F$1,0),2)</f>
        <v>1.00</v>
      </c>
      <c r="G86" s="3" t="str">
        <f>FIXED(VLOOKUP($A86,'Full Sample-Single Family'!$A:$R,G$1,0),2)</f>
        <v>1.00</v>
      </c>
      <c r="H86" s="3" t="str">
        <f>FIXED(VLOOKUP($A86,'Full Sample-Single Family'!$A:$R,H$1,0),2)</f>
        <v>0.02</v>
      </c>
      <c r="I86" s="3" t="str">
        <f>FIXED(VLOOKUP($A86,'Full Sample-Single Family'!$A:$R,I$1,0),2)</f>
        <v>0.00</v>
      </c>
      <c r="J86" s="3" t="str">
        <f>FIXED(VLOOKUP($A86,'Full Sample-Single Family'!$A:$R,J$1,0),2)</f>
        <v>1.00</v>
      </c>
      <c r="K86" s="3" t="str">
        <f>FIXED(VLOOKUP($A86,'Full Sample-Single Family'!$A:$R,K$1,0),2)</f>
        <v>1.00</v>
      </c>
      <c r="L86" s="3" t="str">
        <f>FIXED(VLOOKUP($A86,'Full Sample-Single Family'!$A:$R,L$1,0),2)</f>
        <v>0.01</v>
      </c>
      <c r="M86" s="3" t="str">
        <f>FIXED(VLOOKUP($A86,'Full Sample-No Sub'!$A:$R,M$1,0),2)</f>
        <v>0.00</v>
      </c>
      <c r="N86" s="3" t="str">
        <f>FIXED(VLOOKUP($A86,'Full Sample-No Sub'!$A:$R,N$1,0),2)</f>
        <v>1.00</v>
      </c>
      <c r="O86" s="3" t="str">
        <f>FIXED(VLOOKUP($A86,'Small Sample 1-Single Family'!$A:$R,O$1,0),2)</f>
        <v>1.00</v>
      </c>
      <c r="P86" s="3" t="str">
        <f>FIXED(VLOOKUP($A86,'Small Sample 1-Single Family'!$A:$R,P$1,0),2)</f>
        <v>0.01</v>
      </c>
      <c r="Q86" s="3" t="str">
        <f>FIXED(VLOOKUP($A86,'Small Sample 1-Single Family'!$A:$R,Q$1,0),2)</f>
        <v>0.00</v>
      </c>
      <c r="R86" s="3" t="str">
        <f>FIXED(VLOOKUP($A86,'Small Sample 1-Single Family'!$A:$R,R$1,0),2)</f>
        <v>1.00</v>
      </c>
      <c r="S86" s="3" t="str">
        <f>FIXED(VLOOKUP($A86,'Small Sample 1-Single Family'!$A:$R,S$1,0),2)</f>
        <v>38.31</v>
      </c>
      <c r="T86" s="3" t="str">
        <f>FIXED(VLOOKUP($A86,'Small Sample 1-Single Family'!$A:$R,T$1,0),2)</f>
        <v>22.65</v>
      </c>
      <c r="U86" s="3" t="str">
        <f>FIXED(VLOOKUP($A86,'Small Sample 1-Single Family'!$A:$R,U$1,0),2)</f>
        <v>0.00</v>
      </c>
      <c r="V86" s="3" t="str">
        <f>FIXED(VLOOKUP($A86,'Small Sample 1-Single Family'!$A:$R,V$1,0),2)</f>
        <v>112.00</v>
      </c>
      <c r="W86" s="3" t="str">
        <f>FIXED(VLOOKUP($A86,'Small Sample 1-Single Family'!$A:$R,W$1,0),2)</f>
        <v>1.00</v>
      </c>
      <c r="X86" s="3" t="str">
        <f>FIXED(VLOOKUP($A86,'Small Sample 1-Single Family'!$A:$R,X$1,0),2)</f>
        <v>0.02</v>
      </c>
      <c r="Y86" s="3" t="str">
        <f>FIXED(VLOOKUP($A86,'Small Sample 1-No Sub'!$A:$R,Y$1,0),2)</f>
        <v>0.00</v>
      </c>
      <c r="Z86" s="3" t="str">
        <f>FIXED(VLOOKUP($A86,'Small Sample 1-No Sub'!$A:$R,Z$1,0),2)</f>
        <v>1.00</v>
      </c>
      <c r="AA86" s="3" t="str">
        <f>FIXED(VLOOKUP($A86,'Small Sample 2-Single Family'!$A:$R,AA$1,0),2)</f>
        <v>1.00</v>
      </c>
      <c r="AB86" s="3" t="str">
        <f>FIXED(VLOOKUP($A86,'Small Sample 2-Single Family'!$A:$R,AB$1,0),2)</f>
        <v>0.02</v>
      </c>
      <c r="AC86" s="3" t="str">
        <f>FIXED(VLOOKUP($A86,'Small Sample 2-Single Family'!$A:$R,AC$1,0),2)</f>
        <v>0.00</v>
      </c>
      <c r="AD86" s="3" t="str">
        <f>FIXED(VLOOKUP($A86,'Small Sample 2-Single Family'!$A:$R,AD$1,0),2)</f>
        <v>1.00</v>
      </c>
      <c r="AE86" s="3" t="str">
        <f>FIXED(VLOOKUP($A86,'Small Sample 2-Single Family'!$A:$R,AE$1,0),2)</f>
        <v>1.00</v>
      </c>
      <c r="AF86" s="3" t="str">
        <f>FIXED(VLOOKUP($A86,'Small Sample 2-Single Family'!$A:$R,AF$1,0),2)</f>
        <v>0.02</v>
      </c>
      <c r="AG86" s="3" t="str">
        <f>FIXED(VLOOKUP($A86,'Small Sample 2-Single Family'!$A:$R,AG$1,0),2)</f>
        <v>0.00</v>
      </c>
      <c r="AH86" s="3" t="str">
        <f>FIXED(VLOOKUP($A86,'Small Sample 2-Single Family'!$A:$R,AH$1,0),2)</f>
        <v>1.00</v>
      </c>
      <c r="AI86" s="3" t="str">
        <f>FIXED(VLOOKUP($A86,'Small Sample 2-Single Family'!$A:$R,AI$1,0),2)</f>
        <v>1.00</v>
      </c>
      <c r="AJ86" s="3" t="str">
        <f>FIXED(VLOOKUP($A86,'Small Sample 2-Single Family'!$A:$R,AJ$1,0),2)</f>
        <v>0.01</v>
      </c>
      <c r="AK86" s="3" t="e" vm="1">
        <f>FIXED(VLOOKUP($A86,'Full Sample-Townhouse'!$A:$R,AK$1,0),2)</f>
        <v>#VALUE!</v>
      </c>
      <c r="AL86" s="3" t="e" vm="1">
        <f>FIXED(VLOOKUP($A86,'Full Sample-Townhouse'!$A:$R,AL$1,0),2)</f>
        <v>#VALUE!</v>
      </c>
    </row>
    <row r="87" spans="1:38" x14ac:dyDescent="0.25">
      <c r="A87" t="s">
        <v>35</v>
      </c>
      <c r="B87" t="s">
        <v>119</v>
      </c>
      <c r="C87" s="3" t="str">
        <f>FIXED(VLOOKUP($A87,'Full Sample-Single Family'!$A:$R,C$1,0),2)</f>
        <v>4.94</v>
      </c>
      <c r="D87" s="3" t="str">
        <f>FIXED(VLOOKUP($A87,'Full Sample-Single Family'!$A:$R,D$1,0),2)</f>
        <v>12.61</v>
      </c>
      <c r="E87" s="3" t="str">
        <f>FIXED(VLOOKUP($A87,'Full Sample-Single Family'!$A:$R,E$1,0),2)</f>
        <v>0.00</v>
      </c>
      <c r="F87" s="3" t="str">
        <f>FIXED(VLOOKUP($A87,'Full Sample-Single Family'!$A:$R,F$1,0),2)</f>
        <v>94.00</v>
      </c>
      <c r="G87" s="3" t="str">
        <f>FIXED(VLOOKUP($A87,'Full Sample-Single Family'!$A:$R,G$1,0),2)</f>
        <v>4.54</v>
      </c>
      <c r="H87" s="3" t="str">
        <f>FIXED(VLOOKUP($A87,'Full Sample-Single Family'!$A:$R,H$1,0),2)</f>
        <v>12.06</v>
      </c>
      <c r="I87" s="3" t="str">
        <f>FIXED(VLOOKUP($A87,'Full Sample-Single Family'!$A:$R,I$1,0),2)</f>
        <v>0.00</v>
      </c>
      <c r="J87" s="3" t="str">
        <f>FIXED(VLOOKUP($A87,'Full Sample-Single Family'!$A:$R,J$1,0),2)</f>
        <v>88.00</v>
      </c>
      <c r="K87" s="3" t="str">
        <f>FIXED(VLOOKUP($A87,'Full Sample-Single Family'!$A:$R,K$1,0),2)</f>
        <v>5.49</v>
      </c>
      <c r="L87" s="3" t="str">
        <f>FIXED(VLOOKUP($A87,'Full Sample-Single Family'!$A:$R,L$1,0),2)</f>
        <v>13.30</v>
      </c>
      <c r="M87" s="3" t="str">
        <f>FIXED(VLOOKUP($A87,'Full Sample-No Sub'!$A:$R,M$1,0),2)</f>
        <v>0.00</v>
      </c>
      <c r="N87" s="3" t="str">
        <f>FIXED(VLOOKUP($A87,'Full Sample-No Sub'!$A:$R,N$1,0),2)</f>
        <v>94.00</v>
      </c>
      <c r="O87" s="3" t="str">
        <f>FIXED(VLOOKUP($A87,'Small Sample 1-Single Family'!$A:$R,O$1,0),2)</f>
        <v>5.18</v>
      </c>
      <c r="P87" s="3" t="str">
        <f>FIXED(VLOOKUP($A87,'Small Sample 1-Single Family'!$A:$R,P$1,0),2)</f>
        <v>12.86</v>
      </c>
      <c r="Q87" s="3" t="str">
        <f>FIXED(VLOOKUP($A87,'Small Sample 1-Single Family'!$A:$R,Q$1,0),2)</f>
        <v>0.00</v>
      </c>
      <c r="R87" s="3" t="str">
        <f>FIXED(VLOOKUP($A87,'Small Sample 1-Single Family'!$A:$R,R$1,0),2)</f>
        <v>94.00</v>
      </c>
      <c r="S87" s="3" t="str">
        <f>FIXED(VLOOKUP($A87,'Small Sample 1-Single Family'!$A:$R,S$1,0),2)</f>
        <v>2,075.05</v>
      </c>
      <c r="T87" s="3" t="str">
        <f>FIXED(VLOOKUP($A87,'Small Sample 1-Single Family'!$A:$R,T$1,0),2)</f>
        <v>1,083.87</v>
      </c>
      <c r="U87" s="3" t="str">
        <f>FIXED(VLOOKUP($A87,'Small Sample 1-Single Family'!$A:$R,U$1,0),2)</f>
        <v>496.00</v>
      </c>
      <c r="V87" s="3" t="str">
        <f>FIXED(VLOOKUP($A87,'Small Sample 1-Single Family'!$A:$R,V$1,0),2)</f>
        <v>23,350.00</v>
      </c>
      <c r="W87" s="3" t="str">
        <f>FIXED(VLOOKUP($A87,'Small Sample 1-Single Family'!$A:$R,W$1,0),2)</f>
        <v>5.50</v>
      </c>
      <c r="X87" s="3" t="str">
        <f>FIXED(VLOOKUP($A87,'Small Sample 1-Single Family'!$A:$R,X$1,0),2)</f>
        <v>13.27</v>
      </c>
      <c r="Y87" s="3" t="str">
        <f>FIXED(VLOOKUP($A87,'Small Sample 1-No Sub'!$A:$R,Y$1,0),2)</f>
        <v>0.00</v>
      </c>
      <c r="Z87" s="3" t="str">
        <f>FIXED(VLOOKUP($A87,'Small Sample 1-No Sub'!$A:$R,Z$1,0),2)</f>
        <v>94.00</v>
      </c>
      <c r="AA87" s="3" t="str">
        <f>FIXED(VLOOKUP($A87,'Small Sample 2-Single Family'!$A:$R,AA$1,0),2)</f>
        <v>5.30</v>
      </c>
      <c r="AB87" s="3" t="str">
        <f>FIXED(VLOOKUP($A87,'Small Sample 2-Single Family'!$A:$R,AB$1,0),2)</f>
        <v>13.15</v>
      </c>
      <c r="AC87" s="3" t="str">
        <f>FIXED(VLOOKUP($A87,'Small Sample 2-Single Family'!$A:$R,AC$1,0),2)</f>
        <v>0.00</v>
      </c>
      <c r="AD87" s="3" t="str">
        <f>FIXED(VLOOKUP($A87,'Small Sample 2-Single Family'!$A:$R,AD$1,0),2)</f>
        <v>94.00</v>
      </c>
      <c r="AE87" s="3" t="str">
        <f>FIXED(VLOOKUP($A87,'Small Sample 2-Single Family'!$A:$R,AE$1,0),2)</f>
        <v>4.70</v>
      </c>
      <c r="AF87" s="3" t="str">
        <f>FIXED(VLOOKUP($A87,'Small Sample 2-Single Family'!$A:$R,AF$1,0),2)</f>
        <v>12.29</v>
      </c>
      <c r="AG87" s="3" t="str">
        <f>FIXED(VLOOKUP($A87,'Small Sample 2-Single Family'!$A:$R,AG$1,0),2)</f>
        <v>0.00</v>
      </c>
      <c r="AH87" s="3" t="str">
        <f>FIXED(VLOOKUP($A87,'Small Sample 2-Single Family'!$A:$R,AH$1,0),2)</f>
        <v>88.00</v>
      </c>
      <c r="AI87" s="3" t="str">
        <f>FIXED(VLOOKUP($A87,'Small Sample 2-Single Family'!$A:$R,AI$1,0),2)</f>
        <v>6.30</v>
      </c>
      <c r="AJ87" s="3" t="str">
        <f>FIXED(VLOOKUP($A87,'Small Sample 2-Single Family'!$A:$R,AJ$1,0),2)</f>
        <v>14.42</v>
      </c>
      <c r="AK87" s="3" t="e" vm="1">
        <f>FIXED(VLOOKUP($A87,'Full Sample-Townhouse'!$A:$R,AK$1,0),2)</f>
        <v>#VALUE!</v>
      </c>
      <c r="AL87" s="3" t="e" vm="1">
        <f>FIXED(VLOOKUP($A87,'Full Sample-Townhouse'!$A:$R,AL$1,0),2)</f>
        <v>#VALUE!</v>
      </c>
    </row>
    <row r="88" spans="1:38" x14ac:dyDescent="0.25">
      <c r="A88" t="s">
        <v>37</v>
      </c>
      <c r="B88" t="s">
        <v>137</v>
      </c>
      <c r="C88" s="3" t="str">
        <f>FIXED(VLOOKUP($A88,'Full Sample-Single Family'!$A:$R,C$1,0),2)</f>
        <v>0.95</v>
      </c>
      <c r="D88" s="3" t="str">
        <f>FIXED(VLOOKUP($A88,'Full Sample-Single Family'!$A:$R,D$1,0),2)</f>
        <v>3.57</v>
      </c>
      <c r="E88" s="3" t="str">
        <f>FIXED(VLOOKUP($A88,'Full Sample-Single Family'!$A:$R,E$1,0),2)</f>
        <v>0.02</v>
      </c>
      <c r="F88" s="3" t="str">
        <f>FIXED(VLOOKUP($A88,'Full Sample-Single Family'!$A:$R,F$1,0),2)</f>
        <v>128.92</v>
      </c>
      <c r="G88" s="3" t="str">
        <f>FIXED(VLOOKUP($A88,'Full Sample-Single Family'!$A:$R,G$1,0),2)</f>
        <v>0.97</v>
      </c>
      <c r="H88" s="3" t="str">
        <f>FIXED(VLOOKUP($A88,'Full Sample-Single Family'!$A:$R,H$1,0),2)</f>
        <v>3.51</v>
      </c>
      <c r="I88" s="3" t="str">
        <f>FIXED(VLOOKUP($A88,'Full Sample-Single Family'!$A:$R,I$1,0),2)</f>
        <v>0.02</v>
      </c>
      <c r="J88" s="3" t="str">
        <f>FIXED(VLOOKUP($A88,'Full Sample-Single Family'!$A:$R,J$1,0),2)</f>
        <v>128.92</v>
      </c>
      <c r="K88" s="3" t="str">
        <f>FIXED(VLOOKUP($A88,'Full Sample-Single Family'!$A:$R,K$1,0),2)</f>
        <v>0.92</v>
      </c>
      <c r="L88" s="3" t="str">
        <f>FIXED(VLOOKUP($A88,'Full Sample-Single Family'!$A:$R,L$1,0),2)</f>
        <v>3.66</v>
      </c>
      <c r="M88" s="3" t="str">
        <f>FIXED(VLOOKUP($A88,'Full Sample-No Sub'!$A:$R,M$1,0),2)</f>
        <v>0.01</v>
      </c>
      <c r="N88" s="3" t="str">
        <f>FIXED(VLOOKUP($A88,'Full Sample-No Sub'!$A:$R,N$1,0),2)</f>
        <v>111.97</v>
      </c>
      <c r="O88" s="3" t="str">
        <f>FIXED(VLOOKUP($A88,'Small Sample 1-Single Family'!$A:$R,O$1,0),2)</f>
        <v>0.88</v>
      </c>
      <c r="P88" s="3" t="str">
        <f>FIXED(VLOOKUP($A88,'Small Sample 1-Single Family'!$A:$R,P$1,0),2)</f>
        <v>3.52</v>
      </c>
      <c r="Q88" s="3" t="str">
        <f>FIXED(VLOOKUP($A88,'Small Sample 1-Single Family'!$A:$R,Q$1,0),2)</f>
        <v>0.02</v>
      </c>
      <c r="R88" s="3" t="str">
        <f>FIXED(VLOOKUP($A88,'Small Sample 1-Single Family'!$A:$R,R$1,0),2)</f>
        <v>128.92</v>
      </c>
      <c r="S88" s="3" t="str">
        <f>FIXED(VLOOKUP($A88,'Small Sample 1-Single Family'!$A:$R,S$1,0),2)</f>
        <v>2.61</v>
      </c>
      <c r="T88" s="3" t="str">
        <f>FIXED(VLOOKUP($A88,'Small Sample 1-Single Family'!$A:$R,T$1,0),2)</f>
        <v>2.67</v>
      </c>
      <c r="U88" s="3" t="str">
        <f>FIXED(VLOOKUP($A88,'Small Sample 1-Single Family'!$A:$R,U$1,0),2)</f>
        <v>0.00</v>
      </c>
      <c r="V88" s="3" t="str">
        <f>FIXED(VLOOKUP($A88,'Small Sample 1-Single Family'!$A:$R,V$1,0),2)</f>
        <v>13.55</v>
      </c>
      <c r="W88" s="3" t="str">
        <f>FIXED(VLOOKUP($A88,'Small Sample 1-Single Family'!$A:$R,W$1,0),2)</f>
        <v>0.91</v>
      </c>
      <c r="X88" s="3" t="str">
        <f>FIXED(VLOOKUP($A88,'Small Sample 1-Single Family'!$A:$R,X$1,0),2)</f>
        <v>3.63</v>
      </c>
      <c r="Y88" s="3" t="str">
        <f>FIXED(VLOOKUP($A88,'Small Sample 1-No Sub'!$A:$R,Y$1,0),2)</f>
        <v>0.01</v>
      </c>
      <c r="Z88" s="3" t="str">
        <f>FIXED(VLOOKUP($A88,'Small Sample 1-No Sub'!$A:$R,Z$1,0),2)</f>
        <v>111.97</v>
      </c>
      <c r="AA88" s="3" t="str">
        <f>FIXED(VLOOKUP($A88,'Small Sample 2-Single Family'!$A:$R,AA$1,0),2)</f>
        <v>0.88</v>
      </c>
      <c r="AB88" s="3" t="str">
        <f>FIXED(VLOOKUP($A88,'Small Sample 2-Single Family'!$A:$R,AB$1,0),2)</f>
        <v>3.52</v>
      </c>
      <c r="AC88" s="3" t="str">
        <f>FIXED(VLOOKUP($A88,'Small Sample 2-Single Family'!$A:$R,AC$1,0),2)</f>
        <v>0.02</v>
      </c>
      <c r="AD88" s="3" t="str">
        <f>FIXED(VLOOKUP($A88,'Small Sample 2-Single Family'!$A:$R,AD$1,0),2)</f>
        <v>128.92</v>
      </c>
      <c r="AE88" s="3" t="str">
        <f>FIXED(VLOOKUP($A88,'Small Sample 2-Single Family'!$A:$R,AE$1,0),2)</f>
        <v>0.95</v>
      </c>
      <c r="AF88" s="3" t="str">
        <f>FIXED(VLOOKUP($A88,'Small Sample 2-Single Family'!$A:$R,AF$1,0),2)</f>
        <v>3.50</v>
      </c>
      <c r="AG88" s="3" t="str">
        <f>FIXED(VLOOKUP($A88,'Small Sample 2-Single Family'!$A:$R,AG$1,0),2)</f>
        <v>0.02</v>
      </c>
      <c r="AH88" s="3" t="str">
        <f>FIXED(VLOOKUP($A88,'Small Sample 2-Single Family'!$A:$R,AH$1,0),2)</f>
        <v>128.92</v>
      </c>
      <c r="AI88" s="3" t="str">
        <f>FIXED(VLOOKUP($A88,'Small Sample 2-Single Family'!$A:$R,AI$1,0),2)</f>
        <v>0.77</v>
      </c>
      <c r="AJ88" s="3" t="str">
        <f>FIXED(VLOOKUP($A88,'Small Sample 2-Single Family'!$A:$R,AJ$1,0),2)</f>
        <v>3.55</v>
      </c>
      <c r="AK88" s="3" t="e" vm="1">
        <f>FIXED(VLOOKUP($A88,'Full Sample-Townhouse'!$A:$R,AK$1,0),2)</f>
        <v>#VALUE!</v>
      </c>
      <c r="AL88" s="3" t="e" vm="1">
        <f>FIXED(VLOOKUP($A88,'Full Sample-Townhouse'!$A:$R,AL$1,0),2)</f>
        <v>#VALUE!</v>
      </c>
    </row>
    <row r="89" spans="1:38" x14ac:dyDescent="0.25">
      <c r="A89" t="s">
        <v>36</v>
      </c>
      <c r="B89" t="s">
        <v>120</v>
      </c>
      <c r="C89" s="3" t="str">
        <f>FIXED(VLOOKUP($A89,'Full Sample-Single Family'!$A:$R,C$1,0),2)</f>
        <v>289.73</v>
      </c>
      <c r="D89" s="3" t="str">
        <f>FIXED(VLOOKUP($A89,'Full Sample-Single Family'!$A:$R,D$1,0),2)</f>
        <v>542.82</v>
      </c>
      <c r="E89" s="3" t="str">
        <f>FIXED(VLOOKUP($A89,'Full Sample-Single Family'!$A:$R,E$1,0),2)</f>
        <v>0.00</v>
      </c>
      <c r="F89" s="3" t="str">
        <f>FIXED(VLOOKUP($A89,'Full Sample-Single Family'!$A:$R,F$1,0),2)</f>
        <v>4,021.00</v>
      </c>
      <c r="G89" s="3" t="str">
        <f>FIXED(VLOOKUP($A89,'Full Sample-Single Family'!$A:$R,G$1,0),2)</f>
        <v>0.00</v>
      </c>
      <c r="H89" s="3" t="str">
        <f>FIXED(VLOOKUP($A89,'Full Sample-Single Family'!$A:$R,H$1,0),2)</f>
        <v>0.00</v>
      </c>
      <c r="I89" s="3" t="str">
        <f>FIXED(VLOOKUP($A89,'Full Sample-Single Family'!$A:$R,I$1,0),2)</f>
        <v>0.00</v>
      </c>
      <c r="J89" s="3" t="str">
        <f>FIXED(VLOOKUP($A89,'Full Sample-Single Family'!$A:$R,J$1,0),2)</f>
        <v>0.00</v>
      </c>
      <c r="K89" s="3" t="str">
        <f>FIXED(VLOOKUP($A89,'Full Sample-Single Family'!$A:$R,K$1,0),2)</f>
        <v>289.73</v>
      </c>
      <c r="L89" s="3" t="str">
        <f>FIXED(VLOOKUP($A89,'Full Sample-Single Family'!$A:$R,L$1,0),2)</f>
        <v>542.82</v>
      </c>
      <c r="M89" s="3" t="str">
        <f>FIXED(VLOOKUP($A89,'Full Sample-No Sub'!$A:$R,M$1,0),2)</f>
        <v>0.00</v>
      </c>
      <c r="N89" s="3" t="str">
        <f>FIXED(VLOOKUP($A89,'Full Sample-No Sub'!$A:$R,N$1,0),2)</f>
        <v>4,021.00</v>
      </c>
      <c r="O89" s="3" t="str">
        <f>FIXED(VLOOKUP($A89,'Small Sample 1-Single Family'!$A:$R,O$1,0),2)</f>
        <v>295.06</v>
      </c>
      <c r="P89" s="3" t="str">
        <f>FIXED(VLOOKUP($A89,'Small Sample 1-Single Family'!$A:$R,P$1,0),2)</f>
        <v>549.15</v>
      </c>
      <c r="Q89" s="3" t="str">
        <f>FIXED(VLOOKUP($A89,'Small Sample 1-Single Family'!$A:$R,Q$1,0),2)</f>
        <v>0.00</v>
      </c>
      <c r="R89" s="3" t="str">
        <f>FIXED(VLOOKUP($A89,'Small Sample 1-Single Family'!$A:$R,R$1,0),2)</f>
        <v>4,021.00</v>
      </c>
      <c r="S89" s="3" t="str">
        <f>FIXED(VLOOKUP($A89,'Small Sample 1-Single Family'!$A:$R,S$1,0),2)</f>
        <v>2.36</v>
      </c>
      <c r="T89" s="3" t="str">
        <f>FIXED(VLOOKUP($A89,'Small Sample 1-Single Family'!$A:$R,T$1,0),2)</f>
        <v>0.96</v>
      </c>
      <c r="U89" s="3" t="str">
        <f>FIXED(VLOOKUP($A89,'Small Sample 1-Single Family'!$A:$R,U$1,0),2)</f>
        <v>0.00</v>
      </c>
      <c r="V89" s="3" t="str">
        <f>FIXED(VLOOKUP($A89,'Small Sample 1-Single Family'!$A:$R,V$1,0),2)</f>
        <v>17.00</v>
      </c>
      <c r="W89" s="3" t="str">
        <f>FIXED(VLOOKUP($A89,'Small Sample 1-Single Family'!$A:$R,W$1,0),2)</f>
        <v>295.06</v>
      </c>
      <c r="X89" s="3" t="str">
        <f>FIXED(VLOOKUP($A89,'Small Sample 1-Single Family'!$A:$R,X$1,0),2)</f>
        <v>549.15</v>
      </c>
      <c r="Y89" s="3" t="str">
        <f>FIXED(VLOOKUP($A89,'Small Sample 1-No Sub'!$A:$R,Y$1,0),2)</f>
        <v>0.00</v>
      </c>
      <c r="Z89" s="3" t="str">
        <f>FIXED(VLOOKUP($A89,'Small Sample 1-No Sub'!$A:$R,Z$1,0),2)</f>
        <v>4,021.00</v>
      </c>
      <c r="AA89" s="3" t="str">
        <f>FIXED(VLOOKUP($A89,'Small Sample 2-Single Family'!$A:$R,AA$1,0),2)</f>
        <v>287.48</v>
      </c>
      <c r="AB89" s="3" t="str">
        <f>FIXED(VLOOKUP($A89,'Small Sample 2-Single Family'!$A:$R,AB$1,0),2)</f>
        <v>542.80</v>
      </c>
      <c r="AC89" s="3" t="str">
        <f>FIXED(VLOOKUP($A89,'Small Sample 2-Single Family'!$A:$R,AC$1,0),2)</f>
        <v>0.00</v>
      </c>
      <c r="AD89" s="3" t="str">
        <f>FIXED(VLOOKUP($A89,'Small Sample 2-Single Family'!$A:$R,AD$1,0),2)</f>
        <v>4,021.00</v>
      </c>
      <c r="AE89" s="3" t="str">
        <f>FIXED(VLOOKUP($A89,'Small Sample 2-Single Family'!$A:$R,AE$1,0),2)</f>
        <v>0.00</v>
      </c>
      <c r="AF89" s="3" t="str">
        <f>FIXED(VLOOKUP($A89,'Small Sample 2-Single Family'!$A:$R,AF$1,0),2)</f>
        <v>0.00</v>
      </c>
      <c r="AG89" s="3" t="str">
        <f>FIXED(VLOOKUP($A89,'Small Sample 2-Single Family'!$A:$R,AG$1,0),2)</f>
        <v>0.00</v>
      </c>
      <c r="AH89" s="3" t="str">
        <f>FIXED(VLOOKUP($A89,'Small Sample 2-Single Family'!$A:$R,AH$1,0),2)</f>
        <v>0.00</v>
      </c>
      <c r="AI89" s="3" t="str">
        <f>FIXED(VLOOKUP($A89,'Small Sample 2-Single Family'!$A:$R,AI$1,0),2)</f>
        <v>287.48</v>
      </c>
      <c r="AJ89" s="3" t="str">
        <f>FIXED(VLOOKUP($A89,'Small Sample 2-Single Family'!$A:$R,AJ$1,0),2)</f>
        <v>542.80</v>
      </c>
      <c r="AK89" s="3" t="e" vm="1">
        <f>FIXED(VLOOKUP($A89,'Full Sample-Townhouse'!$A:$R,AK$1,0),2)</f>
        <v>#VALUE!</v>
      </c>
      <c r="AL89" s="3" t="e" vm="1">
        <f>FIXED(VLOOKUP($A89,'Full Sample-Townhouse'!$A:$R,AL$1,0),2)</f>
        <v>#VALUE!</v>
      </c>
    </row>
    <row r="90" spans="1:38" x14ac:dyDescent="0.25">
      <c r="A90" t="s">
        <v>55</v>
      </c>
      <c r="B90" s="4" t="s">
        <v>133</v>
      </c>
      <c r="C90" s="3" t="e">
        <f>FIXED(VLOOKUP($A90,'Full Sample-Single Family'!$A:$R,C$1,0),2)</f>
        <v>#N/A</v>
      </c>
      <c r="D90" s="3" t="e">
        <f>FIXED(VLOOKUP($A90,'Full Sample-Single Family'!$A:$R,D$1,0),2)</f>
        <v>#N/A</v>
      </c>
      <c r="E90" s="3" t="e">
        <f>FIXED(VLOOKUP($A90,'Full Sample-Single Family'!$A:$R,E$1,0),2)</f>
        <v>#N/A</v>
      </c>
      <c r="F90" s="3" t="e">
        <f>FIXED(VLOOKUP($A90,'Full Sample-Single Family'!$A:$R,F$1,0),2)</f>
        <v>#N/A</v>
      </c>
      <c r="G90" s="3" t="e">
        <f>FIXED(VLOOKUP($A90,'Full Sample-Single Family'!$A:$R,G$1,0),2)</f>
        <v>#N/A</v>
      </c>
      <c r="H90" s="3" t="e">
        <f>FIXED(VLOOKUP($A90,'Full Sample-Single Family'!$A:$R,H$1,0),2)</f>
        <v>#N/A</v>
      </c>
      <c r="I90" s="3" t="e">
        <f>FIXED(VLOOKUP($A90,'Full Sample-Single Family'!$A:$R,I$1,0),2)</f>
        <v>#N/A</v>
      </c>
      <c r="J90" s="3" t="e">
        <f>FIXED(VLOOKUP($A90,'Full Sample-Single Family'!$A:$R,J$1,0),2)</f>
        <v>#N/A</v>
      </c>
      <c r="K90" s="3" t="e">
        <f>FIXED(VLOOKUP($A90,'Full Sample-Single Family'!$A:$R,K$1,0),2)</f>
        <v>#N/A</v>
      </c>
      <c r="L90" s="3" t="e">
        <f>FIXED(VLOOKUP($A90,'Full Sample-Single Family'!$A:$R,L$1,0),2)</f>
        <v>#N/A</v>
      </c>
      <c r="M90" s="3" t="e">
        <f>FIXED(VLOOKUP($A90,'Full Sample-No Sub'!$A:$R,M$1,0),2)</f>
        <v>#N/A</v>
      </c>
      <c r="N90" s="3" t="e">
        <f>FIXED(VLOOKUP($A90,'Full Sample-No Sub'!$A:$R,N$1,0),2)</f>
        <v>#N/A</v>
      </c>
      <c r="O90" s="3" t="e">
        <f>FIXED(VLOOKUP($A90,'Small Sample 1-Single Family'!$A:$R,O$1,0),2)</f>
        <v>#N/A</v>
      </c>
      <c r="P90" s="3" t="e">
        <f>FIXED(VLOOKUP($A90,'Small Sample 1-Single Family'!$A:$R,P$1,0),2)</f>
        <v>#N/A</v>
      </c>
      <c r="Q90" s="3" t="e">
        <f>FIXED(VLOOKUP($A90,'Small Sample 1-Single Family'!$A:$R,Q$1,0),2)</f>
        <v>#N/A</v>
      </c>
      <c r="R90" s="3" t="e">
        <f>FIXED(VLOOKUP($A90,'Small Sample 1-Single Family'!$A:$R,R$1,0),2)</f>
        <v>#N/A</v>
      </c>
      <c r="S90" s="3" t="e">
        <f>FIXED(VLOOKUP($A90,'Small Sample 1-Single Family'!$A:$R,S$1,0),2)</f>
        <v>#N/A</v>
      </c>
      <c r="T90" s="3" t="e">
        <f>FIXED(VLOOKUP($A90,'Small Sample 1-Single Family'!$A:$R,T$1,0),2)</f>
        <v>#N/A</v>
      </c>
      <c r="U90" s="3" t="e">
        <f>FIXED(VLOOKUP($A90,'Small Sample 1-Single Family'!$A:$R,U$1,0),2)</f>
        <v>#N/A</v>
      </c>
      <c r="V90" s="3" t="e">
        <f>FIXED(VLOOKUP($A90,'Small Sample 1-Single Family'!$A:$R,V$1,0),2)</f>
        <v>#N/A</v>
      </c>
      <c r="W90" s="3" t="e">
        <f>FIXED(VLOOKUP($A90,'Small Sample 1-Single Family'!$A:$R,W$1,0),2)</f>
        <v>#N/A</v>
      </c>
      <c r="X90" s="3" t="e">
        <f>FIXED(VLOOKUP($A90,'Small Sample 1-Single Family'!$A:$R,X$1,0),2)</f>
        <v>#N/A</v>
      </c>
      <c r="Y90" s="3" t="e">
        <f>FIXED(VLOOKUP($A90,'Small Sample 1-No Sub'!$A:$R,Y$1,0),2)</f>
        <v>#N/A</v>
      </c>
      <c r="Z90" s="3" t="e">
        <f>FIXED(VLOOKUP($A90,'Small Sample 1-No Sub'!$A:$R,Z$1,0),2)</f>
        <v>#N/A</v>
      </c>
      <c r="AA90" s="3" t="e">
        <f>FIXED(VLOOKUP($A90,'Small Sample 2-Single Family'!$A:$R,AA$1,0),2)</f>
        <v>#N/A</v>
      </c>
      <c r="AB90" s="3" t="e">
        <f>FIXED(VLOOKUP($A90,'Small Sample 2-Single Family'!$A:$R,AB$1,0),2)</f>
        <v>#N/A</v>
      </c>
      <c r="AC90" s="3" t="e">
        <f>FIXED(VLOOKUP($A90,'Small Sample 2-Single Family'!$A:$R,AC$1,0),2)</f>
        <v>#N/A</v>
      </c>
      <c r="AD90" s="3" t="e">
        <f>FIXED(VLOOKUP($A90,'Small Sample 2-Single Family'!$A:$R,AD$1,0),2)</f>
        <v>#N/A</v>
      </c>
      <c r="AE90" s="3" t="e">
        <f>FIXED(VLOOKUP($A90,'Small Sample 2-Single Family'!$A:$R,AE$1,0),2)</f>
        <v>#N/A</v>
      </c>
      <c r="AF90" s="3" t="e">
        <f>FIXED(VLOOKUP($A90,'Small Sample 2-Single Family'!$A:$R,AF$1,0),2)</f>
        <v>#N/A</v>
      </c>
      <c r="AG90" s="3" t="e">
        <f>FIXED(VLOOKUP($A90,'Small Sample 2-Single Family'!$A:$R,AG$1,0),2)</f>
        <v>#N/A</v>
      </c>
      <c r="AH90" s="3" t="e">
        <f>FIXED(VLOOKUP($A90,'Small Sample 2-Single Family'!$A:$R,AH$1,0),2)</f>
        <v>#N/A</v>
      </c>
      <c r="AI90" s="3" t="e">
        <f>FIXED(VLOOKUP($A90,'Small Sample 2-Single Family'!$A:$R,AI$1,0),2)</f>
        <v>#N/A</v>
      </c>
      <c r="AJ90" s="3" t="e">
        <f>FIXED(VLOOKUP($A90,'Small Sample 2-Single Family'!$A:$R,AJ$1,0),2)</f>
        <v>#N/A</v>
      </c>
      <c r="AK90" s="3" t="e">
        <f>FIXED(VLOOKUP($A90,'Full Sample-Townhouse'!$A:$R,AK$1,0),2)</f>
        <v>#N/A</v>
      </c>
      <c r="AL90" s="3" t="e">
        <f>FIXED(VLOOKUP($A90,'Full Sample-Townhouse'!$A:$R,AL$1,0),2)</f>
        <v>#N/A</v>
      </c>
    </row>
    <row r="91" spans="1:38" x14ac:dyDescent="0.25">
      <c r="A91" t="s">
        <v>56</v>
      </c>
      <c r="B91" t="s">
        <v>125</v>
      </c>
      <c r="C91" s="3" t="str">
        <f>FIXED(VLOOKUP($A91,'Full Sample-Single Family'!$A:$R,C$1,0),2)</f>
        <v>0.00</v>
      </c>
      <c r="D91" s="3" t="str">
        <f>FIXED(VLOOKUP($A91,'Full Sample-Single Family'!$A:$R,D$1,0),2)</f>
        <v>0.00</v>
      </c>
      <c r="E91" s="3" t="str">
        <f>FIXED(VLOOKUP($A91,'Full Sample-Single Family'!$A:$R,E$1,0),2)</f>
        <v>0.00</v>
      </c>
      <c r="F91" s="3" t="str">
        <f>FIXED(VLOOKUP($A91,'Full Sample-Single Family'!$A:$R,F$1,0),2)</f>
        <v>0.00</v>
      </c>
      <c r="G91" s="3" t="str">
        <f>FIXED(VLOOKUP($A91,'Full Sample-Single Family'!$A:$R,G$1,0),2)</f>
        <v>0.00</v>
      </c>
      <c r="H91" s="3" t="str">
        <f>FIXED(VLOOKUP($A91,'Full Sample-Single Family'!$A:$R,H$1,0),2)</f>
        <v>0.00</v>
      </c>
      <c r="I91" s="3" t="str">
        <f>FIXED(VLOOKUP($A91,'Full Sample-Single Family'!$A:$R,I$1,0),2)</f>
        <v>0.00</v>
      </c>
      <c r="J91" s="3" t="str">
        <f>FIXED(VLOOKUP($A91,'Full Sample-Single Family'!$A:$R,J$1,0),2)</f>
        <v>0.00</v>
      </c>
      <c r="K91" s="3" t="str">
        <f>FIXED(VLOOKUP($A91,'Full Sample-Single Family'!$A:$R,K$1,0),2)</f>
        <v>0.00</v>
      </c>
      <c r="L91" s="3" t="str">
        <f>FIXED(VLOOKUP($A91,'Full Sample-Single Family'!$A:$R,L$1,0),2)</f>
        <v>0.00</v>
      </c>
      <c r="M91" s="3" t="str">
        <f>FIXED(VLOOKUP($A91,'Full Sample-No Sub'!$A:$R,M$1,0),2)</f>
        <v>0.00</v>
      </c>
      <c r="N91" s="3" t="str">
        <f>FIXED(VLOOKUP($A91,'Full Sample-No Sub'!$A:$R,N$1,0),2)</f>
        <v>1.00</v>
      </c>
      <c r="O91" s="3" t="str">
        <f>FIXED(VLOOKUP($A91,'Small Sample 1-Single Family'!$A:$R,O$1,0),2)</f>
        <v>0.00</v>
      </c>
      <c r="P91" s="3" t="str">
        <f>FIXED(VLOOKUP($A91,'Small Sample 1-Single Family'!$A:$R,P$1,0),2)</f>
        <v>0.00</v>
      </c>
      <c r="Q91" s="3" t="str">
        <f>FIXED(VLOOKUP($A91,'Small Sample 1-Single Family'!$A:$R,Q$1,0),2)</f>
        <v>0.00</v>
      </c>
      <c r="R91" s="3" t="str">
        <f>FIXED(VLOOKUP($A91,'Small Sample 1-Single Family'!$A:$R,R$1,0),2)</f>
        <v>0.00</v>
      </c>
      <c r="S91" s="3" t="str">
        <f>FIXED(VLOOKUP($A91,'Small Sample 1-Single Family'!$A:$R,S$1,0),2)</f>
        <v>1.00</v>
      </c>
      <c r="T91" s="3" t="str">
        <f>FIXED(VLOOKUP($A91,'Small Sample 1-Single Family'!$A:$R,T$1,0),2)</f>
        <v>0.00</v>
      </c>
      <c r="U91" s="3" t="str">
        <f>FIXED(VLOOKUP($A91,'Small Sample 1-Single Family'!$A:$R,U$1,0),2)</f>
        <v>1.00</v>
      </c>
      <c r="V91" s="3" t="str">
        <f>FIXED(VLOOKUP($A91,'Small Sample 1-Single Family'!$A:$R,V$1,0),2)</f>
        <v>1.00</v>
      </c>
      <c r="W91" s="3" t="str">
        <f>FIXED(VLOOKUP($A91,'Small Sample 1-Single Family'!$A:$R,W$1,0),2)</f>
        <v>0.00</v>
      </c>
      <c r="X91" s="3" t="str">
        <f>FIXED(VLOOKUP($A91,'Small Sample 1-Single Family'!$A:$R,X$1,0),2)</f>
        <v>0.00</v>
      </c>
      <c r="Y91" s="3" t="str">
        <f>FIXED(VLOOKUP($A91,'Small Sample 1-No Sub'!$A:$R,Y$1,0),2)</f>
        <v>0.00</v>
      </c>
      <c r="Z91" s="3" t="str">
        <f>FIXED(VLOOKUP($A91,'Small Sample 1-No Sub'!$A:$R,Z$1,0),2)</f>
        <v>1.00</v>
      </c>
      <c r="AA91" s="3" t="str">
        <f>FIXED(VLOOKUP($A91,'Small Sample 2-Single Family'!$A:$R,AA$1,0),2)</f>
        <v>0.00</v>
      </c>
      <c r="AB91" s="3" t="str">
        <f>FIXED(VLOOKUP($A91,'Small Sample 2-Single Family'!$A:$R,AB$1,0),2)</f>
        <v>0.00</v>
      </c>
      <c r="AC91" s="3" t="str">
        <f>FIXED(VLOOKUP($A91,'Small Sample 2-Single Family'!$A:$R,AC$1,0),2)</f>
        <v>0.00</v>
      </c>
      <c r="AD91" s="3" t="str">
        <f>FIXED(VLOOKUP($A91,'Small Sample 2-Single Family'!$A:$R,AD$1,0),2)</f>
        <v>0.00</v>
      </c>
      <c r="AE91" s="3" t="str">
        <f>FIXED(VLOOKUP($A91,'Small Sample 2-Single Family'!$A:$R,AE$1,0),2)</f>
        <v>0.00</v>
      </c>
      <c r="AF91" s="3" t="str">
        <f>FIXED(VLOOKUP($A91,'Small Sample 2-Single Family'!$A:$R,AF$1,0),2)</f>
        <v>0.00</v>
      </c>
      <c r="AG91" s="3" t="str">
        <f>FIXED(VLOOKUP($A91,'Small Sample 2-Single Family'!$A:$R,AG$1,0),2)</f>
        <v>0.00</v>
      </c>
      <c r="AH91" s="3" t="str">
        <f>FIXED(VLOOKUP($A91,'Small Sample 2-Single Family'!$A:$R,AH$1,0),2)</f>
        <v>0.00</v>
      </c>
      <c r="AI91" s="3" t="str">
        <f>FIXED(VLOOKUP($A91,'Small Sample 2-Single Family'!$A:$R,AI$1,0),2)</f>
        <v>0.00</v>
      </c>
      <c r="AJ91" s="3" t="str">
        <f>FIXED(VLOOKUP($A91,'Small Sample 2-Single Family'!$A:$R,AJ$1,0),2)</f>
        <v>0.00</v>
      </c>
      <c r="AK91" s="3" t="e" vm="1">
        <f>FIXED(VLOOKUP($A91,'Full Sample-Townhouse'!$A:$R,AK$1,0),2)</f>
        <v>#VALUE!</v>
      </c>
      <c r="AL91" s="3" t="e" vm="1">
        <f>FIXED(VLOOKUP($A91,'Full Sample-Townhouse'!$A:$R,AL$1,0),2)</f>
        <v>#VALUE!</v>
      </c>
    </row>
    <row r="92" spans="1:38" x14ac:dyDescent="0.25">
      <c r="A92" t="s">
        <v>57</v>
      </c>
      <c r="B92" s="4" t="s">
        <v>134</v>
      </c>
      <c r="C92" s="3" t="str">
        <f>FIXED(VLOOKUP($A92,'Full Sample-Single Family'!$A:$R,C$1,0),2)</f>
        <v>1.00</v>
      </c>
      <c r="D92" s="3" t="str">
        <f>FIXED(VLOOKUP($A92,'Full Sample-Single Family'!$A:$R,D$1,0),2)</f>
        <v>0.00</v>
      </c>
      <c r="E92" s="3" t="str">
        <f>FIXED(VLOOKUP($A92,'Full Sample-Single Family'!$A:$R,E$1,0),2)</f>
        <v>1.00</v>
      </c>
      <c r="F92" s="3" t="str">
        <f>FIXED(VLOOKUP($A92,'Full Sample-Single Family'!$A:$R,F$1,0),2)</f>
        <v>1.00</v>
      </c>
      <c r="G92" s="3" t="str">
        <f>FIXED(VLOOKUP($A92,'Full Sample-Single Family'!$A:$R,G$1,0),2)</f>
        <v>1.00</v>
      </c>
      <c r="H92" s="3" t="str">
        <f>FIXED(VLOOKUP($A92,'Full Sample-Single Family'!$A:$R,H$1,0),2)</f>
        <v>0.00</v>
      </c>
      <c r="I92" s="3" t="str">
        <f>FIXED(VLOOKUP($A92,'Full Sample-Single Family'!$A:$R,I$1,0),2)</f>
        <v>1.00</v>
      </c>
      <c r="J92" s="3" t="str">
        <f>FIXED(VLOOKUP($A92,'Full Sample-Single Family'!$A:$R,J$1,0),2)</f>
        <v>1.00</v>
      </c>
      <c r="K92" s="3" t="str">
        <f>FIXED(VLOOKUP($A92,'Full Sample-Single Family'!$A:$R,K$1,0),2)</f>
        <v>1.00</v>
      </c>
      <c r="L92" s="3" t="str">
        <f>FIXED(VLOOKUP($A92,'Full Sample-Single Family'!$A:$R,L$1,0),2)</f>
        <v>0.00</v>
      </c>
      <c r="M92" s="3" t="str">
        <f>FIXED(VLOOKUP($A92,'Full Sample-No Sub'!$A:$R,M$1,0),2)</f>
        <v>0.00</v>
      </c>
      <c r="N92" s="3" t="str">
        <f>FIXED(VLOOKUP($A92,'Full Sample-No Sub'!$A:$R,N$1,0),2)</f>
        <v>1.00</v>
      </c>
      <c r="O92" s="3" t="str">
        <f>FIXED(VLOOKUP($A92,'Small Sample 1-Single Family'!$A:$R,O$1,0),2)</f>
        <v>1.00</v>
      </c>
      <c r="P92" s="3" t="str">
        <f>FIXED(VLOOKUP($A92,'Small Sample 1-Single Family'!$A:$R,P$1,0),2)</f>
        <v>0.00</v>
      </c>
      <c r="Q92" s="3" t="str">
        <f>FIXED(VLOOKUP($A92,'Small Sample 1-Single Family'!$A:$R,Q$1,0),2)</f>
        <v>1.00</v>
      </c>
      <c r="R92" s="3" t="str">
        <f>FIXED(VLOOKUP($A92,'Small Sample 1-Single Family'!$A:$R,R$1,0),2)</f>
        <v>1.00</v>
      </c>
      <c r="S92" s="3" t="str">
        <f>FIXED(VLOOKUP($A92,'Small Sample 1-Single Family'!$A:$R,S$1,0),2)</f>
        <v>0.46</v>
      </c>
      <c r="T92" s="3" t="str">
        <f>FIXED(VLOOKUP($A92,'Small Sample 1-Single Family'!$A:$R,T$1,0),2)</f>
        <v>0.50</v>
      </c>
      <c r="U92" s="3" t="str">
        <f>FIXED(VLOOKUP($A92,'Small Sample 1-Single Family'!$A:$R,U$1,0),2)</f>
        <v>0.00</v>
      </c>
      <c r="V92" s="3" t="str">
        <f>FIXED(VLOOKUP($A92,'Small Sample 1-Single Family'!$A:$R,V$1,0),2)</f>
        <v>1.00</v>
      </c>
      <c r="W92" s="3" t="str">
        <f>FIXED(VLOOKUP($A92,'Small Sample 1-Single Family'!$A:$R,W$1,0),2)</f>
        <v>1.00</v>
      </c>
      <c r="X92" s="3" t="str">
        <f>FIXED(VLOOKUP($A92,'Small Sample 1-Single Family'!$A:$R,X$1,0),2)</f>
        <v>0.00</v>
      </c>
      <c r="Y92" s="3" t="str">
        <f>FIXED(VLOOKUP($A92,'Small Sample 1-No Sub'!$A:$R,Y$1,0),2)</f>
        <v>0.00</v>
      </c>
      <c r="Z92" s="3" t="str">
        <f>FIXED(VLOOKUP($A92,'Small Sample 1-No Sub'!$A:$R,Z$1,0),2)</f>
        <v>1.00</v>
      </c>
      <c r="AA92" s="3" t="str">
        <f>FIXED(VLOOKUP($A92,'Small Sample 2-Single Family'!$A:$R,AA$1,0),2)</f>
        <v>1.00</v>
      </c>
      <c r="AB92" s="3" t="str">
        <f>FIXED(VLOOKUP($A92,'Small Sample 2-Single Family'!$A:$R,AB$1,0),2)</f>
        <v>0.00</v>
      </c>
      <c r="AC92" s="3" t="str">
        <f>FIXED(VLOOKUP($A92,'Small Sample 2-Single Family'!$A:$R,AC$1,0),2)</f>
        <v>1.00</v>
      </c>
      <c r="AD92" s="3" t="str">
        <f>FIXED(VLOOKUP($A92,'Small Sample 2-Single Family'!$A:$R,AD$1,0),2)</f>
        <v>1.00</v>
      </c>
      <c r="AE92" s="3" t="str">
        <f>FIXED(VLOOKUP($A92,'Small Sample 2-Single Family'!$A:$R,AE$1,0),2)</f>
        <v>1.00</v>
      </c>
      <c r="AF92" s="3" t="str">
        <f>FIXED(VLOOKUP($A92,'Small Sample 2-Single Family'!$A:$R,AF$1,0),2)</f>
        <v>0.00</v>
      </c>
      <c r="AG92" s="3" t="str">
        <f>FIXED(VLOOKUP($A92,'Small Sample 2-Single Family'!$A:$R,AG$1,0),2)</f>
        <v>1.00</v>
      </c>
      <c r="AH92" s="3" t="str">
        <f>FIXED(VLOOKUP($A92,'Small Sample 2-Single Family'!$A:$R,AH$1,0),2)</f>
        <v>1.00</v>
      </c>
      <c r="AI92" s="3" t="str">
        <f>FIXED(VLOOKUP($A92,'Small Sample 2-Single Family'!$A:$R,AI$1,0),2)</f>
        <v>1.00</v>
      </c>
      <c r="AJ92" s="3" t="str">
        <f>FIXED(VLOOKUP($A92,'Small Sample 2-Single Family'!$A:$R,AJ$1,0),2)</f>
        <v>0.00</v>
      </c>
      <c r="AK92" s="3" t="e" vm="1">
        <f>FIXED(VLOOKUP($A92,'Full Sample-Townhouse'!$A:$R,AK$1,0),2)</f>
        <v>#VALUE!</v>
      </c>
      <c r="AL92" s="3" t="e" vm="1">
        <f>FIXED(VLOOKUP($A92,'Full Sample-Townhouse'!$A:$R,AL$1,0),2)</f>
        <v>#VALUE!</v>
      </c>
    </row>
  </sheetData>
  <mergeCells count="23">
    <mergeCell ref="C5:F5"/>
    <mergeCell ref="G5:J5"/>
    <mergeCell ref="K5:N5"/>
    <mergeCell ref="O5:R5"/>
    <mergeCell ref="S5:V5"/>
    <mergeCell ref="A2:AJ2"/>
    <mergeCell ref="A3:AJ3"/>
    <mergeCell ref="C4:L4"/>
    <mergeCell ref="O4:X4"/>
    <mergeCell ref="AA4:AJ4"/>
    <mergeCell ref="C81:F81"/>
    <mergeCell ref="G81:J81"/>
    <mergeCell ref="K81:N81"/>
    <mergeCell ref="O81:R81"/>
    <mergeCell ref="S81:V81"/>
    <mergeCell ref="AA81:AD81"/>
    <mergeCell ref="AE81:AH81"/>
    <mergeCell ref="AI81:AL81"/>
    <mergeCell ref="W5:Z5"/>
    <mergeCell ref="AA5:AD5"/>
    <mergeCell ref="AE5:AH5"/>
    <mergeCell ref="AI5:AL5"/>
    <mergeCell ref="W81:Z81"/>
  </mergeCells>
  <printOptions horizontalCentered="1" verticalCentered="1"/>
  <pageMargins left="0.25" right="0.25" top="0.75" bottom="0.75" header="0.3" footer="0.3"/>
  <pageSetup scale="42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9888C-54D3-4166-BA42-B3B1DDE06C4C}">
  <sheetPr codeName="Sheet11"/>
  <dimension ref="A2:H195"/>
  <sheetViews>
    <sheetView topLeftCell="A43" workbookViewId="0">
      <selection activeCell="E51" sqref="E51:H51"/>
    </sheetView>
  </sheetViews>
  <sheetFormatPr defaultRowHeight="15" x14ac:dyDescent="0.25"/>
  <cols>
    <col min="1" max="1" width="4" bestFit="1" customWidth="1"/>
    <col min="2" max="3" width="27.5703125" bestFit="1" customWidth="1"/>
    <col min="4" max="4" width="28.5703125" bestFit="1" customWidth="1"/>
    <col min="5" max="8" width="31.7109375" bestFit="1" customWidth="1"/>
  </cols>
  <sheetData>
    <row r="2" spans="1:8" x14ac:dyDescent="0.25">
      <c r="B2" t="s">
        <v>192</v>
      </c>
      <c r="C2" t="s">
        <v>192</v>
      </c>
      <c r="D2" t="s">
        <v>309</v>
      </c>
      <c r="E2" t="s">
        <v>193</v>
      </c>
      <c r="F2" t="s">
        <v>193</v>
      </c>
      <c r="G2" t="s">
        <v>193</v>
      </c>
      <c r="H2" t="s">
        <v>193</v>
      </c>
    </row>
    <row r="3" spans="1:8" x14ac:dyDescent="0.25">
      <c r="E3" t="s">
        <v>310</v>
      </c>
      <c r="F3" t="s">
        <v>311</v>
      </c>
    </row>
    <row r="4" spans="1:8" x14ac:dyDescent="0.25">
      <c r="C4" t="s">
        <v>195</v>
      </c>
      <c r="D4" t="s">
        <v>312</v>
      </c>
      <c r="E4" t="s">
        <v>194</v>
      </c>
      <c r="F4" t="s">
        <v>194</v>
      </c>
      <c r="G4" t="s">
        <v>194</v>
      </c>
      <c r="H4" t="s">
        <v>194</v>
      </c>
    </row>
    <row r="5" spans="1:8" x14ac:dyDescent="0.25">
      <c r="E5" t="s">
        <v>538</v>
      </c>
      <c r="F5" t="s">
        <v>539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195</v>
      </c>
      <c r="C7" t="s">
        <v>195</v>
      </c>
      <c r="D7" t="s">
        <v>312</v>
      </c>
      <c r="E7" t="s">
        <v>194</v>
      </c>
      <c r="F7" t="s">
        <v>194</v>
      </c>
      <c r="G7" t="s">
        <v>194</v>
      </c>
      <c r="H7" t="s">
        <v>194</v>
      </c>
    </row>
    <row r="8" spans="1:8" x14ac:dyDescent="0.25">
      <c r="A8">
        <v>1</v>
      </c>
      <c r="B8" t="s">
        <v>11</v>
      </c>
      <c r="C8" t="s">
        <v>214</v>
      </c>
      <c r="D8" t="s">
        <v>334</v>
      </c>
      <c r="E8">
        <v>1.4E-2</v>
      </c>
      <c r="F8" t="s">
        <v>540</v>
      </c>
      <c r="G8" t="s">
        <v>541</v>
      </c>
      <c r="H8" t="s">
        <v>542</v>
      </c>
    </row>
    <row r="9" spans="1:8" x14ac:dyDescent="0.25">
      <c r="A9">
        <v>2</v>
      </c>
      <c r="C9">
        <v>-5.0000000000000001E-3</v>
      </c>
      <c r="D9">
        <v>-2.1000000000000001E-2</v>
      </c>
      <c r="E9">
        <v>-1.2999999999999999E-2</v>
      </c>
      <c r="F9">
        <v>-1.0999999999999999E-2</v>
      </c>
      <c r="G9">
        <v>-0.01</v>
      </c>
      <c r="H9">
        <v>-8.9999999999999993E-3</v>
      </c>
    </row>
    <row r="11" spans="1:8" x14ac:dyDescent="0.25">
      <c r="A11">
        <f>A9+1</f>
        <v>3</v>
      </c>
      <c r="B11" t="s">
        <v>16</v>
      </c>
      <c r="D11" t="s">
        <v>314</v>
      </c>
      <c r="E11" t="s">
        <v>251</v>
      </c>
      <c r="F11" t="s">
        <v>224</v>
      </c>
      <c r="G11" t="s">
        <v>251</v>
      </c>
      <c r="H11" t="s">
        <v>251</v>
      </c>
    </row>
    <row r="12" spans="1:8" x14ac:dyDescent="0.25">
      <c r="A12">
        <f>A11+1</f>
        <v>4</v>
      </c>
      <c r="D12">
        <v>-5.0000000000000002E-5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4" spans="1:8" x14ac:dyDescent="0.25">
      <c r="A14">
        <f>A12+1</f>
        <v>5</v>
      </c>
      <c r="B14" t="s">
        <v>197</v>
      </c>
      <c r="D14" t="s">
        <v>208</v>
      </c>
      <c r="E14" t="s">
        <v>216</v>
      </c>
      <c r="F14" t="s">
        <v>341</v>
      </c>
      <c r="G14" t="s">
        <v>410</v>
      </c>
      <c r="H14" t="s">
        <v>486</v>
      </c>
    </row>
    <row r="15" spans="1:8" x14ac:dyDescent="0.25">
      <c r="A15">
        <f>A14+1</f>
        <v>6</v>
      </c>
      <c r="D15">
        <v>-0.01</v>
      </c>
      <c r="E15">
        <v>-6.0000000000000001E-3</v>
      </c>
      <c r="F15">
        <v>-5.0000000000000001E-3</v>
      </c>
      <c r="G15">
        <v>-5.0000000000000001E-3</v>
      </c>
      <c r="H15">
        <v>-4.0000000000000001E-3</v>
      </c>
    </row>
    <row r="17" spans="1:8" x14ac:dyDescent="0.25">
      <c r="A17">
        <f t="shared" ref="A17" si="0">A15+1</f>
        <v>7</v>
      </c>
      <c r="B17" t="s">
        <v>200</v>
      </c>
      <c r="D17" t="s">
        <v>231</v>
      </c>
      <c r="E17" t="s">
        <v>543</v>
      </c>
      <c r="F17" t="s">
        <v>543</v>
      </c>
      <c r="G17" t="s">
        <v>232</v>
      </c>
      <c r="H17" t="s">
        <v>201</v>
      </c>
    </row>
    <row r="18" spans="1:8" x14ac:dyDescent="0.25">
      <c r="A18">
        <f t="shared" ref="A18" si="1">A17+1</f>
        <v>8</v>
      </c>
      <c r="D18">
        <v>-0.01</v>
      </c>
      <c r="E18">
        <v>-6.0000000000000001E-3</v>
      </c>
      <c r="F18">
        <v>-5.0000000000000001E-3</v>
      </c>
      <c r="G18">
        <v>-5.0000000000000001E-3</v>
      </c>
      <c r="H18">
        <v>-4.0000000000000001E-3</v>
      </c>
    </row>
    <row r="20" spans="1:8" x14ac:dyDescent="0.25">
      <c r="A20">
        <f t="shared" ref="A20" si="2">A18+1</f>
        <v>9</v>
      </c>
      <c r="B20" t="s">
        <v>204</v>
      </c>
      <c r="D20" t="s">
        <v>230</v>
      </c>
      <c r="E20" t="s">
        <v>473</v>
      </c>
      <c r="F20" t="s">
        <v>202</v>
      </c>
      <c r="G20" t="s">
        <v>337</v>
      </c>
      <c r="H20" t="s">
        <v>473</v>
      </c>
    </row>
    <row r="21" spans="1:8" x14ac:dyDescent="0.25">
      <c r="A21">
        <f t="shared" ref="A21" si="3">A20+1</f>
        <v>10</v>
      </c>
      <c r="D21">
        <v>-0.01</v>
      </c>
      <c r="E21">
        <v>-6.0000000000000001E-3</v>
      </c>
      <c r="F21">
        <v>-5.0000000000000001E-3</v>
      </c>
      <c r="G21">
        <v>-5.0000000000000001E-3</v>
      </c>
      <c r="H21">
        <v>-4.0000000000000001E-3</v>
      </c>
    </row>
    <row r="23" spans="1:8" x14ac:dyDescent="0.25">
      <c r="A23">
        <f t="shared" ref="A23" si="4">A21+1</f>
        <v>11</v>
      </c>
      <c r="B23" t="s">
        <v>206</v>
      </c>
      <c r="D23" t="s">
        <v>248</v>
      </c>
      <c r="E23">
        <v>1.9E-2</v>
      </c>
      <c r="F23">
        <v>7.0000000000000001E-3</v>
      </c>
      <c r="G23" t="s">
        <v>335</v>
      </c>
      <c r="H23">
        <v>1.4E-2</v>
      </c>
    </row>
    <row r="24" spans="1:8" x14ac:dyDescent="0.25">
      <c r="A24">
        <f t="shared" ref="A24" si="5">A23+1</f>
        <v>12</v>
      </c>
      <c r="D24">
        <v>-2.1000000000000001E-2</v>
      </c>
      <c r="E24">
        <v>-1.2999999999999999E-2</v>
      </c>
      <c r="F24">
        <v>-1.0999999999999999E-2</v>
      </c>
      <c r="G24">
        <v>-0.01</v>
      </c>
      <c r="H24">
        <v>-8.9999999999999993E-3</v>
      </c>
    </row>
    <row r="26" spans="1:8" x14ac:dyDescent="0.25">
      <c r="A26">
        <f t="shared" ref="A26" si="6">A24+1</f>
        <v>13</v>
      </c>
      <c r="B26" t="s">
        <v>207</v>
      </c>
      <c r="D26" t="s">
        <v>342</v>
      </c>
      <c r="E26" t="s">
        <v>488</v>
      </c>
      <c r="F26" t="s">
        <v>336</v>
      </c>
      <c r="G26" t="s">
        <v>196</v>
      </c>
      <c r="H26" t="s">
        <v>215</v>
      </c>
    </row>
    <row r="27" spans="1:8" x14ac:dyDescent="0.25">
      <c r="A27">
        <f t="shared" ref="A27" si="7">A26+1</f>
        <v>14</v>
      </c>
      <c r="D27">
        <v>-2.3E-2</v>
      </c>
      <c r="E27">
        <v>-1.4E-2</v>
      </c>
      <c r="F27">
        <v>-1.2E-2</v>
      </c>
      <c r="G27">
        <v>-1.0999999999999999E-2</v>
      </c>
      <c r="H27">
        <v>-0.01</v>
      </c>
    </row>
    <row r="29" spans="1:8" x14ac:dyDescent="0.25">
      <c r="A29">
        <f t="shared" ref="A29" si="8">A27+1</f>
        <v>15</v>
      </c>
      <c r="B29" t="s">
        <v>209</v>
      </c>
      <c r="D29" t="s">
        <v>343</v>
      </c>
      <c r="E29" t="s">
        <v>344</v>
      </c>
      <c r="F29" t="s">
        <v>513</v>
      </c>
      <c r="G29" t="s">
        <v>413</v>
      </c>
      <c r="H29" t="s">
        <v>544</v>
      </c>
    </row>
    <row r="30" spans="1:8" x14ac:dyDescent="0.25">
      <c r="A30">
        <f t="shared" ref="A30" si="9">A29+1</f>
        <v>16</v>
      </c>
      <c r="D30">
        <v>-2.3E-2</v>
      </c>
      <c r="E30">
        <v>-1.4E-2</v>
      </c>
      <c r="F30">
        <v>-1.2E-2</v>
      </c>
      <c r="G30">
        <v>-1.0999999999999999E-2</v>
      </c>
      <c r="H30">
        <v>-0.01</v>
      </c>
    </row>
    <row r="32" spans="1:8" x14ac:dyDescent="0.25">
      <c r="A32">
        <f t="shared" ref="A32" si="10">A30+1</f>
        <v>17</v>
      </c>
      <c r="B32" t="s">
        <v>213</v>
      </c>
      <c r="D32" t="s">
        <v>346</v>
      </c>
      <c r="E32" t="s">
        <v>545</v>
      </c>
      <c r="F32" t="s">
        <v>220</v>
      </c>
      <c r="G32" t="s">
        <v>217</v>
      </c>
      <c r="H32" t="s">
        <v>546</v>
      </c>
    </row>
    <row r="33" spans="1:8" x14ac:dyDescent="0.25">
      <c r="A33">
        <f t="shared" ref="A33" si="11">A32+1</f>
        <v>18</v>
      </c>
      <c r="D33">
        <v>-3.9E-2</v>
      </c>
      <c r="E33">
        <v>-2.4E-2</v>
      </c>
      <c r="F33">
        <v>-2.1000000000000001E-2</v>
      </c>
      <c r="G33">
        <v>-1.7999999999999999E-2</v>
      </c>
      <c r="H33">
        <v>-1.7000000000000001E-2</v>
      </c>
    </row>
    <row r="35" spans="1:8" x14ac:dyDescent="0.25">
      <c r="A35">
        <f t="shared" ref="A35" si="12">A33+1</f>
        <v>19</v>
      </c>
      <c r="B35" t="s">
        <v>15</v>
      </c>
      <c r="E35" t="s">
        <v>547</v>
      </c>
      <c r="F35" t="s">
        <v>415</v>
      </c>
      <c r="G35" t="s">
        <v>253</v>
      </c>
      <c r="H35" t="s">
        <v>491</v>
      </c>
    </row>
    <row r="36" spans="1:8" x14ac:dyDescent="0.25">
      <c r="A36">
        <f t="shared" ref="A36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350</v>
      </c>
      <c r="F38" t="s">
        <v>548</v>
      </c>
      <c r="G38" t="s">
        <v>208</v>
      </c>
      <c r="H38" t="s">
        <v>411</v>
      </c>
    </row>
    <row r="39" spans="1:8" x14ac:dyDescent="0.25">
      <c r="A39">
        <f t="shared" ref="A39" si="15">A38+1</f>
        <v>22</v>
      </c>
      <c r="E39">
        <v>-4.0000000000000001E-3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313</v>
      </c>
      <c r="F41" t="s">
        <v>549</v>
      </c>
      <c r="G41" t="s">
        <v>348</v>
      </c>
      <c r="H41" t="s">
        <v>348</v>
      </c>
    </row>
    <row r="42" spans="1:8" x14ac:dyDescent="0.25">
      <c r="A42">
        <f t="shared" ref="A42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550</v>
      </c>
      <c r="F44" t="s">
        <v>551</v>
      </c>
      <c r="G44" t="s">
        <v>417</v>
      </c>
      <c r="H44" t="s">
        <v>552</v>
      </c>
    </row>
    <row r="45" spans="1:8" x14ac:dyDescent="0.25">
      <c r="A45">
        <f t="shared" ref="A45" si="19">A44+1</f>
        <v>26</v>
      </c>
      <c r="E45">
        <v>-4.0000000000000001E-3</v>
      </c>
      <c r="F45">
        <v>-4.0000000000000001E-3</v>
      </c>
      <c r="G45">
        <v>-3.0000000000000001E-3</v>
      </c>
      <c r="H45">
        <v>-3.0000000000000001E-3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553</v>
      </c>
      <c r="F47" t="s">
        <v>455</v>
      </c>
      <c r="G47" t="s">
        <v>226</v>
      </c>
      <c r="H47" t="s">
        <v>554</v>
      </c>
    </row>
    <row r="48" spans="1:8" x14ac:dyDescent="0.25">
      <c r="A48">
        <f t="shared" ref="A48" si="21">A47+1</f>
        <v>28</v>
      </c>
      <c r="E48">
        <v>-4.0000000000000001E-3</v>
      </c>
      <c r="F48">
        <v>-4.0000000000000001E-3</v>
      </c>
      <c r="G48">
        <v>-4.0000000000000001E-3</v>
      </c>
      <c r="H48">
        <v>-4.0000000000000001E-3</v>
      </c>
    </row>
    <row r="50" spans="1:8" x14ac:dyDescent="0.25">
      <c r="A50">
        <f t="shared" ref="A50" si="22">A48+1</f>
        <v>29</v>
      </c>
      <c r="B50" t="s">
        <v>18</v>
      </c>
      <c r="E50" t="s">
        <v>223</v>
      </c>
      <c r="F50" t="s">
        <v>223</v>
      </c>
      <c r="G50" t="s">
        <v>224</v>
      </c>
      <c r="H50" t="s">
        <v>224</v>
      </c>
    </row>
    <row r="51" spans="1:8" x14ac:dyDescent="0.25">
      <c r="A51">
        <f t="shared" ref="A51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555</v>
      </c>
      <c r="F53" t="s">
        <v>254</v>
      </c>
      <c r="G53" t="s">
        <v>415</v>
      </c>
      <c r="H53" t="s">
        <v>415</v>
      </c>
    </row>
    <row r="54" spans="1:8" x14ac:dyDescent="0.25">
      <c r="A54">
        <f t="shared" ref="A54" si="25">A53+1</f>
        <v>32</v>
      </c>
      <c r="E54">
        <v>-2.9999999999999997E-4</v>
      </c>
      <c r="F54">
        <v>-2.9999999999999997E-4</v>
      </c>
      <c r="G54">
        <v>-2.0000000000000001E-4</v>
      </c>
      <c r="H54">
        <v>-2.0000000000000001E-4</v>
      </c>
    </row>
    <row r="56" spans="1:8" x14ac:dyDescent="0.25">
      <c r="A56">
        <f t="shared" ref="A56" si="26">A54+1</f>
        <v>33</v>
      </c>
      <c r="B56" t="s">
        <v>34</v>
      </c>
      <c r="E56" t="s">
        <v>556</v>
      </c>
      <c r="F56" t="s">
        <v>557</v>
      </c>
      <c r="G56" t="s">
        <v>512</v>
      </c>
      <c r="H56" t="s">
        <v>526</v>
      </c>
    </row>
    <row r="57" spans="1:8" x14ac:dyDescent="0.25">
      <c r="A57">
        <f t="shared" ref="A57" si="27">A56+1</f>
        <v>34</v>
      </c>
      <c r="E57">
        <v>-3.0000000000000001E-3</v>
      </c>
      <c r="F57">
        <v>-3.0000000000000001E-3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>
        <v>-1E-3</v>
      </c>
      <c r="F59" t="s">
        <v>422</v>
      </c>
      <c r="G59" t="s">
        <v>558</v>
      </c>
      <c r="H59" t="s">
        <v>222</v>
      </c>
    </row>
    <row r="60" spans="1:8" x14ac:dyDescent="0.25">
      <c r="A60">
        <f t="shared" ref="A60" si="29">A59+1</f>
        <v>36</v>
      </c>
      <c r="E60">
        <v>-1.4E-2</v>
      </c>
      <c r="F60">
        <v>-1.2999999999999999E-2</v>
      </c>
      <c r="G60">
        <v>-1.0999999999999999E-2</v>
      </c>
      <c r="H60">
        <v>-0.01</v>
      </c>
    </row>
    <row r="62" spans="1:8" x14ac:dyDescent="0.25">
      <c r="A62">
        <f t="shared" ref="A62" si="30">A60+1</f>
        <v>37</v>
      </c>
      <c r="B62" t="s">
        <v>227</v>
      </c>
      <c r="E62" t="s">
        <v>528</v>
      </c>
      <c r="F62" t="s">
        <v>355</v>
      </c>
      <c r="G62" t="s">
        <v>559</v>
      </c>
      <c r="H62" t="s">
        <v>525</v>
      </c>
    </row>
    <row r="63" spans="1:8" x14ac:dyDescent="0.25">
      <c r="A63">
        <f t="shared" ref="A63" si="31">A62+1</f>
        <v>38</v>
      </c>
      <c r="E63">
        <v>-5.0000000000000001E-3</v>
      </c>
      <c r="F63">
        <v>-4.0000000000000001E-3</v>
      </c>
      <c r="G63">
        <v>-4.0000000000000001E-3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229</v>
      </c>
      <c r="E65" t="s">
        <v>221</v>
      </c>
      <c r="F65" t="s">
        <v>333</v>
      </c>
      <c r="G65" t="s">
        <v>218</v>
      </c>
      <c r="H65" t="s">
        <v>198</v>
      </c>
    </row>
    <row r="66" spans="1:8" x14ac:dyDescent="0.25">
      <c r="A66">
        <f t="shared" ref="A66" si="33">A65+1</f>
        <v>40</v>
      </c>
      <c r="E66">
        <v>-4.0000000000000001E-3</v>
      </c>
      <c r="F66">
        <v>-4.0000000000000001E-3</v>
      </c>
      <c r="G66">
        <v>-3.0000000000000001E-3</v>
      </c>
      <c r="H66">
        <v>-3.0000000000000001E-3</v>
      </c>
    </row>
    <row r="68" spans="1:8" x14ac:dyDescent="0.25">
      <c r="A68">
        <f t="shared" ref="A68" si="34">A66+1</f>
        <v>41</v>
      </c>
      <c r="B68" t="s">
        <v>233</v>
      </c>
      <c r="E68" t="s">
        <v>418</v>
      </c>
      <c r="F68" t="s">
        <v>236</v>
      </c>
      <c r="G68" t="s">
        <v>238</v>
      </c>
      <c r="H68" t="s">
        <v>560</v>
      </c>
    </row>
    <row r="69" spans="1:8" x14ac:dyDescent="0.25">
      <c r="A69">
        <f t="shared" ref="A69" si="35">A68+1</f>
        <v>42</v>
      </c>
      <c r="E69">
        <v>-8.0000000000000002E-3</v>
      </c>
      <c r="F69">
        <v>-7.0000000000000001E-3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543</v>
      </c>
      <c r="G71" t="s">
        <v>361</v>
      </c>
      <c r="H71" t="s">
        <v>235</v>
      </c>
    </row>
    <row r="72" spans="1:8" x14ac:dyDescent="0.25">
      <c r="A72">
        <f t="shared" ref="A72" si="37">A71+1</f>
        <v>44</v>
      </c>
      <c r="F72">
        <v>-8.0000000000000002E-3</v>
      </c>
      <c r="G72">
        <v>-7.0000000000000001E-3</v>
      </c>
      <c r="H72">
        <v>-6.0000000000000001E-3</v>
      </c>
    </row>
    <row r="74" spans="1:8" x14ac:dyDescent="0.25">
      <c r="A74">
        <f t="shared" ref="A74" si="38">A72+1</f>
        <v>45</v>
      </c>
      <c r="B74" t="s">
        <v>23</v>
      </c>
      <c r="F74" t="s">
        <v>423</v>
      </c>
      <c r="G74" t="s">
        <v>561</v>
      </c>
      <c r="H74" t="s">
        <v>429</v>
      </c>
    </row>
    <row r="75" spans="1:8" x14ac:dyDescent="0.25">
      <c r="A75">
        <f t="shared" ref="A75" si="39">A74+1</f>
        <v>46</v>
      </c>
      <c r="F75">
        <v>-1.6E-2</v>
      </c>
      <c r="G75">
        <v>-1.4E-2</v>
      </c>
      <c r="H75">
        <v>-1.2999999999999999E-2</v>
      </c>
    </row>
    <row r="77" spans="1:8" x14ac:dyDescent="0.25">
      <c r="A77">
        <f t="shared" ref="A77" si="40">A75+1</f>
        <v>47</v>
      </c>
      <c r="B77" t="s">
        <v>24</v>
      </c>
      <c r="F77" t="s">
        <v>424</v>
      </c>
      <c r="G77" t="s">
        <v>425</v>
      </c>
      <c r="H77" t="s">
        <v>562</v>
      </c>
    </row>
    <row r="78" spans="1:8" x14ac:dyDescent="0.25">
      <c r="A78">
        <f t="shared" ref="A78" si="41">A77+1</f>
        <v>48</v>
      </c>
      <c r="F78">
        <v>-7.0000000000000001E-3</v>
      </c>
      <c r="G78">
        <v>-6.0000000000000001E-3</v>
      </c>
      <c r="H78">
        <v>-5.0000000000000001E-3</v>
      </c>
    </row>
    <row r="80" spans="1:8" x14ac:dyDescent="0.25">
      <c r="A80">
        <f t="shared" ref="A80" si="42">A78+1</f>
        <v>49</v>
      </c>
      <c r="B80" t="s">
        <v>25</v>
      </c>
      <c r="F80">
        <v>1.0999999999999999E-2</v>
      </c>
      <c r="G80" t="s">
        <v>464</v>
      </c>
      <c r="H80" t="s">
        <v>563</v>
      </c>
    </row>
    <row r="81" spans="1:8" x14ac:dyDescent="0.25">
      <c r="A81">
        <f t="shared" ref="A81" si="43">A80+1</f>
        <v>50</v>
      </c>
      <c r="F81">
        <v>-8.0000000000000002E-3</v>
      </c>
      <c r="G81">
        <v>-7.0000000000000001E-3</v>
      </c>
      <c r="H81">
        <v>-6.0000000000000001E-3</v>
      </c>
    </row>
    <row r="83" spans="1:8" x14ac:dyDescent="0.25">
      <c r="A83">
        <f t="shared" ref="A83" si="44">A81+1</f>
        <v>51</v>
      </c>
      <c r="B83" t="s">
        <v>26</v>
      </c>
      <c r="F83" t="s">
        <v>564</v>
      </c>
      <c r="G83" t="s">
        <v>427</v>
      </c>
      <c r="H83">
        <v>-8.0000000000000002E-3</v>
      </c>
    </row>
    <row r="84" spans="1:8" x14ac:dyDescent="0.25">
      <c r="A84">
        <f t="shared" ref="A84" si="45">A83+1</f>
        <v>52</v>
      </c>
      <c r="F84">
        <v>-6.0000000000000001E-3</v>
      </c>
      <c r="G84">
        <v>-5.0000000000000001E-3</v>
      </c>
      <c r="H84">
        <v>-5.0000000000000001E-3</v>
      </c>
    </row>
    <row r="86" spans="1:8" x14ac:dyDescent="0.25">
      <c r="A86">
        <f t="shared" ref="A86" si="46">A84+1</f>
        <v>53</v>
      </c>
      <c r="B86" t="s">
        <v>27</v>
      </c>
      <c r="F86" t="s">
        <v>357</v>
      </c>
      <c r="G86" t="s">
        <v>553</v>
      </c>
      <c r="H86" t="s">
        <v>565</v>
      </c>
    </row>
    <row r="87" spans="1:8" x14ac:dyDescent="0.25">
      <c r="A87">
        <f t="shared" ref="A87" si="47">A86+1</f>
        <v>54</v>
      </c>
      <c r="F87">
        <v>-0.01</v>
      </c>
      <c r="G87">
        <v>-8.9999999999999993E-3</v>
      </c>
      <c r="H87">
        <v>-8.0000000000000002E-3</v>
      </c>
    </row>
    <row r="89" spans="1:8" x14ac:dyDescent="0.25">
      <c r="A89">
        <f t="shared" ref="A89" si="48">A87+1</f>
        <v>55</v>
      </c>
      <c r="B89" t="s">
        <v>29</v>
      </c>
      <c r="F89">
        <v>-1.6E-2</v>
      </c>
      <c r="G89">
        <v>1.6E-2</v>
      </c>
      <c r="H89" t="s">
        <v>566</v>
      </c>
    </row>
    <row r="90" spans="1:8" x14ac:dyDescent="0.25">
      <c r="A90">
        <f t="shared" ref="A90" si="49">A89+1</f>
        <v>56</v>
      </c>
      <c r="F90">
        <v>-1.6E-2</v>
      </c>
      <c r="G90">
        <v>-1.4E-2</v>
      </c>
      <c r="H90">
        <v>-1.2999999999999999E-2</v>
      </c>
    </row>
    <row r="92" spans="1:8" x14ac:dyDescent="0.25">
      <c r="A92">
        <f t="shared" ref="A92" si="50">A90+1</f>
        <v>57</v>
      </c>
      <c r="B92" t="s">
        <v>31</v>
      </c>
      <c r="F92" t="s">
        <v>552</v>
      </c>
      <c r="G92" t="s">
        <v>234</v>
      </c>
      <c r="H92" t="s">
        <v>419</v>
      </c>
    </row>
    <row r="93" spans="1:8" x14ac:dyDescent="0.25">
      <c r="A93">
        <f t="shared" ref="A93" si="51">A92+1</f>
        <v>58</v>
      </c>
      <c r="F93">
        <v>-7.0000000000000001E-3</v>
      </c>
      <c r="G93">
        <v>-6.0000000000000001E-3</v>
      </c>
      <c r="H93">
        <v>-6.0000000000000001E-3</v>
      </c>
    </row>
    <row r="95" spans="1:8" x14ac:dyDescent="0.25">
      <c r="A95">
        <f t="shared" ref="A95" si="52">A93+1</f>
        <v>59</v>
      </c>
      <c r="B95" t="s">
        <v>28</v>
      </c>
      <c r="F95" t="s">
        <v>567</v>
      </c>
      <c r="G95" t="s">
        <v>568</v>
      </c>
      <c r="H95" t="s">
        <v>569</v>
      </c>
    </row>
    <row r="96" spans="1:8" x14ac:dyDescent="0.25">
      <c r="A96">
        <f t="shared" ref="A96" si="53">A95+1</f>
        <v>60</v>
      </c>
      <c r="F96">
        <v>-6.0000000000000001E-3</v>
      </c>
      <c r="G96">
        <v>-6.0000000000000001E-3</v>
      </c>
      <c r="H96">
        <v>-5.0000000000000001E-3</v>
      </c>
    </row>
    <row r="98" spans="1:8" x14ac:dyDescent="0.25">
      <c r="A98">
        <f t="shared" ref="A98" si="54">A96+1</f>
        <v>61</v>
      </c>
      <c r="B98" t="s">
        <v>239</v>
      </c>
      <c r="F98">
        <v>-1.0999999999999999E-2</v>
      </c>
      <c r="G98" t="s">
        <v>570</v>
      </c>
      <c r="H98">
        <v>-1.0999999999999999E-2</v>
      </c>
    </row>
    <row r="99" spans="1:8" x14ac:dyDescent="0.25">
      <c r="A99">
        <f t="shared" ref="A99" si="55">A98+1</f>
        <v>62</v>
      </c>
      <c r="F99">
        <v>-1.4999999999999999E-2</v>
      </c>
      <c r="G99">
        <v>-1.4E-2</v>
      </c>
      <c r="H99">
        <v>-1.2999999999999999E-2</v>
      </c>
    </row>
    <row r="101" spans="1:8" x14ac:dyDescent="0.25">
      <c r="A101">
        <f t="shared" ref="A101" si="56">A99+1</f>
        <v>63</v>
      </c>
      <c r="B101" t="s">
        <v>240</v>
      </c>
      <c r="F101">
        <v>1E-3</v>
      </c>
      <c r="G101" t="s">
        <v>426</v>
      </c>
      <c r="H101">
        <v>-0.01</v>
      </c>
    </row>
    <row r="102" spans="1:8" x14ac:dyDescent="0.25">
      <c r="A102">
        <f t="shared" ref="A102" si="57">A101+1</f>
        <v>64</v>
      </c>
      <c r="F102">
        <v>-0.01</v>
      </c>
      <c r="G102">
        <v>-8.9999999999999993E-3</v>
      </c>
      <c r="H102">
        <v>-8.9999999999999993E-3</v>
      </c>
    </row>
    <row r="104" spans="1:8" x14ac:dyDescent="0.25">
      <c r="A104">
        <f t="shared" ref="A104" si="58">A102+1</f>
        <v>65</v>
      </c>
      <c r="B104" t="s">
        <v>242</v>
      </c>
      <c r="F104" t="s">
        <v>571</v>
      </c>
      <c r="G104" t="s">
        <v>429</v>
      </c>
      <c r="H104" t="s">
        <v>572</v>
      </c>
    </row>
    <row r="105" spans="1:8" x14ac:dyDescent="0.25">
      <c r="A105">
        <f t="shared" ref="A105" si="59">A104+1</f>
        <v>66</v>
      </c>
      <c r="F105">
        <v>-5.0000000000000001E-3</v>
      </c>
      <c r="G105">
        <v>-4.0000000000000001E-3</v>
      </c>
      <c r="H105">
        <v>-4.0000000000000001E-3</v>
      </c>
    </row>
    <row r="107" spans="1:8" x14ac:dyDescent="0.25">
      <c r="A107">
        <f t="shared" ref="A107" si="60">A105+1</f>
        <v>67</v>
      </c>
      <c r="B107" t="s">
        <v>244</v>
      </c>
      <c r="F107" t="s">
        <v>518</v>
      </c>
      <c r="G107" t="s">
        <v>573</v>
      </c>
      <c r="H107" t="s">
        <v>507</v>
      </c>
    </row>
    <row r="108" spans="1:8" x14ac:dyDescent="0.25">
      <c r="A108">
        <f t="shared" ref="A108" si="61">A107+1</f>
        <v>68</v>
      </c>
      <c r="F108">
        <v>-6.0000000000000001E-3</v>
      </c>
      <c r="G108">
        <v>-5.0000000000000001E-3</v>
      </c>
      <c r="H108">
        <v>-5.0000000000000001E-3</v>
      </c>
    </row>
    <row r="110" spans="1:8" x14ac:dyDescent="0.25">
      <c r="A110">
        <f t="shared" ref="A110" si="62">A108+1</f>
        <v>69</v>
      </c>
      <c r="B110" t="s">
        <v>245</v>
      </c>
      <c r="F110" t="s">
        <v>210</v>
      </c>
      <c r="G110">
        <v>1.4E-2</v>
      </c>
      <c r="H110" t="s">
        <v>485</v>
      </c>
    </row>
    <row r="111" spans="1:8" x14ac:dyDescent="0.25">
      <c r="A111">
        <f t="shared" ref="A111" si="63">A110+1</f>
        <v>70</v>
      </c>
      <c r="F111">
        <v>-0.01</v>
      </c>
      <c r="G111">
        <v>-8.9999999999999993E-3</v>
      </c>
      <c r="H111">
        <v>-8.0000000000000002E-3</v>
      </c>
    </row>
    <row r="113" spans="1:8" x14ac:dyDescent="0.25">
      <c r="A113">
        <f t="shared" ref="A113" si="64">A111+1</f>
        <v>71</v>
      </c>
      <c r="B113" t="s">
        <v>247</v>
      </c>
      <c r="F113" t="s">
        <v>421</v>
      </c>
      <c r="G113" t="s">
        <v>333</v>
      </c>
      <c r="H113">
        <v>-8.0000000000000002E-3</v>
      </c>
    </row>
    <row r="114" spans="1:8" x14ac:dyDescent="0.25">
      <c r="A114">
        <f t="shared" ref="A114" si="65">A113+1</f>
        <v>72</v>
      </c>
      <c r="F114">
        <v>-7.0000000000000001E-3</v>
      </c>
      <c r="G114">
        <v>-7.0000000000000001E-3</v>
      </c>
      <c r="H114">
        <v>-6.0000000000000001E-3</v>
      </c>
    </row>
    <row r="116" spans="1:8" x14ac:dyDescent="0.25">
      <c r="A116">
        <f t="shared" ref="A116" si="66">A114+1</f>
        <v>73</v>
      </c>
      <c r="B116" t="s">
        <v>249</v>
      </c>
      <c r="F116" t="s">
        <v>574</v>
      </c>
      <c r="G116" t="s">
        <v>575</v>
      </c>
      <c r="H116" t="s">
        <v>576</v>
      </c>
    </row>
    <row r="117" spans="1:8" x14ac:dyDescent="0.25">
      <c r="A117">
        <f t="shared" ref="A117" si="67">A116+1</f>
        <v>74</v>
      </c>
      <c r="F117">
        <v>-1.2E-2</v>
      </c>
      <c r="G117">
        <v>-0.01</v>
      </c>
      <c r="H117">
        <v>-1.0999999999999999E-2</v>
      </c>
    </row>
    <row r="119" spans="1:8" x14ac:dyDescent="0.25">
      <c r="A119">
        <f t="shared" ref="A119" si="68">A117+1</f>
        <v>75</v>
      </c>
      <c r="B119" t="s">
        <v>166</v>
      </c>
      <c r="F119" t="s">
        <v>577</v>
      </c>
      <c r="G119" t="s">
        <v>250</v>
      </c>
      <c r="H119" t="s">
        <v>578</v>
      </c>
    </row>
    <row r="120" spans="1:8" x14ac:dyDescent="0.25">
      <c r="A120">
        <f t="shared" ref="A120" si="69">A119+1</f>
        <v>76</v>
      </c>
      <c r="F120">
        <v>-8.0000000000000002E-3</v>
      </c>
      <c r="G120">
        <v>-7.0000000000000001E-3</v>
      </c>
      <c r="H120">
        <v>-7.0000000000000001E-3</v>
      </c>
    </row>
    <row r="122" spans="1:8" x14ac:dyDescent="0.25">
      <c r="A122">
        <f t="shared" ref="A122" si="70">A120+1</f>
        <v>77</v>
      </c>
      <c r="B122" t="s">
        <v>167</v>
      </c>
      <c r="F122" t="s">
        <v>579</v>
      </c>
      <c r="G122" t="s">
        <v>580</v>
      </c>
      <c r="H122" t="s">
        <v>581</v>
      </c>
    </row>
    <row r="123" spans="1:8" x14ac:dyDescent="0.25">
      <c r="A123">
        <f t="shared" ref="A123" si="71">A122+1</f>
        <v>78</v>
      </c>
      <c r="F123">
        <v>-8.9999999999999993E-3</v>
      </c>
      <c r="G123">
        <v>-8.0000000000000002E-3</v>
      </c>
      <c r="H123">
        <v>-8.0000000000000002E-3</v>
      </c>
    </row>
    <row r="125" spans="1:8" x14ac:dyDescent="0.25">
      <c r="A125">
        <f t="shared" ref="A125" si="72">A123+1</f>
        <v>79</v>
      </c>
      <c r="B125" t="s">
        <v>168</v>
      </c>
      <c r="F125" t="s">
        <v>431</v>
      </c>
      <c r="G125" t="s">
        <v>434</v>
      </c>
      <c r="H125" t="s">
        <v>582</v>
      </c>
    </row>
    <row r="126" spans="1:8" x14ac:dyDescent="0.25">
      <c r="A126">
        <f t="shared" ref="A126" si="73">A125+1</f>
        <v>80</v>
      </c>
      <c r="F126">
        <v>-1.0999999999999999E-2</v>
      </c>
      <c r="G126">
        <v>-8.9999999999999993E-3</v>
      </c>
      <c r="H126">
        <v>-8.9999999999999993E-3</v>
      </c>
    </row>
    <row r="128" spans="1:8" x14ac:dyDescent="0.25">
      <c r="A128">
        <f t="shared" ref="A128" si="74">A126+1</f>
        <v>81</v>
      </c>
      <c r="B128" t="s">
        <v>169</v>
      </c>
      <c r="F128" t="s">
        <v>432</v>
      </c>
      <c r="G128" t="s">
        <v>433</v>
      </c>
      <c r="H128" t="s">
        <v>583</v>
      </c>
    </row>
    <row r="129" spans="1:8" x14ac:dyDescent="0.25">
      <c r="A129">
        <f t="shared" ref="A129" si="75">A128+1</f>
        <v>82</v>
      </c>
      <c r="F129">
        <v>-0.01</v>
      </c>
      <c r="G129">
        <v>-8.9999999999999993E-3</v>
      </c>
      <c r="H129">
        <v>-8.0000000000000002E-3</v>
      </c>
    </row>
    <row r="131" spans="1:8" x14ac:dyDescent="0.25">
      <c r="A131">
        <f t="shared" ref="A131" si="76">A129+1</f>
        <v>83</v>
      </c>
      <c r="B131" t="s">
        <v>170</v>
      </c>
      <c r="F131" t="s">
        <v>584</v>
      </c>
      <c r="G131" t="s">
        <v>585</v>
      </c>
      <c r="H131" t="s">
        <v>586</v>
      </c>
    </row>
    <row r="132" spans="1:8" x14ac:dyDescent="0.25">
      <c r="A132">
        <f t="shared" ref="A132" si="77">A131+1</f>
        <v>84</v>
      </c>
      <c r="F132">
        <v>-1.2E-2</v>
      </c>
      <c r="G132">
        <v>-1.0999999999999999E-2</v>
      </c>
      <c r="H132">
        <v>-0.01</v>
      </c>
    </row>
    <row r="134" spans="1:8" x14ac:dyDescent="0.25">
      <c r="A134">
        <f t="shared" ref="A134" si="78">A132+1</f>
        <v>85</v>
      </c>
      <c r="B134" t="s">
        <v>50</v>
      </c>
      <c r="F134" t="s">
        <v>587</v>
      </c>
      <c r="G134" t="s">
        <v>251</v>
      </c>
      <c r="H134">
        <v>0</v>
      </c>
    </row>
    <row r="135" spans="1:8" x14ac:dyDescent="0.25">
      <c r="A135">
        <f t="shared" ref="A135" si="79">A134+1</f>
        <v>86</v>
      </c>
      <c r="F135">
        <v>-3.0000000000000001E-5</v>
      </c>
      <c r="G135">
        <v>-3.0000000000000001E-5</v>
      </c>
      <c r="H135">
        <v>-3.0000000000000001E-5</v>
      </c>
    </row>
    <row r="137" spans="1:8" x14ac:dyDescent="0.25">
      <c r="A137">
        <f t="shared" ref="A137" si="80">A135+1</f>
        <v>87</v>
      </c>
      <c r="B137" t="s">
        <v>52</v>
      </c>
      <c r="F137" t="s">
        <v>257</v>
      </c>
      <c r="G137">
        <v>3.0000000000000001E-5</v>
      </c>
      <c r="H137" t="s">
        <v>588</v>
      </c>
    </row>
    <row r="138" spans="1:8" x14ac:dyDescent="0.25">
      <c r="A138">
        <f t="shared" ref="A138" si="81">A137+1</f>
        <v>88</v>
      </c>
      <c r="F138">
        <v>-3.0000000000000001E-3</v>
      </c>
      <c r="G138">
        <v>-3.0000000000000001E-3</v>
      </c>
      <c r="H138">
        <v>-3.0000000000000001E-3</v>
      </c>
    </row>
    <row r="140" spans="1:8" x14ac:dyDescent="0.25">
      <c r="A140">
        <f t="shared" ref="A140" si="82">A138+1</f>
        <v>89</v>
      </c>
      <c r="B140" t="s">
        <v>51</v>
      </c>
      <c r="F140" t="s">
        <v>252</v>
      </c>
      <c r="G140" t="s">
        <v>589</v>
      </c>
      <c r="H140" t="s">
        <v>509</v>
      </c>
    </row>
    <row r="141" spans="1:8" x14ac:dyDescent="0.25">
      <c r="A141">
        <f t="shared" ref="A141" si="83">A140+1</f>
        <v>90</v>
      </c>
      <c r="F141">
        <v>-1E-3</v>
      </c>
      <c r="G141">
        <v>-1E-3</v>
      </c>
      <c r="H141">
        <v>-1E-3</v>
      </c>
    </row>
    <row r="143" spans="1:8" x14ac:dyDescent="0.25">
      <c r="A143">
        <f t="shared" ref="A143" si="84">A141+1</f>
        <v>91</v>
      </c>
      <c r="B143" t="s">
        <v>164</v>
      </c>
      <c r="G143" t="s">
        <v>257</v>
      </c>
      <c r="H143" t="s">
        <v>360</v>
      </c>
    </row>
    <row r="144" spans="1:8" x14ac:dyDescent="0.25">
      <c r="A144">
        <f t="shared" ref="A144" si="85">A143+1</f>
        <v>92</v>
      </c>
      <c r="G144">
        <v>-1E-3</v>
      </c>
      <c r="H144">
        <v>-1E-3</v>
      </c>
    </row>
    <row r="146" spans="1:8" x14ac:dyDescent="0.25">
      <c r="A146">
        <f t="shared" ref="A146" si="86">A144+1</f>
        <v>93</v>
      </c>
      <c r="B146" t="s">
        <v>39</v>
      </c>
      <c r="G146" t="s">
        <v>563</v>
      </c>
      <c r="H146" t="s">
        <v>590</v>
      </c>
    </row>
    <row r="147" spans="1:8" x14ac:dyDescent="0.25">
      <c r="A147">
        <f t="shared" ref="A147" si="87">A146+1</f>
        <v>94</v>
      </c>
      <c r="G147">
        <v>-4.0000000000000001E-3</v>
      </c>
      <c r="H147">
        <v>-4.0000000000000001E-3</v>
      </c>
    </row>
    <row r="149" spans="1:8" x14ac:dyDescent="0.25">
      <c r="A149">
        <f t="shared" ref="A149" si="88">A147+1</f>
        <v>95</v>
      </c>
      <c r="B149" t="s">
        <v>40</v>
      </c>
      <c r="G149" t="s">
        <v>360</v>
      </c>
      <c r="H149" t="s">
        <v>532</v>
      </c>
    </row>
    <row r="150" spans="1:8" x14ac:dyDescent="0.25">
      <c r="A150">
        <f t="shared" ref="A150" si="89">A149+1</f>
        <v>96</v>
      </c>
      <c r="G150">
        <v>-1E-3</v>
      </c>
      <c r="H150">
        <v>-1E-3</v>
      </c>
    </row>
    <row r="152" spans="1:8" x14ac:dyDescent="0.25">
      <c r="A152">
        <f t="shared" ref="A152" si="90">A150+1</f>
        <v>97</v>
      </c>
      <c r="B152" t="s">
        <v>41</v>
      </c>
      <c r="G152" t="s">
        <v>360</v>
      </c>
      <c r="H152" t="s">
        <v>255</v>
      </c>
    </row>
    <row r="153" spans="1:8" x14ac:dyDescent="0.25">
      <c r="A153">
        <f t="shared" ref="A153" si="91">A152+1</f>
        <v>98</v>
      </c>
      <c r="G153">
        <v>-5.0000000000000001E-4</v>
      </c>
      <c r="H153">
        <v>-5.0000000000000001E-4</v>
      </c>
    </row>
    <row r="155" spans="1:8" x14ac:dyDescent="0.25">
      <c r="A155">
        <f t="shared" ref="A155" si="92">A153+1</f>
        <v>99</v>
      </c>
      <c r="B155" t="s">
        <v>173</v>
      </c>
      <c r="G155">
        <v>-4.0000000000000002E-4</v>
      </c>
      <c r="H155" t="s">
        <v>259</v>
      </c>
    </row>
    <row r="156" spans="1:8" x14ac:dyDescent="0.25">
      <c r="A156">
        <f t="shared" ref="A156" si="93">A155+1</f>
        <v>100</v>
      </c>
      <c r="G156">
        <v>-2.9999999999999997E-4</v>
      </c>
      <c r="H156">
        <v>-2.9999999999999997E-4</v>
      </c>
    </row>
    <row r="158" spans="1:8" x14ac:dyDescent="0.25">
      <c r="A158">
        <f t="shared" ref="A158" si="94">A156+1</f>
        <v>101</v>
      </c>
      <c r="B158" t="s">
        <v>174</v>
      </c>
      <c r="G158" t="s">
        <v>491</v>
      </c>
      <c r="H158" t="s">
        <v>435</v>
      </c>
    </row>
    <row r="159" spans="1:8" x14ac:dyDescent="0.25">
      <c r="A159">
        <f t="shared" ref="A159" si="95">A158+1</f>
        <v>102</v>
      </c>
      <c r="G159">
        <v>-1E-3</v>
      </c>
      <c r="H159">
        <v>-1E-3</v>
      </c>
    </row>
    <row r="161" spans="1:8" x14ac:dyDescent="0.25">
      <c r="A161">
        <f t="shared" ref="A161" si="96">A159+1</f>
        <v>103</v>
      </c>
      <c r="B161" t="s">
        <v>175</v>
      </c>
      <c r="G161" t="s">
        <v>494</v>
      </c>
      <c r="H161" t="s">
        <v>363</v>
      </c>
    </row>
    <row r="162" spans="1:8" x14ac:dyDescent="0.25">
      <c r="A162">
        <f t="shared" ref="A162" si="97">A161+1</f>
        <v>104</v>
      </c>
      <c r="G162">
        <v>-1E-3</v>
      </c>
      <c r="H162">
        <v>-1E-3</v>
      </c>
    </row>
    <row r="164" spans="1:8" x14ac:dyDescent="0.25">
      <c r="A164">
        <f t="shared" ref="A164" si="98">A162+1</f>
        <v>105</v>
      </c>
      <c r="B164" t="s">
        <v>53</v>
      </c>
      <c r="G164" t="s">
        <v>263</v>
      </c>
      <c r="H164" t="s">
        <v>263</v>
      </c>
    </row>
    <row r="165" spans="1:8" x14ac:dyDescent="0.25">
      <c r="A165">
        <f t="shared" ref="A165" si="99">A164+1</f>
        <v>106</v>
      </c>
      <c r="G165">
        <v>0</v>
      </c>
      <c r="H165">
        <v>0</v>
      </c>
    </row>
    <row r="167" spans="1:8" x14ac:dyDescent="0.25">
      <c r="A167">
        <f t="shared" ref="A167" si="100">A165+1</f>
        <v>107</v>
      </c>
      <c r="B167" t="s">
        <v>54</v>
      </c>
      <c r="G167" t="s">
        <v>262</v>
      </c>
      <c r="H167" t="s">
        <v>262</v>
      </c>
    </row>
    <row r="168" spans="1:8" x14ac:dyDescent="0.25">
      <c r="A168">
        <f t="shared" ref="A168" si="101">A167+1</f>
        <v>108</v>
      </c>
      <c r="G168">
        <v>0</v>
      </c>
      <c r="H168">
        <v>0</v>
      </c>
    </row>
    <row r="170" spans="1:8" x14ac:dyDescent="0.25">
      <c r="A170">
        <f t="shared" ref="A170" si="102">A168+1</f>
        <v>109</v>
      </c>
      <c r="B170" t="s">
        <v>43</v>
      </c>
      <c r="H170" t="s">
        <v>591</v>
      </c>
    </row>
    <row r="171" spans="1:8" x14ac:dyDescent="0.25">
      <c r="A171">
        <f t="shared" ref="A171" si="103">A170+1</f>
        <v>110</v>
      </c>
      <c r="H171">
        <v>-3.6999999999999998E-2</v>
      </c>
    </row>
    <row r="173" spans="1:8" x14ac:dyDescent="0.25">
      <c r="A173">
        <f t="shared" ref="A173" si="104">A171+1</f>
        <v>111</v>
      </c>
      <c r="B173" t="s">
        <v>44</v>
      </c>
      <c r="H173" t="s">
        <v>592</v>
      </c>
    </row>
    <row r="174" spans="1:8" x14ac:dyDescent="0.25">
      <c r="A174">
        <f t="shared" ref="A174" si="105">A173+1</f>
        <v>112</v>
      </c>
      <c r="H174">
        <v>-8.0000000000000002E-3</v>
      </c>
    </row>
    <row r="176" spans="1:8" x14ac:dyDescent="0.25">
      <c r="A176">
        <f t="shared" ref="A176" si="106">A174+1</f>
        <v>113</v>
      </c>
      <c r="B176" t="s">
        <v>45</v>
      </c>
      <c r="H176" t="s">
        <v>593</v>
      </c>
    </row>
    <row r="177" spans="1:8" x14ac:dyDescent="0.25">
      <c r="A177">
        <f t="shared" ref="A177" si="107">A176+1</f>
        <v>114</v>
      </c>
      <c r="H177">
        <v>-1.6E-2</v>
      </c>
    </row>
    <row r="179" spans="1:8" x14ac:dyDescent="0.25">
      <c r="A179">
        <f t="shared" ref="A179" si="108">A177+1</f>
        <v>115</v>
      </c>
      <c r="B179" t="s">
        <v>48</v>
      </c>
      <c r="H179" t="s">
        <v>594</v>
      </c>
    </row>
    <row r="180" spans="1:8" x14ac:dyDescent="0.25">
      <c r="A180">
        <f t="shared" ref="A180" si="109">A179+1</f>
        <v>116</v>
      </c>
      <c r="H180">
        <v>-8.0000000000000002E-3</v>
      </c>
    </row>
    <row r="182" spans="1:8" x14ac:dyDescent="0.25">
      <c r="A182">
        <f t="shared" ref="A182" si="110">A180+1</f>
        <v>117</v>
      </c>
      <c r="B182" t="s">
        <v>46</v>
      </c>
      <c r="H182" t="s">
        <v>595</v>
      </c>
    </row>
    <row r="183" spans="1:8" x14ac:dyDescent="0.25">
      <c r="A183">
        <f t="shared" ref="A183" si="111">A182+1</f>
        <v>118</v>
      </c>
      <c r="H183">
        <v>-1.0999999999999999E-2</v>
      </c>
    </row>
    <row r="185" spans="1:8" x14ac:dyDescent="0.25">
      <c r="A185">
        <f t="shared" ref="A185" si="112">A183+1</f>
        <v>119</v>
      </c>
      <c r="B185" t="s">
        <v>264</v>
      </c>
      <c r="C185" t="s">
        <v>596</v>
      </c>
      <c r="D185" t="s">
        <v>597</v>
      </c>
      <c r="E185" t="s">
        <v>598</v>
      </c>
      <c r="F185" t="s">
        <v>599</v>
      </c>
      <c r="G185" t="s">
        <v>600</v>
      </c>
      <c r="H185" t="s">
        <v>601</v>
      </c>
    </row>
    <row r="186" spans="1:8" x14ac:dyDescent="0.25">
      <c r="A186">
        <f t="shared" ref="A186" si="113">A185+1</f>
        <v>120</v>
      </c>
      <c r="C186">
        <v>-3.0000000000000001E-3</v>
      </c>
      <c r="D186">
        <v>-8.0000000000000002E-3</v>
      </c>
      <c r="E186">
        <v>-8.9999999999999993E-3</v>
      </c>
      <c r="F186">
        <v>-1.4E-2</v>
      </c>
      <c r="G186">
        <v>-0.82199999999999995</v>
      </c>
      <c r="H186">
        <v>-0.79100000000000004</v>
      </c>
    </row>
    <row r="188" spans="1:8" x14ac:dyDescent="0.25">
      <c r="B188" t="s">
        <v>195</v>
      </c>
      <c r="C188" t="s">
        <v>195</v>
      </c>
      <c r="D188" t="s">
        <v>312</v>
      </c>
      <c r="E188" t="s">
        <v>194</v>
      </c>
      <c r="F188" t="s">
        <v>194</v>
      </c>
      <c r="G188" t="s">
        <v>194</v>
      </c>
      <c r="H188" t="s">
        <v>194</v>
      </c>
    </row>
    <row r="189" spans="1:8" x14ac:dyDescent="0.25">
      <c r="A189">
        <v>123</v>
      </c>
      <c r="B189" t="s">
        <v>187</v>
      </c>
      <c r="C189" s="1">
        <v>50356</v>
      </c>
      <c r="D189" s="1">
        <v>50356</v>
      </c>
      <c r="E189" s="1">
        <v>50356</v>
      </c>
      <c r="F189" s="1">
        <v>50356</v>
      </c>
      <c r="G189" s="1">
        <v>50356</v>
      </c>
      <c r="H189" s="1">
        <v>50356</v>
      </c>
    </row>
    <row r="190" spans="1:8" x14ac:dyDescent="0.25">
      <c r="A190">
        <v>124</v>
      </c>
      <c r="B190" t="s">
        <v>265</v>
      </c>
      <c r="C190">
        <v>4.0000000000000001E-3</v>
      </c>
      <c r="D190">
        <v>1.7999999999999999E-2</v>
      </c>
      <c r="E190">
        <v>0.63700000000000001</v>
      </c>
      <c r="F190">
        <v>0.72199999999999998</v>
      </c>
      <c r="G190">
        <v>0.79</v>
      </c>
      <c r="H190">
        <v>0.81399999999999995</v>
      </c>
    </row>
    <row r="191" spans="1:8" x14ac:dyDescent="0.25">
      <c r="A191">
        <v>125</v>
      </c>
      <c r="B191" t="s">
        <v>266</v>
      </c>
      <c r="C191">
        <v>4.0000000000000001E-3</v>
      </c>
      <c r="D191">
        <v>1.7999999999999999E-2</v>
      </c>
      <c r="E191">
        <v>0.63700000000000001</v>
      </c>
      <c r="F191">
        <v>0.72199999999999998</v>
      </c>
      <c r="G191">
        <v>0.79</v>
      </c>
      <c r="H191">
        <v>0.81399999999999995</v>
      </c>
    </row>
    <row r="192" spans="1:8" x14ac:dyDescent="0.25">
      <c r="A192">
        <v>126</v>
      </c>
      <c r="B192" t="s">
        <v>267</v>
      </c>
      <c r="C192" t="s">
        <v>602</v>
      </c>
      <c r="D192" t="s">
        <v>603</v>
      </c>
      <c r="E192" t="s">
        <v>604</v>
      </c>
      <c r="F192" t="s">
        <v>605</v>
      </c>
      <c r="G192" t="s">
        <v>606</v>
      </c>
      <c r="H192" t="s">
        <v>607</v>
      </c>
    </row>
    <row r="193" spans="1:8" x14ac:dyDescent="0.25">
      <c r="A193">
        <v>127</v>
      </c>
      <c r="B193" t="s">
        <v>268</v>
      </c>
      <c r="C193" t="s">
        <v>608</v>
      </c>
      <c r="D193" t="s">
        <v>609</v>
      </c>
      <c r="E193" t="s">
        <v>610</v>
      </c>
      <c r="F193" t="s">
        <v>611</v>
      </c>
      <c r="G193" t="s">
        <v>612</v>
      </c>
      <c r="H193" t="s">
        <v>613</v>
      </c>
    </row>
    <row r="194" spans="1:8" x14ac:dyDescent="0.25">
      <c r="B194" t="s">
        <v>192</v>
      </c>
      <c r="C194" t="s">
        <v>192</v>
      </c>
      <c r="D194" t="s">
        <v>309</v>
      </c>
      <c r="E194" t="s">
        <v>193</v>
      </c>
      <c r="F194" t="s">
        <v>193</v>
      </c>
      <c r="G194" t="s">
        <v>193</v>
      </c>
      <c r="H194" t="s">
        <v>193</v>
      </c>
    </row>
    <row r="195" spans="1:8" x14ac:dyDescent="0.25">
      <c r="B195" t="s">
        <v>269</v>
      </c>
      <c r="H195" t="s">
        <v>270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132F7-0D2C-4E94-8ED8-7608F2029554}">
  <sheetPr codeName="Sheet12"/>
  <dimension ref="A1:AG61"/>
  <sheetViews>
    <sheetView workbookViewId="0">
      <selection activeCell="B1" sqref="B1:Z1048576"/>
    </sheetView>
  </sheetViews>
  <sheetFormatPr defaultColWidth="11.42578125" defaultRowHeight="15" x14ac:dyDescent="0.25"/>
  <sheetData>
    <row r="1" spans="1:33" x14ac:dyDescent="0.25">
      <c r="B1" t="s">
        <v>280</v>
      </c>
      <c r="C1" t="s">
        <v>281</v>
      </c>
      <c r="D1" t="s">
        <v>282</v>
      </c>
      <c r="E1" t="s">
        <v>283</v>
      </c>
      <c r="F1" t="s">
        <v>284</v>
      </c>
      <c r="G1" t="s">
        <v>285</v>
      </c>
      <c r="H1" t="s">
        <v>286</v>
      </c>
      <c r="I1" t="s">
        <v>287</v>
      </c>
      <c r="J1" t="s">
        <v>288</v>
      </c>
      <c r="K1" t="s">
        <v>289</v>
      </c>
      <c r="L1" t="s">
        <v>290</v>
      </c>
      <c r="M1" t="s">
        <v>291</v>
      </c>
      <c r="N1" t="s">
        <v>292</v>
      </c>
      <c r="O1" t="s">
        <v>293</v>
      </c>
      <c r="P1" t="s">
        <v>294</v>
      </c>
      <c r="Q1" t="s">
        <v>295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302</v>
      </c>
      <c r="Y1" t="s">
        <v>303</v>
      </c>
      <c r="Z1" t="s">
        <v>304</v>
      </c>
    </row>
    <row r="2" spans="1:33" x14ac:dyDescent="0.25">
      <c r="A2">
        <v>119</v>
      </c>
      <c r="B2" t="s">
        <v>279</v>
      </c>
      <c r="C2">
        <v>-5.9483705219791601</v>
      </c>
      <c r="D2">
        <v>14.131893356526099</v>
      </c>
      <c r="E2">
        <v>-0.42091815809182997</v>
      </c>
      <c r="F2">
        <v>0.68104147877229804</v>
      </c>
      <c r="G2">
        <v>-7.1551346907208497</v>
      </c>
      <c r="H2">
        <v>16.9825146278408</v>
      </c>
      <c r="I2">
        <v>-0.42132362889244102</v>
      </c>
      <c r="J2">
        <v>0.68151398739730895</v>
      </c>
      <c r="K2">
        <v>12.4198910391538</v>
      </c>
      <c r="L2">
        <v>0.10064921544998499</v>
      </c>
      <c r="M2">
        <v>123.397792855381</v>
      </c>
      <c r="N2">
        <v>2.5532033581158999E-15</v>
      </c>
      <c r="O2">
        <v>12.962918021851999</v>
      </c>
      <c r="P2">
        <v>0.123401240501039</v>
      </c>
      <c r="Q2">
        <v>105.046902034529</v>
      </c>
      <c r="R2">
        <v>1.4558197104319401E-24</v>
      </c>
      <c r="S2">
        <v>13.413937283989</v>
      </c>
      <c r="T2">
        <v>4.80100574899259E-2</v>
      </c>
      <c r="U2">
        <v>279.39848409478901</v>
      </c>
      <c r="V2">
        <v>3.9294595645963299E-29</v>
      </c>
      <c r="W2">
        <v>13.5156461705516</v>
      </c>
      <c r="X2">
        <v>6.0161299765217398E-2</v>
      </c>
      <c r="Y2">
        <v>224.65681797596</v>
      </c>
      <c r="Z2">
        <v>8.2715554650159795E-28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2.0439964034974199E-2</v>
      </c>
      <c r="D3">
        <v>9.7382101962236907E-3</v>
      </c>
      <c r="E3">
        <v>2.0989446338815299</v>
      </c>
      <c r="F3">
        <v>5.4201124825791501E-2</v>
      </c>
      <c r="G3">
        <v>1.8834467080402401E-2</v>
      </c>
      <c r="H3">
        <v>1.1009014366803E-2</v>
      </c>
      <c r="I3">
        <v>1.71082228189261</v>
      </c>
      <c r="J3">
        <v>0.10889932328404001</v>
      </c>
      <c r="K3">
        <v>2.1147694689307099E-2</v>
      </c>
      <c r="L3">
        <v>1.1132448019560299E-2</v>
      </c>
      <c r="M3">
        <v>1.89964459318826</v>
      </c>
      <c r="N3">
        <v>7.8016683843182305E-2</v>
      </c>
      <c r="O3">
        <v>1.4425938455182899E-2</v>
      </c>
      <c r="P3">
        <v>1.14135212714287E-2</v>
      </c>
      <c r="Q3">
        <v>1.2639340753931201</v>
      </c>
      <c r="R3">
        <v>0.22665075972429299</v>
      </c>
      <c r="S3">
        <v>3.7661665076911197E-2</v>
      </c>
      <c r="T3">
        <v>2.3206985317477499E-2</v>
      </c>
      <c r="U3">
        <v>1.62285900394601</v>
      </c>
      <c r="V3">
        <v>0.12664961915562001</v>
      </c>
      <c r="W3">
        <v>7.7897757170364595E-2</v>
      </c>
      <c r="X3">
        <v>2.2280183732157399E-2</v>
      </c>
      <c r="Y3">
        <v>3.4962798380308402</v>
      </c>
      <c r="Z3">
        <v>3.1373060199132801E-3</v>
      </c>
      <c r="AB3" t="str">
        <f t="shared" ref="AB3:AB60" si="0">IF(F3&lt;0.01,"***",IF(F3&lt;0.05,"**",IF(F3&lt;0.1,"*","")))</f>
        <v>*</v>
      </c>
      <c r="AC3" t="str">
        <f t="shared" ref="AC3:AC60" si="1">IF(J3&lt;0.01,"***",IF(J3&lt;0.05,"**",IF(J3&lt;0.1,"*","")))</f>
        <v/>
      </c>
      <c r="AD3" t="str">
        <f t="shared" ref="AD3:AD60" si="2">IF(N3&lt;0.01,"***",IF(N3&lt;0.05,"**",IF(N3&lt;0.1,"*","")))</f>
        <v>*</v>
      </c>
      <c r="AE3" t="str">
        <f t="shared" ref="AE3:AE60" si="3">IF(R3&lt;0.01,"***",IF(R3&lt;0.05,"**",IF(R3&lt;0.1,"*","")))</f>
        <v/>
      </c>
      <c r="AF3" t="str">
        <f t="shared" ref="AF3:AF60" si="4">IF(V3&lt;0.01,"***",IF(V3&lt;0.05,"**",IF(V3&lt;0.1,"*","")))</f>
        <v/>
      </c>
      <c r="AG3" t="str">
        <f t="shared" ref="AG3:AG60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8.8433599147571304E-5</v>
      </c>
      <c r="D4">
        <v>7.2430644880332805E-5</v>
      </c>
      <c r="E4">
        <v>1.2209417615110001</v>
      </c>
      <c r="F4">
        <v>0.24833742529383199</v>
      </c>
      <c r="G4">
        <v>1.2504195057218401E-4</v>
      </c>
      <c r="H4">
        <v>7.3469602596246405E-5</v>
      </c>
      <c r="I4">
        <v>1.7019549058861001</v>
      </c>
      <c r="J4">
        <v>0.117390092321256</v>
      </c>
      <c r="K4">
        <v>1.82406282608051E-4</v>
      </c>
      <c r="L4">
        <v>1.1189883726921399E-4</v>
      </c>
      <c r="M4">
        <v>1.6300998925413801</v>
      </c>
      <c r="N4">
        <v>0.131861145760818</v>
      </c>
      <c r="O4">
        <v>1.40494534967041E-4</v>
      </c>
      <c r="P4">
        <v>1.6270249914449801E-4</v>
      </c>
      <c r="Q4">
        <v>0.86350569724356996</v>
      </c>
      <c r="R4">
        <v>0.40678459711214299</v>
      </c>
      <c r="S4">
        <v>1.03063166600527E-3</v>
      </c>
      <c r="T4">
        <v>2.7908863687637399E-4</v>
      </c>
      <c r="U4">
        <v>3.6928471095790201</v>
      </c>
      <c r="V4">
        <v>3.8165432495516202E-3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3.5864293102709603E-2</v>
      </c>
      <c r="D5">
        <v>1.12260903258733E-2</v>
      </c>
      <c r="E5">
        <v>3.19472693178421</v>
      </c>
      <c r="F5">
        <v>5.9934819928829999E-3</v>
      </c>
      <c r="G5">
        <v>3.9553731808766597E-2</v>
      </c>
      <c r="H5">
        <v>1.1077391329139199E-2</v>
      </c>
      <c r="I5">
        <v>3.57067206831631</v>
      </c>
      <c r="J5">
        <v>2.7672364523118401E-3</v>
      </c>
      <c r="K5">
        <v>3.1877428341832298E-2</v>
      </c>
      <c r="L5">
        <v>1.3399488085856301E-2</v>
      </c>
      <c r="M5">
        <v>2.3790034468167698</v>
      </c>
      <c r="N5">
        <v>3.0991930982256301E-2</v>
      </c>
      <c r="O5">
        <v>3.1006215578483799E-2</v>
      </c>
      <c r="P5">
        <v>1.5443887921517701E-2</v>
      </c>
      <c r="Q5">
        <v>2.0076690361941401</v>
      </c>
      <c r="R5">
        <v>6.2952824956010303E-2</v>
      </c>
      <c r="S5">
        <v>6.1107879815486099E-2</v>
      </c>
      <c r="T5">
        <v>1.5021280287263799E-2</v>
      </c>
      <c r="U5">
        <v>4.06808731658501</v>
      </c>
      <c r="V5">
        <v>1.0010693543491601E-3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4.4491034219623103E-2</v>
      </c>
      <c r="D6">
        <v>1.6843943105796001E-2</v>
      </c>
      <c r="E6">
        <v>2.6413669257950501</v>
      </c>
      <c r="F6">
        <v>1.8574042089868799E-2</v>
      </c>
      <c r="G6">
        <v>5.1957077519569898E-2</v>
      </c>
      <c r="H6">
        <v>1.43079590270308E-2</v>
      </c>
      <c r="I6">
        <v>3.6313409495660398</v>
      </c>
      <c r="J6">
        <v>2.4952409074827102E-3</v>
      </c>
      <c r="K6">
        <v>4.1094033601032601E-2</v>
      </c>
      <c r="L6">
        <v>1.6382968824267499E-2</v>
      </c>
      <c r="M6">
        <v>2.5083386315282099</v>
      </c>
      <c r="N6">
        <v>2.4222773408176499E-2</v>
      </c>
      <c r="O6">
        <v>4.0517629454688002E-2</v>
      </c>
      <c r="P6">
        <v>1.86786448733459E-2</v>
      </c>
      <c r="Q6">
        <v>2.1691953420296501</v>
      </c>
      <c r="R6">
        <v>4.6711378761487697E-2</v>
      </c>
      <c r="S6">
        <v>6.79046894028279E-2</v>
      </c>
      <c r="T6">
        <v>1.6051533498873002E-2</v>
      </c>
      <c r="U6">
        <v>4.2304175739716996</v>
      </c>
      <c r="V6">
        <v>7.4285406588074003E-4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3.3335919160406902E-2</v>
      </c>
      <c r="D7">
        <v>1.7813154542367201E-2</v>
      </c>
      <c r="E7">
        <v>1.8714214307813899</v>
      </c>
      <c r="F7">
        <v>8.0640306531027106E-2</v>
      </c>
      <c r="G7">
        <v>3.8263881021932199E-2</v>
      </c>
      <c r="H7">
        <v>1.48358098978071E-2</v>
      </c>
      <c r="I7">
        <v>2.5791568701340699</v>
      </c>
      <c r="J7">
        <v>2.0812402328081101E-2</v>
      </c>
      <c r="K7">
        <v>2.64275165180369E-2</v>
      </c>
      <c r="L7">
        <v>1.6128960870315099E-2</v>
      </c>
      <c r="M7">
        <v>1.63851327624434</v>
      </c>
      <c r="N7">
        <v>0.121891665920712</v>
      </c>
      <c r="O7">
        <v>3.28530466287318E-2</v>
      </c>
      <c r="P7">
        <v>1.8743771232389E-2</v>
      </c>
      <c r="Q7">
        <v>1.75274475031802</v>
      </c>
      <c r="R7">
        <v>9.98345038247508E-2</v>
      </c>
      <c r="S7">
        <v>6.5004699088481693E-2</v>
      </c>
      <c r="T7">
        <v>1.39423750299691E-2</v>
      </c>
      <c r="U7">
        <v>4.6623834855076201</v>
      </c>
      <c r="V7">
        <v>2.9885326184372999E-4</v>
      </c>
      <c r="AB7" t="str">
        <f t="shared" si="0"/>
        <v>*</v>
      </c>
      <c r="AC7" t="str">
        <f t="shared" si="1"/>
        <v>**</v>
      </c>
      <c r="AD7" t="str">
        <f t="shared" si="2"/>
        <v/>
      </c>
      <c r="AE7" t="str">
        <f t="shared" si="3"/>
        <v>*</v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1.43173953572881E-2</v>
      </c>
      <c r="D8">
        <v>2.2762368177990499E-2</v>
      </c>
      <c r="E8">
        <v>0.628994103132553</v>
      </c>
      <c r="F8">
        <v>0.53943902234931995</v>
      </c>
      <c r="G8">
        <v>2.144174219426E-2</v>
      </c>
      <c r="H8">
        <v>1.8782851335015199E-2</v>
      </c>
      <c r="I8">
        <v>1.1415594901871</v>
      </c>
      <c r="J8">
        <v>0.27273425704373599</v>
      </c>
      <c r="K8">
        <v>6.7269875251345897E-3</v>
      </c>
      <c r="L8">
        <v>1.8716717501908401E-2</v>
      </c>
      <c r="M8">
        <v>0.35941064582765098</v>
      </c>
      <c r="N8">
        <v>0.72463598091994696</v>
      </c>
      <c r="O8">
        <v>1.8845097978739799E-2</v>
      </c>
      <c r="P8">
        <v>2.3799383616852101E-2</v>
      </c>
      <c r="Q8">
        <v>0.79183134664864696</v>
      </c>
      <c r="R8">
        <v>0.44163958902768102</v>
      </c>
      <c r="S8">
        <v>5.6092193784858697E-2</v>
      </c>
      <c r="T8">
        <v>3.05490151383352E-2</v>
      </c>
      <c r="U8">
        <v>1.8361375491437699</v>
      </c>
      <c r="V8">
        <v>8.7616579938405201E-2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8.6090897555652093E-2</v>
      </c>
      <c r="D9">
        <v>2.7446950524784901E-2</v>
      </c>
      <c r="E9">
        <v>3.1366288753248202</v>
      </c>
      <c r="F9">
        <v>7.0764063317716903E-3</v>
      </c>
      <c r="G9">
        <v>9.5017991386265294E-2</v>
      </c>
      <c r="H9">
        <v>2.2540595344722299E-2</v>
      </c>
      <c r="I9">
        <v>4.2154162271722404</v>
      </c>
      <c r="J9">
        <v>8.17397790143123E-4</v>
      </c>
      <c r="K9">
        <v>7.9996830154903803E-2</v>
      </c>
      <c r="L9">
        <v>2.1858058985196702E-2</v>
      </c>
      <c r="M9">
        <v>3.6598322938501302</v>
      </c>
      <c r="N9">
        <v>2.4727795887034198E-3</v>
      </c>
      <c r="O9">
        <v>8.7332484565861304E-2</v>
      </c>
      <c r="P9">
        <v>2.8989412430291701E-2</v>
      </c>
      <c r="Q9">
        <v>3.0125648381409</v>
      </c>
      <c r="R9">
        <v>9.0966998531240694E-3</v>
      </c>
      <c r="S9">
        <v>0.11035596228024599</v>
      </c>
      <c r="T9">
        <v>5.1758362925186499E-2</v>
      </c>
      <c r="U9">
        <v>2.1321378042763599</v>
      </c>
      <c r="V9">
        <v>5.0734534466883301E-2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0.12829202530092601</v>
      </c>
      <c r="D10">
        <v>2.9998754297419598E-2</v>
      </c>
      <c r="E10">
        <v>4.2765784215233804</v>
      </c>
      <c r="F10">
        <v>7.1996853158659297E-4</v>
      </c>
      <c r="G10">
        <v>0.13736268021423301</v>
      </c>
      <c r="H10">
        <v>2.56425254118175E-2</v>
      </c>
      <c r="I10">
        <v>5.3568312016151101</v>
      </c>
      <c r="J10">
        <v>9.1787783717992596E-5</v>
      </c>
      <c r="K10">
        <v>0.11451443095191401</v>
      </c>
      <c r="L10">
        <v>2.5517117892333501E-2</v>
      </c>
      <c r="M10">
        <v>4.4877494172772199</v>
      </c>
      <c r="N10">
        <v>4.7759396066049799E-4</v>
      </c>
      <c r="O10">
        <v>0.122459754647659</v>
      </c>
      <c r="P10">
        <v>3.42598626877028E-2</v>
      </c>
      <c r="Q10">
        <v>3.5744379877977202</v>
      </c>
      <c r="R10">
        <v>2.93122835298237E-3</v>
      </c>
      <c r="S10">
        <v>0.12647762695654899</v>
      </c>
      <c r="T10">
        <v>5.5560655947669901E-2</v>
      </c>
      <c r="U10">
        <v>2.2763882967053601</v>
      </c>
      <c r="V10">
        <v>3.8615963618268398E-2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</v>
      </c>
      <c r="AG10" t="str">
        <f t="shared" si="5"/>
        <v>***</v>
      </c>
    </row>
    <row r="11" spans="1:33" x14ac:dyDescent="0.25">
      <c r="A11">
        <v>17</v>
      </c>
      <c r="B11" t="s">
        <v>213</v>
      </c>
      <c r="C11">
        <v>9.6395517626492802E-2</v>
      </c>
      <c r="D11">
        <v>3.48697225387785E-2</v>
      </c>
      <c r="E11">
        <v>2.7644475094200001</v>
      </c>
      <c r="F11">
        <v>1.42284042935338E-2</v>
      </c>
      <c r="G11">
        <v>9.3254267806354804E-2</v>
      </c>
      <c r="H11">
        <v>3.1526566166299098E-2</v>
      </c>
      <c r="I11">
        <v>2.95795829188783</v>
      </c>
      <c r="J11">
        <v>9.5913473428294194E-3</v>
      </c>
      <c r="K11">
        <v>5.9149728732069702E-2</v>
      </c>
      <c r="L11">
        <v>3.9571331466673902E-2</v>
      </c>
      <c r="M11">
        <v>1.4947621558269899</v>
      </c>
      <c r="N11">
        <v>0.155267786141361</v>
      </c>
      <c r="O11">
        <v>0.12339393150849701</v>
      </c>
      <c r="P11">
        <v>4.4873540127563699E-2</v>
      </c>
      <c r="Q11">
        <v>2.7498149501403399</v>
      </c>
      <c r="R11">
        <v>1.4700886277713E-2</v>
      </c>
      <c r="S11">
        <v>0.44719874443720797</v>
      </c>
      <c r="T11">
        <v>6.7845752036495094E-2</v>
      </c>
      <c r="U11">
        <v>6.5914037506232397</v>
      </c>
      <c r="V11">
        <v>7.7851654155100392E-6</v>
      </c>
      <c r="AB11" t="str">
        <f t="shared" si="0"/>
        <v>**</v>
      </c>
      <c r="AC11" t="str">
        <f t="shared" si="1"/>
        <v>***</v>
      </c>
      <c r="AD11" t="str">
        <f t="shared" si="2"/>
        <v/>
      </c>
      <c r="AE11" t="str">
        <f t="shared" si="3"/>
        <v>**</v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2.4259022046104299E-2</v>
      </c>
      <c r="D12">
        <v>2.2647513203914001E-2</v>
      </c>
      <c r="E12">
        <v>1.0711561056474801</v>
      </c>
      <c r="F12">
        <v>0.297912849382025</v>
      </c>
      <c r="G12">
        <v>1.29843345321531E-2</v>
      </c>
      <c r="H12">
        <v>2.4068228039532201E-2</v>
      </c>
      <c r="I12">
        <v>0.53948028541304605</v>
      </c>
      <c r="J12">
        <v>0.59602646316149799</v>
      </c>
      <c r="K12">
        <v>-1.42870965826194E-2</v>
      </c>
      <c r="L12">
        <v>2.3837493931073098E-2</v>
      </c>
      <c r="M12">
        <v>-0.59935396832951604</v>
      </c>
      <c r="N12">
        <v>0.55625940641188798</v>
      </c>
      <c r="O12">
        <v>3.4549507423598601E-2</v>
      </c>
      <c r="P12">
        <v>1.89965626488874E-2</v>
      </c>
      <c r="Q12">
        <v>1.8187241587952301</v>
      </c>
      <c r="R12">
        <v>8.56793387626332E-2</v>
      </c>
      <c r="AB12" t="str">
        <f t="shared" si="0"/>
        <v/>
      </c>
      <c r="AC12" t="str">
        <f t="shared" si="1"/>
        <v/>
      </c>
      <c r="AD12" t="str">
        <f t="shared" si="2"/>
        <v/>
      </c>
      <c r="AE12" t="str">
        <f t="shared" si="3"/>
        <v>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5.4351535549234602E-2</v>
      </c>
      <c r="D13">
        <v>1.6397054431580401E-2</v>
      </c>
      <c r="E13">
        <v>3.3147133697717401</v>
      </c>
      <c r="F13">
        <v>3.8761498563492599E-3</v>
      </c>
      <c r="G13">
        <v>6.1233429977393498E-2</v>
      </c>
      <c r="H13">
        <v>1.88425282817456E-2</v>
      </c>
      <c r="I13">
        <v>3.2497459503200399</v>
      </c>
      <c r="J13">
        <v>4.4674468591908902E-3</v>
      </c>
      <c r="K13">
        <v>9.05010584383866E-2</v>
      </c>
      <c r="L13">
        <v>2.6531481355956298E-2</v>
      </c>
      <c r="M13">
        <v>3.4110819981813401</v>
      </c>
      <c r="N13">
        <v>3.1510487687714099E-3</v>
      </c>
      <c r="O13">
        <v>9.0357042481730404E-2</v>
      </c>
      <c r="P13">
        <v>2.8584711891176399E-2</v>
      </c>
      <c r="Q13">
        <v>3.1610268742859802</v>
      </c>
      <c r="R13">
        <v>5.4089010189327198E-3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5.6820539324829097E-2</v>
      </c>
      <c r="D14">
        <v>9.0099897317282799E-3</v>
      </c>
      <c r="E14">
        <v>6.3063933496769904</v>
      </c>
      <c r="F14">
        <v>1.33648115610369E-5</v>
      </c>
      <c r="G14">
        <v>5.6724239167486902E-2</v>
      </c>
      <c r="H14">
        <v>9.3228541356086998E-3</v>
      </c>
      <c r="I14">
        <v>6.0844284746264901</v>
      </c>
      <c r="J14">
        <v>1.9999727744387199E-5</v>
      </c>
      <c r="K14">
        <v>4.7152602678884298E-2</v>
      </c>
      <c r="L14">
        <v>1.4241143892534201E-2</v>
      </c>
      <c r="M14">
        <v>3.3110123059429002</v>
      </c>
      <c r="N14">
        <v>4.7203800651906096E-3</v>
      </c>
      <c r="O14">
        <v>6.3709204975706604E-2</v>
      </c>
      <c r="P14">
        <v>1.9100080745717798E-2</v>
      </c>
      <c r="Q14">
        <v>3.3355463688283198</v>
      </c>
      <c r="R14">
        <v>4.54314301393937E-3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-9.3269125804336703E-2</v>
      </c>
      <c r="D15">
        <v>2.94654387702071E-2</v>
      </c>
      <c r="E15">
        <v>-3.16537372926014</v>
      </c>
      <c r="F15">
        <v>6.5808496737617198E-3</v>
      </c>
      <c r="G15">
        <v>-9.6860727026314306E-2</v>
      </c>
      <c r="H15">
        <v>2.8955366586135799E-2</v>
      </c>
      <c r="I15">
        <v>-3.3451735704390102</v>
      </c>
      <c r="J15">
        <v>4.61804000837594E-3</v>
      </c>
      <c r="K15">
        <v>-0.105699613515534</v>
      </c>
      <c r="L15">
        <v>3.3486627520814098E-2</v>
      </c>
      <c r="M15">
        <v>-3.1564723395879399</v>
      </c>
      <c r="N15">
        <v>6.6860634755228198E-3</v>
      </c>
      <c r="O15">
        <v>-0.18164706536231401</v>
      </c>
      <c r="P15">
        <v>4.44792221394089E-2</v>
      </c>
      <c r="Q15">
        <v>-4.0838633551860903</v>
      </c>
      <c r="R15">
        <v>9.4346224071854997E-4</v>
      </c>
      <c r="AB15" t="str">
        <f t="shared" si="0"/>
        <v>***</v>
      </c>
      <c r="AC15" t="str">
        <f t="shared" si="1"/>
        <v>***</v>
      </c>
      <c r="AD15" t="str">
        <f t="shared" si="2"/>
        <v>***</v>
      </c>
      <c r="AE15" t="str">
        <f t="shared" si="3"/>
        <v>***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-5.4593509070921802E-2</v>
      </c>
      <c r="D16">
        <v>1.0081433072422499E-2</v>
      </c>
      <c r="E16">
        <v>-5.41525283942625</v>
      </c>
      <c r="F16">
        <v>1.4474469667534099E-4</v>
      </c>
      <c r="G16">
        <v>-5.6117849195258397E-2</v>
      </c>
      <c r="H16">
        <v>1.24449171749107E-2</v>
      </c>
      <c r="I16">
        <v>-4.5092987286724098</v>
      </c>
      <c r="J16">
        <v>6.7354613732483999E-4</v>
      </c>
      <c r="K16">
        <v>-3.2111280699292297E-2</v>
      </c>
      <c r="L16">
        <v>1.3463024110124599E-2</v>
      </c>
      <c r="M16">
        <v>-2.3851461927594402</v>
      </c>
      <c r="N16">
        <v>3.39449943839965E-2</v>
      </c>
      <c r="O16">
        <v>-8.6767911337113299E-2</v>
      </c>
      <c r="P16">
        <v>5.7269867263481301E-2</v>
      </c>
      <c r="Q16">
        <v>-1.5150709349110301</v>
      </c>
      <c r="R16">
        <v>0.15078634699027799</v>
      </c>
      <c r="AB16" t="str">
        <f t="shared" si="0"/>
        <v>***</v>
      </c>
      <c r="AC16" t="str">
        <f t="shared" si="1"/>
        <v>***</v>
      </c>
      <c r="AD16" t="str">
        <f t="shared" si="2"/>
        <v>**</v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2.0619163295054199E-4</v>
      </c>
      <c r="D17">
        <v>1.8537087503798199E-5</v>
      </c>
      <c r="E17">
        <v>11.123194671670699</v>
      </c>
      <c r="F17">
        <v>1.45875202628468E-8</v>
      </c>
      <c r="G17">
        <v>2.2773015220018899E-4</v>
      </c>
      <c r="H17">
        <v>2.1541273693872402E-5</v>
      </c>
      <c r="I17">
        <v>10.571805336885401</v>
      </c>
      <c r="J17">
        <v>3.0250272552488797E-8</v>
      </c>
      <c r="K17">
        <v>2.8481478443763398E-4</v>
      </c>
      <c r="L17">
        <v>2.5014640561665601E-5</v>
      </c>
      <c r="M17">
        <v>11.3859235248859</v>
      </c>
      <c r="N17">
        <v>9.8126781981930503E-9</v>
      </c>
      <c r="O17">
        <v>3.3157194309899399E-4</v>
      </c>
      <c r="P17">
        <v>1.8771049763886399E-5</v>
      </c>
      <c r="Q17">
        <v>17.6640063965365</v>
      </c>
      <c r="R17">
        <v>1.9011040378394201E-11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-1.4070351474446401E-2</v>
      </c>
      <c r="D18">
        <v>4.5182367938079596E-3</v>
      </c>
      <c r="E18">
        <v>-3.1141244066112601</v>
      </c>
      <c r="F18">
        <v>6.9449777695955797E-3</v>
      </c>
      <c r="G18">
        <v>-1.4345590343169399E-2</v>
      </c>
      <c r="H18">
        <v>3.9892753311886603E-3</v>
      </c>
      <c r="I18">
        <v>-3.5960391680699</v>
      </c>
      <c r="J18">
        <v>2.5277793087525699E-3</v>
      </c>
      <c r="K18">
        <v>-1.0068764292483301E-2</v>
      </c>
      <c r="L18">
        <v>4.7870400869021099E-3</v>
      </c>
      <c r="M18">
        <v>-2.10333820266779</v>
      </c>
      <c r="N18">
        <v>5.21988764140566E-2</v>
      </c>
      <c r="O18">
        <v>-1.5689192895819201E-2</v>
      </c>
      <c r="P18">
        <v>5.2120679261042002E-3</v>
      </c>
      <c r="Q18">
        <v>-3.0101666206691702</v>
      </c>
      <c r="R18">
        <v>8.7421059192690099E-3</v>
      </c>
      <c r="AB18" t="str">
        <f t="shared" si="0"/>
        <v>***</v>
      </c>
      <c r="AC18" t="str">
        <f t="shared" si="1"/>
        <v>***</v>
      </c>
      <c r="AD18" t="str">
        <f t="shared" si="2"/>
        <v>*</v>
      </c>
      <c r="AE18" t="str">
        <f t="shared" si="3"/>
        <v>***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0.14849352378851199</v>
      </c>
      <c r="D19">
        <v>4.3947316506553001E-2</v>
      </c>
      <c r="E19">
        <v>3.3788985447238802</v>
      </c>
      <c r="F19">
        <v>4.1565658632591197E-3</v>
      </c>
      <c r="G19">
        <v>0.15599327179195499</v>
      </c>
      <c r="H19">
        <v>4.08545955521653E-2</v>
      </c>
      <c r="I19">
        <v>3.8182551970873</v>
      </c>
      <c r="J19">
        <v>1.6495281547503199E-3</v>
      </c>
      <c r="K19">
        <v>0.14627509519359</v>
      </c>
      <c r="L19">
        <v>4.6615702986759502E-2</v>
      </c>
      <c r="M19">
        <v>3.1378931523383402</v>
      </c>
      <c r="N19">
        <v>6.7808024193046403E-3</v>
      </c>
      <c r="O19">
        <v>0.19631212794596101</v>
      </c>
      <c r="P19">
        <v>4.5581906165435199E-2</v>
      </c>
      <c r="Q19">
        <v>4.30679943996779</v>
      </c>
      <c r="R19">
        <v>6.1738471862054004E-4</v>
      </c>
      <c r="AB19" t="str">
        <f t="shared" si="0"/>
        <v>***</v>
      </c>
      <c r="AC19" t="str">
        <f t="shared" si="1"/>
        <v>***</v>
      </c>
      <c r="AD19" t="str">
        <f t="shared" si="2"/>
        <v>***</v>
      </c>
      <c r="AE19" t="str">
        <f t="shared" si="3"/>
        <v>***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-4.0271313156455803E-2</v>
      </c>
      <c r="D20">
        <v>1.6071646738208802E-2</v>
      </c>
      <c r="E20">
        <v>-2.5057365814739199</v>
      </c>
      <c r="F20">
        <v>3.07862534522951E-2</v>
      </c>
      <c r="G20">
        <v>-5.3238508586446097E-2</v>
      </c>
      <c r="H20">
        <v>1.8420548720944299E-2</v>
      </c>
      <c r="I20">
        <v>-2.89016952713866</v>
      </c>
      <c r="J20">
        <v>1.5809722310059601E-2</v>
      </c>
      <c r="K20">
        <v>-2.7059678853741699E-2</v>
      </c>
      <c r="L20">
        <v>3.7251196256319501E-2</v>
      </c>
      <c r="M20">
        <v>-0.72641100348961696</v>
      </c>
      <c r="N20">
        <v>0.484010977240596</v>
      </c>
      <c r="O20">
        <v>-1.1567498209123499E-3</v>
      </c>
      <c r="P20">
        <v>4.0592954099434801E-2</v>
      </c>
      <c r="Q20">
        <v>-2.8496320274666899E-2</v>
      </c>
      <c r="R20">
        <v>0.977820029380574</v>
      </c>
      <c r="AB20" t="str">
        <f t="shared" si="0"/>
        <v>**</v>
      </c>
      <c r="AC20" t="str">
        <f t="shared" si="1"/>
        <v>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227</v>
      </c>
      <c r="C21">
        <v>0.109380736493537</v>
      </c>
      <c r="D21">
        <v>1.0917624605716599E-2</v>
      </c>
      <c r="E21">
        <v>10.018730304783</v>
      </c>
      <c r="F21">
        <v>3.1025815427352097E-8</v>
      </c>
      <c r="G21">
        <v>0.119434487919124</v>
      </c>
      <c r="H21">
        <v>1.4942276582212401E-2</v>
      </c>
      <c r="I21">
        <v>7.9930583042011598</v>
      </c>
      <c r="J21">
        <v>6.2947889487368405E-7</v>
      </c>
      <c r="K21">
        <v>0.150882597326848</v>
      </c>
      <c r="L21">
        <v>1.8793787967249499E-2</v>
      </c>
      <c r="M21">
        <v>8.0283228474100099</v>
      </c>
      <c r="N21">
        <v>5.7791615505013403E-7</v>
      </c>
      <c r="O21">
        <v>0.149904732839406</v>
      </c>
      <c r="P21">
        <v>2.57562426751398E-2</v>
      </c>
      <c r="Q21">
        <v>5.8201320250835904</v>
      </c>
      <c r="R21">
        <v>2.6975535542960901E-5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229</v>
      </c>
      <c r="C22">
        <v>5.5190213067857499E-2</v>
      </c>
      <c r="D22">
        <v>4.7198074239533996E-3</v>
      </c>
      <c r="E22">
        <v>11.6933188391888</v>
      </c>
      <c r="F22">
        <v>2.3821064491543801E-9</v>
      </c>
      <c r="G22">
        <v>5.8463943455901501E-2</v>
      </c>
      <c r="H22">
        <v>6.3614822970137902E-3</v>
      </c>
      <c r="I22">
        <v>9.1903019966503194</v>
      </c>
      <c r="J22">
        <v>7.4066437107086398E-8</v>
      </c>
      <c r="K22">
        <v>7.1643623591439096E-2</v>
      </c>
      <c r="L22">
        <v>1.14794570293101E-2</v>
      </c>
      <c r="M22">
        <v>6.2410289448807701</v>
      </c>
      <c r="N22">
        <v>1.0747254768873299E-5</v>
      </c>
      <c r="O22">
        <v>6.9085657589743901E-2</v>
      </c>
      <c r="P22">
        <v>1.31297978427418E-2</v>
      </c>
      <c r="Q22">
        <v>5.2617457189513903</v>
      </c>
      <c r="R22">
        <v>7.1702624325165905E-5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233</v>
      </c>
      <c r="C23">
        <v>-5.7507711846296702E-2</v>
      </c>
      <c r="D23">
        <v>9.4562261382567896E-3</v>
      </c>
      <c r="E23">
        <v>-6.08146537587964</v>
      </c>
      <c r="F23">
        <v>9.2045463959617098E-6</v>
      </c>
      <c r="G23">
        <v>-5.8652746448474999E-2</v>
      </c>
      <c r="H23">
        <v>9.2211693774731408E-3</v>
      </c>
      <c r="I23">
        <v>-6.3606625198492397</v>
      </c>
      <c r="J23">
        <v>5.2272436759175796E-6</v>
      </c>
      <c r="K23">
        <v>-5.7448525508273299E-2</v>
      </c>
      <c r="L23">
        <v>1.51015057616902E-2</v>
      </c>
      <c r="M23">
        <v>-3.8041587650159898</v>
      </c>
      <c r="N23">
        <v>1.28384963320015E-3</v>
      </c>
      <c r="O23">
        <v>-2.9727947646950598E-2</v>
      </c>
      <c r="P23">
        <v>1.63870784485174E-2</v>
      </c>
      <c r="Q23">
        <v>-1.8141090701643801</v>
      </c>
      <c r="R23">
        <v>8.6218334739616306E-2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2.0024346527887101E-2</v>
      </c>
      <c r="D24">
        <v>1.18838168228605E-2</v>
      </c>
      <c r="E24">
        <v>1.6850096922873301</v>
      </c>
      <c r="F24">
        <v>0.114102353620347</v>
      </c>
      <c r="G24">
        <v>1.8284115032137099E-2</v>
      </c>
      <c r="H24">
        <v>1.29986640210445E-2</v>
      </c>
      <c r="I24">
        <v>1.4066149415459599</v>
      </c>
      <c r="J24">
        <v>0.18132797347975699</v>
      </c>
      <c r="K24">
        <v>4.1000273760884803E-2</v>
      </c>
      <c r="L24">
        <v>1.98401524380298E-2</v>
      </c>
      <c r="M24">
        <v>2.0665301785834602</v>
      </c>
      <c r="N24">
        <v>5.7763532947340199E-2</v>
      </c>
      <c r="AB24" t="str">
        <f t="shared" si="0"/>
        <v/>
      </c>
      <c r="AC24" t="str">
        <f t="shared" si="1"/>
        <v/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-3.8023435811431798E-2</v>
      </c>
      <c r="D25">
        <v>2.6068493502605001E-2</v>
      </c>
      <c r="E25">
        <v>-1.45859736035886</v>
      </c>
      <c r="F25">
        <v>0.194597747165527</v>
      </c>
      <c r="G25">
        <v>-3.5524695435317402E-2</v>
      </c>
      <c r="H25">
        <v>3.0302347570099902E-2</v>
      </c>
      <c r="I25">
        <v>-1.1723413624352499</v>
      </c>
      <c r="J25">
        <v>0.28517562890227</v>
      </c>
      <c r="K25">
        <v>-2.94191079887068E-2</v>
      </c>
      <c r="L25">
        <v>3.4986864609380303E-2</v>
      </c>
      <c r="M25">
        <v>-0.84086151523332897</v>
      </c>
      <c r="N25">
        <v>0.43240466746115902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-0.10201934560745</v>
      </c>
      <c r="D26">
        <v>2.8747527152336701E-2</v>
      </c>
      <c r="E26">
        <v>-3.5488042177275601</v>
      </c>
      <c r="F26">
        <v>3.8025740006089699E-3</v>
      </c>
      <c r="G26">
        <v>-9.8006744406886698E-2</v>
      </c>
      <c r="H26">
        <v>2.6301659172174099E-2</v>
      </c>
      <c r="I26">
        <v>-3.7262571066457002</v>
      </c>
      <c r="J26">
        <v>2.7520458121895299E-3</v>
      </c>
      <c r="K26">
        <v>-7.0127056956918801E-2</v>
      </c>
      <c r="L26">
        <v>3.2957697494657198E-2</v>
      </c>
      <c r="M26">
        <v>-2.1277899333922599</v>
      </c>
      <c r="N26">
        <v>5.4063410867796598E-2</v>
      </c>
      <c r="AB26" t="str">
        <f t="shared" si="0"/>
        <v>***</v>
      </c>
      <c r="AC26" t="str">
        <f t="shared" si="1"/>
        <v>***</v>
      </c>
      <c r="AD26" t="str">
        <f t="shared" si="2"/>
        <v>*</v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-4.3869524859927102E-2</v>
      </c>
      <c r="D27">
        <v>6.0328301452847899E-2</v>
      </c>
      <c r="E27">
        <v>-0.72717984434246297</v>
      </c>
      <c r="F27">
        <v>0.48439768426917901</v>
      </c>
      <c r="G27">
        <v>-1.61295604440727E-2</v>
      </c>
      <c r="H27">
        <v>6.2230951049951702E-2</v>
      </c>
      <c r="I27">
        <v>-0.25918871834572699</v>
      </c>
      <c r="J27">
        <v>0.80090244834075297</v>
      </c>
      <c r="K27">
        <v>1.0845564764545901E-2</v>
      </c>
      <c r="L27">
        <v>7.0235101286411403E-2</v>
      </c>
      <c r="M27">
        <v>0.15441801273011399</v>
      </c>
      <c r="N27">
        <v>0.880382473395245</v>
      </c>
      <c r="AB27" t="str">
        <f t="shared" si="0"/>
        <v/>
      </c>
      <c r="AC27" t="str">
        <f t="shared" si="1"/>
        <v/>
      </c>
      <c r="AD27" t="str">
        <f t="shared" si="2"/>
        <v/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-7.8328480732200792E-3</v>
      </c>
      <c r="D28">
        <v>2.70464980914847E-2</v>
      </c>
      <c r="E28">
        <v>-0.28960673750536903</v>
      </c>
      <c r="F28">
        <v>0.77724149093438599</v>
      </c>
      <c r="G28">
        <v>1.2801239599263299E-2</v>
      </c>
      <c r="H28">
        <v>2.3726114161638001E-2</v>
      </c>
      <c r="I28">
        <v>0.53954219018136595</v>
      </c>
      <c r="J28">
        <v>0.59975242040419496</v>
      </c>
      <c r="K28">
        <v>-1.1653089722219E-2</v>
      </c>
      <c r="L28">
        <v>2.2832825328004801E-2</v>
      </c>
      <c r="M28">
        <v>-0.51036564922722505</v>
      </c>
      <c r="N28">
        <v>0.61930376297773104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-0.12097066209632699</v>
      </c>
      <c r="D29">
        <v>0.18219468176145001</v>
      </c>
      <c r="E29">
        <v>-0.66396373882479898</v>
      </c>
      <c r="F29">
        <v>0.590811924329395</v>
      </c>
      <c r="G29">
        <v>-8.7484063590064096E-2</v>
      </c>
      <c r="H29">
        <v>0.19119086305580499</v>
      </c>
      <c r="I29">
        <v>-0.45757450011891698</v>
      </c>
      <c r="J29">
        <v>0.70277062114757105</v>
      </c>
      <c r="K29">
        <v>-7.8309988269041106E-2</v>
      </c>
      <c r="L29">
        <v>0.197490356876145</v>
      </c>
      <c r="M29">
        <v>-0.39652563045472</v>
      </c>
      <c r="N29">
        <v>0.739191624398994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  <c r="B30" t="s">
        <v>29</v>
      </c>
      <c r="C30">
        <v>2.8169875112464202E-2</v>
      </c>
      <c r="D30">
        <v>3.01517453421998E-2</v>
      </c>
      <c r="E30">
        <v>0.93427013238395196</v>
      </c>
      <c r="F30">
        <v>0.36521114699521801</v>
      </c>
      <c r="G30">
        <v>1.5968406519729701E-2</v>
      </c>
      <c r="H30">
        <v>3.3278767875299403E-2</v>
      </c>
      <c r="I30">
        <v>0.47983767246328801</v>
      </c>
      <c r="J30">
        <v>0.63837767000283896</v>
      </c>
      <c r="K30">
        <v>-1.6363579092171499E-2</v>
      </c>
      <c r="L30">
        <v>3.9658281865064399E-2</v>
      </c>
      <c r="M30">
        <v>-0.41261442308186502</v>
      </c>
      <c r="N30">
        <v>0.68582632551891798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  <c r="B31" t="s">
        <v>31</v>
      </c>
      <c r="C31">
        <v>-4.9051712349911299E-2</v>
      </c>
      <c r="D31">
        <v>2.34430463078594E-2</v>
      </c>
      <c r="E31">
        <v>-2.0923779147877402</v>
      </c>
      <c r="F31">
        <v>5.7780661552523198E-2</v>
      </c>
      <c r="G31">
        <v>-5.4328916639814699E-2</v>
      </c>
      <c r="H31">
        <v>2.28990362311558E-2</v>
      </c>
      <c r="I31">
        <v>-2.37254162539366</v>
      </c>
      <c r="J31">
        <v>3.4778366410306703E-2</v>
      </c>
      <c r="K31">
        <v>-9.3483390617780604E-2</v>
      </c>
      <c r="L31">
        <v>3.5275166064910699E-2</v>
      </c>
      <c r="M31">
        <v>-2.65011907940446</v>
      </c>
      <c r="N31">
        <v>2.07967401207911E-2</v>
      </c>
      <c r="AB31" t="str">
        <f t="shared" si="0"/>
        <v>*</v>
      </c>
      <c r="AC31" t="str">
        <f t="shared" si="1"/>
        <v>**</v>
      </c>
      <c r="AD31" t="str">
        <f t="shared" si="2"/>
        <v>**</v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0.19341439228903901</v>
      </c>
      <c r="D32">
        <v>4.0306904661829901E-2</v>
      </c>
      <c r="E32">
        <v>4.7985424311730904</v>
      </c>
      <c r="F32">
        <v>3.7958438010913701E-4</v>
      </c>
      <c r="G32">
        <v>0.208456803793652</v>
      </c>
      <c r="H32">
        <v>4.1007229885137601E-2</v>
      </c>
      <c r="I32">
        <v>5.0834158848950599</v>
      </c>
      <c r="J32">
        <v>2.3260861334805199E-4</v>
      </c>
      <c r="K32">
        <v>0.17805244524441299</v>
      </c>
      <c r="L32">
        <v>4.7025202291063398E-2</v>
      </c>
      <c r="M32">
        <v>3.78631960246241</v>
      </c>
      <c r="N32">
        <v>2.42294158585706E-3</v>
      </c>
      <c r="AB32" t="str">
        <f t="shared" si="0"/>
        <v>***</v>
      </c>
      <c r="AC32" t="str">
        <f t="shared" si="1"/>
        <v>***</v>
      </c>
      <c r="AD32" t="str">
        <f t="shared" si="2"/>
        <v>***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239</v>
      </c>
      <c r="C33">
        <v>-1.0905637813304E-2</v>
      </c>
      <c r="D33">
        <v>0.10467346351109399</v>
      </c>
      <c r="E33">
        <v>-0.104187226136338</v>
      </c>
      <c r="F33">
        <v>0.92560737481500599</v>
      </c>
      <c r="G33">
        <v>-3.4019458456891701E-2</v>
      </c>
      <c r="H33">
        <v>0.108451253089901</v>
      </c>
      <c r="I33">
        <v>-0.31368432809800101</v>
      </c>
      <c r="J33">
        <v>0.78084037283930097</v>
      </c>
      <c r="K33">
        <v>-1.11477450037464E-2</v>
      </c>
      <c r="L33">
        <v>4.4541496982650898E-2</v>
      </c>
      <c r="M33">
        <v>-0.250277735570687</v>
      </c>
      <c r="N33">
        <v>0.82713291844074299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240</v>
      </c>
      <c r="C34">
        <v>-1.04505573719072E-2</v>
      </c>
      <c r="D34">
        <v>5.9007162886222299E-2</v>
      </c>
      <c r="E34">
        <v>-0.177106589450132</v>
      </c>
      <c r="F34">
        <v>0.86386007996485803</v>
      </c>
      <c r="G34">
        <v>-4.5203019105173201E-2</v>
      </c>
      <c r="H34">
        <v>5.54798219031849E-2</v>
      </c>
      <c r="I34">
        <v>-0.81476503626948904</v>
      </c>
      <c r="J34">
        <v>0.43939740708480102</v>
      </c>
      <c r="K34">
        <v>1.41139312021738E-3</v>
      </c>
      <c r="L34">
        <v>6.3487049055186096E-2</v>
      </c>
      <c r="M34">
        <v>2.22311974051672E-2</v>
      </c>
      <c r="N34">
        <v>0.98283529783964296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242</v>
      </c>
      <c r="C35">
        <v>-6.7243708287252096E-2</v>
      </c>
      <c r="D35">
        <v>3.2007093358167697E-2</v>
      </c>
      <c r="E35">
        <v>-2.1009001828056499</v>
      </c>
      <c r="F35">
        <v>8.1628838197055006E-2</v>
      </c>
      <c r="G35">
        <v>-3.8382672759770101E-2</v>
      </c>
      <c r="H35">
        <v>3.7924002812157798E-2</v>
      </c>
      <c r="I35">
        <v>-1.0120944497838</v>
      </c>
      <c r="J35">
        <v>0.351623723416501</v>
      </c>
      <c r="K35">
        <v>-6.1994421755361802E-2</v>
      </c>
      <c r="L35">
        <v>5.1730756130649598E-2</v>
      </c>
      <c r="M35">
        <v>-1.19840548239408</v>
      </c>
      <c r="N35">
        <v>0.27798968158911502</v>
      </c>
      <c r="AB35" t="str">
        <f t="shared" si="0"/>
        <v>*</v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244</v>
      </c>
      <c r="C36">
        <v>-7.6141098362971504E-2</v>
      </c>
      <c r="D36">
        <v>5.3271592081347602E-2</v>
      </c>
      <c r="E36">
        <v>-1.4293002215271</v>
      </c>
      <c r="F36">
        <v>0.17394265870366801</v>
      </c>
      <c r="G36">
        <v>-9.4413318423553397E-2</v>
      </c>
      <c r="H36">
        <v>5.0292293038951399E-2</v>
      </c>
      <c r="I36">
        <v>-1.87729198090909</v>
      </c>
      <c r="J36">
        <v>8.0132663396943402E-2</v>
      </c>
      <c r="K36">
        <v>-7.3090872323783307E-2</v>
      </c>
      <c r="L36">
        <v>5.1302754734417901E-2</v>
      </c>
      <c r="M36">
        <v>-1.42469683552389</v>
      </c>
      <c r="N36">
        <v>0.17638610194021001</v>
      </c>
      <c r="AB36" t="str">
        <f t="shared" si="0"/>
        <v/>
      </c>
      <c r="AC36" t="str">
        <f t="shared" si="1"/>
        <v>*</v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245</v>
      </c>
      <c r="C37">
        <v>4.54962291916527E-2</v>
      </c>
      <c r="D37">
        <v>5.8590280067002197E-2</v>
      </c>
      <c r="E37">
        <v>0.77651496356775296</v>
      </c>
      <c r="F37">
        <v>0.46184897394178898</v>
      </c>
      <c r="G37">
        <v>1.36435357635563E-2</v>
      </c>
      <c r="H37">
        <v>7.9175904146296702E-2</v>
      </c>
      <c r="I37">
        <v>0.17231929222237299</v>
      </c>
      <c r="J37">
        <v>0.86790762540176303</v>
      </c>
      <c r="K37">
        <v>0.101149532272405</v>
      </c>
      <c r="L37">
        <v>8.1381941275436701E-2</v>
      </c>
      <c r="M37">
        <v>1.24289898578439</v>
      </c>
      <c r="N37">
        <v>0.25467441044358002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247</v>
      </c>
      <c r="C38">
        <v>-7.5483996753040903E-3</v>
      </c>
      <c r="D38">
        <v>0.14380388348380199</v>
      </c>
      <c r="E38">
        <v>-5.2490930651079001E-2</v>
      </c>
      <c r="F38">
        <v>0.95900632412780196</v>
      </c>
      <c r="G38">
        <v>7.1771753157784196E-2</v>
      </c>
      <c r="H38">
        <v>0.13587395302267899</v>
      </c>
      <c r="I38">
        <v>0.52822304467586201</v>
      </c>
      <c r="J38">
        <v>0.60747423105769704</v>
      </c>
      <c r="K38">
        <v>0.16191278657317201</v>
      </c>
      <c r="L38">
        <v>0.14621934543995599</v>
      </c>
      <c r="M38">
        <v>1.10732807677394</v>
      </c>
      <c r="N38">
        <v>0.29190076957819699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249</v>
      </c>
      <c r="C39">
        <v>0.26888216184034103</v>
      </c>
      <c r="D39">
        <v>0.13827331674569401</v>
      </c>
      <c r="E39">
        <v>1.94457013231885</v>
      </c>
      <c r="F39">
        <v>0.15440710803952001</v>
      </c>
      <c r="G39">
        <v>0.55981104183754304</v>
      </c>
      <c r="H39">
        <v>0.18823985415949299</v>
      </c>
      <c r="I39">
        <v>2.9739241157891101</v>
      </c>
      <c r="J39">
        <v>7.24393178717576E-2</v>
      </c>
      <c r="K39">
        <v>0.63737171343110799</v>
      </c>
      <c r="L39">
        <v>0.13305810456720901</v>
      </c>
      <c r="M39">
        <v>4.7901758070600202</v>
      </c>
      <c r="N39">
        <v>2.63212536701611E-2</v>
      </c>
      <c r="AB39" t="str">
        <f t="shared" si="0"/>
        <v/>
      </c>
      <c r="AC39" t="str">
        <f t="shared" si="1"/>
        <v>*</v>
      </c>
      <c r="AD39" t="str">
        <f t="shared" si="2"/>
        <v>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0.40654227802168402</v>
      </c>
      <c r="D40">
        <v>3.3659306053554001E-2</v>
      </c>
      <c r="E40">
        <v>12.0781538803815</v>
      </c>
      <c r="F40">
        <v>3.4508906436427501E-3</v>
      </c>
      <c r="G40">
        <v>0.34991244025478002</v>
      </c>
      <c r="H40">
        <v>5.4080565974522897E-2</v>
      </c>
      <c r="I40">
        <v>6.4702066990131399</v>
      </c>
      <c r="J40">
        <v>1.6680608487994599E-2</v>
      </c>
      <c r="K40">
        <v>0.35370164192287001</v>
      </c>
      <c r="L40">
        <v>6.2389878297965801E-2</v>
      </c>
      <c r="M40">
        <v>5.6692151286726098</v>
      </c>
      <c r="N40">
        <v>2.2157614211975499E-2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0.62170090678295697</v>
      </c>
      <c r="D41">
        <v>5.0791410442880901E-2</v>
      </c>
      <c r="E41">
        <v>12.240276483011</v>
      </c>
      <c r="F41">
        <v>5.1059939935502901E-4</v>
      </c>
      <c r="G41">
        <v>0.57340890340198303</v>
      </c>
      <c r="H41">
        <v>7.4311970879841399E-2</v>
      </c>
      <c r="I41">
        <v>7.7162386707406201</v>
      </c>
      <c r="J41">
        <v>3.0539897014789301E-3</v>
      </c>
      <c r="K41">
        <v>0.59588681645525599</v>
      </c>
      <c r="L41">
        <v>8.6752892380701704E-2</v>
      </c>
      <c r="M41">
        <v>6.8687832774531401</v>
      </c>
      <c r="N41">
        <v>4.5572313242169902E-3</v>
      </c>
      <c r="AB41" t="str">
        <f t="shared" si="0"/>
        <v>***</v>
      </c>
      <c r="AC41" t="str">
        <f t="shared" si="1"/>
        <v>***</v>
      </c>
      <c r="AD41" t="str">
        <f t="shared" si="2"/>
        <v>***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0.62455244737306104</v>
      </c>
      <c r="D42">
        <v>6.11337642201625E-2</v>
      </c>
      <c r="E42">
        <v>10.2161621378956</v>
      </c>
      <c r="F42">
        <v>3.8780606903100602E-5</v>
      </c>
      <c r="G42">
        <v>0.57005589659010802</v>
      </c>
      <c r="H42">
        <v>8.7847989447835506E-2</v>
      </c>
      <c r="I42">
        <v>6.48911716902309</v>
      </c>
      <c r="J42">
        <v>6.1009830812115402E-4</v>
      </c>
      <c r="K42">
        <v>0.58341196665216</v>
      </c>
      <c r="L42">
        <v>9.9379360532492397E-2</v>
      </c>
      <c r="M42">
        <v>5.87055464561388</v>
      </c>
      <c r="N42">
        <v>1.0506303178264001E-3</v>
      </c>
      <c r="AB42" t="str">
        <f t="shared" si="0"/>
        <v>***</v>
      </c>
      <c r="AC42" t="str">
        <f t="shared" si="1"/>
        <v>***</v>
      </c>
      <c r="AD42" t="str">
        <f t="shared" si="2"/>
        <v>***</v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0.63776785463102703</v>
      </c>
      <c r="D43">
        <v>4.8707452695575297E-2</v>
      </c>
      <c r="E43">
        <v>13.0938453837263</v>
      </c>
      <c r="F43">
        <v>2.90442678371008E-5</v>
      </c>
      <c r="G43">
        <v>0.58900360081755798</v>
      </c>
      <c r="H43">
        <v>7.5938386320615794E-2</v>
      </c>
      <c r="I43">
        <v>7.7563354892840897</v>
      </c>
      <c r="J43">
        <v>5.0808516302659702E-4</v>
      </c>
      <c r="K43">
        <v>0.59854732515354503</v>
      </c>
      <c r="L43">
        <v>8.9380505042591499E-2</v>
      </c>
      <c r="M43">
        <v>6.6966205311586302</v>
      </c>
      <c r="N43">
        <v>1.0549970131381501E-3</v>
      </c>
      <c r="AB43" t="str">
        <f t="shared" si="0"/>
        <v>***</v>
      </c>
      <c r="AC43" t="str">
        <f t="shared" si="1"/>
        <v>***</v>
      </c>
      <c r="AD43" t="str">
        <f t="shared" si="2"/>
        <v>***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0.58219669469576096</v>
      </c>
      <c r="D44">
        <v>4.7886255008775101E-2</v>
      </c>
      <c r="E44">
        <v>12.157908247138399</v>
      </c>
      <c r="F44">
        <v>1.0211359326082799E-6</v>
      </c>
      <c r="G44">
        <v>0.52009595491160698</v>
      </c>
      <c r="H44">
        <v>8.2425602070798895E-2</v>
      </c>
      <c r="I44">
        <v>6.3098836022438096</v>
      </c>
      <c r="J44">
        <v>1.84708288760526E-4</v>
      </c>
      <c r="K44">
        <v>0.52199911411449995</v>
      </c>
      <c r="L44">
        <v>9.7258015835894995E-2</v>
      </c>
      <c r="M44">
        <v>5.3671577569017801</v>
      </c>
      <c r="N44">
        <v>5.7563576732248302E-4</v>
      </c>
      <c r="AB44" t="str">
        <f t="shared" si="0"/>
        <v>***</v>
      </c>
      <c r="AC44" t="str">
        <f t="shared" si="1"/>
        <v>***</v>
      </c>
      <c r="AD44" t="str">
        <f t="shared" si="2"/>
        <v>***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-3.2025797961272799E-6</v>
      </c>
      <c r="D45">
        <v>1.2349919727769901E-4</v>
      </c>
      <c r="E45">
        <v>-2.5931988763667799E-2</v>
      </c>
      <c r="F45">
        <v>0.97989917033716201</v>
      </c>
      <c r="G45">
        <v>1.14751921224352E-4</v>
      </c>
      <c r="H45">
        <v>1.3564109150421299E-4</v>
      </c>
      <c r="I45">
        <v>0.84599674001287295</v>
      </c>
      <c r="J45">
        <v>0.42086974282573397</v>
      </c>
      <c r="K45">
        <v>-1.44252246204352E-4</v>
      </c>
      <c r="L45">
        <v>2.3411695452664699E-4</v>
      </c>
      <c r="M45">
        <v>-0.61615463303804796</v>
      </c>
      <c r="N45">
        <v>0.55452034179002196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5.1794388288670503E-3</v>
      </c>
      <c r="D46">
        <v>4.12614901564003E-3</v>
      </c>
      <c r="E46">
        <v>1.25527187923523</v>
      </c>
      <c r="F46">
        <v>0.22766087407428001</v>
      </c>
      <c r="G46">
        <v>2.6932073936419499E-5</v>
      </c>
      <c r="H46">
        <v>4.0685840692945303E-3</v>
      </c>
      <c r="I46">
        <v>6.6195200781704296E-3</v>
      </c>
      <c r="J46">
        <v>0.99480150919630805</v>
      </c>
      <c r="K46">
        <v>-8.8294720735663003E-3</v>
      </c>
      <c r="L46">
        <v>5.81735707209573E-3</v>
      </c>
      <c r="M46">
        <v>-1.517780662961</v>
      </c>
      <c r="N46">
        <v>0.14884242656206101</v>
      </c>
      <c r="AB46" t="str">
        <f t="shared" si="0"/>
        <v/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5.4379856386236203E-3</v>
      </c>
      <c r="D47">
        <v>2.3478559450824301E-3</v>
      </c>
      <c r="E47">
        <v>2.3161496130175401</v>
      </c>
      <c r="F47">
        <v>9.3578854822959801E-2</v>
      </c>
      <c r="G47">
        <v>1.2347349688159599E-2</v>
      </c>
      <c r="H47">
        <v>3.91156437859763E-3</v>
      </c>
      <c r="I47">
        <v>3.1566269893751402</v>
      </c>
      <c r="J47">
        <v>4.4011004429461799E-2</v>
      </c>
      <c r="K47">
        <v>1.71954325559305E-2</v>
      </c>
      <c r="L47">
        <v>2.54602639572326E-3</v>
      </c>
      <c r="M47">
        <v>6.7538312190379504</v>
      </c>
      <c r="N47">
        <v>4.6174338071108996E-3</v>
      </c>
      <c r="AB47" t="str">
        <f t="shared" si="0"/>
        <v>*</v>
      </c>
      <c r="AC47" t="str">
        <f t="shared" si="1"/>
        <v>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-4.9610582645880797E-3</v>
      </c>
      <c r="D48">
        <v>7.2758662452821104E-3</v>
      </c>
      <c r="E48">
        <v>-0.681851218444948</v>
      </c>
      <c r="F48">
        <v>0.51181762516058105</v>
      </c>
      <c r="G48">
        <v>-8.6874070798576598E-3</v>
      </c>
      <c r="H48">
        <v>9.6546104061205392E-3</v>
      </c>
      <c r="I48">
        <v>-0.89981953848187202</v>
      </c>
      <c r="J48">
        <v>0.39030202312658502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-6.4013484432012199E-2</v>
      </c>
      <c r="D49">
        <v>3.2221058994327902E-2</v>
      </c>
      <c r="E49">
        <v>-1.9866970990395101</v>
      </c>
      <c r="F49">
        <v>6.8414972445046393E-2</v>
      </c>
      <c r="G49">
        <v>-4.3819365339970801E-2</v>
      </c>
      <c r="H49">
        <v>3.6024862852482097E-2</v>
      </c>
      <c r="I49">
        <v>-1.2163645291144201</v>
      </c>
      <c r="J49">
        <v>0.245537954000451</v>
      </c>
      <c r="AB49" t="str">
        <f t="shared" si="0"/>
        <v>*</v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-8.1720627215268807E-3</v>
      </c>
      <c r="D50">
        <v>8.3649876830342394E-3</v>
      </c>
      <c r="E50">
        <v>-0.97693661140725296</v>
      </c>
      <c r="F50">
        <v>0.35122713163698699</v>
      </c>
      <c r="G50">
        <v>-5.3879702259970698E-3</v>
      </c>
      <c r="H50">
        <v>9.5443109275199292E-3</v>
      </c>
      <c r="I50">
        <v>-0.56452165765696805</v>
      </c>
      <c r="J50">
        <v>0.58584880670059103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-6.90041306667753E-3</v>
      </c>
      <c r="D51">
        <v>6.3594058129551401E-3</v>
      </c>
      <c r="E51">
        <v>-1.08507198150813</v>
      </c>
      <c r="F51">
        <v>0.295866955419126</v>
      </c>
      <c r="G51">
        <v>-5.4236015802094301E-3</v>
      </c>
      <c r="H51">
        <v>8.1499263034997306E-3</v>
      </c>
      <c r="I51">
        <v>-0.66547860412926996</v>
      </c>
      <c r="J51">
        <v>0.51668184965981101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-1.06234175242482E-3</v>
      </c>
      <c r="D52">
        <v>1.79622459937777E-3</v>
      </c>
      <c r="E52">
        <v>-0.59143035497499796</v>
      </c>
      <c r="F52">
        <v>0.65329800278760697</v>
      </c>
      <c r="G52">
        <v>-4.1785403999579601E-4</v>
      </c>
      <c r="H52">
        <v>5.9536392980880804E-3</v>
      </c>
      <c r="I52">
        <v>-7.0184641540172496E-2</v>
      </c>
      <c r="J52">
        <v>0.95466206288932498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1.8936531284256201E-2</v>
      </c>
      <c r="D53">
        <v>1.27485093235105E-2</v>
      </c>
      <c r="E53">
        <v>1.4853918057175399</v>
      </c>
      <c r="F53">
        <v>0.16301613505047199</v>
      </c>
      <c r="G53">
        <v>2.3658341707377899E-2</v>
      </c>
      <c r="H53">
        <v>1.45084880720696E-2</v>
      </c>
      <c r="I53">
        <v>1.6306552129937499</v>
      </c>
      <c r="J53">
        <v>0.12802789538447401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8.3217381037413198E-3</v>
      </c>
      <c r="D54">
        <v>1.18888728204018E-2</v>
      </c>
      <c r="E54">
        <v>0.69996022578868</v>
      </c>
      <c r="F54">
        <v>0.49475472714616597</v>
      </c>
      <c r="G54">
        <v>1.50253378715686E-2</v>
      </c>
      <c r="H54">
        <v>1.6692606664125399E-2</v>
      </c>
      <c r="I54">
        <v>0.90011932671126704</v>
      </c>
      <c r="J54">
        <v>0.382267382773602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4.7124592353955896E-6</v>
      </c>
      <c r="D55">
        <v>5.4067924678046198E-6</v>
      </c>
      <c r="E55">
        <v>0.87158130508179799</v>
      </c>
      <c r="F55">
        <v>0.40086689270017301</v>
      </c>
      <c r="G55">
        <v>4.5996648825037903E-6</v>
      </c>
      <c r="H55">
        <v>6.4354461457553503E-6</v>
      </c>
      <c r="I55">
        <v>0.71473908386873997</v>
      </c>
      <c r="J55">
        <v>0.48989624832079798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1.3174497137134399E-5</v>
      </c>
      <c r="D56">
        <v>2.7044635213940298E-6</v>
      </c>
      <c r="E56">
        <v>4.8713902158101696</v>
      </c>
      <c r="F56">
        <v>1.90546743892024E-4</v>
      </c>
      <c r="G56">
        <v>1.46428642860518E-5</v>
      </c>
      <c r="H56">
        <v>3.5590989403117902E-6</v>
      </c>
      <c r="I56">
        <v>4.1142054580727798</v>
      </c>
      <c r="J56">
        <v>1.0463479798236001E-3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-0.42037876586234102</v>
      </c>
      <c r="D57">
        <v>0.147151077353121</v>
      </c>
      <c r="E57">
        <v>-2.8567834733112401</v>
      </c>
      <c r="F57">
        <v>2.4821859652899798E-2</v>
      </c>
      <c r="AB57" t="str">
        <f t="shared" si="0"/>
        <v>**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-0.14351332103185699</v>
      </c>
      <c r="D58">
        <v>5.9164089579288502E-2</v>
      </c>
      <c r="E58">
        <v>-2.4256829109071001</v>
      </c>
      <c r="F58">
        <v>3.0739706141290301E-2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-0.358078047711752</v>
      </c>
      <c r="D59">
        <v>0.13998276207784399</v>
      </c>
      <c r="E59">
        <v>-2.5580153041459899</v>
      </c>
      <c r="F59">
        <v>2.27796313697603E-2</v>
      </c>
      <c r="AB59" t="str">
        <f t="shared" si="0"/>
        <v>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0.27518158629991302</v>
      </c>
      <c r="D60">
        <v>8.3522249383311806E-2</v>
      </c>
      <c r="E60">
        <v>3.2947099525182999</v>
      </c>
      <c r="F60">
        <v>4.7630973141477E-3</v>
      </c>
      <c r="AB60" t="str">
        <f t="shared" si="0"/>
        <v>***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-0.66802410623986797</v>
      </c>
      <c r="D61">
        <v>9.0803561461011095E-2</v>
      </c>
      <c r="E61">
        <v>-7.3568051240666597</v>
      </c>
      <c r="F61">
        <v>1.1511223011986401E-4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6F0F-5123-452B-9B7D-B5E42F8171C4}">
  <sheetPr codeName="Sheet13"/>
  <dimension ref="A1:L130"/>
  <sheetViews>
    <sheetView topLeftCell="C25" workbookViewId="0">
      <selection activeCell="L6" sqref="L6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0" max="10" width="12.7109375" style="3" customWidth="1"/>
    <col min="12" max="12" width="10.5703125" bestFit="1" customWidth="1"/>
  </cols>
  <sheetData>
    <row r="1" spans="1:12" ht="15.75" thickBot="1" x14ac:dyDescent="0.3">
      <c r="B1" t="s">
        <v>195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</row>
    <row r="2" spans="1:12" ht="29.25" thickTop="1" x14ac:dyDescent="0.45">
      <c r="C2" s="47" t="s">
        <v>318</v>
      </c>
      <c r="D2" s="47"/>
      <c r="E2" s="47"/>
      <c r="F2" s="47"/>
      <c r="G2" s="47"/>
      <c r="H2" s="47"/>
      <c r="I2" s="47"/>
      <c r="J2" s="47"/>
    </row>
    <row r="3" spans="1:12" ht="21" x14ac:dyDescent="0.35">
      <c r="C3" s="48" t="s">
        <v>408</v>
      </c>
      <c r="D3" s="48"/>
      <c r="E3" s="48"/>
      <c r="F3" s="48"/>
      <c r="G3" s="48"/>
      <c r="H3" s="48"/>
      <c r="I3" s="48"/>
      <c r="J3" s="48"/>
    </row>
    <row r="4" spans="1:12" x14ac:dyDescent="0.25">
      <c r="C4" s="19" t="s">
        <v>407</v>
      </c>
      <c r="D4" s="20" t="s">
        <v>271</v>
      </c>
      <c r="E4" s="20" t="s">
        <v>272</v>
      </c>
      <c r="F4" s="20" t="s">
        <v>273</v>
      </c>
      <c r="G4" s="20" t="s">
        <v>274</v>
      </c>
      <c r="H4" s="20" t="s">
        <v>275</v>
      </c>
      <c r="I4" s="20" t="s">
        <v>305</v>
      </c>
      <c r="J4" s="20" t="s">
        <v>315</v>
      </c>
    </row>
    <row r="5" spans="1:12" x14ac:dyDescent="0.25">
      <c r="A5">
        <v>1</v>
      </c>
      <c r="B5" t="s">
        <v>11</v>
      </c>
      <c r="C5" t="s">
        <v>11</v>
      </c>
      <c r="D5" s="3" t="str">
        <f>VLOOKUP($A5,'Reg1'!$A:$H,D$1,0)</f>
        <v>0.078***</v>
      </c>
      <c r="E5" s="3" t="str">
        <f>VLOOKUP($A5,'Reg1'!$A:$H,E$1,0)</f>
        <v>0.038*</v>
      </c>
      <c r="F5" s="3">
        <f>VLOOKUP($A5,'Reg1'!$A:$H,F$1,0)</f>
        <v>1.4E-2</v>
      </c>
      <c r="G5" s="3" t="str">
        <f>VLOOKUP($A5,'Reg1'!$A:$H,G$1,0)</f>
        <v>0.021*</v>
      </c>
      <c r="H5" s="3" t="str">
        <f>VLOOKUP($A5,'Reg1'!$A:$H,H$1,0)</f>
        <v>0.019*</v>
      </c>
      <c r="I5" s="3" t="str">
        <f>VLOOKUP($A5,'Reg1'!$A:$H,I$1,0)</f>
        <v>0.020**</v>
      </c>
      <c r="J5" s="3" t="str">
        <f>_xlfn.CONCAT(FIXED(VLOOKUP($A5,Reg1_Robust!A:AG,3,0),3),VLOOKUP($A5,Reg1_Robust!A:AG,28,0))</f>
        <v>0.020*</v>
      </c>
      <c r="L5">
        <f>EXP(0.02)-1</f>
        <v>2.0201340026755776E-2</v>
      </c>
    </row>
    <row r="6" spans="1:12" x14ac:dyDescent="0.25">
      <c r="A6">
        <v>2</v>
      </c>
      <c r="D6" s="3" t="str">
        <f>_xlfn.CONCAT("(",FIXED(ABS(VLOOKUP($A6,'Reg1'!$A:$H,D$1,0)),4),")")</f>
        <v>(0.0050)</v>
      </c>
      <c r="E6" s="3" t="str">
        <f>_xlfn.CONCAT("(",FIXED(ABS(VLOOKUP($A6,'Reg1'!$A:$H,E$1,0)),4),")")</f>
        <v>(0.0210)</v>
      </c>
      <c r="F6" s="3" t="str">
        <f>_xlfn.CONCAT("(",FIXED(ABS(VLOOKUP($A6,'Reg1'!$A:$H,F$1,0)),4),")")</f>
        <v>(0.0130)</v>
      </c>
      <c r="G6" s="3" t="str">
        <f>_xlfn.CONCAT("(",FIXED(ABS(VLOOKUP($A6,'Reg1'!$A:$H,G$1,0)),4),")")</f>
        <v>(0.0110)</v>
      </c>
      <c r="H6" s="3" t="str">
        <f>_xlfn.CONCAT("(",FIXED(ABS(VLOOKUP($A6,'Reg1'!$A:$H,H$1,0)),4),")")</f>
        <v>(0.0100)</v>
      </c>
      <c r="I6" s="3" t="str">
        <f>_xlfn.CONCAT("(",FIXED(ABS(VLOOKUP($A6,'Reg1'!$A:$H,I$1,0)),4),")")</f>
        <v>(0.0090)</v>
      </c>
      <c r="J6" s="3" t="str">
        <f>_xlfn.CONCAT("(",FIXED(VLOOKUP($A5,Reg1_Robust!A:AG,4,0),4),")")</f>
        <v>(0.0097)</v>
      </c>
      <c r="L6" s="26">
        <f>L5*'Table One'!C7*100000</f>
        <v>18746.84354482936</v>
      </c>
    </row>
    <row r="7" spans="1:12" x14ac:dyDescent="0.25">
      <c r="A7">
        <v>3</v>
      </c>
      <c r="B7" t="s">
        <v>16</v>
      </c>
      <c r="C7" t="s">
        <v>16</v>
      </c>
      <c r="E7" s="3" t="str">
        <f>VLOOKUP($A7,'Reg1'!$A:$H,E$1,0)</f>
        <v>0.001***</v>
      </c>
      <c r="F7" s="3" t="str">
        <f>VLOOKUP($A7,'Reg1'!$A:$H,F$1,0)</f>
        <v>0.0001***</v>
      </c>
      <c r="G7" s="3" t="str">
        <f>VLOOKUP($A7,'Reg1'!$A:$H,G$1,0)</f>
        <v>0.0002***</v>
      </c>
      <c r="H7" s="3" t="str">
        <f>VLOOKUP($A7,'Reg1'!$A:$H,H$1,0)</f>
        <v>0.0001***</v>
      </c>
      <c r="I7" s="3" t="str">
        <f>VLOOKUP($A7,'Reg1'!$A:$H,I$1,0)</f>
        <v>0.0001***</v>
      </c>
      <c r="J7" s="3" t="str">
        <f>_xlfn.CONCAT(FIXED(VLOOKUP($A7,Reg1_Robust!A:AG,3,0),4),VLOOKUP($A7,Reg1_Robust!A:AG,28,0))</f>
        <v>0.0001</v>
      </c>
    </row>
    <row r="8" spans="1:12" x14ac:dyDescent="0.25">
      <c r="A8">
        <v>4</v>
      </c>
      <c r="E8" s="3" t="str">
        <f>_xlfn.CONCAT("(",FIXED(ABS(VLOOKUP($A8,'Reg1'!$A:$H,E$1,0)),5),")")</f>
        <v>(0.00005)</v>
      </c>
      <c r="F8" s="3" t="str">
        <f>_xlfn.CONCAT("(",FIXED(ABS(VLOOKUP($A8,'Reg1'!$A:$H,F$1,0)),5),")")</f>
        <v>(0.00003)</v>
      </c>
      <c r="G8" s="3" t="str">
        <f>_xlfn.CONCAT("(",FIXED(ABS(VLOOKUP($A8,'Reg1'!$A:$H,G$1,0)),5),")")</f>
        <v>(0.00003)</v>
      </c>
      <c r="H8" s="3" t="str">
        <f>_xlfn.CONCAT("(",FIXED(ABS(VLOOKUP($A8,'Reg1'!$A:$H,H$1,0)),5),")")</f>
        <v>(0.00002)</v>
      </c>
      <c r="I8" s="3" t="str">
        <f>_xlfn.CONCAT("(",FIXED(ABS(VLOOKUP($A8,'Reg1'!$A:$H,I$1,0)),5),")")</f>
        <v>(0.00002)</v>
      </c>
      <c r="J8" s="3" t="str">
        <f>_xlfn.CONCAT("(",FIXED(VLOOKUP($A7,Reg1_Robust!A:AG,4,0),5),")")</f>
        <v>(0.00007)</v>
      </c>
    </row>
    <row r="9" spans="1:12" hidden="1" x14ac:dyDescent="0.25">
      <c r="A9">
        <v>5</v>
      </c>
      <c r="B9" t="s">
        <v>197</v>
      </c>
      <c r="E9" s="3" t="str">
        <f>VLOOKUP($A9,'Reg1'!$A:$H,E$1,0)</f>
        <v>0.061***</v>
      </c>
      <c r="F9" s="3" t="str">
        <f>VLOOKUP($A9,'Reg1'!$A:$H,F$1,0)</f>
        <v>0.031***</v>
      </c>
      <c r="G9" s="3" t="str">
        <f>VLOOKUP($A9,'Reg1'!$A:$H,G$1,0)</f>
        <v>0.032***</v>
      </c>
      <c r="H9" s="3" t="str">
        <f>VLOOKUP($A9,'Reg1'!$A:$H,H$1,0)</f>
        <v>0.040***</v>
      </c>
      <c r="I9" s="3" t="str">
        <f>VLOOKUP($A9,'Reg1'!$A:$H,I$1,0)</f>
        <v>0.036***</v>
      </c>
      <c r="J9" s="3" t="str">
        <f>_xlfn.CONCAT(FIXED(VLOOKUP($A9,Reg1_Robust!A:AG,3,0),3),VLOOKUP($A9,Reg1_Robust!A:AG,28,0))</f>
        <v>0.036***</v>
      </c>
    </row>
    <row r="10" spans="1:12" hidden="1" x14ac:dyDescent="0.25">
      <c r="A10">
        <v>6</v>
      </c>
      <c r="E10" s="3" t="str">
        <f>_xlfn.CONCAT("(",FIXED(ABS(VLOOKUP($A10,'Reg1'!$A:$H,E$1,0)),4),")")</f>
        <v>(0.0100)</v>
      </c>
      <c r="F10" s="3" t="str">
        <f>_xlfn.CONCAT("(",FIXED(ABS(VLOOKUP($A10,'Reg1'!$A:$H,F$1,0)),4),")")</f>
        <v>(0.0060)</v>
      </c>
      <c r="G10" s="3" t="str">
        <f>_xlfn.CONCAT("(",FIXED(ABS(VLOOKUP($A10,'Reg1'!$A:$H,G$1,0)),4),")")</f>
        <v>(0.0050)</v>
      </c>
      <c r="H10" s="3" t="str">
        <f>_xlfn.CONCAT("(",FIXED(ABS(VLOOKUP($A10,'Reg1'!$A:$H,H$1,0)),4),")")</f>
        <v>(0.0050)</v>
      </c>
      <c r="I10" s="3" t="str">
        <f>_xlfn.CONCAT("(",FIXED(ABS(VLOOKUP($A10,'Reg1'!$A:$H,I$1,0)),4),")")</f>
        <v>(0.0040)</v>
      </c>
      <c r="J10" s="3" t="str">
        <f>_xlfn.CONCAT("(",FIXED(VLOOKUP($A9,Reg1_Robust!A:AG,4,0),4),")")</f>
        <v>(0.0112)</v>
      </c>
    </row>
    <row r="11" spans="1:12" hidden="1" x14ac:dyDescent="0.25">
      <c r="A11">
        <v>7</v>
      </c>
      <c r="B11" t="s">
        <v>200</v>
      </c>
      <c r="E11" s="3" t="str">
        <f>VLOOKUP($A11,'Reg1'!$A:$H,E$1,0)</f>
        <v>0.068***</v>
      </c>
      <c r="F11" s="3" t="str">
        <f>VLOOKUP($A11,'Reg1'!$A:$H,F$1,0)</f>
        <v>0.041***</v>
      </c>
      <c r="G11" s="3" t="str">
        <f>VLOOKUP($A11,'Reg1'!$A:$H,G$1,0)</f>
        <v>0.041***</v>
      </c>
      <c r="H11" s="3" t="str">
        <f>VLOOKUP($A11,'Reg1'!$A:$H,H$1,0)</f>
        <v>0.052***</v>
      </c>
      <c r="I11" s="3" t="str">
        <f>VLOOKUP($A11,'Reg1'!$A:$H,I$1,0)</f>
        <v>0.044***</v>
      </c>
      <c r="J11" s="3" t="str">
        <f>_xlfn.CONCAT(FIXED(VLOOKUP($A11,Reg1_Robust!A:AG,3,0),3),VLOOKUP($A11,Reg1_Robust!A:AG,28,0))</f>
        <v>0.044**</v>
      </c>
    </row>
    <row r="12" spans="1:12" hidden="1" x14ac:dyDescent="0.25">
      <c r="A12">
        <v>8</v>
      </c>
      <c r="E12" s="3" t="str">
        <f>_xlfn.CONCAT("(",FIXED(ABS(VLOOKUP($A12,'Reg1'!$A:$H,E$1,0)),4),")")</f>
        <v>(0.0100)</v>
      </c>
      <c r="F12" s="3" t="str">
        <f>_xlfn.CONCAT("(",FIXED(ABS(VLOOKUP($A12,'Reg1'!$A:$H,F$1,0)),4),")")</f>
        <v>(0.0060)</v>
      </c>
      <c r="G12" s="3" t="str">
        <f>_xlfn.CONCAT("(",FIXED(ABS(VLOOKUP($A12,'Reg1'!$A:$H,G$1,0)),4),")")</f>
        <v>(0.0050)</v>
      </c>
      <c r="H12" s="3" t="str">
        <f>_xlfn.CONCAT("(",FIXED(ABS(VLOOKUP($A12,'Reg1'!$A:$H,H$1,0)),4),")")</f>
        <v>(0.0050)</v>
      </c>
      <c r="I12" s="3" t="str">
        <f>_xlfn.CONCAT("(",FIXED(ABS(VLOOKUP($A12,'Reg1'!$A:$H,I$1,0)),4),")")</f>
        <v>(0.0040)</v>
      </c>
      <c r="J12" s="3" t="str">
        <f>_xlfn.CONCAT("(",FIXED(VLOOKUP($A11,Reg1_Robust!A:AG,4,0),4),")")</f>
        <v>(0.0168)</v>
      </c>
    </row>
    <row r="13" spans="1:12" hidden="1" x14ac:dyDescent="0.25">
      <c r="A13">
        <v>9</v>
      </c>
      <c r="B13" t="s">
        <v>204</v>
      </c>
      <c r="E13" s="3" t="str">
        <f>VLOOKUP($A13,'Reg1'!$A:$H,E$1,0)</f>
        <v>0.065***</v>
      </c>
      <c r="F13" s="3" t="str">
        <f>VLOOKUP($A13,'Reg1'!$A:$H,F$1,0)</f>
        <v>0.033***</v>
      </c>
      <c r="G13" s="3" t="str">
        <f>VLOOKUP($A13,'Reg1'!$A:$H,G$1,0)</f>
        <v>0.026***</v>
      </c>
      <c r="H13" s="3" t="str">
        <f>VLOOKUP($A13,'Reg1'!$A:$H,H$1,0)</f>
        <v>0.038***</v>
      </c>
      <c r="I13" s="3" t="str">
        <f>VLOOKUP($A13,'Reg1'!$A:$H,I$1,0)</f>
        <v>0.033***</v>
      </c>
      <c r="J13" s="3" t="str">
        <f>_xlfn.CONCAT(FIXED(VLOOKUP($A13,Reg1_Robust!A:AG,3,0),3),VLOOKUP($A13,Reg1_Robust!A:AG,28,0))</f>
        <v>0.033*</v>
      </c>
    </row>
    <row r="14" spans="1:12" hidden="1" x14ac:dyDescent="0.25">
      <c r="A14">
        <v>10</v>
      </c>
      <c r="E14" s="3" t="str">
        <f>_xlfn.CONCAT("(",FIXED(ABS(VLOOKUP($A14,'Reg1'!$A:$H,E$1,0)),4),")")</f>
        <v>(0.0100)</v>
      </c>
      <c r="F14" s="3" t="str">
        <f>_xlfn.CONCAT("(",FIXED(ABS(VLOOKUP($A14,'Reg1'!$A:$H,F$1,0)),4),")")</f>
        <v>(0.0060)</v>
      </c>
      <c r="G14" s="3" t="str">
        <f>_xlfn.CONCAT("(",FIXED(ABS(VLOOKUP($A14,'Reg1'!$A:$H,G$1,0)),4),")")</f>
        <v>(0.0050)</v>
      </c>
      <c r="H14" s="3" t="str">
        <f>_xlfn.CONCAT("(",FIXED(ABS(VLOOKUP($A14,'Reg1'!$A:$H,H$1,0)),4),")")</f>
        <v>(0.0050)</v>
      </c>
      <c r="I14" s="3" t="str">
        <f>_xlfn.CONCAT("(",FIXED(ABS(VLOOKUP($A14,'Reg1'!$A:$H,I$1,0)),4),")")</f>
        <v>(0.0040)</v>
      </c>
      <c r="J14" s="3" t="str">
        <f>_xlfn.CONCAT("(",FIXED(VLOOKUP($A13,Reg1_Robust!A:AG,4,0),4),")")</f>
        <v>(0.0178)</v>
      </c>
    </row>
    <row r="15" spans="1:12" hidden="1" x14ac:dyDescent="0.25">
      <c r="A15">
        <v>11</v>
      </c>
      <c r="B15" t="s">
        <v>206</v>
      </c>
      <c r="E15" s="3" t="str">
        <f>VLOOKUP($A15,'Reg1'!$A:$H,E$1,0)</f>
        <v>0.056***</v>
      </c>
      <c r="F15" s="3">
        <f>VLOOKUP($A15,'Reg1'!$A:$H,F$1,0)</f>
        <v>1.9E-2</v>
      </c>
      <c r="G15" s="3">
        <f>VLOOKUP($A15,'Reg1'!$A:$H,G$1,0)</f>
        <v>7.0000000000000001E-3</v>
      </c>
      <c r="H15" s="3" t="str">
        <f>VLOOKUP($A15,'Reg1'!$A:$H,H$1,0)</f>
        <v>0.021**</v>
      </c>
      <c r="I15" s="3">
        <f>VLOOKUP($A15,'Reg1'!$A:$H,I$1,0)</f>
        <v>1.4E-2</v>
      </c>
      <c r="J15" s="3" t="str">
        <f>_xlfn.CONCAT(FIXED(VLOOKUP($A15,Reg1_Robust!A:AG,3,0),3),VLOOKUP($A15,Reg1_Robust!A:AG,28,0))</f>
        <v>0.014</v>
      </c>
    </row>
    <row r="16" spans="1:12" hidden="1" x14ac:dyDescent="0.25">
      <c r="A16">
        <v>12</v>
      </c>
      <c r="E16" s="3" t="str">
        <f>_xlfn.CONCAT("(",FIXED(ABS(VLOOKUP($A16,'Reg1'!$A:$H,E$1,0)),4),")")</f>
        <v>(0.0210)</v>
      </c>
      <c r="F16" s="3" t="str">
        <f>_xlfn.CONCAT("(",FIXED(ABS(VLOOKUP($A16,'Reg1'!$A:$H,F$1,0)),4),")")</f>
        <v>(0.0130)</v>
      </c>
      <c r="G16" s="3" t="str">
        <f>_xlfn.CONCAT("(",FIXED(ABS(VLOOKUP($A16,'Reg1'!$A:$H,G$1,0)),4),")")</f>
        <v>(0.0110)</v>
      </c>
      <c r="H16" s="3" t="str">
        <f>_xlfn.CONCAT("(",FIXED(ABS(VLOOKUP($A16,'Reg1'!$A:$H,H$1,0)),4),")")</f>
        <v>(0.0100)</v>
      </c>
      <c r="I16" s="3" t="str">
        <f>_xlfn.CONCAT("(",FIXED(ABS(VLOOKUP($A16,'Reg1'!$A:$H,I$1,0)),4),")")</f>
        <v>(0.0090)</v>
      </c>
      <c r="J16" s="3" t="str">
        <f>_xlfn.CONCAT("(",FIXED(VLOOKUP($A15,Reg1_Robust!A:AG,4,0),4),")")</f>
        <v>(0.0228)</v>
      </c>
    </row>
    <row r="17" spans="1:10" hidden="1" x14ac:dyDescent="0.25">
      <c r="A17">
        <v>13</v>
      </c>
      <c r="B17" t="s">
        <v>207</v>
      </c>
      <c r="E17" s="3" t="str">
        <f>VLOOKUP($A17,'Reg1'!$A:$H,E$1,0)</f>
        <v>0.110***</v>
      </c>
      <c r="F17" s="3" t="str">
        <f>VLOOKUP($A17,'Reg1'!$A:$H,F$1,0)</f>
        <v>0.087***</v>
      </c>
      <c r="G17" s="3" t="str">
        <f>VLOOKUP($A17,'Reg1'!$A:$H,G$1,0)</f>
        <v>0.080***</v>
      </c>
      <c r="H17" s="3" t="str">
        <f>VLOOKUP($A17,'Reg1'!$A:$H,H$1,0)</f>
        <v>0.095***</v>
      </c>
      <c r="I17" s="3" t="str">
        <f>VLOOKUP($A17,'Reg1'!$A:$H,I$1,0)</f>
        <v>0.086***</v>
      </c>
      <c r="J17" s="3" t="str">
        <f>_xlfn.CONCAT(FIXED(VLOOKUP($A17,Reg1_Robust!A:AG,3,0),3),VLOOKUP($A17,Reg1_Robust!A:AG,28,0))</f>
        <v>0.086***</v>
      </c>
    </row>
    <row r="18" spans="1:10" hidden="1" x14ac:dyDescent="0.25">
      <c r="A18">
        <v>14</v>
      </c>
      <c r="E18" s="3" t="str">
        <f>_xlfn.CONCAT("(",FIXED(ABS(VLOOKUP($A18,'Reg1'!$A:$H,E$1,0)),4),")")</f>
        <v>(0.0230)</v>
      </c>
      <c r="F18" s="3" t="str">
        <f>_xlfn.CONCAT("(",FIXED(ABS(VLOOKUP($A18,'Reg1'!$A:$H,F$1,0)),4),")")</f>
        <v>(0.0140)</v>
      </c>
      <c r="G18" s="3" t="str">
        <f>_xlfn.CONCAT("(",FIXED(ABS(VLOOKUP($A18,'Reg1'!$A:$H,G$1,0)),4),")")</f>
        <v>(0.0120)</v>
      </c>
      <c r="H18" s="3" t="str">
        <f>_xlfn.CONCAT("(",FIXED(ABS(VLOOKUP($A18,'Reg1'!$A:$H,H$1,0)),4),")")</f>
        <v>(0.0110)</v>
      </c>
      <c r="I18" s="3" t="str">
        <f>_xlfn.CONCAT("(",FIXED(ABS(VLOOKUP($A18,'Reg1'!$A:$H,I$1,0)),4),")")</f>
        <v>(0.0100)</v>
      </c>
      <c r="J18" s="3" t="str">
        <f>_xlfn.CONCAT("(",FIXED(VLOOKUP($A17,Reg1_Robust!A:AG,4,0),4),")")</f>
        <v>(0.0274)</v>
      </c>
    </row>
    <row r="19" spans="1:10" hidden="1" x14ac:dyDescent="0.25">
      <c r="A19">
        <v>15</v>
      </c>
      <c r="B19" t="s">
        <v>209</v>
      </c>
      <c r="E19" s="3" t="str">
        <f>VLOOKUP($A19,'Reg1'!$A:$H,E$1,0)</f>
        <v>0.126***</v>
      </c>
      <c r="F19" s="3" t="str">
        <f>VLOOKUP($A19,'Reg1'!$A:$H,F$1,0)</f>
        <v>0.122***</v>
      </c>
      <c r="G19" s="3" t="str">
        <f>VLOOKUP($A19,'Reg1'!$A:$H,G$1,0)</f>
        <v>0.115***</v>
      </c>
      <c r="H19" s="3" t="str">
        <f>VLOOKUP($A19,'Reg1'!$A:$H,H$1,0)</f>
        <v>0.137***</v>
      </c>
      <c r="I19" s="3" t="str">
        <f>VLOOKUP($A19,'Reg1'!$A:$H,I$1,0)</f>
        <v>0.128***</v>
      </c>
      <c r="J19" s="3" t="str">
        <f>_xlfn.CONCAT(FIXED(VLOOKUP($A19,Reg1_Robust!A:AG,3,0),3),VLOOKUP($A19,Reg1_Robust!A:AG,28,0))</f>
        <v>0.128***</v>
      </c>
    </row>
    <row r="20" spans="1:10" hidden="1" x14ac:dyDescent="0.25">
      <c r="A20">
        <v>16</v>
      </c>
      <c r="E20" s="3" t="str">
        <f>_xlfn.CONCAT("(",FIXED(ABS(VLOOKUP($A20,'Reg1'!$A:$H,E$1,0)),4),")")</f>
        <v>(0.0230)</v>
      </c>
      <c r="F20" s="3" t="str">
        <f>_xlfn.CONCAT("(",FIXED(ABS(VLOOKUP($A20,'Reg1'!$A:$H,F$1,0)),4),")")</f>
        <v>(0.0140)</v>
      </c>
      <c r="G20" s="3" t="str">
        <f>_xlfn.CONCAT("(",FIXED(ABS(VLOOKUP($A20,'Reg1'!$A:$H,G$1,0)),4),")")</f>
        <v>(0.0120)</v>
      </c>
      <c r="H20" s="3" t="str">
        <f>_xlfn.CONCAT("(",FIXED(ABS(VLOOKUP($A20,'Reg1'!$A:$H,H$1,0)),4),")")</f>
        <v>(0.0110)</v>
      </c>
      <c r="I20" s="3" t="str">
        <f>_xlfn.CONCAT("(",FIXED(ABS(VLOOKUP($A20,'Reg1'!$A:$H,I$1,0)),4),")")</f>
        <v>(0.0100)</v>
      </c>
      <c r="J20" s="3" t="str">
        <f>_xlfn.CONCAT("(",FIXED(VLOOKUP($A19,Reg1_Robust!A:AG,4,0),4),")")</f>
        <v>(0.0300)</v>
      </c>
    </row>
    <row r="21" spans="1:10" hidden="1" x14ac:dyDescent="0.25">
      <c r="A21">
        <v>17</v>
      </c>
      <c r="B21" t="s">
        <v>213</v>
      </c>
      <c r="E21" s="3" t="str">
        <f>VLOOKUP($A21,'Reg1'!$A:$H,E$1,0)</f>
        <v>0.447***</v>
      </c>
      <c r="F21" s="3" t="str">
        <f>VLOOKUP($A21,'Reg1'!$A:$H,F$1,0)</f>
        <v>0.123***</v>
      </c>
      <c r="G21" s="3" t="str">
        <f>VLOOKUP($A21,'Reg1'!$A:$H,G$1,0)</f>
        <v>0.059***</v>
      </c>
      <c r="H21" s="3" t="str">
        <f>VLOOKUP($A21,'Reg1'!$A:$H,H$1,0)</f>
        <v>0.093***</v>
      </c>
      <c r="I21" s="3" t="str">
        <f>VLOOKUP($A21,'Reg1'!$A:$H,I$1,0)</f>
        <v>0.096***</v>
      </c>
      <c r="J21" s="3" t="str">
        <f>_xlfn.CONCAT(FIXED(VLOOKUP($A21,Reg1_Robust!A:AG,3,0),3),VLOOKUP($A21,Reg1_Robust!A:AG,28,0))</f>
        <v>0.096**</v>
      </c>
    </row>
    <row r="22" spans="1:10" hidden="1" x14ac:dyDescent="0.25">
      <c r="A22">
        <v>18</v>
      </c>
      <c r="E22" s="3" t="str">
        <f>_xlfn.CONCAT("(",FIXED(ABS(VLOOKUP($A22,'Reg1'!$A:$H,E$1,0)),4),")")</f>
        <v>(0.0390)</v>
      </c>
      <c r="F22" s="3" t="str">
        <f>_xlfn.CONCAT("(",FIXED(ABS(VLOOKUP($A22,'Reg1'!$A:$H,F$1,0)),4),")")</f>
        <v>(0.0240)</v>
      </c>
      <c r="G22" s="3" t="str">
        <f>_xlfn.CONCAT("(",FIXED(ABS(VLOOKUP($A22,'Reg1'!$A:$H,G$1,0)),4),")")</f>
        <v>(0.0210)</v>
      </c>
      <c r="H22" s="3" t="str">
        <f>_xlfn.CONCAT("(",FIXED(ABS(VLOOKUP($A22,'Reg1'!$A:$H,H$1,0)),4),")")</f>
        <v>(0.0180)</v>
      </c>
      <c r="I22" s="3" t="str">
        <f>_xlfn.CONCAT("(",FIXED(ABS(VLOOKUP($A22,'Reg1'!$A:$H,I$1,0)),4),")")</f>
        <v>(0.0170)</v>
      </c>
      <c r="J22" s="3" t="str">
        <f>_xlfn.CONCAT("(",FIXED(VLOOKUP($A21,Reg1_Robust!A:AG,4,0),4),")")</f>
        <v>(0.0349)</v>
      </c>
    </row>
    <row r="23" spans="1:10" x14ac:dyDescent="0.25">
      <c r="A23">
        <v>19</v>
      </c>
      <c r="B23" t="s">
        <v>15</v>
      </c>
      <c r="C23" t="s">
        <v>366</v>
      </c>
      <c r="F23" s="3" t="str">
        <f>VLOOKUP($A23,'Reg1'!$A:$H,F$1,0)</f>
        <v>0.035***</v>
      </c>
      <c r="G23" s="3" t="str">
        <f>VLOOKUP($A23,'Reg1'!$A:$H,G$1,0)</f>
        <v>-0.014***</v>
      </c>
      <c r="H23" s="3" t="str">
        <f>VLOOKUP($A23,'Reg1'!$A:$H,H$1,0)</f>
        <v>0.013***</v>
      </c>
      <c r="I23" s="3" t="str">
        <f>VLOOKUP($A23,'Reg1'!$A:$H,I$1,0)</f>
        <v>0.024***</v>
      </c>
      <c r="J23" s="3" t="str">
        <f>_xlfn.CONCAT(FIXED(VLOOKUP($A23,Reg1_Robust!A:AG,3,0),3),VLOOKUP($A23,Reg1_Robust!A:AG,28,0))</f>
        <v>0.024</v>
      </c>
    </row>
    <row r="24" spans="1:10" x14ac:dyDescent="0.25">
      <c r="A24">
        <v>20</v>
      </c>
      <c r="F24" s="3" t="str">
        <f>_xlfn.CONCAT("(",FIXED(ABS(VLOOKUP($A24,'Reg1'!$A:$H,F$1,0)),4),")")</f>
        <v>(0.0020)</v>
      </c>
      <c r="G24" s="3" t="str">
        <f>_xlfn.CONCAT("(",FIXED(ABS(VLOOKUP($A24,'Reg1'!$A:$H,G$1,0)),4),")")</f>
        <v>(0.0020)</v>
      </c>
      <c r="H24" s="3" t="str">
        <f>_xlfn.CONCAT("(",FIXED(ABS(VLOOKUP($A24,'Reg1'!$A:$H,H$1,0)),4),")")</f>
        <v>(0.0020)</v>
      </c>
      <c r="I24" s="3" t="str">
        <f>_xlfn.CONCAT("(",FIXED(ABS(VLOOKUP($A24,'Reg1'!$A:$H,I$1,0)),4),")")</f>
        <v>(0.0020)</v>
      </c>
      <c r="J24" s="3" t="str">
        <f>_xlfn.CONCAT("(",FIXED(VLOOKUP($A23,Reg1_Robust!A:AG,4,0),4),")")</f>
        <v>(0.0226)</v>
      </c>
    </row>
    <row r="25" spans="1:10" x14ac:dyDescent="0.25">
      <c r="A25">
        <v>21</v>
      </c>
      <c r="B25" t="s">
        <v>13</v>
      </c>
      <c r="C25" t="s">
        <v>367</v>
      </c>
      <c r="F25" s="3" t="str">
        <f>VLOOKUP($A25,'Reg1'!$A:$H,F$1,0)</f>
        <v>0.090***</v>
      </c>
      <c r="G25" s="3" t="str">
        <f>VLOOKUP($A25,'Reg1'!$A:$H,G$1,0)</f>
        <v>0.091***</v>
      </c>
      <c r="H25" s="3" t="str">
        <f>VLOOKUP($A25,'Reg1'!$A:$H,H$1,0)</f>
        <v>0.061***</v>
      </c>
      <c r="I25" s="3" t="str">
        <f>VLOOKUP($A25,'Reg1'!$A:$H,I$1,0)</f>
        <v>0.054***</v>
      </c>
      <c r="J25" s="3" t="str">
        <f>_xlfn.CONCAT(FIXED(VLOOKUP($A25,Reg1_Robust!A:AG,3,0),3),VLOOKUP($A25,Reg1_Robust!A:AG,28,0))</f>
        <v>0.054***</v>
      </c>
    </row>
    <row r="26" spans="1:10" x14ac:dyDescent="0.25">
      <c r="A26">
        <v>22</v>
      </c>
      <c r="F26" s="3" t="str">
        <f>_xlfn.CONCAT("(",FIXED(ABS(VLOOKUP($A26,'Reg1'!$A:$H,F$1,0)),4),")")</f>
        <v>(0.0040)</v>
      </c>
      <c r="G26" s="3" t="str">
        <f>_xlfn.CONCAT("(",FIXED(ABS(VLOOKUP($A26,'Reg1'!$A:$H,G$1,0)),4),")")</f>
        <v>(0.0030)</v>
      </c>
      <c r="H26" s="3" t="str">
        <f>_xlfn.CONCAT("(",FIXED(ABS(VLOOKUP($A26,'Reg1'!$A:$H,H$1,0)),4),")")</f>
        <v>(0.0030)</v>
      </c>
      <c r="I26" s="3" t="str">
        <f>_xlfn.CONCAT("(",FIXED(ABS(VLOOKUP($A26,'Reg1'!$A:$H,I$1,0)),4),")")</f>
        <v>(0.0030)</v>
      </c>
      <c r="J26" s="3" t="str">
        <f>_xlfn.CONCAT("(",FIXED(VLOOKUP($A25,Reg1_Robust!A:AG,4,0),4),")")</f>
        <v>(0.0164)</v>
      </c>
    </row>
    <row r="27" spans="1:10" x14ac:dyDescent="0.25">
      <c r="A27">
        <v>23</v>
      </c>
      <c r="B27" t="s">
        <v>14</v>
      </c>
      <c r="C27" t="s">
        <v>368</v>
      </c>
      <c r="F27" s="3" t="str">
        <f>VLOOKUP($A27,'Reg1'!$A:$H,F$1,0)</f>
        <v>0.064***</v>
      </c>
      <c r="G27" s="3" t="str">
        <f>VLOOKUP($A27,'Reg1'!$A:$H,G$1,0)</f>
        <v>0.047***</v>
      </c>
      <c r="H27" s="3" t="str">
        <f>VLOOKUP($A27,'Reg1'!$A:$H,H$1,0)</f>
        <v>0.057***</v>
      </c>
      <c r="I27" s="3" t="str">
        <f>VLOOKUP($A27,'Reg1'!$A:$H,I$1,0)</f>
        <v>0.057***</v>
      </c>
      <c r="J27" s="3" t="str">
        <f>_xlfn.CONCAT(FIXED(VLOOKUP($A27,Reg1_Robust!A:AG,3,0),3),VLOOKUP($A27,Reg1_Robust!A:AG,28,0))</f>
        <v>0.057***</v>
      </c>
    </row>
    <row r="28" spans="1:10" x14ac:dyDescent="0.25">
      <c r="A28">
        <v>24</v>
      </c>
      <c r="F28" s="3" t="str">
        <f>_xlfn.CONCAT("(",FIXED(ABS(VLOOKUP($A28,'Reg1'!$A:$H,F$1,0)),4),")")</f>
        <v>(0.0040)</v>
      </c>
      <c r="G28" s="3" t="str">
        <f>_xlfn.CONCAT("(",FIXED(ABS(VLOOKUP($A28,'Reg1'!$A:$H,G$1,0)),4),")")</f>
        <v>(0.0040)</v>
      </c>
      <c r="H28" s="3" t="str">
        <f>_xlfn.CONCAT("(",FIXED(ABS(VLOOKUP($A28,'Reg1'!$A:$H,H$1,0)),4),")")</f>
        <v>(0.0030)</v>
      </c>
      <c r="I28" s="3" t="str">
        <f>_xlfn.CONCAT("(",FIXED(ABS(VLOOKUP($A28,'Reg1'!$A:$H,I$1,0)),4),")")</f>
        <v>(0.0030)</v>
      </c>
      <c r="J28" s="3" t="str">
        <f>_xlfn.CONCAT("(",FIXED(VLOOKUP($A27,Reg1_Robust!A:AG,4,0),4),")")</f>
        <v>(0.0090)</v>
      </c>
    </row>
    <row r="29" spans="1:10" x14ac:dyDescent="0.25">
      <c r="A29">
        <v>25</v>
      </c>
      <c r="B29" t="s">
        <v>59</v>
      </c>
      <c r="C29" t="s">
        <v>369</v>
      </c>
      <c r="F29" s="3" t="str">
        <f>VLOOKUP($A29,'Reg1'!$A:$H,F$1,0)</f>
        <v>-0.182***</v>
      </c>
      <c r="G29" s="3" t="str">
        <f>VLOOKUP($A29,'Reg1'!$A:$H,G$1,0)</f>
        <v>-0.106***</v>
      </c>
      <c r="H29" s="3" t="str">
        <f>VLOOKUP($A29,'Reg1'!$A:$H,H$1,0)</f>
        <v>-0.097***</v>
      </c>
      <c r="I29" s="3" t="str">
        <f>VLOOKUP($A29,'Reg1'!$A:$H,I$1,0)</f>
        <v>-0.093***</v>
      </c>
      <c r="J29" s="3" t="str">
        <f>_xlfn.CONCAT(FIXED(VLOOKUP($A29,Reg1_Robust!A:AG,3,0),3),VLOOKUP($A29,Reg1_Robust!A:AG,28,0))</f>
        <v>-0.093***</v>
      </c>
    </row>
    <row r="30" spans="1:10" x14ac:dyDescent="0.25">
      <c r="A30">
        <v>26</v>
      </c>
      <c r="F30" s="3" t="str">
        <f>_xlfn.CONCAT("(",FIXED(ABS(VLOOKUP($A30,'Reg1'!$A:$H,F$1,0)),4),")")</f>
        <v>(0.0040)</v>
      </c>
      <c r="G30" s="3" t="str">
        <f>_xlfn.CONCAT("(",FIXED(ABS(VLOOKUP($A30,'Reg1'!$A:$H,G$1,0)),4),")")</f>
        <v>(0.0040)</v>
      </c>
      <c r="H30" s="3" t="str">
        <f>_xlfn.CONCAT("(",FIXED(ABS(VLOOKUP($A30,'Reg1'!$A:$H,H$1,0)),4),")")</f>
        <v>(0.0030)</v>
      </c>
      <c r="I30" s="3" t="str">
        <f>_xlfn.CONCAT("(",FIXED(ABS(VLOOKUP($A30,'Reg1'!$A:$H,I$1,0)),4),")")</f>
        <v>(0.0030)</v>
      </c>
      <c r="J30" s="3" t="str">
        <f>_xlfn.CONCAT("(",FIXED(VLOOKUP($A29,Reg1_Robust!A:AG,4,0),4),")")</f>
        <v>(0.0295)</v>
      </c>
    </row>
    <row r="31" spans="1:10" x14ac:dyDescent="0.25">
      <c r="A31">
        <v>27</v>
      </c>
      <c r="B31" t="s">
        <v>60</v>
      </c>
      <c r="C31" t="s">
        <v>370</v>
      </c>
      <c r="F31" s="3" t="str">
        <f>VLOOKUP($A31,'Reg1'!$A:$H,F$1,0)</f>
        <v>-0.087***</v>
      </c>
      <c r="G31" s="3" t="str">
        <f>VLOOKUP($A31,'Reg1'!$A:$H,G$1,0)</f>
        <v>-0.032***</v>
      </c>
      <c r="H31" s="3" t="str">
        <f>VLOOKUP($A31,'Reg1'!$A:$H,H$1,0)</f>
        <v>-0.056***</v>
      </c>
      <c r="I31" s="3" t="str">
        <f>VLOOKUP($A31,'Reg1'!$A:$H,I$1,0)</f>
        <v>-0.055***</v>
      </c>
      <c r="J31" s="3" t="str">
        <f>_xlfn.CONCAT(FIXED(VLOOKUP($A31,Reg1_Robust!A:AG,3,0),3),VLOOKUP($A31,Reg1_Robust!A:AG,28,0))</f>
        <v>-0.055***</v>
      </c>
    </row>
    <row r="32" spans="1:10" x14ac:dyDescent="0.25">
      <c r="A32">
        <v>28</v>
      </c>
      <c r="F32" s="3" t="str">
        <f>_xlfn.CONCAT("(",FIXED(ABS(VLOOKUP($A32,'Reg1'!$A:$H,F$1,0)),4),")")</f>
        <v>(0.0040)</v>
      </c>
      <c r="G32" s="3" t="str">
        <f>_xlfn.CONCAT("(",FIXED(ABS(VLOOKUP($A32,'Reg1'!$A:$H,G$1,0)),4),")")</f>
        <v>(0.0040)</v>
      </c>
      <c r="H32" s="3" t="str">
        <f>_xlfn.CONCAT("(",FIXED(ABS(VLOOKUP($A32,'Reg1'!$A:$H,H$1,0)),4),")")</f>
        <v>(0.0040)</v>
      </c>
      <c r="I32" s="3" t="str">
        <f>_xlfn.CONCAT("(",FIXED(ABS(VLOOKUP($A32,'Reg1'!$A:$H,I$1,0)),4),")")</f>
        <v>(0.0040)</v>
      </c>
      <c r="J32" s="3" t="str">
        <f>_xlfn.CONCAT("(",FIXED(VLOOKUP($A31,Reg1_Robust!A:AG,4,0),4),")")</f>
        <v>(0.0101)</v>
      </c>
    </row>
    <row r="33" spans="1:10" x14ac:dyDescent="0.25">
      <c r="A33">
        <v>29</v>
      </c>
      <c r="B33" t="s">
        <v>18</v>
      </c>
      <c r="C33" t="s">
        <v>371</v>
      </c>
      <c r="F33" s="3" t="str">
        <f>VLOOKUP($A33,'Reg1'!$A:$H,F$1,0)</f>
        <v>0.0003***</v>
      </c>
      <c r="G33" s="3" t="str">
        <f>VLOOKUP($A33,'Reg1'!$A:$H,G$1,0)</f>
        <v>0.0003***</v>
      </c>
      <c r="H33" s="3" t="str">
        <f>VLOOKUP($A33,'Reg1'!$A:$H,H$1,0)</f>
        <v>0.0002***</v>
      </c>
      <c r="I33" s="3" t="str">
        <f>VLOOKUP($A33,'Reg1'!$A:$H,I$1,0)</f>
        <v>0.0002***</v>
      </c>
      <c r="J33" s="3" t="str">
        <f>_xlfn.CONCAT(FIXED(VLOOKUP($A33,Reg1_Robust!A:AG,3,0),4),VLOOKUP($A33,Reg1_Robust!A:AG,28,0))</f>
        <v>0.0002***</v>
      </c>
    </row>
    <row r="34" spans="1:10" x14ac:dyDescent="0.25">
      <c r="A34">
        <v>30</v>
      </c>
      <c r="F34" s="3" t="str">
        <f>_xlfn.CONCAT("(",FIXED(ABS(VLOOKUP($A34,'Reg1'!$A:$H,F$1,0)),6),")")</f>
        <v>(0.000000)</v>
      </c>
      <c r="G34" s="3" t="str">
        <f>_xlfn.CONCAT("(",FIXED(ABS(VLOOKUP($A34,'Reg1'!$A:$H,G$1,0)),4),")")</f>
        <v>(0.0000)</v>
      </c>
      <c r="H34" s="3" t="str">
        <f>_xlfn.CONCAT("(",FIXED(ABS(VLOOKUP($A34,'Reg1'!$A:$H,H$1,0)),4),")")</f>
        <v>(0.0000)</v>
      </c>
      <c r="I34" s="3" t="str">
        <f>_xlfn.CONCAT("(",FIXED(ABS(VLOOKUP($A34,'Reg1'!$A:$H,I$1,0)),4),")")</f>
        <v>(0.0000)</v>
      </c>
      <c r="J34" s="3" t="str">
        <f>_xlfn.CONCAT("(",FIXED(VLOOKUP($A33,Reg1_Robust!A:AG,4,0),4),")")</f>
        <v>(0.0000)</v>
      </c>
    </row>
    <row r="35" spans="1:10" x14ac:dyDescent="0.25">
      <c r="A35">
        <v>31</v>
      </c>
      <c r="B35" t="s">
        <v>33</v>
      </c>
      <c r="C35" t="s">
        <v>33</v>
      </c>
      <c r="F35" s="3" t="str">
        <f>VLOOKUP($A35,'Reg1'!$A:$H,F$1,0)</f>
        <v>-0.016***</v>
      </c>
      <c r="G35" s="3" t="str">
        <f>VLOOKUP($A35,'Reg1'!$A:$H,G$1,0)</f>
        <v>-0.010***</v>
      </c>
      <c r="H35" s="3" t="str">
        <f>VLOOKUP($A35,'Reg1'!$A:$H,H$1,0)</f>
        <v>-0.014***</v>
      </c>
      <c r="I35" s="3" t="str">
        <f>VLOOKUP($A35,'Reg1'!$A:$H,I$1,0)</f>
        <v>-0.014***</v>
      </c>
      <c r="J35" s="3" t="str">
        <f>_xlfn.CONCAT(FIXED(VLOOKUP($A35,Reg1_Robust!A:AG,3,0),3),VLOOKUP($A35,Reg1_Robust!A:AG,28,0))</f>
        <v>-0.014***</v>
      </c>
    </row>
    <row r="36" spans="1:10" x14ac:dyDescent="0.25">
      <c r="A36">
        <v>32</v>
      </c>
      <c r="F36" s="3" t="str">
        <f>_xlfn.CONCAT("(",FIXED(ABS(VLOOKUP($A36,'Reg1'!$A:$H,F$1,0)),4),")")</f>
        <v>(0.0003)</v>
      </c>
      <c r="G36" s="3" t="str">
        <f>_xlfn.CONCAT("(",FIXED(ABS(VLOOKUP($A36,'Reg1'!$A:$H,G$1,0)),4),")")</f>
        <v>(0.0003)</v>
      </c>
      <c r="H36" s="3" t="str">
        <f>_xlfn.CONCAT("(",FIXED(ABS(VLOOKUP($A36,'Reg1'!$A:$H,H$1,0)),4),")")</f>
        <v>(0.0002)</v>
      </c>
      <c r="I36" s="3" t="str">
        <f>_xlfn.CONCAT("(",FIXED(ABS(VLOOKUP($A36,'Reg1'!$A:$H,I$1,0)),4),")")</f>
        <v>(0.0002)</v>
      </c>
      <c r="J36" s="3" t="str">
        <f>_xlfn.CONCAT("(",FIXED(VLOOKUP($A35,Reg1_Robust!A:AG,4,0),4),")")</f>
        <v>(0.0045)</v>
      </c>
    </row>
    <row r="37" spans="1:10" x14ac:dyDescent="0.25">
      <c r="A37">
        <v>33</v>
      </c>
      <c r="B37" t="s">
        <v>34</v>
      </c>
      <c r="C37" t="s">
        <v>34</v>
      </c>
      <c r="F37" s="3" t="str">
        <f>VLOOKUP($A37,'Reg1'!$A:$H,F$1,0)</f>
        <v>0.196***</v>
      </c>
      <c r="G37" s="3" t="str">
        <f>VLOOKUP($A37,'Reg1'!$A:$H,G$1,0)</f>
        <v>0.146***</v>
      </c>
      <c r="H37" s="3" t="str">
        <f>VLOOKUP($A37,'Reg1'!$A:$H,H$1,0)</f>
        <v>0.156***</v>
      </c>
      <c r="I37" s="3" t="str">
        <f>VLOOKUP($A37,'Reg1'!$A:$H,I$1,0)</f>
        <v>0.148***</v>
      </c>
      <c r="J37" s="3" t="str">
        <f>_xlfn.CONCAT(FIXED(VLOOKUP($A37,Reg1_Robust!A:AG,3,0),3),VLOOKUP($A37,Reg1_Robust!A:AG,28,0))</f>
        <v>0.148***</v>
      </c>
    </row>
    <row r="38" spans="1:10" x14ac:dyDescent="0.25">
      <c r="A38">
        <v>34</v>
      </c>
      <c r="F38" s="3" t="str">
        <f>_xlfn.CONCAT("(",FIXED(ABS(VLOOKUP($A38,'Reg1'!$A:$H,F$1,0)),4),")")</f>
        <v>(0.0030)</v>
      </c>
      <c r="G38" s="3" t="str">
        <f>_xlfn.CONCAT("(",FIXED(ABS(VLOOKUP($A38,'Reg1'!$A:$H,G$1,0)),4),")")</f>
        <v>(0.0030)</v>
      </c>
      <c r="H38" s="3" t="str">
        <f>_xlfn.CONCAT("(",FIXED(ABS(VLOOKUP($A38,'Reg1'!$A:$H,H$1,0)),4),")")</f>
        <v>(0.0030)</v>
      </c>
      <c r="I38" s="3" t="str">
        <f>_xlfn.CONCAT("(",FIXED(ABS(VLOOKUP($A38,'Reg1'!$A:$H,I$1,0)),4),")")</f>
        <v>(0.0030)</v>
      </c>
      <c r="J38" s="3" t="str">
        <f>_xlfn.CONCAT("(",FIXED(VLOOKUP($A37,Reg1_Robust!A:AG,4,0),4),")")</f>
        <v>(0.0439)</v>
      </c>
    </row>
    <row r="39" spans="1:10" x14ac:dyDescent="0.25">
      <c r="A39">
        <v>35</v>
      </c>
      <c r="B39" t="s">
        <v>21</v>
      </c>
      <c r="C39" t="s">
        <v>21</v>
      </c>
      <c r="F39" s="3">
        <f>VLOOKUP($A39,'Reg1'!$A:$H,F$1,0)</f>
        <v>-1E-3</v>
      </c>
      <c r="G39" s="3" t="str">
        <f>VLOOKUP($A39,'Reg1'!$A:$H,G$1,0)</f>
        <v>-0.027**</v>
      </c>
      <c r="H39" s="3" t="str">
        <f>VLOOKUP($A39,'Reg1'!$A:$H,H$1,0)</f>
        <v>-0.053***</v>
      </c>
      <c r="I39" s="3" t="str">
        <f>VLOOKUP($A39,'Reg1'!$A:$H,I$1,0)</f>
        <v>-0.040***</v>
      </c>
      <c r="J39" s="3" t="str">
        <f>_xlfn.CONCAT(FIXED(VLOOKUP($A39,Reg1_Robust!A:AG,3,0),3),VLOOKUP($A39,Reg1_Robust!A:AG,28,0))</f>
        <v>-0.040**</v>
      </c>
    </row>
    <row r="40" spans="1:10" x14ac:dyDescent="0.25">
      <c r="A40">
        <v>36</v>
      </c>
      <c r="F40" s="3" t="str">
        <f>_xlfn.CONCAT("(",FIXED(ABS(VLOOKUP($A40,'Reg1'!$A:$H,F$1,0)),4),")")</f>
        <v>(0.0140)</v>
      </c>
      <c r="G40" s="3" t="str">
        <f>_xlfn.CONCAT("(",FIXED(ABS(VLOOKUP($A40,'Reg1'!$A:$H,G$1,0)),4),")")</f>
        <v>(0.0130)</v>
      </c>
      <c r="H40" s="3" t="str">
        <f>_xlfn.CONCAT("(",FIXED(ABS(VLOOKUP($A40,'Reg1'!$A:$H,H$1,0)),4),")")</f>
        <v>(0.0110)</v>
      </c>
      <c r="I40" s="3" t="str">
        <f>_xlfn.CONCAT("(",FIXED(ABS(VLOOKUP($A40,'Reg1'!$A:$H,I$1,0)),4),")")</f>
        <v>(0.0100)</v>
      </c>
      <c r="J40" s="3" t="str">
        <f>_xlfn.CONCAT("(",FIXED(VLOOKUP($A39,Reg1_Robust!A:AG,4,0),4),")")</f>
        <v>(0.0161)</v>
      </c>
    </row>
    <row r="41" spans="1:10" x14ac:dyDescent="0.25">
      <c r="A41">
        <v>37</v>
      </c>
      <c r="B41" t="s">
        <v>227</v>
      </c>
      <c r="C41" t="s">
        <v>372</v>
      </c>
      <c r="F41" s="3" t="str">
        <f>VLOOKUP($A41,'Reg1'!$A:$H,F$1,0)</f>
        <v>0.150***</v>
      </c>
      <c r="G41" s="3" t="str">
        <f>VLOOKUP($A41,'Reg1'!$A:$H,G$1,0)</f>
        <v>0.151***</v>
      </c>
      <c r="H41" s="3" t="str">
        <f>VLOOKUP($A41,'Reg1'!$A:$H,H$1,0)</f>
        <v>0.119***</v>
      </c>
      <c r="I41" s="3" t="str">
        <f>VLOOKUP($A41,'Reg1'!$A:$H,I$1,0)</f>
        <v>0.109***</v>
      </c>
      <c r="J41" s="3" t="str">
        <f>_xlfn.CONCAT(FIXED(VLOOKUP($A41,Reg1_Robust!A:AG,3,0),3),VLOOKUP($A41,Reg1_Robust!A:AG,28,0))</f>
        <v>0.109***</v>
      </c>
    </row>
    <row r="42" spans="1:10" x14ac:dyDescent="0.25">
      <c r="A42">
        <v>38</v>
      </c>
      <c r="F42" s="3" t="str">
        <f>_xlfn.CONCAT("(",FIXED(ABS(VLOOKUP($A42,'Reg1'!$A:$H,F$1,0)),4),")")</f>
        <v>(0.0050)</v>
      </c>
      <c r="G42" s="3" t="str">
        <f>_xlfn.CONCAT("(",FIXED(ABS(VLOOKUP($A42,'Reg1'!$A:$H,G$1,0)),4),")")</f>
        <v>(0.0040)</v>
      </c>
      <c r="H42" s="3" t="str">
        <f>_xlfn.CONCAT("(",FIXED(ABS(VLOOKUP($A42,'Reg1'!$A:$H,H$1,0)),4),")")</f>
        <v>(0.0040)</v>
      </c>
      <c r="I42" s="3" t="str">
        <f>_xlfn.CONCAT("(",FIXED(ABS(VLOOKUP($A42,'Reg1'!$A:$H,I$1,0)),4),")")</f>
        <v>(0.0040)</v>
      </c>
      <c r="J42" s="3" t="str">
        <f>_xlfn.CONCAT("(",FIXED(VLOOKUP($A41,Reg1_Robust!A:AG,4,0),4),")")</f>
        <v>(0.0109)</v>
      </c>
    </row>
    <row r="43" spans="1:10" x14ac:dyDescent="0.25">
      <c r="A43">
        <v>39</v>
      </c>
      <c r="B43" t="s">
        <v>229</v>
      </c>
      <c r="C43" t="s">
        <v>373</v>
      </c>
      <c r="F43" s="3" t="str">
        <f>VLOOKUP($A43,'Reg1'!$A:$H,F$1,0)</f>
        <v>0.069***</v>
      </c>
      <c r="G43" s="3" t="str">
        <f>VLOOKUP($A43,'Reg1'!$A:$H,G$1,0)</f>
        <v>0.072***</v>
      </c>
      <c r="H43" s="3" t="str">
        <f>VLOOKUP($A43,'Reg1'!$A:$H,H$1,0)</f>
        <v>0.058***</v>
      </c>
      <c r="I43" s="3" t="str">
        <f>VLOOKUP($A43,'Reg1'!$A:$H,I$1,0)</f>
        <v>0.055***</v>
      </c>
      <c r="J43" s="3" t="str">
        <f>_xlfn.CONCAT(FIXED(VLOOKUP($A43,Reg1_Robust!A:AG,3,0),3),VLOOKUP($A43,Reg1_Robust!A:AG,28,0))</f>
        <v>0.055***</v>
      </c>
    </row>
    <row r="44" spans="1:10" x14ac:dyDescent="0.25">
      <c r="A44">
        <v>40</v>
      </c>
      <c r="F44" s="3" t="str">
        <f>_xlfn.CONCAT("(",FIXED(ABS(VLOOKUP($A44,'Reg1'!$A:$H,F$1,0)),4),")")</f>
        <v>(0.0040)</v>
      </c>
      <c r="G44" s="3" t="str">
        <f>_xlfn.CONCAT("(",FIXED(ABS(VLOOKUP($A44,'Reg1'!$A:$H,G$1,0)),4),")")</f>
        <v>(0.0040)</v>
      </c>
      <c r="H44" s="3" t="str">
        <f>_xlfn.CONCAT("(",FIXED(ABS(VLOOKUP($A44,'Reg1'!$A:$H,H$1,0)),4),")")</f>
        <v>(0.0030)</v>
      </c>
      <c r="I44" s="3" t="str">
        <f>_xlfn.CONCAT("(",FIXED(ABS(VLOOKUP($A44,'Reg1'!$A:$H,I$1,0)),4),")")</f>
        <v>(0.0030)</v>
      </c>
      <c r="J44" s="3" t="str">
        <f>_xlfn.CONCAT("(",FIXED(VLOOKUP($A43,Reg1_Robust!A:AG,4,0),4),")")</f>
        <v>(0.0047)</v>
      </c>
    </row>
    <row r="45" spans="1:10" x14ac:dyDescent="0.25">
      <c r="A45">
        <v>41</v>
      </c>
      <c r="B45" t="s">
        <v>233</v>
      </c>
      <c r="C45" t="s">
        <v>374</v>
      </c>
      <c r="F45" s="3" t="str">
        <f>VLOOKUP($A45,'Reg1'!$A:$H,F$1,0)</f>
        <v>-0.030***</v>
      </c>
      <c r="G45" s="3" t="str">
        <f>VLOOKUP($A45,'Reg1'!$A:$H,G$1,0)</f>
        <v>-0.057***</v>
      </c>
      <c r="H45" s="3" t="str">
        <f>VLOOKUP($A45,'Reg1'!$A:$H,H$1,0)</f>
        <v>-0.059***</v>
      </c>
      <c r="I45" s="3" t="str">
        <f>VLOOKUP($A45,'Reg1'!$A:$H,I$1,0)</f>
        <v>-0.058***</v>
      </c>
      <c r="J45" s="3" t="str">
        <f>_xlfn.CONCAT(FIXED(VLOOKUP($A45,Reg1_Robust!A:AG,3,0),3),VLOOKUP($A45,Reg1_Robust!A:AG,28,0))</f>
        <v>-0.058***</v>
      </c>
    </row>
    <row r="46" spans="1:10" x14ac:dyDescent="0.25">
      <c r="A46">
        <v>42</v>
      </c>
      <c r="F46" s="3" t="str">
        <f>_xlfn.CONCAT("(",FIXED(ABS(VLOOKUP($A46,'Reg1'!$A:$H,F$1,0)),4),")")</f>
        <v>(0.0080)</v>
      </c>
      <c r="G46" s="3" t="str">
        <f>_xlfn.CONCAT("(",FIXED(ABS(VLOOKUP($A46,'Reg1'!$A:$H,G$1,0)),4),")")</f>
        <v>(0.0070)</v>
      </c>
      <c r="H46" s="3" t="str">
        <f>_xlfn.CONCAT("(",FIXED(ABS(VLOOKUP($A46,'Reg1'!$A:$H,H$1,0)),4),")")</f>
        <v>(0.0060)</v>
      </c>
      <c r="I46" s="3" t="str">
        <f>_xlfn.CONCAT("(",FIXED(ABS(VLOOKUP($A46,'Reg1'!$A:$H,I$1,0)),4),")")</f>
        <v>(0.0060)</v>
      </c>
      <c r="J46" s="3" t="str">
        <f>_xlfn.CONCAT("(",FIXED(VLOOKUP($A45,Reg1_Robust!A:AG,4,0),4),")")</f>
        <v>(0.0095)</v>
      </c>
    </row>
    <row r="47" spans="1:10" x14ac:dyDescent="0.25">
      <c r="A47">
        <v>43</v>
      </c>
      <c r="B47" t="s">
        <v>22</v>
      </c>
      <c r="C47" t="s">
        <v>375</v>
      </c>
      <c r="G47" s="3" t="str">
        <f>VLOOKUP($A47,'Reg1'!$A:$H,G$1,0)</f>
        <v>0.041***</v>
      </c>
      <c r="H47" s="3" t="str">
        <f>VLOOKUP($A47,'Reg1'!$A:$H,H$1,0)</f>
        <v>0.018***</v>
      </c>
      <c r="I47" s="3" t="str">
        <f>VLOOKUP($A47,'Reg1'!$A:$H,I$1,0)</f>
        <v>0.020***</v>
      </c>
      <c r="J47" s="3" t="str">
        <f>_xlfn.CONCAT(FIXED(VLOOKUP($A47,Reg1_Robust!A:AG,3,0),3),VLOOKUP($A47,Reg1_Robust!A:AG,28,0))</f>
        <v>0.020</v>
      </c>
    </row>
    <row r="48" spans="1:10" x14ac:dyDescent="0.25">
      <c r="A48">
        <v>44</v>
      </c>
      <c r="G48" s="3" t="str">
        <f>_xlfn.CONCAT("(",FIXED(ABS(VLOOKUP($A48,'Reg1'!$A:$H,G$1,0)),4),")")</f>
        <v>(0.0080)</v>
      </c>
      <c r="H48" s="3" t="str">
        <f>_xlfn.CONCAT("(",FIXED(ABS(VLOOKUP($A48,'Reg1'!$A:$H,H$1,0)),4),")")</f>
        <v>(0.0070)</v>
      </c>
      <c r="I48" s="3" t="str">
        <f>_xlfn.CONCAT("(",FIXED(ABS(VLOOKUP($A48,'Reg1'!$A:$H,I$1,0)),4),")")</f>
        <v>(0.0060)</v>
      </c>
      <c r="J48" s="3" t="str">
        <f>_xlfn.CONCAT("(",FIXED(VLOOKUP($A47,Reg1_Robust!A:AG,4,0),4),")")</f>
        <v>(0.0119)</v>
      </c>
    </row>
    <row r="49" spans="1:10" x14ac:dyDescent="0.25">
      <c r="A49">
        <v>45</v>
      </c>
      <c r="B49" t="s">
        <v>23</v>
      </c>
      <c r="C49" t="s">
        <v>23</v>
      </c>
      <c r="G49" s="3" t="str">
        <f>VLOOKUP($A49,'Reg1'!$A:$H,G$1,0)</f>
        <v>-0.029*</v>
      </c>
      <c r="H49" s="3" t="str">
        <f>VLOOKUP($A49,'Reg1'!$A:$H,H$1,0)</f>
        <v>-0.036**</v>
      </c>
      <c r="I49" s="3" t="str">
        <f>VLOOKUP($A49,'Reg1'!$A:$H,I$1,0)</f>
        <v>-0.038***</v>
      </c>
      <c r="J49" s="3" t="str">
        <f>_xlfn.CONCAT(FIXED(VLOOKUP($A49,Reg1_Robust!A:AG,3,0),3),VLOOKUP($A49,Reg1_Robust!A:AG,28,0))</f>
        <v>-0.038</v>
      </c>
    </row>
    <row r="50" spans="1:10" x14ac:dyDescent="0.25">
      <c r="A50">
        <v>46</v>
      </c>
      <c r="G50" s="3" t="str">
        <f>_xlfn.CONCAT("(",FIXED(ABS(VLOOKUP($A50,'Reg1'!$A:$H,G$1,0)),4),")")</f>
        <v>(0.0160)</v>
      </c>
      <c r="H50" s="3" t="str">
        <f>_xlfn.CONCAT("(",FIXED(ABS(VLOOKUP($A50,'Reg1'!$A:$H,H$1,0)),4),")")</f>
        <v>(0.0140)</v>
      </c>
      <c r="I50" s="3" t="str">
        <f>_xlfn.CONCAT("(",FIXED(ABS(VLOOKUP($A50,'Reg1'!$A:$H,I$1,0)),4),")")</f>
        <v>(0.0130)</v>
      </c>
      <c r="J50" s="3" t="str">
        <f>_xlfn.CONCAT("(",FIXED(VLOOKUP($A49,Reg1_Robust!A:AG,4,0),4),")")</f>
        <v>(0.0261)</v>
      </c>
    </row>
    <row r="51" spans="1:10" x14ac:dyDescent="0.25">
      <c r="A51">
        <v>47</v>
      </c>
      <c r="B51" t="s">
        <v>24</v>
      </c>
      <c r="C51" t="s">
        <v>376</v>
      </c>
      <c r="G51" s="3" t="str">
        <f>VLOOKUP($A51,'Reg1'!$A:$H,G$1,0)</f>
        <v>-0.070***</v>
      </c>
      <c r="H51" s="3" t="str">
        <f>VLOOKUP($A51,'Reg1'!$A:$H,H$1,0)</f>
        <v>-0.098***</v>
      </c>
      <c r="I51" s="3" t="str">
        <f>VLOOKUP($A51,'Reg1'!$A:$H,I$1,0)</f>
        <v>-0.102***</v>
      </c>
      <c r="J51" s="3" t="str">
        <f>_xlfn.CONCAT(FIXED(VLOOKUP($A51,Reg1_Robust!A:AG,3,0),3),VLOOKUP($A51,Reg1_Robust!A:AG,28,0))</f>
        <v>-0.102***</v>
      </c>
    </row>
    <row r="52" spans="1:10" x14ac:dyDescent="0.25">
      <c r="A52">
        <v>48</v>
      </c>
      <c r="G52" s="3" t="str">
        <f>_xlfn.CONCAT("(",FIXED(ABS(VLOOKUP($A52,'Reg1'!$A:$H,G$1,0)),4),")")</f>
        <v>(0.0070)</v>
      </c>
      <c r="H52" s="3" t="str">
        <f>_xlfn.CONCAT("(",FIXED(ABS(VLOOKUP($A52,'Reg1'!$A:$H,H$1,0)),4),")")</f>
        <v>(0.0060)</v>
      </c>
      <c r="I52" s="3" t="str">
        <f>_xlfn.CONCAT("(",FIXED(ABS(VLOOKUP($A52,'Reg1'!$A:$H,I$1,0)),4),")")</f>
        <v>(0.0050)</v>
      </c>
      <c r="J52" s="3" t="str">
        <f>_xlfn.CONCAT("(",FIXED(VLOOKUP($A51,Reg1_Robust!A:AG,4,0),4),")")</f>
        <v>(0.0287)</v>
      </c>
    </row>
    <row r="53" spans="1:10" x14ac:dyDescent="0.25">
      <c r="A53">
        <v>49</v>
      </c>
      <c r="B53" t="s">
        <v>25</v>
      </c>
      <c r="C53" t="s">
        <v>377</v>
      </c>
      <c r="G53" s="3">
        <f>VLOOKUP($A53,'Reg1'!$A:$H,G$1,0)</f>
        <v>1.0999999999999999E-2</v>
      </c>
      <c r="H53" s="3" t="str">
        <f>VLOOKUP($A53,'Reg1'!$A:$H,H$1,0)</f>
        <v>-0.016**</v>
      </c>
      <c r="I53" s="3" t="str">
        <f>VLOOKUP($A53,'Reg1'!$A:$H,I$1,0)</f>
        <v>-0.044***</v>
      </c>
      <c r="J53" s="3" t="str">
        <f>_xlfn.CONCAT(FIXED(VLOOKUP($A53,Reg1_Robust!A:AG,3,0),3),VLOOKUP($A53,Reg1_Robust!A:AG,28,0))</f>
        <v>-0.044</v>
      </c>
    </row>
    <row r="54" spans="1:10" x14ac:dyDescent="0.25">
      <c r="A54">
        <v>50</v>
      </c>
      <c r="G54" s="3" t="str">
        <f>_xlfn.CONCAT("(",FIXED(ABS(VLOOKUP($A54,'Reg1'!$A:$H,G$1,0)),4),")")</f>
        <v>(0.0080)</v>
      </c>
      <c r="H54" s="3" t="str">
        <f>_xlfn.CONCAT("(",FIXED(ABS(VLOOKUP($A54,'Reg1'!$A:$H,H$1,0)),4),")")</f>
        <v>(0.0070)</v>
      </c>
      <c r="I54" s="3" t="str">
        <f>_xlfn.CONCAT("(",FIXED(ABS(VLOOKUP($A54,'Reg1'!$A:$H,I$1,0)),4),")")</f>
        <v>(0.0060)</v>
      </c>
      <c r="J54" s="3" t="str">
        <f>_xlfn.CONCAT("(",FIXED(VLOOKUP($A53,Reg1_Robust!A:AG,4,0),4),")")</f>
        <v>(0.0603)</v>
      </c>
    </row>
    <row r="55" spans="1:10" x14ac:dyDescent="0.25">
      <c r="A55">
        <v>51</v>
      </c>
      <c r="B55" t="s">
        <v>26</v>
      </c>
      <c r="C55" t="s">
        <v>26</v>
      </c>
      <c r="G55" s="3" t="str">
        <f>VLOOKUP($A55,'Reg1'!$A:$H,G$1,0)</f>
        <v>-0.012*</v>
      </c>
      <c r="H55" s="3" t="str">
        <f>VLOOKUP($A55,'Reg1'!$A:$H,H$1,0)</f>
        <v>0.013**</v>
      </c>
      <c r="I55" s="3">
        <f>VLOOKUP($A55,'Reg1'!$A:$H,I$1,0)</f>
        <v>-8.0000000000000002E-3</v>
      </c>
      <c r="J55" s="3" t="str">
        <f>_xlfn.CONCAT(FIXED(VLOOKUP($A55,Reg1_Robust!A:AG,3,0),3),VLOOKUP($A55,Reg1_Robust!A:AG,28,0))</f>
        <v>-0.008</v>
      </c>
    </row>
    <row r="56" spans="1:10" x14ac:dyDescent="0.25">
      <c r="A56">
        <v>52</v>
      </c>
      <c r="G56" s="3" t="str">
        <f>_xlfn.CONCAT("(",FIXED(ABS(VLOOKUP($A56,'Reg1'!$A:$H,G$1,0)),4),")")</f>
        <v>(0.0060)</v>
      </c>
      <c r="H56" s="3" t="str">
        <f>_xlfn.CONCAT("(",FIXED(ABS(VLOOKUP($A56,'Reg1'!$A:$H,H$1,0)),4),")")</f>
        <v>(0.0050)</v>
      </c>
      <c r="I56" s="3" t="str">
        <f>_xlfn.CONCAT("(",FIXED(ABS(VLOOKUP($A56,'Reg1'!$A:$H,I$1,0)),4),")")</f>
        <v>(0.0050)</v>
      </c>
      <c r="J56" s="3" t="str">
        <f>_xlfn.CONCAT("(",FIXED(VLOOKUP($A55,Reg1_Robust!A:AG,4,0),4),")")</f>
        <v>(0.0270)</v>
      </c>
    </row>
    <row r="57" spans="1:10" x14ac:dyDescent="0.25">
      <c r="A57">
        <v>53</v>
      </c>
      <c r="B57" t="s">
        <v>27</v>
      </c>
      <c r="C57" t="s">
        <v>378</v>
      </c>
      <c r="G57" s="3" t="str">
        <f>VLOOKUP($A57,'Reg1'!$A:$H,G$1,0)</f>
        <v>-0.078***</v>
      </c>
      <c r="H57" s="3" t="str">
        <f>VLOOKUP($A57,'Reg1'!$A:$H,H$1,0)</f>
        <v>-0.087***</v>
      </c>
      <c r="I57" s="3" t="str">
        <f>VLOOKUP($A57,'Reg1'!$A:$H,I$1,0)</f>
        <v>-0.121***</v>
      </c>
      <c r="J57" s="3" t="str">
        <f>_xlfn.CONCAT(FIXED(VLOOKUP($A57,Reg1_Robust!A:AG,3,0),3),VLOOKUP($A57,Reg1_Robust!A:AG,28,0))</f>
        <v>-0.121</v>
      </c>
    </row>
    <row r="58" spans="1:10" x14ac:dyDescent="0.25">
      <c r="A58">
        <v>54</v>
      </c>
      <c r="G58" s="3" t="str">
        <f>_xlfn.CONCAT("(",FIXED(ABS(VLOOKUP($A58,'Reg1'!$A:$H,G$1,0)),4),")")</f>
        <v>(0.0100)</v>
      </c>
      <c r="H58" s="3" t="str">
        <f>_xlfn.CONCAT("(",FIXED(ABS(VLOOKUP($A58,'Reg1'!$A:$H,H$1,0)),4),")")</f>
        <v>(0.0090)</v>
      </c>
      <c r="I58" s="3" t="str">
        <f>_xlfn.CONCAT("(",FIXED(ABS(VLOOKUP($A58,'Reg1'!$A:$H,I$1,0)),4),")")</f>
        <v>(0.0080)</v>
      </c>
      <c r="J58" s="3" t="str">
        <f>_xlfn.CONCAT("(",FIXED(VLOOKUP($A57,Reg1_Robust!A:AG,4,0),4),")")</f>
        <v>(0.1822)</v>
      </c>
    </row>
    <row r="59" spans="1:10" x14ac:dyDescent="0.25">
      <c r="A59">
        <v>55</v>
      </c>
      <c r="B59" t="s">
        <v>29</v>
      </c>
      <c r="C59" t="s">
        <v>29</v>
      </c>
      <c r="G59" s="3">
        <f>VLOOKUP($A59,'Reg1'!$A:$H,G$1,0)</f>
        <v>-1.6E-2</v>
      </c>
      <c r="H59" s="3">
        <f>VLOOKUP($A59,'Reg1'!$A:$H,H$1,0)</f>
        <v>1.6E-2</v>
      </c>
      <c r="I59" s="3" t="str">
        <f>VLOOKUP($A59,'Reg1'!$A:$H,I$1,0)</f>
        <v>0.028**</v>
      </c>
      <c r="J59" s="3" t="str">
        <f>_xlfn.CONCAT(FIXED(VLOOKUP($A59,Reg1_Robust!A:AG,3,0),3),VLOOKUP($A59,Reg1_Robust!A:AG,28,0))</f>
        <v>0.028</v>
      </c>
    </row>
    <row r="60" spans="1:10" x14ac:dyDescent="0.25">
      <c r="A60">
        <v>56</v>
      </c>
      <c r="G60" s="3" t="str">
        <f>_xlfn.CONCAT("(",FIXED(ABS(VLOOKUP($A60,'Reg1'!$A:$H,G$1,0)),4),")")</f>
        <v>(0.0160)</v>
      </c>
      <c r="H60" s="3" t="str">
        <f>_xlfn.CONCAT("(",FIXED(ABS(VLOOKUP($A60,'Reg1'!$A:$H,H$1,0)),4),")")</f>
        <v>(0.0140)</v>
      </c>
      <c r="I60" s="3" t="str">
        <f>_xlfn.CONCAT("(",FIXED(ABS(VLOOKUP($A60,'Reg1'!$A:$H,I$1,0)),4),")")</f>
        <v>(0.0130)</v>
      </c>
      <c r="J60" s="3" t="str">
        <f>_xlfn.CONCAT("(",FIXED(VLOOKUP($A59,Reg1_Robust!A:AG,4,0),4),")")</f>
        <v>(0.0302)</v>
      </c>
    </row>
    <row r="61" spans="1:10" x14ac:dyDescent="0.25">
      <c r="A61">
        <v>57</v>
      </c>
      <c r="B61" t="s">
        <v>31</v>
      </c>
      <c r="C61" t="s">
        <v>379</v>
      </c>
      <c r="G61" s="3" t="str">
        <f>VLOOKUP($A61,'Reg1'!$A:$H,G$1,0)</f>
        <v>-0.093***</v>
      </c>
      <c r="H61" s="3" t="str">
        <f>VLOOKUP($A61,'Reg1'!$A:$H,H$1,0)</f>
        <v>-0.054***</v>
      </c>
      <c r="I61" s="3" t="str">
        <f>VLOOKUP($A61,'Reg1'!$A:$H,I$1,0)</f>
        <v>-0.049***</v>
      </c>
      <c r="J61" s="3" t="str">
        <f>_xlfn.CONCAT(FIXED(VLOOKUP($A61,Reg1_Robust!A:AG,3,0),3),VLOOKUP($A61,Reg1_Robust!A:AG,28,0))</f>
        <v>-0.049*</v>
      </c>
    </row>
    <row r="62" spans="1:10" x14ac:dyDescent="0.25">
      <c r="A62">
        <v>58</v>
      </c>
      <c r="G62" s="3" t="str">
        <f>_xlfn.CONCAT("(",FIXED(ABS(VLOOKUP($A62,'Reg1'!$A:$H,G$1,0)),4),")")</f>
        <v>(0.0070)</v>
      </c>
      <c r="H62" s="3" t="str">
        <f>_xlfn.CONCAT("(",FIXED(ABS(VLOOKUP($A62,'Reg1'!$A:$H,H$1,0)),4),")")</f>
        <v>(0.0060)</v>
      </c>
      <c r="I62" s="3" t="str">
        <f>_xlfn.CONCAT("(",FIXED(ABS(VLOOKUP($A62,'Reg1'!$A:$H,I$1,0)),4),")")</f>
        <v>(0.0060)</v>
      </c>
      <c r="J62" s="3" t="str">
        <f>_xlfn.CONCAT("(",FIXED(VLOOKUP($A61,Reg1_Robust!A:AG,4,0),4),")")</f>
        <v>(0.0234)</v>
      </c>
    </row>
    <row r="63" spans="1:10" x14ac:dyDescent="0.25">
      <c r="A63">
        <v>59</v>
      </c>
      <c r="B63" t="s">
        <v>28</v>
      </c>
      <c r="C63" t="s">
        <v>438</v>
      </c>
      <c r="G63" s="3" t="str">
        <f>VLOOKUP($A63,'Reg1'!$A:$H,G$1,0)</f>
        <v>0.178***</v>
      </c>
      <c r="H63" s="3" t="str">
        <f>VLOOKUP($A63,'Reg1'!$A:$H,H$1,0)</f>
        <v>0.208***</v>
      </c>
      <c r="I63" s="3" t="str">
        <f>VLOOKUP($A63,'Reg1'!$A:$H,I$1,0)</f>
        <v>0.193***</v>
      </c>
      <c r="J63" s="3" t="str">
        <f>_xlfn.CONCAT(FIXED(VLOOKUP($A63,Reg1_Robust!A:AG,3,0),3),VLOOKUP($A63,Reg1_Robust!A:AG,28,0))</f>
        <v>0.193***</v>
      </c>
    </row>
    <row r="64" spans="1:10" x14ac:dyDescent="0.25">
      <c r="A64">
        <v>60</v>
      </c>
      <c r="G64" s="3" t="str">
        <f>_xlfn.CONCAT("(",FIXED(ABS(VLOOKUP($A64,'Reg1'!$A:$H,G$1,0)),4),")")</f>
        <v>(0.0060)</v>
      </c>
      <c r="H64" s="3" t="str">
        <f>_xlfn.CONCAT("(",FIXED(ABS(VLOOKUP($A64,'Reg1'!$A:$H,H$1,0)),4),")")</f>
        <v>(0.0060)</v>
      </c>
      <c r="I64" s="3" t="str">
        <f>_xlfn.CONCAT("(",FIXED(ABS(VLOOKUP($A64,'Reg1'!$A:$H,I$1,0)),4),")")</f>
        <v>(0.0050)</v>
      </c>
      <c r="J64" s="3" t="str">
        <f>_xlfn.CONCAT("(",FIXED(VLOOKUP($A63,Reg1_Robust!A:AG,4,0),4),")")</f>
        <v>(0.0403)</v>
      </c>
    </row>
    <row r="65" spans="1:10" x14ac:dyDescent="0.25">
      <c r="A65">
        <v>61</v>
      </c>
      <c r="B65" t="s">
        <v>239</v>
      </c>
      <c r="C65" t="s">
        <v>380</v>
      </c>
      <c r="G65" s="3">
        <f>VLOOKUP($A65,'Reg1'!$A:$H,G$1,0)</f>
        <v>-1.0999999999999999E-2</v>
      </c>
      <c r="H65" s="3" t="str">
        <f>VLOOKUP($A65,'Reg1'!$A:$H,H$1,0)</f>
        <v>-0.034**</v>
      </c>
      <c r="I65" s="3">
        <f>VLOOKUP($A65,'Reg1'!$A:$H,I$1,0)</f>
        <v>-1.0999999999999999E-2</v>
      </c>
      <c r="J65" s="3" t="str">
        <f>_xlfn.CONCAT(FIXED(VLOOKUP($A65,Reg1_Robust!A:AG,3,0),3),VLOOKUP($A65,Reg1_Robust!A:AG,28,0))</f>
        <v>-0.011</v>
      </c>
    </row>
    <row r="66" spans="1:10" x14ac:dyDescent="0.25">
      <c r="A66">
        <v>62</v>
      </c>
      <c r="G66" s="3" t="str">
        <f>_xlfn.CONCAT("(",FIXED(ABS(VLOOKUP($A66,'Reg1'!$A:$H,G$1,0)),4),")")</f>
        <v>(0.0150)</v>
      </c>
      <c r="H66" s="3" t="str">
        <f>_xlfn.CONCAT("(",FIXED(ABS(VLOOKUP($A66,'Reg1'!$A:$H,H$1,0)),4),")")</f>
        <v>(0.0140)</v>
      </c>
      <c r="I66" s="3" t="str">
        <f>_xlfn.CONCAT("(",FIXED(ABS(VLOOKUP($A66,'Reg1'!$A:$H,I$1,0)),4),")")</f>
        <v>(0.0130)</v>
      </c>
      <c r="J66" s="3" t="str">
        <f>_xlfn.CONCAT("(",FIXED(VLOOKUP($A65,Reg1_Robust!A:AG,4,0),4),")")</f>
        <v>(0.1047)</v>
      </c>
    </row>
    <row r="67" spans="1:10" x14ac:dyDescent="0.25">
      <c r="A67">
        <v>65</v>
      </c>
      <c r="B67" t="s">
        <v>240</v>
      </c>
      <c r="C67" t="s">
        <v>381</v>
      </c>
      <c r="G67" s="3" t="str">
        <f>VLOOKUP($A67,'Reg1'!$A:$H,G$1,0)</f>
        <v>-0.062***</v>
      </c>
      <c r="H67" s="3" t="str">
        <f>VLOOKUP($A67,'Reg1'!$A:$H,H$1,0)</f>
        <v>-0.038***</v>
      </c>
      <c r="I67" s="3" t="str">
        <f>VLOOKUP($A67,'Reg1'!$A:$H,I$1,0)</f>
        <v>-0.067***</v>
      </c>
      <c r="J67" s="3" t="str">
        <f>_xlfn.CONCAT(FIXED(VLOOKUP($A67,Reg1_Robust!A:AG,3,0),3),VLOOKUP($A67,Reg1_Robust!A:AG,28,0))</f>
        <v>-0.067*</v>
      </c>
    </row>
    <row r="68" spans="1:10" x14ac:dyDescent="0.25">
      <c r="A68">
        <v>66</v>
      </c>
      <c r="G68" s="3" t="str">
        <f>_xlfn.CONCAT("(",FIXED(ABS(VLOOKUP($A68,'Reg1'!$A:$H,G$1,0)),4),")")</f>
        <v>(0.0050)</v>
      </c>
      <c r="H68" s="3" t="str">
        <f>_xlfn.CONCAT("(",FIXED(ABS(VLOOKUP($A68,'Reg1'!$A:$H,H$1,0)),4),")")</f>
        <v>(0.0040)</v>
      </c>
      <c r="I68" s="3" t="str">
        <f>_xlfn.CONCAT("(",FIXED(ABS(VLOOKUP($A68,'Reg1'!$A:$H,I$1,0)),4),")")</f>
        <v>(0.0040)</v>
      </c>
      <c r="J68" s="3" t="str">
        <f>_xlfn.CONCAT("(",FIXED(VLOOKUP($A67,Reg1_Robust!A:AG,4,0),4),")")</f>
        <v>(0.0320)</v>
      </c>
    </row>
    <row r="69" spans="1:10" x14ac:dyDescent="0.25">
      <c r="A69">
        <v>63</v>
      </c>
      <c r="B69" t="s">
        <v>244</v>
      </c>
      <c r="C69" t="s">
        <v>382</v>
      </c>
      <c r="G69" s="3">
        <f>VLOOKUP($A69,'Reg1'!$A:$H,G$1,0)</f>
        <v>1E-3</v>
      </c>
      <c r="H69" s="3" t="str">
        <f>VLOOKUP($A69,'Reg1'!$A:$H,H$1,0)</f>
        <v>-0.045***</v>
      </c>
      <c r="I69" s="3">
        <f>VLOOKUP($A69,'Reg1'!$A:$H,I$1,0)</f>
        <v>-0.01</v>
      </c>
      <c r="J69" s="3" t="str">
        <f>_xlfn.CONCAT(FIXED(VLOOKUP($A69,Reg1_Robust!A:AG,3,0),3),VLOOKUP($A69,Reg1_Robust!A:AG,28,0))</f>
        <v>-0.010</v>
      </c>
    </row>
    <row r="70" spans="1:10" x14ac:dyDescent="0.25">
      <c r="A70">
        <v>64</v>
      </c>
      <c r="G70" s="3" t="str">
        <f>_xlfn.CONCAT("(",FIXED(ABS(VLOOKUP($A70,'Reg1'!$A:$H,G$1,0)),4),")")</f>
        <v>(0.0100)</v>
      </c>
      <c r="H70" s="3" t="str">
        <f>_xlfn.CONCAT("(",FIXED(ABS(VLOOKUP($A70,'Reg1'!$A:$H,H$1,0)),4),")")</f>
        <v>(0.0090)</v>
      </c>
      <c r="I70" s="3" t="str">
        <f>_xlfn.CONCAT("(",FIXED(ABS(VLOOKUP($A70,'Reg1'!$A:$H,I$1,0)),4),")")</f>
        <v>(0.0090)</v>
      </c>
      <c r="J70" s="3" t="str">
        <f>_xlfn.CONCAT("(",FIXED(VLOOKUP($A69,Reg1_Robust!A:AG,4,0),4),")")</f>
        <v>(0.0590)</v>
      </c>
    </row>
    <row r="71" spans="1:10" x14ac:dyDescent="0.25">
      <c r="A71">
        <v>67</v>
      </c>
      <c r="B71" t="s">
        <v>242</v>
      </c>
      <c r="C71" t="s">
        <v>383</v>
      </c>
      <c r="G71" s="3" t="str">
        <f>VLOOKUP($A71,'Reg1'!$A:$H,G$1,0)</f>
        <v>-0.073***</v>
      </c>
      <c r="H71" s="3" t="str">
        <f>VLOOKUP($A71,'Reg1'!$A:$H,H$1,0)</f>
        <v>-0.094***</v>
      </c>
      <c r="I71" s="3" t="str">
        <f>VLOOKUP($A71,'Reg1'!$A:$H,I$1,0)</f>
        <v>-0.076***</v>
      </c>
      <c r="J71" s="3" t="str">
        <f>_xlfn.CONCAT(FIXED(VLOOKUP($A71,Reg1_Robust!A:AG,3,0),3),VLOOKUP($A71,Reg1_Robust!A:AG,28,0))</f>
        <v>-0.076</v>
      </c>
    </row>
    <row r="72" spans="1:10" x14ac:dyDescent="0.25">
      <c r="A72">
        <v>68</v>
      </c>
      <c r="G72" s="3" t="str">
        <f>_xlfn.CONCAT("(",FIXED(ABS(VLOOKUP($A72,'Reg1'!$A:$H,G$1,0)),4),")")</f>
        <v>(0.0060)</v>
      </c>
      <c r="H72" s="3" t="str">
        <f>_xlfn.CONCAT("(",FIXED(ABS(VLOOKUP($A72,'Reg1'!$A:$H,H$1,0)),4),")")</f>
        <v>(0.0050)</v>
      </c>
      <c r="I72" s="3" t="str">
        <f>_xlfn.CONCAT("(",FIXED(ABS(VLOOKUP($A72,'Reg1'!$A:$H,I$1,0)),4),")")</f>
        <v>(0.0050)</v>
      </c>
      <c r="J72" s="3" t="str">
        <f>_xlfn.CONCAT("(",FIXED(VLOOKUP($A71,Reg1_Robust!A:AG,4,0),4),")")</f>
        <v>(0.0533)</v>
      </c>
    </row>
    <row r="73" spans="1:10" x14ac:dyDescent="0.25">
      <c r="A73">
        <v>69</v>
      </c>
      <c r="B73" t="s">
        <v>245</v>
      </c>
      <c r="C73" t="s">
        <v>384</v>
      </c>
      <c r="G73" s="3" t="str">
        <f>VLOOKUP($A73,'Reg1'!$A:$H,G$1,0)</f>
        <v>0.101***</v>
      </c>
      <c r="H73" s="3">
        <f>VLOOKUP($A73,'Reg1'!$A:$H,H$1,0)</f>
        <v>1.4E-2</v>
      </c>
      <c r="I73" s="3" t="str">
        <f>VLOOKUP($A73,'Reg1'!$A:$H,I$1,0)</f>
        <v>0.045***</v>
      </c>
      <c r="J73" s="3" t="str">
        <f>_xlfn.CONCAT(FIXED(VLOOKUP($A73,Reg1_Robust!A:AG,3,0),3),VLOOKUP($A73,Reg1_Robust!A:AG,28,0))</f>
        <v>0.045</v>
      </c>
    </row>
    <row r="74" spans="1:10" x14ac:dyDescent="0.25">
      <c r="A74">
        <v>70</v>
      </c>
      <c r="G74" s="3" t="str">
        <f>_xlfn.CONCAT("(",FIXED(ABS(VLOOKUP($A74,'Reg1'!$A:$H,G$1,0)),4),")")</f>
        <v>(0.0100)</v>
      </c>
      <c r="H74" s="3" t="str">
        <f>_xlfn.CONCAT("(",FIXED(ABS(VLOOKUP($A74,'Reg1'!$A:$H,H$1,0)),4),")")</f>
        <v>(0.0090)</v>
      </c>
      <c r="I74" s="3" t="str">
        <f>_xlfn.CONCAT("(",FIXED(ABS(VLOOKUP($A74,'Reg1'!$A:$H,I$1,0)),4),")")</f>
        <v>(0.0080)</v>
      </c>
      <c r="J74" s="3" t="str">
        <f>_xlfn.CONCAT("(",FIXED(VLOOKUP($A73,Reg1_Robust!A:AG,4,0),4),")")</f>
        <v>(0.0586)</v>
      </c>
    </row>
    <row r="75" spans="1:10" x14ac:dyDescent="0.25">
      <c r="A75">
        <v>71</v>
      </c>
      <c r="B75" t="s">
        <v>247</v>
      </c>
      <c r="C75" t="s">
        <v>385</v>
      </c>
      <c r="G75" s="3" t="str">
        <f>VLOOKUP($A75,'Reg1'!$A:$H,G$1,0)</f>
        <v>0.162***</v>
      </c>
      <c r="H75" s="3" t="str">
        <f>VLOOKUP($A75,'Reg1'!$A:$H,H$1,0)</f>
        <v>0.072***</v>
      </c>
      <c r="I75" s="3">
        <f>VLOOKUP($A75,'Reg1'!$A:$H,I$1,0)</f>
        <v>-8.0000000000000002E-3</v>
      </c>
      <c r="J75" s="3" t="str">
        <f>_xlfn.CONCAT(FIXED(VLOOKUP($A75,Reg1_Robust!A:AG,3,0),3),VLOOKUP($A75,Reg1_Robust!A:AG,28,0))</f>
        <v>-0.008</v>
      </c>
    </row>
    <row r="76" spans="1:10" x14ac:dyDescent="0.25">
      <c r="A76">
        <v>72</v>
      </c>
      <c r="G76" s="3" t="str">
        <f>_xlfn.CONCAT("(",FIXED(ABS(VLOOKUP($A76,'Reg1'!$A:$H,G$1,0)),4),")")</f>
        <v>(0.0070)</v>
      </c>
      <c r="H76" s="3" t="str">
        <f>_xlfn.CONCAT("(",FIXED(ABS(VLOOKUP($A76,'Reg1'!$A:$H,H$1,0)),4),")")</f>
        <v>(0.0070)</v>
      </c>
      <c r="I76" s="3" t="str">
        <f>_xlfn.CONCAT("(",FIXED(ABS(VLOOKUP($A76,'Reg1'!$A:$H,I$1,0)),4),")")</f>
        <v>(0.0060)</v>
      </c>
      <c r="J76" s="3" t="str">
        <f>_xlfn.CONCAT("(",FIXED(VLOOKUP($A75,Reg1_Robust!A:AG,4,0),4),")")</f>
        <v>(0.1438)</v>
      </c>
    </row>
    <row r="77" spans="1:10" x14ac:dyDescent="0.25">
      <c r="A77">
        <v>73</v>
      </c>
      <c r="B77" t="s">
        <v>249</v>
      </c>
      <c r="C77" t="s">
        <v>386</v>
      </c>
      <c r="G77" s="3" t="str">
        <f>VLOOKUP($A77,'Reg1'!$A:$H,G$1,0)</f>
        <v>0.637***</v>
      </c>
      <c r="H77" s="3" t="str">
        <f>VLOOKUP($A77,'Reg1'!$A:$H,H$1,0)</f>
        <v>0.560***</v>
      </c>
      <c r="I77" s="3" t="str">
        <f>VLOOKUP($A77,'Reg1'!$A:$H,I$1,0)</f>
        <v>0.269***</v>
      </c>
      <c r="J77" s="3" t="str">
        <f>_xlfn.CONCAT(FIXED(VLOOKUP($A77,Reg1_Robust!A:AG,3,0),3),VLOOKUP($A77,Reg1_Robust!A:AG,28,0))</f>
        <v>0.269</v>
      </c>
    </row>
    <row r="78" spans="1:10" x14ac:dyDescent="0.25">
      <c r="A78">
        <v>74</v>
      </c>
      <c r="G78" s="3" t="str">
        <f>_xlfn.CONCAT("(",FIXED(ABS(VLOOKUP($A78,'Reg1'!$A:$H,G$1,0)),4),")")</f>
        <v>(0.0120)</v>
      </c>
      <c r="H78" s="3" t="str">
        <f>_xlfn.CONCAT("(",FIXED(ABS(VLOOKUP($A78,'Reg1'!$A:$H,H$1,0)),4),")")</f>
        <v>(0.0100)</v>
      </c>
      <c r="I78" s="3" t="str">
        <f>_xlfn.CONCAT("(",FIXED(ABS(VLOOKUP($A78,'Reg1'!$A:$H,I$1,0)),4),")")</f>
        <v>(0.0110)</v>
      </c>
      <c r="J78" s="3" t="str">
        <f>_xlfn.CONCAT("(",FIXED(VLOOKUP($A77,Reg1_Robust!A:AG,4,0),4),")")</f>
        <v>(0.1383)</v>
      </c>
    </row>
    <row r="79" spans="1:10" x14ac:dyDescent="0.25">
      <c r="A79">
        <v>75</v>
      </c>
      <c r="B79" t="s">
        <v>166</v>
      </c>
      <c r="C79" t="s">
        <v>387</v>
      </c>
      <c r="G79" s="3" t="str">
        <f>VLOOKUP($A79,'Reg1'!$A:$H,G$1,0)</f>
        <v>0.354***</v>
      </c>
      <c r="H79" s="3" t="str">
        <f>VLOOKUP($A79,'Reg1'!$A:$H,H$1,0)</f>
        <v>0.350***</v>
      </c>
      <c r="I79" s="3" t="str">
        <f>VLOOKUP($A79,'Reg1'!$A:$H,I$1,0)</f>
        <v>0.407***</v>
      </c>
      <c r="J79" s="3" t="str">
        <f>_xlfn.CONCAT(FIXED(VLOOKUP($A79,Reg1_Robust!A:AG,3,0),3),VLOOKUP($A79,Reg1_Robust!A:AG,28,0))</f>
        <v>0.407***</v>
      </c>
    </row>
    <row r="80" spans="1:10" x14ac:dyDescent="0.25">
      <c r="A80">
        <v>76</v>
      </c>
      <c r="G80" s="3" t="str">
        <f>_xlfn.CONCAT("(",FIXED(ABS(VLOOKUP($A80,'Reg1'!$A:$H,G$1,0)),4),")")</f>
        <v>(0.0080)</v>
      </c>
      <c r="H80" s="3" t="str">
        <f>_xlfn.CONCAT("(",FIXED(ABS(VLOOKUP($A80,'Reg1'!$A:$H,H$1,0)),4),")")</f>
        <v>(0.0070)</v>
      </c>
      <c r="I80" s="3" t="str">
        <f>_xlfn.CONCAT("(",FIXED(ABS(VLOOKUP($A80,'Reg1'!$A:$H,I$1,0)),4),")")</f>
        <v>(0.0070)</v>
      </c>
      <c r="J80" s="3" t="str">
        <f>_xlfn.CONCAT("(",FIXED(VLOOKUP($A79,Reg1_Robust!A:AG,4,0),4),")")</f>
        <v>(0.0337)</v>
      </c>
    </row>
    <row r="81" spans="1:10" x14ac:dyDescent="0.25">
      <c r="A81">
        <v>77</v>
      </c>
      <c r="B81" t="s">
        <v>167</v>
      </c>
      <c r="C81" t="s">
        <v>388</v>
      </c>
      <c r="G81" s="3" t="str">
        <f>VLOOKUP($A81,'Reg1'!$A:$H,G$1,0)</f>
        <v>0.596***</v>
      </c>
      <c r="H81" s="3" t="str">
        <f>VLOOKUP($A81,'Reg1'!$A:$H,H$1,0)</f>
        <v>0.573***</v>
      </c>
      <c r="I81" s="3" t="str">
        <f>VLOOKUP($A81,'Reg1'!$A:$H,I$1,0)</f>
        <v>0.622***</v>
      </c>
      <c r="J81" s="3" t="str">
        <f>_xlfn.CONCAT(FIXED(VLOOKUP($A81,Reg1_Robust!A:AG,3,0),3),VLOOKUP($A81,Reg1_Robust!A:AG,28,0))</f>
        <v>0.622***</v>
      </c>
    </row>
    <row r="82" spans="1:10" x14ac:dyDescent="0.25">
      <c r="A82">
        <v>78</v>
      </c>
      <c r="G82" s="3" t="str">
        <f>_xlfn.CONCAT("(",FIXED(ABS(VLOOKUP($A82,'Reg1'!$A:$H,G$1,0)),4),")")</f>
        <v>(0.0090)</v>
      </c>
      <c r="H82" s="3" t="str">
        <f>_xlfn.CONCAT("(",FIXED(ABS(VLOOKUP($A82,'Reg1'!$A:$H,H$1,0)),4),")")</f>
        <v>(0.0080)</v>
      </c>
      <c r="I82" s="3" t="str">
        <f>_xlfn.CONCAT("(",FIXED(ABS(VLOOKUP($A82,'Reg1'!$A:$H,I$1,0)),4),")")</f>
        <v>(0.0080)</v>
      </c>
      <c r="J82" s="3" t="str">
        <f>_xlfn.CONCAT("(",FIXED(VLOOKUP($A81,Reg1_Robust!A:AG,4,0),4),")")</f>
        <v>(0.0508)</v>
      </c>
    </row>
    <row r="83" spans="1:10" x14ac:dyDescent="0.25">
      <c r="A83">
        <v>79</v>
      </c>
      <c r="B83" t="s">
        <v>168</v>
      </c>
      <c r="C83" t="s">
        <v>389</v>
      </c>
      <c r="G83" s="3" t="str">
        <f>VLOOKUP($A83,'Reg1'!$A:$H,G$1,0)</f>
        <v>0.583***</v>
      </c>
      <c r="H83" s="3" t="str">
        <f>VLOOKUP($A83,'Reg1'!$A:$H,H$1,0)</f>
        <v>0.570***</v>
      </c>
      <c r="I83" s="3" t="str">
        <f>VLOOKUP($A83,'Reg1'!$A:$H,I$1,0)</f>
        <v>0.625***</v>
      </c>
      <c r="J83" s="3" t="str">
        <f>_xlfn.CONCAT(FIXED(VLOOKUP($A83,Reg1_Robust!A:AG,3,0),3),VLOOKUP($A83,Reg1_Robust!A:AG,28,0))</f>
        <v>0.625***</v>
      </c>
    </row>
    <row r="84" spans="1:10" x14ac:dyDescent="0.25">
      <c r="A84">
        <v>80</v>
      </c>
      <c r="G84" s="3" t="str">
        <f>_xlfn.CONCAT("(",FIXED(ABS(VLOOKUP($A84,'Reg1'!$A:$H,G$1,0)),4),")")</f>
        <v>(0.0110)</v>
      </c>
      <c r="H84" s="3" t="str">
        <f>_xlfn.CONCAT("(",FIXED(ABS(VLOOKUP($A84,'Reg1'!$A:$H,H$1,0)),4),")")</f>
        <v>(0.0090)</v>
      </c>
      <c r="I84" s="3" t="str">
        <f>_xlfn.CONCAT("(",FIXED(ABS(VLOOKUP($A84,'Reg1'!$A:$H,I$1,0)),4),")")</f>
        <v>(0.0090)</v>
      </c>
      <c r="J84" s="3" t="str">
        <f>_xlfn.CONCAT("(",FIXED(VLOOKUP($A83,Reg1_Robust!A:AG,4,0),4),")")</f>
        <v>(0.0611)</v>
      </c>
    </row>
    <row r="85" spans="1:10" x14ac:dyDescent="0.25">
      <c r="A85">
        <v>81</v>
      </c>
      <c r="B85" t="s">
        <v>169</v>
      </c>
      <c r="C85" t="s">
        <v>390</v>
      </c>
      <c r="G85" s="3" t="str">
        <f>VLOOKUP($A85,'Reg1'!$A:$H,G$1,0)</f>
        <v>0.599***</v>
      </c>
      <c r="H85" s="3" t="str">
        <f>VLOOKUP($A85,'Reg1'!$A:$H,H$1,0)</f>
        <v>0.589***</v>
      </c>
      <c r="I85" s="3" t="str">
        <f>VLOOKUP($A85,'Reg1'!$A:$H,I$1,0)</f>
        <v>0.638***</v>
      </c>
      <c r="J85" s="3" t="str">
        <f>_xlfn.CONCAT(FIXED(VLOOKUP($A85,Reg1_Robust!A:AG,3,0),3),VLOOKUP($A85,Reg1_Robust!A:AG,28,0))</f>
        <v>0.638***</v>
      </c>
    </row>
    <row r="86" spans="1:10" x14ac:dyDescent="0.25">
      <c r="A86">
        <v>82</v>
      </c>
      <c r="G86" s="3" t="str">
        <f>_xlfn.CONCAT("(",FIXED(ABS(VLOOKUP($A86,'Reg1'!$A:$H,G$1,0)),4),")")</f>
        <v>(0.0100)</v>
      </c>
      <c r="H86" s="3" t="str">
        <f>_xlfn.CONCAT("(",FIXED(ABS(VLOOKUP($A86,'Reg1'!$A:$H,H$1,0)),4),")")</f>
        <v>(0.0090)</v>
      </c>
      <c r="I86" s="3" t="str">
        <f>_xlfn.CONCAT("(",FIXED(ABS(VLOOKUP($A86,'Reg1'!$A:$H,I$1,0)),4),")")</f>
        <v>(0.0080)</v>
      </c>
      <c r="J86" s="3" t="str">
        <f>_xlfn.CONCAT("(",FIXED(VLOOKUP($A85,Reg1_Robust!A:AG,4,0),4),")")</f>
        <v>(0.0487)</v>
      </c>
    </row>
    <row r="87" spans="1:10" x14ac:dyDescent="0.25">
      <c r="A87">
        <v>83</v>
      </c>
      <c r="B87" t="s">
        <v>170</v>
      </c>
      <c r="C87" t="s">
        <v>391</v>
      </c>
      <c r="G87" s="3" t="str">
        <f>VLOOKUP($A87,'Reg1'!$A:$H,G$1,0)</f>
        <v>0.522***</v>
      </c>
      <c r="H87" s="3" t="str">
        <f>VLOOKUP($A87,'Reg1'!$A:$H,H$1,0)</f>
        <v>0.520***</v>
      </c>
      <c r="I87" s="3" t="str">
        <f>VLOOKUP($A87,'Reg1'!$A:$H,I$1,0)</f>
        <v>0.582***</v>
      </c>
      <c r="J87" s="3" t="str">
        <f>_xlfn.CONCAT(FIXED(VLOOKUP($A87,Reg1_Robust!A:AG,3,0),3),VLOOKUP($A87,Reg1_Robust!A:AG,28,0))</f>
        <v>0.582***</v>
      </c>
    </row>
    <row r="88" spans="1:10" x14ac:dyDescent="0.25">
      <c r="A88">
        <v>84</v>
      </c>
      <c r="G88" s="3" t="str">
        <f>_xlfn.CONCAT("(",FIXED(ABS(VLOOKUP($A88,'Reg1'!$A:$H,G$1,0)),4),")")</f>
        <v>(0.0120)</v>
      </c>
      <c r="H88" s="3" t="str">
        <f>_xlfn.CONCAT("(",FIXED(ABS(VLOOKUP($A88,'Reg1'!$A:$H,H$1,0)),4),")")</f>
        <v>(0.0110)</v>
      </c>
      <c r="I88" s="3" t="str">
        <f>_xlfn.CONCAT("(",FIXED(ABS(VLOOKUP($A88,'Reg1'!$A:$H,I$1,0)),4),")")</f>
        <v>(0.0100)</v>
      </c>
      <c r="J88" s="3" t="str">
        <f>_xlfn.CONCAT("(",FIXED(VLOOKUP($A87,Reg1_Robust!A:AG,4,0),4),")")</f>
        <v>(0.0479)</v>
      </c>
    </row>
    <row r="89" spans="1:10" x14ac:dyDescent="0.25">
      <c r="A89">
        <v>85</v>
      </c>
      <c r="B89" t="s">
        <v>50</v>
      </c>
      <c r="C89" t="s">
        <v>392</v>
      </c>
      <c r="G89" s="3" t="str">
        <f>VLOOKUP($A89,'Reg1'!$A:$H,G$1,0)</f>
        <v>-0.0001***</v>
      </c>
      <c r="H89" s="3" t="str">
        <f>VLOOKUP($A89,'Reg1'!$A:$H,H$1,0)</f>
        <v>0.0001***</v>
      </c>
      <c r="I89" s="3">
        <f>VLOOKUP($A89,'Reg1'!$A:$H,I$1,0)</f>
        <v>0</v>
      </c>
      <c r="J89" s="3" t="str">
        <f>_xlfn.CONCAT(FIXED(VLOOKUP($A89,Reg1_Robust!A:AG,3,0),3),VLOOKUP($A89,Reg1_Robust!A:AG,28,0))</f>
        <v>0.000</v>
      </c>
    </row>
    <row r="90" spans="1:10" x14ac:dyDescent="0.25">
      <c r="A90">
        <v>86</v>
      </c>
      <c r="G90" s="3" t="str">
        <f>_xlfn.CONCAT("(",FIXED(ABS(VLOOKUP($A90,'Reg1'!$A:$H,G$1,0)),4),")")</f>
        <v>(0.0000)</v>
      </c>
      <c r="H90" s="3" t="str">
        <f>_xlfn.CONCAT("(",FIXED(ABS(VLOOKUP($A90,'Reg1'!$A:$H,H$1,0)),4),")")</f>
        <v>(0.0000)</v>
      </c>
      <c r="I90" s="3" t="str">
        <f>_xlfn.CONCAT("(",FIXED(ABS(VLOOKUP($A90,'Reg1'!$A:$H,I$1,0)),4),")")</f>
        <v>(0.0000)</v>
      </c>
      <c r="J90" s="3" t="str">
        <f>_xlfn.CONCAT("(",FIXED(VLOOKUP($A89,Reg1_Robust!A:AG,4,0),4),")")</f>
        <v>(0.0001)</v>
      </c>
    </row>
    <row r="91" spans="1:10" x14ac:dyDescent="0.25">
      <c r="A91">
        <v>87</v>
      </c>
      <c r="B91" t="s">
        <v>52</v>
      </c>
      <c r="C91" t="s">
        <v>393</v>
      </c>
      <c r="G91" s="3" t="str">
        <f>VLOOKUP($A91,'Reg1'!$A:$H,G$1,0)</f>
        <v>-0.009***</v>
      </c>
      <c r="H91" s="3">
        <f>VLOOKUP($A91,'Reg1'!$A:$H,H$1,0)</f>
        <v>3.0000000000000001E-5</v>
      </c>
      <c r="I91" s="3" t="str">
        <f>VLOOKUP($A91,'Reg1'!$A:$H,I$1,0)</f>
        <v>0.005**</v>
      </c>
      <c r="J91" s="3" t="str">
        <f>_xlfn.CONCAT(FIXED(VLOOKUP($A91,Reg1_Robust!A:AG,3,0),3),VLOOKUP($A91,Reg1_Robust!A:AG,28,0))</f>
        <v>0.005</v>
      </c>
    </row>
    <row r="92" spans="1:10" x14ac:dyDescent="0.25">
      <c r="A92">
        <v>88</v>
      </c>
      <c r="G92" s="3" t="str">
        <f>_xlfn.CONCAT("(",FIXED(ABS(VLOOKUP($A92,'Reg1'!$A:$H,G$1,0)),4),")")</f>
        <v>(0.0030)</v>
      </c>
      <c r="H92" s="3" t="str">
        <f>_xlfn.CONCAT("(",FIXED(ABS(VLOOKUP($A92,'Reg1'!$A:$H,H$1,0)),4),")")</f>
        <v>(0.0030)</v>
      </c>
      <c r="I92" s="3" t="str">
        <f>_xlfn.CONCAT("(",FIXED(ABS(VLOOKUP($A92,'Reg1'!$A:$H,I$1,0)),4),")")</f>
        <v>(0.0030)</v>
      </c>
      <c r="J92" s="3" t="str">
        <f>_xlfn.CONCAT("(",FIXED(VLOOKUP($A91,Reg1_Robust!A:AG,4,0),4),")")</f>
        <v>(0.0041)</v>
      </c>
    </row>
    <row r="93" spans="1:10" x14ac:dyDescent="0.25">
      <c r="A93">
        <v>89</v>
      </c>
      <c r="B93" t="s">
        <v>51</v>
      </c>
      <c r="C93" t="s">
        <v>394</v>
      </c>
      <c r="G93" s="3" t="str">
        <f>VLOOKUP($A93,'Reg1'!$A:$H,G$1,0)</f>
        <v>0.017***</v>
      </c>
      <c r="H93" s="3" t="str">
        <f>VLOOKUP($A93,'Reg1'!$A:$H,H$1,0)</f>
        <v>0.012***</v>
      </c>
      <c r="I93" s="3" t="str">
        <f>VLOOKUP($A93,'Reg1'!$A:$H,I$1,0)</f>
        <v>0.005***</v>
      </c>
      <c r="J93" s="3" t="str">
        <f>_xlfn.CONCAT(FIXED(VLOOKUP($A93,Reg1_Robust!A:AG,3,0),3),VLOOKUP($A93,Reg1_Robust!A:AG,28,0))</f>
        <v>0.005*</v>
      </c>
    </row>
    <row r="94" spans="1:10" x14ac:dyDescent="0.25">
      <c r="A94">
        <v>90</v>
      </c>
      <c r="G94" s="3" t="str">
        <f>_xlfn.CONCAT("(",FIXED(ABS(VLOOKUP($A94,'Reg1'!$A:$H,G$1,0)),4),")")</f>
        <v>(0.0010)</v>
      </c>
      <c r="H94" s="3" t="str">
        <f>_xlfn.CONCAT("(",FIXED(ABS(VLOOKUP($A94,'Reg1'!$A:$H,H$1,0)),4),")")</f>
        <v>(0.0010)</v>
      </c>
      <c r="I94" s="3" t="str">
        <f>_xlfn.CONCAT("(",FIXED(ABS(VLOOKUP($A94,'Reg1'!$A:$H,I$1,0)),4),")")</f>
        <v>(0.0010)</v>
      </c>
      <c r="J94" s="3" t="str">
        <f>_xlfn.CONCAT("(",FIXED(VLOOKUP($A93,Reg1_Robust!A:AG,4,0),4),")")</f>
        <v>(0.0023)</v>
      </c>
    </row>
    <row r="95" spans="1:10" x14ac:dyDescent="0.25">
      <c r="A95">
        <v>91</v>
      </c>
      <c r="B95" t="s">
        <v>164</v>
      </c>
      <c r="C95" t="s">
        <v>395</v>
      </c>
      <c r="H95" s="3" t="str">
        <f>VLOOKUP($A95,'Reg1'!$A:$H,H$1,0)</f>
        <v>-0.009***</v>
      </c>
      <c r="I95" s="3" t="str">
        <f>VLOOKUP($A95,'Reg1'!$A:$H,I$1,0)</f>
        <v>-0.005***</v>
      </c>
      <c r="J95" s="3" t="str">
        <f>_xlfn.CONCAT(FIXED(VLOOKUP($A95,Reg1_Robust!A:AG,3,0),3),VLOOKUP($A95,Reg1_Robust!A:AG,28,0))</f>
        <v>-0.005</v>
      </c>
    </row>
    <row r="96" spans="1:10" x14ac:dyDescent="0.25">
      <c r="A96">
        <v>92</v>
      </c>
      <c r="H96" s="3" t="str">
        <f>_xlfn.CONCAT("(",FIXED(ABS(VLOOKUP($A96,'Reg1'!$A:$H,H$1,0)),4),")")</f>
        <v>(0.0010)</v>
      </c>
      <c r="I96" s="3" t="str">
        <f>_xlfn.CONCAT("(",FIXED(ABS(VLOOKUP($A96,'Reg1'!$A:$H,I$1,0)),4),")")</f>
        <v>(0.0010)</v>
      </c>
      <c r="J96" s="3" t="str">
        <f>_xlfn.CONCAT("(",FIXED(VLOOKUP($A95,Reg1_Robust!A:AG,4,0),4),")")</f>
        <v>(0.0073)</v>
      </c>
    </row>
    <row r="97" spans="1:10" x14ac:dyDescent="0.25">
      <c r="A97">
        <v>93</v>
      </c>
      <c r="B97" t="s">
        <v>39</v>
      </c>
      <c r="C97" t="s">
        <v>396</v>
      </c>
      <c r="H97" s="3" t="str">
        <f>VLOOKUP($A97,'Reg1'!$A:$H,H$1,0)</f>
        <v>-0.044***</v>
      </c>
      <c r="I97" s="3" t="str">
        <f>VLOOKUP($A97,'Reg1'!$A:$H,I$1,0)</f>
        <v>-0.064***</v>
      </c>
      <c r="J97" s="3" t="str">
        <f>_xlfn.CONCAT(FIXED(VLOOKUP($A97,Reg1_Robust!A:AG,3,0),3),VLOOKUP($A97,Reg1_Robust!A:AG,28,0))</f>
        <v>-0.064*</v>
      </c>
    </row>
    <row r="98" spans="1:10" x14ac:dyDescent="0.25">
      <c r="A98">
        <v>94</v>
      </c>
      <c r="H98" s="3" t="str">
        <f>_xlfn.CONCAT("(",FIXED(ABS(VLOOKUP($A98,'Reg1'!$A:$H,H$1,0)),4),")")</f>
        <v>(0.0040)</v>
      </c>
      <c r="I98" s="3" t="str">
        <f>_xlfn.CONCAT("(",FIXED(ABS(VLOOKUP($A98,'Reg1'!$A:$H,I$1,0)),4),")")</f>
        <v>(0.0040)</v>
      </c>
      <c r="J98" s="3" t="str">
        <f>_xlfn.CONCAT("(",FIXED(VLOOKUP($A97,Reg1_Robust!A:AG,4,0),4),")")</f>
        <v>(0.0322)</v>
      </c>
    </row>
    <row r="99" spans="1:10" x14ac:dyDescent="0.25">
      <c r="A99">
        <v>95</v>
      </c>
      <c r="B99" t="s">
        <v>40</v>
      </c>
      <c r="C99" t="s">
        <v>397</v>
      </c>
      <c r="H99" s="3" t="str">
        <f>VLOOKUP($A99,'Reg1'!$A:$H,H$1,0)</f>
        <v>-0.005***</v>
      </c>
      <c r="I99" s="3" t="str">
        <f>VLOOKUP($A99,'Reg1'!$A:$H,I$1,0)</f>
        <v>-0.008***</v>
      </c>
      <c r="J99" s="3" t="str">
        <f>_xlfn.CONCAT(FIXED(VLOOKUP($A99,Reg1_Robust!A:AG,3,0),3),VLOOKUP($A99,Reg1_Robust!A:AG,28,0))</f>
        <v>-0.008</v>
      </c>
    </row>
    <row r="100" spans="1:10" x14ac:dyDescent="0.25">
      <c r="A100">
        <v>96</v>
      </c>
      <c r="H100" s="3" t="str">
        <f>_xlfn.CONCAT("(",FIXED(ABS(VLOOKUP($A100,'Reg1'!$A:$H,H$1,0)),4),")")</f>
        <v>(0.0010)</v>
      </c>
      <c r="I100" s="3" t="str">
        <f>_xlfn.CONCAT("(",FIXED(ABS(VLOOKUP($A100,'Reg1'!$A:$H,I$1,0)),4),")")</f>
        <v>(0.0010)</v>
      </c>
      <c r="J100" s="3" t="str">
        <f>_xlfn.CONCAT("(",FIXED(VLOOKUP($A99,Reg1_Robust!A:AG,4,0),4),")")</f>
        <v>(0.0084)</v>
      </c>
    </row>
    <row r="101" spans="1:10" x14ac:dyDescent="0.25">
      <c r="A101">
        <v>97</v>
      </c>
      <c r="B101" t="s">
        <v>41</v>
      </c>
      <c r="C101" t="s">
        <v>398</v>
      </c>
      <c r="H101" s="3" t="str">
        <f>VLOOKUP($A101,'Reg1'!$A:$H,H$1,0)</f>
        <v>-0.005***</v>
      </c>
      <c r="I101" s="3" t="str">
        <f>VLOOKUP($A101,'Reg1'!$A:$H,I$1,0)</f>
        <v>-0.007***</v>
      </c>
      <c r="J101" s="3" t="str">
        <f>_xlfn.CONCAT(FIXED(VLOOKUP($A101,Reg1_Robust!A:AG,3,0),3),VLOOKUP($A101,Reg1_Robust!A:AG,28,0))</f>
        <v>-0.007</v>
      </c>
    </row>
    <row r="102" spans="1:10" x14ac:dyDescent="0.25">
      <c r="A102">
        <v>98</v>
      </c>
      <c r="H102" s="3" t="str">
        <f>_xlfn.CONCAT("(",FIXED(ABS(VLOOKUP($A102,'Reg1'!$A:$H,H$1,0)),4),")")</f>
        <v>(0.0005)</v>
      </c>
      <c r="I102" s="3" t="str">
        <f>_xlfn.CONCAT("(",FIXED(ABS(VLOOKUP($A102,'Reg1'!$A:$H,I$1,0)),4),")")</f>
        <v>(0.0005)</v>
      </c>
      <c r="J102" s="3" t="str">
        <f>_xlfn.CONCAT("(",FIXED(VLOOKUP($A101,Reg1_Robust!A:AG,4,0),4),")")</f>
        <v>(0.0064)</v>
      </c>
    </row>
    <row r="103" spans="1:10" x14ac:dyDescent="0.25">
      <c r="A103">
        <v>99</v>
      </c>
      <c r="B103" t="s">
        <v>173</v>
      </c>
      <c r="C103" t="s">
        <v>399</v>
      </c>
      <c r="H103" s="3">
        <f>VLOOKUP($A103,'Reg1'!$A:$H,H$1,0)</f>
        <v>-4.0000000000000002E-4</v>
      </c>
      <c r="I103" s="3" t="str">
        <f>VLOOKUP($A103,'Reg1'!$A:$H,I$1,0)</f>
        <v>-0.001***</v>
      </c>
      <c r="J103" s="3" t="str">
        <f>_xlfn.CONCAT(FIXED(VLOOKUP($A103,Reg1_Robust!A:AG,3,0),3),VLOOKUP($A103,Reg1_Robust!A:AG,28,0))</f>
        <v>-0.001</v>
      </c>
    </row>
    <row r="104" spans="1:10" x14ac:dyDescent="0.25">
      <c r="A104">
        <v>100</v>
      </c>
      <c r="H104" s="3" t="str">
        <f>_xlfn.CONCAT("(",FIXED(ABS(VLOOKUP($A104,'Reg1'!$A:$H,H$1,0)),4),")")</f>
        <v>(0.0003)</v>
      </c>
      <c r="I104" s="3" t="str">
        <f>_xlfn.CONCAT("(",FIXED(ABS(VLOOKUP($A104,'Reg1'!$A:$H,I$1,0)),4),")")</f>
        <v>(0.0003)</v>
      </c>
      <c r="J104" s="3" t="str">
        <f>_xlfn.CONCAT("(",FIXED(VLOOKUP($A103,Reg1_Robust!A:AG,4,0),4),")")</f>
        <v>(0.0018)</v>
      </c>
    </row>
    <row r="105" spans="1:10" x14ac:dyDescent="0.25">
      <c r="A105">
        <v>101</v>
      </c>
      <c r="B105" t="s">
        <v>174</v>
      </c>
      <c r="C105" t="s">
        <v>400</v>
      </c>
      <c r="H105" s="3" t="str">
        <f>VLOOKUP($A105,'Reg1'!$A:$H,H$1,0)</f>
        <v>0.024***</v>
      </c>
      <c r="I105" s="3" t="str">
        <f>VLOOKUP($A105,'Reg1'!$A:$H,I$1,0)</f>
        <v>0.019***</v>
      </c>
      <c r="J105" s="3" t="str">
        <f>_xlfn.CONCAT(FIXED(VLOOKUP($A105,Reg1_Robust!A:AG,3,0),3),VLOOKUP($A105,Reg1_Robust!A:AG,28,0))</f>
        <v>0.019</v>
      </c>
    </row>
    <row r="106" spans="1:10" x14ac:dyDescent="0.25">
      <c r="A106">
        <v>102</v>
      </c>
      <c r="H106" s="3" t="str">
        <f>_xlfn.CONCAT("(",FIXED(ABS(VLOOKUP($A106,'Reg1'!$A:$H,H$1,0)),4),")")</f>
        <v>(0.0010)</v>
      </c>
      <c r="I106" s="3" t="str">
        <f>_xlfn.CONCAT("(",FIXED(ABS(VLOOKUP($A106,'Reg1'!$A:$H,I$1,0)),4),")")</f>
        <v>(0.0010)</v>
      </c>
      <c r="J106" s="3" t="str">
        <f>_xlfn.CONCAT("(",FIXED(VLOOKUP($A105,Reg1_Robust!A:AG,4,0),4),")")</f>
        <v>(0.0127)</v>
      </c>
    </row>
    <row r="107" spans="1:10" x14ac:dyDescent="0.25">
      <c r="A107">
        <v>103</v>
      </c>
      <c r="B107" t="s">
        <v>175</v>
      </c>
      <c r="C107" t="s">
        <v>401</v>
      </c>
      <c r="H107" s="3" t="str">
        <f>VLOOKUP($A107,'Reg1'!$A:$H,H$1,0)</f>
        <v>0.015***</v>
      </c>
      <c r="I107" s="3" t="str">
        <f>VLOOKUP($A107,'Reg1'!$A:$H,I$1,0)</f>
        <v>0.008***</v>
      </c>
      <c r="J107" s="3" t="str">
        <f>_xlfn.CONCAT(FIXED(VLOOKUP($A107,Reg1_Robust!A:AG,3,0),3),VLOOKUP($A107,Reg1_Robust!A:AG,28,0))</f>
        <v>0.008</v>
      </c>
    </row>
    <row r="108" spans="1:10" x14ac:dyDescent="0.25">
      <c r="A108">
        <v>104</v>
      </c>
      <c r="H108" s="3" t="str">
        <f>_xlfn.CONCAT("(",FIXED(ABS(VLOOKUP($A108,'Reg1'!$A:$H,H$1,0)),4),")")</f>
        <v>(0.0010)</v>
      </c>
      <c r="I108" s="3" t="str">
        <f>_xlfn.CONCAT("(",FIXED(ABS(VLOOKUP($A108,'Reg1'!$A:$H,I$1,0)),4),")")</f>
        <v>(0.0010)</v>
      </c>
      <c r="J108" s="3" t="str">
        <f>_xlfn.CONCAT("(",FIXED(VLOOKUP($A107,Reg1_Robust!A:AG,4,0),4),")")</f>
        <v>(0.0119)</v>
      </c>
    </row>
    <row r="109" spans="1:10" hidden="1" x14ac:dyDescent="0.25">
      <c r="A109">
        <v>105</v>
      </c>
      <c r="B109" t="s">
        <v>53</v>
      </c>
      <c r="H109" s="3" t="str">
        <f>VLOOKUP($A109,'Reg1'!$A:$H,H$1,0)</f>
        <v>0.00000***</v>
      </c>
      <c r="I109" s="3" t="str">
        <f>VLOOKUP($A109,'Reg1'!$A:$H,I$1,0)</f>
        <v>0.00000***</v>
      </c>
      <c r="J109" s="3" t="str">
        <f>_xlfn.CONCAT(FIXED(VLOOKUP($A109,Reg1_Robust!A:AG,3,0),3),VLOOKUP($A109,Reg1_Robust!A:AG,28,0))</f>
        <v>0.000</v>
      </c>
    </row>
    <row r="110" spans="1:10" hidden="1" x14ac:dyDescent="0.25">
      <c r="A110">
        <v>106</v>
      </c>
      <c r="H110" s="3" t="str">
        <f>_xlfn.CONCAT("(",FIXED(ABS(VLOOKUP($A110,'Reg1'!$A:$H,H$1,0)),4),")")</f>
        <v>(0.0000)</v>
      </c>
      <c r="I110" s="3" t="str">
        <f>_xlfn.CONCAT("(",FIXED(ABS(VLOOKUP($A110,'Reg1'!$A:$H,I$1,0)),4),")")</f>
        <v>(0.0000)</v>
      </c>
      <c r="J110" s="3" t="str">
        <f>_xlfn.CONCAT("(",FIXED(VLOOKUP($A109,Reg1_Robust!A:AG,4,0),4),")")</f>
        <v>(0.0000)</v>
      </c>
    </row>
    <row r="111" spans="1:10" hidden="1" x14ac:dyDescent="0.25">
      <c r="A111">
        <v>107</v>
      </c>
      <c r="B111" t="s">
        <v>54</v>
      </c>
      <c r="H111" s="3" t="str">
        <f>VLOOKUP($A111,'Reg1'!$A:$H,H$1,0)</f>
        <v>0.00001***</v>
      </c>
      <c r="I111" s="3" t="str">
        <f>VLOOKUP($A111,'Reg1'!$A:$H,I$1,0)</f>
        <v>0.00001***</v>
      </c>
      <c r="J111" s="3" t="str">
        <f>_xlfn.CONCAT(FIXED(VLOOKUP($A111,Reg1_Robust!A:AG,3,0),3),VLOOKUP($A111,Reg1_Robust!A:AG,28,0))</f>
        <v>0.000***</v>
      </c>
    </row>
    <row r="112" spans="1:10" hidden="1" x14ac:dyDescent="0.25">
      <c r="A112">
        <v>108</v>
      </c>
      <c r="H112" s="3" t="str">
        <f>_xlfn.CONCAT("(",FIXED(ABS(VLOOKUP($A112,'Reg1'!$A:$H,H$1,0)),4),")")</f>
        <v>(0.0000)</v>
      </c>
      <c r="I112" s="3" t="str">
        <f>_xlfn.CONCAT("(",FIXED(ABS(VLOOKUP($A112,'Reg1'!$A:$H,I$1,0)),4),")")</f>
        <v>(0.0000)</v>
      </c>
      <c r="J112" s="3" t="str">
        <f>_xlfn.CONCAT("(",FIXED(VLOOKUP($A111,Reg1_Robust!A:AG,4,0),4),")")</f>
        <v>(0.0000)</v>
      </c>
    </row>
    <row r="113" spans="1:10" x14ac:dyDescent="0.25">
      <c r="A113">
        <v>109</v>
      </c>
      <c r="B113" t="s">
        <v>43</v>
      </c>
      <c r="C113" t="s">
        <v>402</v>
      </c>
      <c r="H113" s="3"/>
      <c r="I113" s="3" t="str">
        <f>VLOOKUP($A113,'Reg1'!$A:$H,I$1,0)</f>
        <v>-0.420***</v>
      </c>
      <c r="J113" s="3" t="str">
        <f>_xlfn.CONCAT(FIXED(VLOOKUP($A113,Reg1_Robust!A:AG,3,0),3),VLOOKUP($A113,Reg1_Robust!A:AG,28,0))</f>
        <v>-0.420**</v>
      </c>
    </row>
    <row r="114" spans="1:10" x14ac:dyDescent="0.25">
      <c r="A114">
        <v>110</v>
      </c>
      <c r="H114" s="3"/>
      <c r="I114" s="3" t="str">
        <f>_xlfn.CONCAT("(",FIXED(ABS(VLOOKUP($A114,'Reg1'!$A:$H,I$1,0)),4),")")</f>
        <v>(0.0370)</v>
      </c>
      <c r="J114" s="3" t="str">
        <f>_xlfn.CONCAT("(",FIXED(VLOOKUP($A113,Reg1_Robust!A:AG,4,0),4),")")</f>
        <v>(0.1472)</v>
      </c>
    </row>
    <row r="115" spans="1:10" x14ac:dyDescent="0.25">
      <c r="A115">
        <v>111</v>
      </c>
      <c r="B115" t="s">
        <v>44</v>
      </c>
      <c r="C115" t="s">
        <v>403</v>
      </c>
      <c r="H115" s="3"/>
      <c r="I115" s="3" t="str">
        <f>VLOOKUP($A115,'Reg1'!$A:$H,I$1,0)</f>
        <v>-0.144***</v>
      </c>
      <c r="J115" s="3" t="str">
        <f>_xlfn.CONCAT(FIXED(VLOOKUP($A115,Reg1_Robust!A:AG,3,0),3),VLOOKUP($A115,Reg1_Robust!A:AG,28,0))</f>
        <v>-0.144**</v>
      </c>
    </row>
    <row r="116" spans="1:10" x14ac:dyDescent="0.25">
      <c r="A116">
        <v>112</v>
      </c>
      <c r="H116" s="3"/>
      <c r="I116" s="3" t="str">
        <f>_xlfn.CONCAT("(",FIXED(ABS(VLOOKUP($A116,'Reg1'!$A:$H,I$1,0)),4),")")</f>
        <v>(0.0080)</v>
      </c>
      <c r="J116" s="3" t="str">
        <f>_xlfn.CONCAT("(",FIXED(VLOOKUP($A115,Reg1_Robust!A:AG,4,0),4),")")</f>
        <v>(0.0592)</v>
      </c>
    </row>
    <row r="117" spans="1:10" x14ac:dyDescent="0.25">
      <c r="A117">
        <v>113</v>
      </c>
      <c r="B117" t="s">
        <v>45</v>
      </c>
      <c r="C117" t="s">
        <v>404</v>
      </c>
      <c r="H117" s="3"/>
      <c r="I117" s="3" t="str">
        <f>VLOOKUP($A117,'Reg1'!$A:$H,I$1,0)</f>
        <v>-0.358***</v>
      </c>
      <c r="J117" s="3" t="str">
        <f>_xlfn.CONCAT(FIXED(VLOOKUP($A117,Reg1_Robust!A:AG,3,0),3),VLOOKUP($A117,Reg1_Robust!A:AG,28,0))</f>
        <v>-0.358**</v>
      </c>
    </row>
    <row r="118" spans="1:10" x14ac:dyDescent="0.25">
      <c r="A118">
        <v>114</v>
      </c>
      <c r="H118" s="3"/>
      <c r="I118" s="3" t="str">
        <f>_xlfn.CONCAT("(",FIXED(ABS(VLOOKUP($A118,'Reg1'!$A:$H,I$1,0)),4),")")</f>
        <v>(0.0160)</v>
      </c>
      <c r="J118" s="3" t="str">
        <f>_xlfn.CONCAT("(",FIXED(VLOOKUP($A117,Reg1_Robust!A:AG,4,0),4),")")</f>
        <v>(0.1400)</v>
      </c>
    </row>
    <row r="119" spans="1:10" x14ac:dyDescent="0.25">
      <c r="A119">
        <v>115</v>
      </c>
      <c r="B119" t="s">
        <v>48</v>
      </c>
      <c r="C119" t="s">
        <v>405</v>
      </c>
      <c r="H119" s="3"/>
      <c r="I119" s="3" t="str">
        <f>VLOOKUP($A119,'Reg1'!$A:$H,I$1,0)</f>
        <v>0.275***</v>
      </c>
      <c r="J119" s="3" t="str">
        <f>_xlfn.CONCAT(FIXED(VLOOKUP($A119,Reg1_Robust!A:AG,3,0),3),VLOOKUP($A119,Reg1_Robust!A:AG,28,0))</f>
        <v>0.275***</v>
      </c>
    </row>
    <row r="120" spans="1:10" x14ac:dyDescent="0.25">
      <c r="A120">
        <v>116</v>
      </c>
      <c r="H120" s="3"/>
      <c r="I120" s="3" t="str">
        <f>_xlfn.CONCAT("(",FIXED(ABS(VLOOKUP($A120,'Reg1'!$A:$H,I$1,0)),4),")")</f>
        <v>(0.0080)</v>
      </c>
      <c r="J120" s="3" t="str">
        <f>_xlfn.CONCAT("(",FIXED(VLOOKUP($A119,Reg1_Robust!A:AG,4,0),4),")")</f>
        <v>(0.0835)</v>
      </c>
    </row>
    <row r="121" spans="1:10" x14ac:dyDescent="0.25">
      <c r="A121">
        <v>117</v>
      </c>
      <c r="B121" t="s">
        <v>46</v>
      </c>
      <c r="C121" t="s">
        <v>406</v>
      </c>
      <c r="H121" s="3"/>
      <c r="I121" s="3" t="str">
        <f>VLOOKUP($A121,'Reg1'!$A:$H,I$1,0)</f>
        <v>-0.668***</v>
      </c>
      <c r="J121" s="3" t="str">
        <f>_xlfn.CONCAT(FIXED(VLOOKUP($A121,Reg1_Robust!A:AG,3,0),3),VLOOKUP($A121,Reg1_Robust!A:AG,28,0))</f>
        <v>-0.668</v>
      </c>
    </row>
    <row r="122" spans="1:10" x14ac:dyDescent="0.25">
      <c r="A122">
        <v>118</v>
      </c>
      <c r="H122" s="3"/>
      <c r="I122" s="3" t="str">
        <f>_xlfn.CONCAT("(",FIXED(ABS(VLOOKUP($A122,'Reg1'!$A:$H,I$1,0)),4),")")</f>
        <v>(0.0110)</v>
      </c>
      <c r="J122" s="3" t="str">
        <f>_xlfn.CONCAT("(",FIXED(VLOOKUP($A121,Reg1_Robust!A:AG,4,0),4),")")</f>
        <v>(0.0908)</v>
      </c>
    </row>
    <row r="123" spans="1:10" x14ac:dyDescent="0.25">
      <c r="A123">
        <v>119</v>
      </c>
      <c r="B123" t="s">
        <v>264</v>
      </c>
      <c r="C123" s="25" t="s">
        <v>264</v>
      </c>
      <c r="D123" s="3" t="str">
        <f>VLOOKUP($A123,'Reg1'!$A:$H,D$1,0)</f>
        <v>13.516***</v>
      </c>
      <c r="E123" s="3" t="str">
        <f>VLOOKUP($A123,'Reg1'!$A:$H,E$1,0)</f>
        <v>13.414***</v>
      </c>
      <c r="F123" s="3" t="str">
        <f>VLOOKUP($A123,'Reg1'!$A:$H,F$1,0)</f>
        <v>12.963***</v>
      </c>
      <c r="G123" s="3" t="str">
        <f>VLOOKUP($A123,'Reg1'!$A:$H,G$1,0)</f>
        <v>12.420***</v>
      </c>
      <c r="H123" s="3" t="str">
        <f>VLOOKUP($A123,'Reg1'!$A:$H,H$1,0)</f>
        <v>-7.155***</v>
      </c>
      <c r="I123" s="3" t="str">
        <f>VLOOKUP($A123,'Reg1'!$A:$H,I$1,0)</f>
        <v>-5.948***</v>
      </c>
      <c r="J123" s="3" t="str">
        <f>_xlfn.CONCAT(FIXED(VLOOKUP($A123,Reg1_Robust!A:AG,3,0),3),VLOOKUP($A123,Reg1_Robust!A:AG,28,0))</f>
        <v>-5.948</v>
      </c>
    </row>
    <row r="124" spans="1:10" x14ac:dyDescent="0.25">
      <c r="A124">
        <v>120</v>
      </c>
      <c r="C124" s="16"/>
      <c r="D124" s="3" t="str">
        <f>_xlfn.CONCAT("(",FIXED(ABS(VLOOKUP($A124,'Reg1'!$A:$H,D$1,0)),4),")")</f>
        <v>(0.0030)</v>
      </c>
      <c r="E124" s="3" t="str">
        <f>_xlfn.CONCAT("(",FIXED(ABS(VLOOKUP($A124,'Reg1'!$A:$H,E$1,0)),4),")")</f>
        <v>(0.0080)</v>
      </c>
      <c r="F124" s="3" t="str">
        <f>_xlfn.CONCAT("(",FIXED(ABS(VLOOKUP($A124,'Reg1'!$A:$H,F$1,0)),4),")")</f>
        <v>(0.0090)</v>
      </c>
      <c r="G124" s="3" t="str">
        <f>_xlfn.CONCAT("(",FIXED(ABS(VLOOKUP($A124,'Reg1'!$A:$H,G$1,0)),4),")")</f>
        <v>(0.0140)</v>
      </c>
      <c r="H124" s="3" t="str">
        <f>_xlfn.CONCAT("(",FIXED(ABS(VLOOKUP($A124,'Reg1'!$A:$H,H$1,0)),4),")")</f>
        <v>(0.8220)</v>
      </c>
      <c r="I124" s="3" t="str">
        <f>_xlfn.CONCAT("(",FIXED(ABS(VLOOKUP($A124,'Reg1'!$A:$H,I$1,0)),4),")")</f>
        <v>(0.7910)</v>
      </c>
      <c r="J124" s="3" t="str">
        <f>_xlfn.CONCAT("(",FIXED(VLOOKUP($A123,Reg1_Robust!A:AG,4,0),4),")")</f>
        <v>(14.1319)</v>
      </c>
    </row>
    <row r="125" spans="1:10" x14ac:dyDescent="0.25">
      <c r="A125">
        <v>120</v>
      </c>
      <c r="B125" t="s">
        <v>364</v>
      </c>
      <c r="C125" t="s">
        <v>364</v>
      </c>
      <c r="D125" s="3" t="s">
        <v>316</v>
      </c>
      <c r="E125" s="3" t="s">
        <v>317</v>
      </c>
      <c r="F125" s="3" t="s">
        <v>317</v>
      </c>
      <c r="G125" s="3" t="s">
        <v>317</v>
      </c>
      <c r="H125" s="3" t="s">
        <v>317</v>
      </c>
      <c r="I125" s="3" t="s">
        <v>317</v>
      </c>
      <c r="J125" s="3" t="s">
        <v>317</v>
      </c>
    </row>
    <row r="126" spans="1:10" x14ac:dyDescent="0.25">
      <c r="A126">
        <v>121</v>
      </c>
      <c r="B126" t="s">
        <v>365</v>
      </c>
      <c r="C126" s="18" t="s">
        <v>365</v>
      </c>
      <c r="D126" s="16" t="s">
        <v>316</v>
      </c>
      <c r="E126" s="16" t="s">
        <v>316</v>
      </c>
      <c r="F126" s="16" t="s">
        <v>316</v>
      </c>
      <c r="G126" s="16" t="s">
        <v>316</v>
      </c>
      <c r="H126" s="16" t="s">
        <v>317</v>
      </c>
      <c r="I126" s="16" t="s">
        <v>317</v>
      </c>
      <c r="J126" s="16" t="s">
        <v>317</v>
      </c>
    </row>
    <row r="127" spans="1:10" x14ac:dyDescent="0.25">
      <c r="A127">
        <v>123</v>
      </c>
      <c r="B127" t="s">
        <v>187</v>
      </c>
      <c r="C127" t="s">
        <v>187</v>
      </c>
      <c r="D127" s="3">
        <f>VLOOKUP($A127,'Reg1'!$A:$H,D$1,0)</f>
        <v>50356</v>
      </c>
      <c r="E127" s="3">
        <f>VLOOKUP($A127,'Reg1'!$A:$H,E$1,0)</f>
        <v>50356</v>
      </c>
      <c r="F127" s="3">
        <f>VLOOKUP($A127,'Reg1'!$A:$H,F$1,0)</f>
        <v>50356</v>
      </c>
      <c r="G127" s="3">
        <f>VLOOKUP($A127,'Reg1'!$A:$H,G$1,0)</f>
        <v>50356</v>
      </c>
      <c r="H127" s="3">
        <f>VLOOKUP($A127,'Reg1'!$A:$H,H$1,0)</f>
        <v>50356</v>
      </c>
      <c r="I127" s="3">
        <f>VLOOKUP($A127,'Reg1'!$A:$H,I$1,0)</f>
        <v>50356</v>
      </c>
      <c r="J127" s="3">
        <v>50356</v>
      </c>
    </row>
    <row r="128" spans="1:10" ht="17.25" x14ac:dyDescent="0.25">
      <c r="A128">
        <v>124</v>
      </c>
      <c r="C128" t="s">
        <v>277</v>
      </c>
      <c r="D128" s="3">
        <f>VLOOKUP($A128,'Reg1'!$A:$H,D$1,0)</f>
        <v>4.0000000000000001E-3</v>
      </c>
      <c r="E128" s="3">
        <f>VLOOKUP($A128,'Reg1'!$A:$H,E$1,0)</f>
        <v>1.7999999999999999E-2</v>
      </c>
      <c r="F128" s="3">
        <f>VLOOKUP($A128,'Reg1'!$A:$H,F$1,0)</f>
        <v>0.63700000000000001</v>
      </c>
      <c r="G128" s="3">
        <f>VLOOKUP($A128,'Reg1'!$A:$H,G$1,0)</f>
        <v>0.72199999999999998</v>
      </c>
      <c r="H128" s="3">
        <f>VLOOKUP($A128,'Reg1'!$A:$H,H$1,0)</f>
        <v>0.79</v>
      </c>
      <c r="I128" s="3">
        <f>VLOOKUP($A128,'Reg1'!$A:$H,I$1,0)</f>
        <v>0.81399999999999995</v>
      </c>
      <c r="J128" s="3">
        <v>0.81399999999999995</v>
      </c>
    </row>
    <row r="129" spans="1:10" ht="18" thickBot="1" x14ac:dyDescent="0.3">
      <c r="A129">
        <v>125</v>
      </c>
      <c r="C129" s="14" t="s">
        <v>278</v>
      </c>
      <c r="D129" s="15">
        <f>VLOOKUP($A129,'Reg1'!$A:$H,D$1,0)</f>
        <v>4.0000000000000001E-3</v>
      </c>
      <c r="E129" s="15">
        <f>VLOOKUP($A129,'Reg1'!$A:$H,E$1,0)</f>
        <v>1.7999999999999999E-2</v>
      </c>
      <c r="F129" s="15">
        <f>VLOOKUP($A129,'Reg1'!$A:$H,F$1,0)</f>
        <v>0.63700000000000001</v>
      </c>
      <c r="G129" s="15">
        <f>VLOOKUP($A129,'Reg1'!$A:$H,G$1,0)</f>
        <v>0.72199999999999998</v>
      </c>
      <c r="H129" s="15">
        <f>VLOOKUP($A129,'Reg1'!$A:$H,H$1,0)</f>
        <v>0.79</v>
      </c>
      <c r="I129" s="15">
        <f>VLOOKUP($A129,'Reg1'!$A:$H,I$1,0)</f>
        <v>0.81399999999999995</v>
      </c>
      <c r="J129" s="15">
        <v>0.81399999999999995</v>
      </c>
    </row>
    <row r="130" spans="1:10" x14ac:dyDescent="0.25">
      <c r="B130" t="s">
        <v>269</v>
      </c>
    </row>
  </sheetData>
  <mergeCells count="2">
    <mergeCell ref="C2:J2"/>
    <mergeCell ref="C3:J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49BAE-73BA-4104-BCF5-F9D920E93043}">
  <sheetPr codeName="Sheet14"/>
  <dimension ref="B2:H192"/>
  <sheetViews>
    <sheetView workbookViewId="0">
      <selection activeCell="J21" sqref="J21"/>
    </sheetView>
  </sheetViews>
  <sheetFormatPr defaultRowHeight="15" x14ac:dyDescent="0.25"/>
  <cols>
    <col min="1" max="1" width="26.5703125" bestFit="1" customWidth="1"/>
  </cols>
  <sheetData>
    <row r="2" spans="2:8" x14ac:dyDescent="0.25">
      <c r="B2" t="s">
        <v>192</v>
      </c>
      <c r="C2" t="s">
        <v>437</v>
      </c>
      <c r="D2" t="s">
        <v>192</v>
      </c>
      <c r="E2" t="s">
        <v>439</v>
      </c>
      <c r="F2" t="s">
        <v>614</v>
      </c>
      <c r="G2" t="s">
        <v>193</v>
      </c>
      <c r="H2" t="s">
        <v>193</v>
      </c>
    </row>
    <row r="3" spans="2:8" x14ac:dyDescent="0.25">
      <c r="F3" t="s">
        <v>615</v>
      </c>
    </row>
    <row r="4" spans="2:8" x14ac:dyDescent="0.25">
      <c r="C4" t="s">
        <v>409</v>
      </c>
      <c r="D4" t="s">
        <v>195</v>
      </c>
      <c r="E4" t="s">
        <v>441</v>
      </c>
      <c r="F4" t="s">
        <v>616</v>
      </c>
      <c r="G4" t="s">
        <v>194</v>
      </c>
      <c r="H4" t="s">
        <v>194</v>
      </c>
    </row>
    <row r="5" spans="2:8" x14ac:dyDescent="0.25">
      <c r="F5" t="s">
        <v>440</v>
      </c>
    </row>
    <row r="6" spans="2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2:8" x14ac:dyDescent="0.25">
      <c r="B7" t="s">
        <v>195</v>
      </c>
      <c r="C7" t="s">
        <v>409</v>
      </c>
      <c r="D7" t="s">
        <v>195</v>
      </c>
      <c r="E7" t="s">
        <v>441</v>
      </c>
      <c r="F7" t="s">
        <v>616</v>
      </c>
      <c r="G7" t="s">
        <v>194</v>
      </c>
      <c r="H7" t="s">
        <v>194</v>
      </c>
    </row>
    <row r="8" spans="2:8" x14ac:dyDescent="0.25">
      <c r="B8" t="s">
        <v>11</v>
      </c>
      <c r="C8" t="s">
        <v>427</v>
      </c>
      <c r="D8">
        <v>-3.3000000000000002E-2</v>
      </c>
      <c r="E8">
        <v>-1.7999999999999999E-2</v>
      </c>
      <c r="F8">
        <v>-1E-3</v>
      </c>
      <c r="G8">
        <v>5.0000000000000001E-3</v>
      </c>
      <c r="H8">
        <v>1.2999999999999999E-2</v>
      </c>
    </row>
    <row r="9" spans="2:8" x14ac:dyDescent="0.25">
      <c r="C9">
        <v>-6.0000000000000001E-3</v>
      </c>
      <c r="D9">
        <v>-2.5000000000000001E-2</v>
      </c>
      <c r="E9">
        <v>-1.4999999999999999E-2</v>
      </c>
      <c r="F9">
        <v>-1.2999999999999999E-2</v>
      </c>
      <c r="G9">
        <v>-1.2E-2</v>
      </c>
      <c r="H9">
        <v>-1.0999999999999999E-2</v>
      </c>
    </row>
    <row r="11" spans="2:8" x14ac:dyDescent="0.25">
      <c r="B11" t="s">
        <v>16</v>
      </c>
      <c r="D11" t="s">
        <v>314</v>
      </c>
      <c r="E11" t="s">
        <v>224</v>
      </c>
      <c r="F11">
        <v>2.0000000000000002E-5</v>
      </c>
      <c r="G11">
        <v>-2.0000000000000002E-5</v>
      </c>
      <c r="H11">
        <v>-2.0000000000000002E-5</v>
      </c>
    </row>
    <row r="12" spans="2:8" x14ac:dyDescent="0.25">
      <c r="D12">
        <v>-1E-4</v>
      </c>
      <c r="E12">
        <v>-3.0000000000000001E-5</v>
      </c>
      <c r="F12">
        <v>-3.0000000000000001E-5</v>
      </c>
      <c r="G12">
        <v>-2.0000000000000002E-5</v>
      </c>
      <c r="H12">
        <v>-2.0000000000000002E-5</v>
      </c>
    </row>
    <row r="14" spans="2:8" x14ac:dyDescent="0.25">
      <c r="B14" t="s">
        <v>197</v>
      </c>
      <c r="D14" t="s">
        <v>231</v>
      </c>
      <c r="E14" t="s">
        <v>617</v>
      </c>
      <c r="F14" t="s">
        <v>410</v>
      </c>
      <c r="G14" t="s">
        <v>338</v>
      </c>
      <c r="H14" t="s">
        <v>543</v>
      </c>
    </row>
    <row r="15" spans="2:8" x14ac:dyDescent="0.25">
      <c r="D15">
        <v>-1.0999999999999999E-2</v>
      </c>
      <c r="E15">
        <v>-7.0000000000000001E-3</v>
      </c>
      <c r="F15">
        <v>-6.0000000000000001E-3</v>
      </c>
      <c r="G15">
        <v>-5.0000000000000001E-3</v>
      </c>
      <c r="H15">
        <v>-5.0000000000000001E-3</v>
      </c>
    </row>
    <row r="17" spans="2:8" x14ac:dyDescent="0.25">
      <c r="B17" t="s">
        <v>200</v>
      </c>
      <c r="D17" t="s">
        <v>231</v>
      </c>
      <c r="E17" t="s">
        <v>618</v>
      </c>
      <c r="F17" t="s">
        <v>449</v>
      </c>
      <c r="G17" t="s">
        <v>351</v>
      </c>
      <c r="H17" t="s">
        <v>411</v>
      </c>
    </row>
    <row r="18" spans="2:8" x14ac:dyDescent="0.25">
      <c r="D18">
        <v>-1.2E-2</v>
      </c>
      <c r="E18">
        <v>-7.0000000000000001E-3</v>
      </c>
      <c r="F18">
        <v>-6.0000000000000001E-3</v>
      </c>
      <c r="G18">
        <v>-5.0000000000000001E-3</v>
      </c>
      <c r="H18">
        <v>-5.0000000000000001E-3</v>
      </c>
    </row>
    <row r="20" spans="2:8" x14ac:dyDescent="0.25">
      <c r="B20" t="s">
        <v>204</v>
      </c>
      <c r="D20" t="s">
        <v>619</v>
      </c>
      <c r="E20" t="s">
        <v>617</v>
      </c>
      <c r="F20" t="s">
        <v>201</v>
      </c>
      <c r="G20" t="s">
        <v>617</v>
      </c>
      <c r="H20" t="s">
        <v>340</v>
      </c>
    </row>
    <row r="21" spans="2:8" x14ac:dyDescent="0.25">
      <c r="D21">
        <v>-1.2E-2</v>
      </c>
      <c r="E21">
        <v>-7.0000000000000001E-3</v>
      </c>
      <c r="F21">
        <v>-6.0000000000000001E-3</v>
      </c>
      <c r="G21">
        <v>-5.0000000000000001E-3</v>
      </c>
      <c r="H21">
        <v>-5.0000000000000001E-3</v>
      </c>
    </row>
    <row r="23" spans="2:8" x14ac:dyDescent="0.25">
      <c r="B23" t="s">
        <v>206</v>
      </c>
      <c r="D23" t="s">
        <v>230</v>
      </c>
      <c r="E23" t="s">
        <v>620</v>
      </c>
      <c r="F23">
        <v>0.02</v>
      </c>
      <c r="G23" t="s">
        <v>444</v>
      </c>
      <c r="H23" t="s">
        <v>621</v>
      </c>
    </row>
    <row r="24" spans="2:8" x14ac:dyDescent="0.25">
      <c r="D24">
        <v>-2.5000000000000001E-2</v>
      </c>
      <c r="E24">
        <v>-1.4999999999999999E-2</v>
      </c>
      <c r="F24">
        <v>-1.2999999999999999E-2</v>
      </c>
      <c r="G24">
        <v>-1.0999999999999999E-2</v>
      </c>
      <c r="H24">
        <v>-1.0999999999999999E-2</v>
      </c>
    </row>
    <row r="26" spans="2:8" x14ac:dyDescent="0.25">
      <c r="B26" t="s">
        <v>207</v>
      </c>
      <c r="D26" t="s">
        <v>622</v>
      </c>
      <c r="E26" t="s">
        <v>623</v>
      </c>
      <c r="F26" t="s">
        <v>411</v>
      </c>
      <c r="G26" t="s">
        <v>351</v>
      </c>
      <c r="H26" t="s">
        <v>449</v>
      </c>
    </row>
    <row r="27" spans="2:8" x14ac:dyDescent="0.25">
      <c r="D27">
        <v>-2.7E-2</v>
      </c>
      <c r="E27">
        <v>-1.6E-2</v>
      </c>
      <c r="F27">
        <v>-1.4E-2</v>
      </c>
      <c r="G27">
        <v>-1.2999999999999999E-2</v>
      </c>
      <c r="H27">
        <v>-1.2E-2</v>
      </c>
    </row>
    <row r="29" spans="2:8" x14ac:dyDescent="0.25">
      <c r="B29" t="s">
        <v>209</v>
      </c>
      <c r="D29" t="s">
        <v>468</v>
      </c>
      <c r="E29" t="s">
        <v>624</v>
      </c>
      <c r="F29" t="s">
        <v>196</v>
      </c>
      <c r="G29" t="s">
        <v>211</v>
      </c>
      <c r="H29" t="s">
        <v>196</v>
      </c>
    </row>
    <row r="30" spans="2:8" x14ac:dyDescent="0.25">
      <c r="D30">
        <v>-2.8000000000000001E-2</v>
      </c>
      <c r="E30">
        <v>-1.7000000000000001E-2</v>
      </c>
      <c r="F30">
        <v>-1.4999999999999999E-2</v>
      </c>
      <c r="G30">
        <v>-1.2999999999999999E-2</v>
      </c>
      <c r="H30">
        <v>-1.2E-2</v>
      </c>
    </row>
    <row r="32" spans="2:8" x14ac:dyDescent="0.25">
      <c r="B32" t="s">
        <v>213</v>
      </c>
      <c r="D32" t="s">
        <v>446</v>
      </c>
      <c r="E32">
        <v>6.5000000000000002E-2</v>
      </c>
      <c r="F32">
        <v>3.4000000000000002E-2</v>
      </c>
      <c r="G32">
        <v>5.5E-2</v>
      </c>
      <c r="H32" t="s">
        <v>447</v>
      </c>
    </row>
    <row r="33" spans="2:8" x14ac:dyDescent="0.25">
      <c r="D33">
        <v>-7.4999999999999997E-2</v>
      </c>
      <c r="E33">
        <v>-4.4999999999999998E-2</v>
      </c>
      <c r="F33">
        <v>-0.04</v>
      </c>
      <c r="G33">
        <v>-3.5000000000000003E-2</v>
      </c>
      <c r="H33">
        <v>-3.3000000000000002E-2</v>
      </c>
    </row>
    <row r="35" spans="2:8" x14ac:dyDescent="0.25">
      <c r="B35" t="s">
        <v>15</v>
      </c>
      <c r="E35" t="s">
        <v>448</v>
      </c>
      <c r="F35" t="s">
        <v>253</v>
      </c>
      <c r="G35" t="s">
        <v>219</v>
      </c>
      <c r="H35" t="s">
        <v>450</v>
      </c>
    </row>
    <row r="36" spans="2:8" x14ac:dyDescent="0.25">
      <c r="E36">
        <v>-3.0000000000000001E-3</v>
      </c>
      <c r="F36">
        <v>-3.0000000000000001E-3</v>
      </c>
      <c r="G36">
        <v>-3.0000000000000001E-3</v>
      </c>
      <c r="H36">
        <v>-3.0000000000000001E-3</v>
      </c>
    </row>
    <row r="38" spans="2:8" x14ac:dyDescent="0.25">
      <c r="B38" t="s">
        <v>13</v>
      </c>
      <c r="E38" t="s">
        <v>625</v>
      </c>
      <c r="F38" t="s">
        <v>451</v>
      </c>
      <c r="G38" t="s">
        <v>313</v>
      </c>
      <c r="H38" t="s">
        <v>208</v>
      </c>
    </row>
    <row r="39" spans="2:8" x14ac:dyDescent="0.25">
      <c r="E39">
        <v>-5.0000000000000001E-3</v>
      </c>
      <c r="F39">
        <v>-5.0000000000000001E-3</v>
      </c>
      <c r="G39">
        <v>-4.0000000000000001E-3</v>
      </c>
      <c r="H39">
        <v>-4.0000000000000001E-3</v>
      </c>
    </row>
    <row r="41" spans="2:8" x14ac:dyDescent="0.25">
      <c r="B41" t="s">
        <v>14</v>
      </c>
      <c r="E41">
        <v>-3.0000000000000001E-3</v>
      </c>
      <c r="F41">
        <v>8.0000000000000002E-3</v>
      </c>
      <c r="G41" t="s">
        <v>452</v>
      </c>
      <c r="H41" t="s">
        <v>349</v>
      </c>
    </row>
    <row r="42" spans="2:8" x14ac:dyDescent="0.25">
      <c r="E42">
        <v>-6.0000000000000001E-3</v>
      </c>
      <c r="F42">
        <v>-5.0000000000000001E-3</v>
      </c>
      <c r="G42">
        <v>-5.0000000000000001E-3</v>
      </c>
      <c r="H42">
        <v>-4.0000000000000001E-3</v>
      </c>
    </row>
    <row r="44" spans="2:8" x14ac:dyDescent="0.25">
      <c r="B44" t="s">
        <v>59</v>
      </c>
      <c r="E44" t="s">
        <v>237</v>
      </c>
      <c r="F44" t="s">
        <v>354</v>
      </c>
      <c r="G44" t="s">
        <v>455</v>
      </c>
      <c r="H44" t="s">
        <v>510</v>
      </c>
    </row>
    <row r="45" spans="2:8" x14ac:dyDescent="0.25">
      <c r="E45">
        <v>-6.0000000000000001E-3</v>
      </c>
      <c r="F45">
        <v>-6.0000000000000001E-3</v>
      </c>
      <c r="G45">
        <v>-5.0000000000000001E-3</v>
      </c>
      <c r="H45">
        <v>-5.0000000000000001E-3</v>
      </c>
    </row>
    <row r="47" spans="2:8" x14ac:dyDescent="0.25">
      <c r="B47" t="s">
        <v>60</v>
      </c>
      <c r="E47" t="s">
        <v>626</v>
      </c>
      <c r="F47">
        <v>4.0000000000000001E-3</v>
      </c>
      <c r="G47" t="s">
        <v>456</v>
      </c>
      <c r="H47" t="s">
        <v>254</v>
      </c>
    </row>
    <row r="48" spans="2:8" x14ac:dyDescent="0.25">
      <c r="E48">
        <v>-4.0000000000000001E-3</v>
      </c>
      <c r="F48">
        <v>-4.0000000000000001E-3</v>
      </c>
      <c r="G48">
        <v>-4.0000000000000001E-3</v>
      </c>
      <c r="H48">
        <v>-4.0000000000000001E-3</v>
      </c>
    </row>
    <row r="50" spans="2:8" x14ac:dyDescent="0.25">
      <c r="B50" t="s">
        <v>18</v>
      </c>
      <c r="E50" t="s">
        <v>314</v>
      </c>
      <c r="F50" t="s">
        <v>314</v>
      </c>
      <c r="G50" t="s">
        <v>314</v>
      </c>
      <c r="H50" t="s">
        <v>314</v>
      </c>
    </row>
    <row r="51" spans="2:8" x14ac:dyDescent="0.25">
      <c r="E51">
        <v>-1.0000000000000001E-5</v>
      </c>
      <c r="F51">
        <v>-1.0000000000000001E-5</v>
      </c>
      <c r="G51">
        <v>-1.0000000000000001E-5</v>
      </c>
      <c r="H51">
        <v>-1.0000000000000001E-5</v>
      </c>
    </row>
    <row r="53" spans="2:8" x14ac:dyDescent="0.25">
      <c r="B53" t="s">
        <v>33</v>
      </c>
      <c r="E53" t="s">
        <v>459</v>
      </c>
      <c r="F53" t="s">
        <v>458</v>
      </c>
      <c r="G53" t="s">
        <v>459</v>
      </c>
      <c r="H53" t="s">
        <v>627</v>
      </c>
    </row>
    <row r="54" spans="2:8" x14ac:dyDescent="0.25">
      <c r="E54">
        <v>-5.0000000000000001E-4</v>
      </c>
      <c r="F54">
        <v>-4.0000000000000002E-4</v>
      </c>
      <c r="G54">
        <v>-4.0000000000000002E-4</v>
      </c>
      <c r="H54">
        <v>-4.0000000000000002E-4</v>
      </c>
    </row>
    <row r="56" spans="2:8" x14ac:dyDescent="0.25">
      <c r="B56" t="s">
        <v>34</v>
      </c>
      <c r="E56" t="s">
        <v>436</v>
      </c>
      <c r="F56" t="s">
        <v>628</v>
      </c>
      <c r="G56" t="s">
        <v>629</v>
      </c>
      <c r="H56" t="s">
        <v>568</v>
      </c>
    </row>
    <row r="57" spans="2:8" x14ac:dyDescent="0.25">
      <c r="E57">
        <v>-7.0000000000000001E-3</v>
      </c>
      <c r="F57">
        <v>-7.0000000000000001E-3</v>
      </c>
      <c r="G57">
        <v>-6.0000000000000001E-3</v>
      </c>
      <c r="H57">
        <v>-6.0000000000000001E-3</v>
      </c>
    </row>
    <row r="59" spans="2:8" x14ac:dyDescent="0.25">
      <c r="B59" t="s">
        <v>21</v>
      </c>
      <c r="E59">
        <v>-1.4999999999999999E-2</v>
      </c>
      <c r="F59">
        <v>3.6999999999999998E-2</v>
      </c>
      <c r="G59">
        <v>-1.6E-2</v>
      </c>
      <c r="H59">
        <v>-5.0000000000000001E-3</v>
      </c>
    </row>
    <row r="60" spans="2:8" x14ac:dyDescent="0.25">
      <c r="E60">
        <v>-4.8000000000000001E-2</v>
      </c>
      <c r="F60">
        <v>-4.2999999999999997E-2</v>
      </c>
      <c r="G60">
        <v>-3.6999999999999998E-2</v>
      </c>
      <c r="H60">
        <v>-3.5000000000000003E-2</v>
      </c>
    </row>
    <row r="62" spans="2:8" x14ac:dyDescent="0.25">
      <c r="B62" t="s">
        <v>227</v>
      </c>
      <c r="E62" t="s">
        <v>420</v>
      </c>
      <c r="F62" t="s">
        <v>345</v>
      </c>
      <c r="G62" t="s">
        <v>625</v>
      </c>
      <c r="H62" t="s">
        <v>630</v>
      </c>
    </row>
    <row r="63" spans="2:8" x14ac:dyDescent="0.25">
      <c r="E63">
        <v>-5.0000000000000001E-3</v>
      </c>
      <c r="F63">
        <v>-5.0000000000000001E-3</v>
      </c>
      <c r="G63">
        <v>-4.0000000000000001E-3</v>
      </c>
      <c r="H63">
        <v>-4.0000000000000001E-3</v>
      </c>
    </row>
    <row r="65" spans="2:8" x14ac:dyDescent="0.25">
      <c r="B65" t="s">
        <v>229</v>
      </c>
      <c r="E65" t="s">
        <v>631</v>
      </c>
      <c r="F65" t="s">
        <v>221</v>
      </c>
      <c r="G65" t="s">
        <v>248</v>
      </c>
      <c r="H65" t="s">
        <v>198</v>
      </c>
    </row>
    <row r="66" spans="2:8" x14ac:dyDescent="0.25">
      <c r="E66">
        <v>-5.0000000000000001E-3</v>
      </c>
      <c r="F66">
        <v>-5.0000000000000001E-3</v>
      </c>
      <c r="G66">
        <v>-4.0000000000000001E-3</v>
      </c>
      <c r="H66">
        <v>-4.0000000000000001E-3</v>
      </c>
    </row>
    <row r="68" spans="2:8" x14ac:dyDescent="0.25">
      <c r="B68" t="s">
        <v>233</v>
      </c>
      <c r="E68" t="s">
        <v>461</v>
      </c>
      <c r="F68" t="s">
        <v>462</v>
      </c>
      <c r="G68" t="s">
        <v>425</v>
      </c>
      <c r="H68" t="s">
        <v>241</v>
      </c>
    </row>
    <row r="69" spans="2:8" x14ac:dyDescent="0.25">
      <c r="E69">
        <v>-1.2E-2</v>
      </c>
      <c r="F69">
        <v>-1.0999999999999999E-2</v>
      </c>
      <c r="G69">
        <v>-8.9999999999999993E-3</v>
      </c>
      <c r="H69">
        <v>-8.9999999999999993E-3</v>
      </c>
    </row>
    <row r="71" spans="2:8" x14ac:dyDescent="0.25">
      <c r="B71" t="s">
        <v>22</v>
      </c>
      <c r="F71">
        <v>3.0000000000000001E-3</v>
      </c>
      <c r="G71" t="s">
        <v>632</v>
      </c>
      <c r="H71" t="s">
        <v>463</v>
      </c>
    </row>
    <row r="72" spans="2:8" x14ac:dyDescent="0.25">
      <c r="F72">
        <v>-0.01</v>
      </c>
      <c r="G72">
        <v>-8.9999999999999993E-3</v>
      </c>
      <c r="H72">
        <v>-8.0000000000000002E-3</v>
      </c>
    </row>
    <row r="74" spans="2:8" x14ac:dyDescent="0.25">
      <c r="B74" t="s">
        <v>23</v>
      </c>
      <c r="F74" t="s">
        <v>633</v>
      </c>
      <c r="G74">
        <v>1.7999999999999999E-2</v>
      </c>
      <c r="H74">
        <v>1.0999999999999999E-2</v>
      </c>
    </row>
    <row r="75" spans="2:8" x14ac:dyDescent="0.25">
      <c r="F75">
        <v>-2.1000000000000001E-2</v>
      </c>
      <c r="G75">
        <v>-1.7999999999999999E-2</v>
      </c>
      <c r="H75">
        <v>-1.7000000000000001E-2</v>
      </c>
    </row>
    <row r="77" spans="2:8" x14ac:dyDescent="0.25">
      <c r="B77" t="s">
        <v>24</v>
      </c>
      <c r="F77" t="s">
        <v>564</v>
      </c>
      <c r="G77" t="s">
        <v>356</v>
      </c>
      <c r="H77" t="s">
        <v>256</v>
      </c>
    </row>
    <row r="78" spans="2:8" x14ac:dyDescent="0.25">
      <c r="F78">
        <v>-6.0000000000000001E-3</v>
      </c>
      <c r="G78">
        <v>-6.0000000000000001E-3</v>
      </c>
      <c r="H78">
        <v>-5.0000000000000001E-3</v>
      </c>
    </row>
    <row r="80" spans="2:8" x14ac:dyDescent="0.25">
      <c r="B80" t="s">
        <v>25</v>
      </c>
      <c r="F80" t="s">
        <v>626</v>
      </c>
      <c r="G80" t="s">
        <v>215</v>
      </c>
      <c r="H80" t="s">
        <v>313</v>
      </c>
    </row>
    <row r="81" spans="2:8" x14ac:dyDescent="0.25">
      <c r="F81">
        <v>-7.0000000000000001E-3</v>
      </c>
      <c r="G81">
        <v>-7.0000000000000001E-3</v>
      </c>
      <c r="H81">
        <v>-6.0000000000000001E-3</v>
      </c>
    </row>
    <row r="83" spans="2:8" x14ac:dyDescent="0.25">
      <c r="B83" t="s">
        <v>26</v>
      </c>
      <c r="F83">
        <v>-6.0000000000000001E-3</v>
      </c>
      <c r="G83" t="s">
        <v>202</v>
      </c>
      <c r="H83" t="s">
        <v>361</v>
      </c>
    </row>
    <row r="84" spans="2:8" x14ac:dyDescent="0.25">
      <c r="F84">
        <v>-7.0000000000000001E-3</v>
      </c>
      <c r="G84">
        <v>-6.0000000000000001E-3</v>
      </c>
      <c r="H84">
        <v>-6.0000000000000001E-3</v>
      </c>
    </row>
    <row r="86" spans="2:8" x14ac:dyDescent="0.25">
      <c r="B86" t="s">
        <v>27</v>
      </c>
      <c r="F86" t="s">
        <v>442</v>
      </c>
      <c r="G86" t="s">
        <v>341</v>
      </c>
      <c r="H86">
        <v>6.0000000000000001E-3</v>
      </c>
    </row>
    <row r="87" spans="2:8" x14ac:dyDescent="0.25">
      <c r="F87">
        <v>-8.9999999999999993E-3</v>
      </c>
      <c r="G87">
        <v>-8.0000000000000002E-3</v>
      </c>
      <c r="H87">
        <v>-7.0000000000000001E-3</v>
      </c>
    </row>
    <row r="89" spans="2:8" x14ac:dyDescent="0.25">
      <c r="B89" t="s">
        <v>31</v>
      </c>
      <c r="F89" t="s">
        <v>454</v>
      </c>
      <c r="G89">
        <v>-3.0000000000000001E-3</v>
      </c>
      <c r="H89">
        <v>3.0000000000000001E-3</v>
      </c>
    </row>
    <row r="90" spans="2:8" x14ac:dyDescent="0.25">
      <c r="F90">
        <v>-6.0000000000000001E-3</v>
      </c>
      <c r="G90">
        <v>-6.0000000000000001E-3</v>
      </c>
      <c r="H90">
        <v>-5.0000000000000001E-3</v>
      </c>
    </row>
    <row r="92" spans="2:8" x14ac:dyDescent="0.25">
      <c r="B92" t="s">
        <v>28</v>
      </c>
      <c r="F92">
        <v>-1.2E-2</v>
      </c>
      <c r="G92">
        <v>-2.1000000000000001E-2</v>
      </c>
      <c r="H92">
        <v>-3.1E-2</v>
      </c>
    </row>
    <row r="93" spans="2:8" x14ac:dyDescent="0.25">
      <c r="F93">
        <v>-2.8000000000000001E-2</v>
      </c>
      <c r="G93">
        <v>-2.5000000000000001E-2</v>
      </c>
      <c r="H93">
        <v>-2.3E-2</v>
      </c>
    </row>
    <row r="95" spans="2:8" x14ac:dyDescent="0.25">
      <c r="B95" t="s">
        <v>239</v>
      </c>
      <c r="F95">
        <v>3.5999999999999997E-2</v>
      </c>
      <c r="G95" t="s">
        <v>634</v>
      </c>
      <c r="H95" t="s">
        <v>635</v>
      </c>
    </row>
    <row r="96" spans="2:8" x14ac:dyDescent="0.25">
      <c r="F96">
        <v>-6.8000000000000005E-2</v>
      </c>
      <c r="G96">
        <v>-0.06</v>
      </c>
      <c r="H96">
        <v>-5.6000000000000001E-2</v>
      </c>
    </row>
    <row r="98" spans="2:8" x14ac:dyDescent="0.25">
      <c r="B98" t="s">
        <v>240</v>
      </c>
      <c r="F98" t="s">
        <v>466</v>
      </c>
      <c r="G98" t="s">
        <v>443</v>
      </c>
      <c r="H98" t="s">
        <v>443</v>
      </c>
    </row>
    <row r="99" spans="2:8" x14ac:dyDescent="0.25">
      <c r="F99">
        <v>-0.01</v>
      </c>
      <c r="G99">
        <v>-8.9999999999999993E-3</v>
      </c>
      <c r="H99">
        <v>-8.9999999999999993E-3</v>
      </c>
    </row>
    <row r="101" spans="2:8" x14ac:dyDescent="0.25">
      <c r="B101" t="s">
        <v>242</v>
      </c>
      <c r="F101" t="s">
        <v>203</v>
      </c>
      <c r="G101" t="s">
        <v>339</v>
      </c>
      <c r="H101" t="s">
        <v>205</v>
      </c>
    </row>
    <row r="102" spans="2:8" x14ac:dyDescent="0.25">
      <c r="F102">
        <v>-6.0000000000000001E-3</v>
      </c>
      <c r="G102">
        <v>-5.0000000000000001E-3</v>
      </c>
      <c r="H102">
        <v>-5.0000000000000001E-3</v>
      </c>
    </row>
    <row r="104" spans="2:8" x14ac:dyDescent="0.25">
      <c r="B104" t="s">
        <v>244</v>
      </c>
      <c r="F104" t="s">
        <v>260</v>
      </c>
      <c r="G104" t="s">
        <v>467</v>
      </c>
      <c r="H104" t="s">
        <v>199</v>
      </c>
    </row>
    <row r="105" spans="2:8" x14ac:dyDescent="0.25">
      <c r="F105">
        <v>-7.0000000000000001E-3</v>
      </c>
      <c r="G105">
        <v>-6.0000000000000001E-3</v>
      </c>
      <c r="H105">
        <v>-6.0000000000000001E-3</v>
      </c>
    </row>
    <row r="107" spans="2:8" x14ac:dyDescent="0.25">
      <c r="B107" t="s">
        <v>245</v>
      </c>
      <c r="F107" t="s">
        <v>498</v>
      </c>
      <c r="G107" t="s">
        <v>450</v>
      </c>
      <c r="H107" t="s">
        <v>618</v>
      </c>
    </row>
    <row r="108" spans="2:8" x14ac:dyDescent="0.25">
      <c r="F108">
        <v>-0.01</v>
      </c>
      <c r="G108">
        <v>-8.9999999999999993E-3</v>
      </c>
      <c r="H108">
        <v>-8.0000000000000002E-3</v>
      </c>
    </row>
    <row r="110" spans="2:8" x14ac:dyDescent="0.25">
      <c r="B110" t="s">
        <v>247</v>
      </c>
      <c r="F110" t="s">
        <v>636</v>
      </c>
      <c r="G110" t="s">
        <v>498</v>
      </c>
      <c r="H110" t="s">
        <v>549</v>
      </c>
    </row>
    <row r="111" spans="2:8" x14ac:dyDescent="0.25">
      <c r="F111">
        <v>-8.0000000000000002E-3</v>
      </c>
      <c r="G111">
        <v>-8.0000000000000002E-3</v>
      </c>
      <c r="H111">
        <v>-8.0000000000000002E-3</v>
      </c>
    </row>
    <row r="113" spans="2:8" x14ac:dyDescent="0.25">
      <c r="B113" t="s">
        <v>249</v>
      </c>
      <c r="F113" t="s">
        <v>637</v>
      </c>
      <c r="G113" t="s">
        <v>469</v>
      </c>
      <c r="H113" t="s">
        <v>638</v>
      </c>
    </row>
    <row r="114" spans="2:8" x14ac:dyDescent="0.25">
      <c r="F114">
        <v>-1.0999999999999999E-2</v>
      </c>
      <c r="G114">
        <v>-0.01</v>
      </c>
      <c r="H114">
        <v>-1.0999999999999999E-2</v>
      </c>
    </row>
    <row r="116" spans="2:8" x14ac:dyDescent="0.25">
      <c r="B116" t="s">
        <v>166</v>
      </c>
      <c r="F116" t="s">
        <v>460</v>
      </c>
      <c r="G116" t="s">
        <v>639</v>
      </c>
      <c r="H116" t="s">
        <v>640</v>
      </c>
    </row>
    <row r="117" spans="2:8" x14ac:dyDescent="0.25">
      <c r="F117">
        <v>-8.0000000000000002E-3</v>
      </c>
      <c r="G117">
        <v>-7.0000000000000001E-3</v>
      </c>
      <c r="H117">
        <v>-7.0000000000000001E-3</v>
      </c>
    </row>
    <row r="119" spans="2:8" x14ac:dyDescent="0.25">
      <c r="B119" t="s">
        <v>167</v>
      </c>
      <c r="F119" t="s">
        <v>641</v>
      </c>
      <c r="G119" t="s">
        <v>640</v>
      </c>
      <c r="H119" t="s">
        <v>642</v>
      </c>
    </row>
    <row r="120" spans="2:8" x14ac:dyDescent="0.25">
      <c r="F120">
        <v>-8.9999999999999993E-3</v>
      </c>
      <c r="G120">
        <v>-8.0000000000000002E-3</v>
      </c>
      <c r="H120">
        <v>-8.0000000000000002E-3</v>
      </c>
    </row>
    <row r="122" spans="2:8" x14ac:dyDescent="0.25">
      <c r="B122" t="s">
        <v>168</v>
      </c>
      <c r="F122" t="s">
        <v>643</v>
      </c>
      <c r="G122" t="s">
        <v>644</v>
      </c>
      <c r="H122" t="s">
        <v>645</v>
      </c>
    </row>
    <row r="123" spans="2:8" x14ac:dyDescent="0.25">
      <c r="F123">
        <v>-0.02</v>
      </c>
      <c r="G123">
        <v>-1.7000000000000001E-2</v>
      </c>
      <c r="H123">
        <v>-1.6E-2</v>
      </c>
    </row>
    <row r="125" spans="2:8" x14ac:dyDescent="0.25">
      <c r="B125" t="s">
        <v>169</v>
      </c>
      <c r="F125" t="s">
        <v>646</v>
      </c>
      <c r="G125" t="s">
        <v>470</v>
      </c>
      <c r="H125" t="s">
        <v>647</v>
      </c>
    </row>
    <row r="126" spans="2:8" x14ac:dyDescent="0.25">
      <c r="F126">
        <v>-0.02</v>
      </c>
      <c r="G126">
        <v>-1.7000000000000001E-2</v>
      </c>
      <c r="H126">
        <v>-1.6E-2</v>
      </c>
    </row>
    <row r="128" spans="2:8" x14ac:dyDescent="0.25">
      <c r="B128" t="s">
        <v>170</v>
      </c>
      <c r="F128" t="s">
        <v>648</v>
      </c>
      <c r="G128">
        <v>-6.5000000000000002E-2</v>
      </c>
      <c r="H128">
        <v>4.4999999999999998E-2</v>
      </c>
    </row>
    <row r="129" spans="2:8" x14ac:dyDescent="0.25">
      <c r="F129">
        <v>-4.9000000000000002E-2</v>
      </c>
      <c r="G129">
        <v>-4.2999999999999997E-2</v>
      </c>
      <c r="H129">
        <v>-0.04</v>
      </c>
    </row>
    <row r="131" spans="2:8" x14ac:dyDescent="0.25">
      <c r="B131" t="s">
        <v>50</v>
      </c>
      <c r="F131">
        <v>3.0000000000000001E-5</v>
      </c>
      <c r="G131" t="s">
        <v>224</v>
      </c>
      <c r="H131" t="s">
        <v>251</v>
      </c>
    </row>
    <row r="132" spans="2:8" x14ac:dyDescent="0.25">
      <c r="F132">
        <v>-4.0000000000000003E-5</v>
      </c>
      <c r="G132">
        <v>-4.0000000000000003E-5</v>
      </c>
      <c r="H132">
        <v>-3.0000000000000001E-5</v>
      </c>
    </row>
    <row r="134" spans="2:8" x14ac:dyDescent="0.25">
      <c r="B134" t="s">
        <v>52</v>
      </c>
      <c r="F134">
        <v>-6.0000000000000001E-3</v>
      </c>
      <c r="G134">
        <v>5.0000000000000001E-3</v>
      </c>
      <c r="H134" t="s">
        <v>359</v>
      </c>
    </row>
    <row r="135" spans="2:8" x14ac:dyDescent="0.25">
      <c r="F135">
        <v>-4.0000000000000001E-3</v>
      </c>
      <c r="G135">
        <v>-3.0000000000000001E-3</v>
      </c>
      <c r="H135">
        <v>-3.0000000000000001E-3</v>
      </c>
    </row>
    <row r="137" spans="2:8" x14ac:dyDescent="0.25">
      <c r="B137" t="s">
        <v>51</v>
      </c>
      <c r="F137" t="s">
        <v>362</v>
      </c>
      <c r="G137" t="s">
        <v>649</v>
      </c>
      <c r="H137" t="s">
        <v>650</v>
      </c>
    </row>
    <row r="138" spans="2:8" x14ac:dyDescent="0.25">
      <c r="F138">
        <v>-1E-3</v>
      </c>
      <c r="G138">
        <v>-1E-3</v>
      </c>
      <c r="H138">
        <v>-1E-3</v>
      </c>
    </row>
    <row r="140" spans="2:8" x14ac:dyDescent="0.25">
      <c r="B140" t="s">
        <v>164</v>
      </c>
      <c r="G140" t="s">
        <v>254</v>
      </c>
      <c r="H140" t="s">
        <v>258</v>
      </c>
    </row>
    <row r="141" spans="2:8" x14ac:dyDescent="0.25">
      <c r="G141">
        <v>-1E-3</v>
      </c>
      <c r="H141">
        <v>-1E-3</v>
      </c>
    </row>
    <row r="143" spans="2:8" x14ac:dyDescent="0.25">
      <c r="B143" t="s">
        <v>39</v>
      </c>
      <c r="G143" t="s">
        <v>651</v>
      </c>
      <c r="H143" t="s">
        <v>511</v>
      </c>
    </row>
    <row r="144" spans="2:8" x14ac:dyDescent="0.25">
      <c r="G144">
        <v>-6.0000000000000001E-3</v>
      </c>
      <c r="H144">
        <v>-6.0000000000000001E-3</v>
      </c>
    </row>
    <row r="146" spans="2:8" x14ac:dyDescent="0.25">
      <c r="B146" t="s">
        <v>40</v>
      </c>
      <c r="G146" t="s">
        <v>458</v>
      </c>
      <c r="H146" t="s">
        <v>457</v>
      </c>
    </row>
    <row r="147" spans="2:8" x14ac:dyDescent="0.25">
      <c r="G147">
        <v>-1E-3</v>
      </c>
      <c r="H147">
        <v>-1E-3</v>
      </c>
    </row>
    <row r="149" spans="2:8" x14ac:dyDescent="0.25">
      <c r="B149" t="s">
        <v>41</v>
      </c>
      <c r="G149" t="s">
        <v>652</v>
      </c>
      <c r="H149" t="s">
        <v>471</v>
      </c>
    </row>
    <row r="150" spans="2:8" x14ac:dyDescent="0.25">
      <c r="G150">
        <v>-1E-3</v>
      </c>
      <c r="H150">
        <v>-1E-3</v>
      </c>
    </row>
    <row r="152" spans="2:8" x14ac:dyDescent="0.25">
      <c r="B152" t="s">
        <v>173</v>
      </c>
      <c r="G152" t="s">
        <v>472</v>
      </c>
      <c r="H152" t="s">
        <v>472</v>
      </c>
    </row>
    <row r="153" spans="2:8" x14ac:dyDescent="0.25">
      <c r="G153">
        <v>-2.0000000000000001E-4</v>
      </c>
      <c r="H153">
        <v>-2.0000000000000001E-4</v>
      </c>
    </row>
    <row r="155" spans="2:8" x14ac:dyDescent="0.25">
      <c r="B155" t="s">
        <v>174</v>
      </c>
      <c r="G155" t="s">
        <v>339</v>
      </c>
      <c r="H155" t="s">
        <v>486</v>
      </c>
    </row>
    <row r="156" spans="2:8" x14ac:dyDescent="0.25">
      <c r="G156">
        <v>-2E-3</v>
      </c>
      <c r="H156">
        <v>-2E-3</v>
      </c>
    </row>
    <row r="158" spans="2:8" x14ac:dyDescent="0.25">
      <c r="B158" t="s">
        <v>175</v>
      </c>
      <c r="G158" t="s">
        <v>338</v>
      </c>
      <c r="H158" t="s">
        <v>199</v>
      </c>
    </row>
    <row r="159" spans="2:8" x14ac:dyDescent="0.25">
      <c r="G159">
        <v>-2E-3</v>
      </c>
      <c r="H159">
        <v>-2E-3</v>
      </c>
    </row>
    <row r="161" spans="2:8" x14ac:dyDescent="0.25">
      <c r="B161" t="s">
        <v>53</v>
      </c>
      <c r="G161" t="s">
        <v>263</v>
      </c>
      <c r="H161" t="s">
        <v>263</v>
      </c>
    </row>
    <row r="162" spans="2:8" x14ac:dyDescent="0.25">
      <c r="G162">
        <v>0</v>
      </c>
      <c r="H162">
        <v>0</v>
      </c>
    </row>
    <row r="164" spans="2:8" x14ac:dyDescent="0.25">
      <c r="B164" t="s">
        <v>54</v>
      </c>
      <c r="G164" t="s">
        <v>262</v>
      </c>
      <c r="H164" t="s">
        <v>262</v>
      </c>
    </row>
    <row r="165" spans="2:8" x14ac:dyDescent="0.25">
      <c r="G165">
        <v>0</v>
      </c>
      <c r="H165">
        <v>0</v>
      </c>
    </row>
    <row r="167" spans="2:8" x14ac:dyDescent="0.25">
      <c r="B167" t="s">
        <v>43</v>
      </c>
      <c r="H167" t="s">
        <v>653</v>
      </c>
    </row>
    <row r="168" spans="2:8" x14ac:dyDescent="0.25">
      <c r="H168">
        <v>-4.1000000000000002E-2</v>
      </c>
    </row>
    <row r="170" spans="2:8" x14ac:dyDescent="0.25">
      <c r="B170" t="s">
        <v>44</v>
      </c>
      <c r="H170" t="s">
        <v>552</v>
      </c>
    </row>
    <row r="171" spans="2:8" x14ac:dyDescent="0.25">
      <c r="H171">
        <v>-0.01</v>
      </c>
    </row>
    <row r="173" spans="2:8" x14ac:dyDescent="0.25">
      <c r="B173" t="s">
        <v>45</v>
      </c>
      <c r="H173" t="s">
        <v>654</v>
      </c>
    </row>
    <row r="174" spans="2:8" x14ac:dyDescent="0.25">
      <c r="H174">
        <v>-2.1000000000000001E-2</v>
      </c>
    </row>
    <row r="176" spans="2:8" x14ac:dyDescent="0.25">
      <c r="B176" t="s">
        <v>48</v>
      </c>
      <c r="H176" t="s">
        <v>655</v>
      </c>
    </row>
    <row r="177" spans="2:8" x14ac:dyDescent="0.25">
      <c r="H177">
        <v>-8.9999999999999993E-3</v>
      </c>
    </row>
    <row r="179" spans="2:8" x14ac:dyDescent="0.25">
      <c r="B179" t="s">
        <v>46</v>
      </c>
      <c r="H179" t="s">
        <v>656</v>
      </c>
    </row>
    <row r="180" spans="2:8" x14ac:dyDescent="0.25">
      <c r="H180">
        <v>-1.2E-2</v>
      </c>
    </row>
    <row r="182" spans="2:8" x14ac:dyDescent="0.25">
      <c r="B182" t="s">
        <v>264</v>
      </c>
      <c r="C182" t="s">
        <v>657</v>
      </c>
      <c r="D182" t="s">
        <v>658</v>
      </c>
      <c r="E182" t="s">
        <v>659</v>
      </c>
      <c r="F182" t="s">
        <v>660</v>
      </c>
      <c r="G182">
        <v>0.90800000000000003</v>
      </c>
      <c r="H182" t="s">
        <v>661</v>
      </c>
    </row>
    <row r="183" spans="2:8" x14ac:dyDescent="0.25">
      <c r="C183">
        <v>-4.0000000000000001E-3</v>
      </c>
      <c r="D183">
        <v>-8.9999999999999993E-3</v>
      </c>
      <c r="E183">
        <v>-1.2E-2</v>
      </c>
      <c r="F183">
        <v>-1.6E-2</v>
      </c>
      <c r="G183">
        <v>-1.3080000000000001</v>
      </c>
      <c r="H183">
        <v>-1.2370000000000001</v>
      </c>
    </row>
    <row r="185" spans="2:8" x14ac:dyDescent="0.25">
      <c r="B185" t="s">
        <v>195</v>
      </c>
      <c r="C185" t="s">
        <v>409</v>
      </c>
      <c r="D185" t="s">
        <v>195</v>
      </c>
      <c r="E185" t="s">
        <v>441</v>
      </c>
      <c r="F185" t="s">
        <v>616</v>
      </c>
      <c r="G185" t="s">
        <v>194</v>
      </c>
      <c r="H185" t="s">
        <v>194</v>
      </c>
    </row>
    <row r="186" spans="2:8" x14ac:dyDescent="0.25">
      <c r="B186" t="s">
        <v>187</v>
      </c>
      <c r="C186" s="1">
        <v>27394</v>
      </c>
      <c r="D186" s="1">
        <v>27394</v>
      </c>
      <c r="E186" s="1">
        <v>27394</v>
      </c>
      <c r="F186" s="1">
        <v>27394</v>
      </c>
      <c r="G186" s="1">
        <v>27394</v>
      </c>
      <c r="H186" s="1">
        <v>27394</v>
      </c>
    </row>
    <row r="187" spans="2:8" x14ac:dyDescent="0.25">
      <c r="B187" t="s">
        <v>265</v>
      </c>
      <c r="C187">
        <v>2.0000000000000001E-4</v>
      </c>
      <c r="D187">
        <v>1.2999999999999999E-2</v>
      </c>
      <c r="E187">
        <v>0.64600000000000002</v>
      </c>
      <c r="F187">
        <v>0.72199999999999998</v>
      </c>
      <c r="G187">
        <v>0.78700000000000003</v>
      </c>
      <c r="H187">
        <v>0.81200000000000006</v>
      </c>
    </row>
    <row r="188" spans="2:8" x14ac:dyDescent="0.25">
      <c r="B188" t="s">
        <v>266</v>
      </c>
      <c r="C188">
        <v>1E-4</v>
      </c>
      <c r="D188">
        <v>1.2999999999999999E-2</v>
      </c>
      <c r="E188">
        <v>0.64500000000000002</v>
      </c>
      <c r="F188">
        <v>0.72099999999999997</v>
      </c>
      <c r="G188">
        <v>0.78600000000000003</v>
      </c>
      <c r="H188">
        <v>0.81100000000000005</v>
      </c>
    </row>
    <row r="189" spans="2:8" x14ac:dyDescent="0.25">
      <c r="B189" t="s">
        <v>267</v>
      </c>
      <c r="C189" t="s">
        <v>662</v>
      </c>
      <c r="D189" t="s">
        <v>663</v>
      </c>
      <c r="E189" t="s">
        <v>664</v>
      </c>
      <c r="F189" t="s">
        <v>665</v>
      </c>
      <c r="G189" t="s">
        <v>666</v>
      </c>
      <c r="H189" t="s">
        <v>667</v>
      </c>
    </row>
    <row r="190" spans="2:8" x14ac:dyDescent="0.25">
      <c r="B190" t="s">
        <v>268</v>
      </c>
      <c r="C190" t="s">
        <v>668</v>
      </c>
      <c r="D190" t="s">
        <v>669</v>
      </c>
      <c r="E190" t="s">
        <v>670</v>
      </c>
      <c r="F190" t="s">
        <v>671</v>
      </c>
      <c r="G190" t="s">
        <v>672</v>
      </c>
      <c r="H190" t="s">
        <v>673</v>
      </c>
    </row>
    <row r="191" spans="2:8" x14ac:dyDescent="0.25">
      <c r="B191" t="s">
        <v>192</v>
      </c>
      <c r="C191" t="s">
        <v>437</v>
      </c>
      <c r="D191" t="s">
        <v>192</v>
      </c>
      <c r="E191" t="s">
        <v>439</v>
      </c>
      <c r="F191" t="s">
        <v>614</v>
      </c>
      <c r="G191" t="s">
        <v>193</v>
      </c>
      <c r="H191" t="s">
        <v>193</v>
      </c>
    </row>
    <row r="192" spans="2:8" x14ac:dyDescent="0.25">
      <c r="B192" t="s">
        <v>269</v>
      </c>
      <c r="H192" t="s">
        <v>270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7456-748C-4C9D-907C-A45F99445CB2}">
  <sheetPr codeName="Sheet15"/>
  <dimension ref="A1:AG61"/>
  <sheetViews>
    <sheetView workbookViewId="0">
      <selection activeCell="B1" sqref="B1:Z1048576"/>
    </sheetView>
  </sheetViews>
  <sheetFormatPr defaultColWidth="11.42578125" defaultRowHeight="15" x14ac:dyDescent="0.25"/>
  <sheetData>
    <row r="1" spans="1:33" x14ac:dyDescent="0.25">
      <c r="B1" t="s">
        <v>280</v>
      </c>
      <c r="C1" t="s">
        <v>281</v>
      </c>
      <c r="D1" t="s">
        <v>282</v>
      </c>
      <c r="E1" t="s">
        <v>283</v>
      </c>
      <c r="F1" t="s">
        <v>284</v>
      </c>
      <c r="G1" t="s">
        <v>285</v>
      </c>
      <c r="H1" t="s">
        <v>286</v>
      </c>
      <c r="I1" t="s">
        <v>287</v>
      </c>
      <c r="J1" t="s">
        <v>288</v>
      </c>
      <c r="K1" t="s">
        <v>289</v>
      </c>
      <c r="L1" t="s">
        <v>290</v>
      </c>
      <c r="M1" t="s">
        <v>291</v>
      </c>
      <c r="N1" t="s">
        <v>292</v>
      </c>
      <c r="O1" t="s">
        <v>293</v>
      </c>
      <c r="P1" t="s">
        <v>294</v>
      </c>
      <c r="Q1" t="s">
        <v>295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302</v>
      </c>
      <c r="Y1" t="s">
        <v>303</v>
      </c>
      <c r="Z1" t="s">
        <v>304</v>
      </c>
    </row>
    <row r="2" spans="1:33" x14ac:dyDescent="0.25">
      <c r="A2">
        <v>119</v>
      </c>
      <c r="B2" t="s">
        <v>279</v>
      </c>
      <c r="C2">
        <v>2.2690568756398699</v>
      </c>
      <c r="D2">
        <v>13.9806762233714</v>
      </c>
      <c r="E2">
        <v>0.16229950822026101</v>
      </c>
      <c r="F2">
        <v>0.87400113663289802</v>
      </c>
      <c r="G2">
        <v>0.90827944310628494</v>
      </c>
      <c r="H2">
        <v>19.063709601530999</v>
      </c>
      <c r="I2">
        <v>4.7644422942392101E-2</v>
      </c>
      <c r="J2">
        <v>0.96284332337525802</v>
      </c>
      <c r="K2">
        <v>12.3226027581144</v>
      </c>
      <c r="L2">
        <v>0.11825579845961</v>
      </c>
      <c r="M2">
        <v>104.20294749710099</v>
      </c>
      <c r="N2">
        <v>9.41526542881659E-15</v>
      </c>
      <c r="O2">
        <v>12.7293552391184</v>
      </c>
      <c r="P2">
        <v>0.139949677310724</v>
      </c>
      <c r="Q2">
        <v>90.956660163323903</v>
      </c>
      <c r="R2">
        <v>1.8408898505082501E-16</v>
      </c>
      <c r="S2">
        <v>13.140494135146801</v>
      </c>
      <c r="T2">
        <v>4.2848134067394697E-2</v>
      </c>
      <c r="U2">
        <v>306.67599467641702</v>
      </c>
      <c r="V2">
        <v>3.1167085302941599E-22</v>
      </c>
      <c r="W2">
        <v>13.2379186030398</v>
      </c>
      <c r="X2">
        <v>5.0014577827250203E-2</v>
      </c>
      <c r="Y2">
        <v>264.68120252386001</v>
      </c>
      <c r="Z2">
        <v>2.3114427462906002E-22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1.28889859232891E-2</v>
      </c>
      <c r="D3">
        <v>8.5737983000312504E-3</v>
      </c>
      <c r="E3">
        <v>1.50329940969595</v>
      </c>
      <c r="F3">
        <v>0.16405783926204801</v>
      </c>
      <c r="G3">
        <v>5.39395049291869E-3</v>
      </c>
      <c r="H3">
        <v>8.5831793762561805E-3</v>
      </c>
      <c r="I3">
        <v>0.628432688688772</v>
      </c>
      <c r="J3">
        <v>0.543985339837457</v>
      </c>
      <c r="K3">
        <v>-6.6406439635916404E-4</v>
      </c>
      <c r="L3">
        <v>1.4438279348766399E-2</v>
      </c>
      <c r="M3">
        <v>-4.5993319585958897E-2</v>
      </c>
      <c r="N3">
        <v>0.964231974533589</v>
      </c>
      <c r="O3">
        <v>-1.82328285957956E-2</v>
      </c>
      <c r="P3">
        <v>1.7383275098374101E-2</v>
      </c>
      <c r="Q3">
        <v>-1.0488718893657101</v>
      </c>
      <c r="R3">
        <v>0.31925056227323301</v>
      </c>
      <c r="S3">
        <v>-3.3335004141108203E-2</v>
      </c>
      <c r="T3">
        <v>3.25089648764516E-2</v>
      </c>
      <c r="U3">
        <v>-1.02540958371932</v>
      </c>
      <c r="V3">
        <v>0.329663135227932</v>
      </c>
      <c r="W3">
        <v>1.33742292304072E-2</v>
      </c>
      <c r="X3">
        <v>2.8238436894649201E-2</v>
      </c>
      <c r="Y3">
        <v>0.47361790173808999</v>
      </c>
      <c r="Z3">
        <v>0.64488904254478596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-1.8050441878153302E-5</v>
      </c>
      <c r="D4">
        <v>5.4984450388242903E-5</v>
      </c>
      <c r="E4">
        <v>-0.32828266447513599</v>
      </c>
      <c r="F4">
        <v>0.75625716163192203</v>
      </c>
      <c r="G4">
        <v>-1.8741754339450298E-5</v>
      </c>
      <c r="H4">
        <v>4.5608721732494198E-5</v>
      </c>
      <c r="I4">
        <v>-0.41092478867035698</v>
      </c>
      <c r="J4">
        <v>0.69839540256572796</v>
      </c>
      <c r="K4">
        <v>1.9683530285693199E-5</v>
      </c>
      <c r="L4">
        <v>9.2439943046279197E-5</v>
      </c>
      <c r="M4">
        <v>0.212933171928057</v>
      </c>
      <c r="N4">
        <v>0.83991158946078504</v>
      </c>
      <c r="O4">
        <v>2.4443857066541399E-4</v>
      </c>
      <c r="P4">
        <v>1.2594960581914901E-4</v>
      </c>
      <c r="Q4">
        <v>1.94076487239192</v>
      </c>
      <c r="R4">
        <v>0.110133009586973</v>
      </c>
      <c r="S4">
        <v>8.99592999088228E-4</v>
      </c>
      <c r="T4">
        <v>3.2356534771196902E-4</v>
      </c>
      <c r="U4">
        <v>2.7802513632857502</v>
      </c>
      <c r="V4">
        <v>4.0492336700508703E-2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4.13074557434263E-2</v>
      </c>
      <c r="D5">
        <v>1.4204965296862E-2</v>
      </c>
      <c r="E5">
        <v>2.90795893408845</v>
      </c>
      <c r="F5">
        <v>1.42412473558556E-2</v>
      </c>
      <c r="G5">
        <v>4.5864420602732901E-2</v>
      </c>
      <c r="H5">
        <v>1.28933420003138E-2</v>
      </c>
      <c r="I5">
        <v>3.5572174073732601</v>
      </c>
      <c r="J5">
        <v>4.4956934740922796E-3</v>
      </c>
      <c r="K5">
        <v>4.0463080955662797E-2</v>
      </c>
      <c r="L5">
        <v>1.4125363780331499E-2</v>
      </c>
      <c r="M5">
        <v>2.8645691243721898</v>
      </c>
      <c r="N5">
        <v>1.53819747027718E-2</v>
      </c>
      <c r="O5">
        <v>5.31097532668659E-2</v>
      </c>
      <c r="P5">
        <v>1.45501843053815E-2</v>
      </c>
      <c r="Q5">
        <v>3.6501086276428101</v>
      </c>
      <c r="R5">
        <v>3.8123387404886099E-3</v>
      </c>
      <c r="S5">
        <v>6.8138544333655002E-2</v>
      </c>
      <c r="T5">
        <v>3.00572283407343E-2</v>
      </c>
      <c r="U5">
        <v>2.2669603318450999</v>
      </c>
      <c r="V5">
        <v>4.4528928586888498E-2</v>
      </c>
      <c r="AB5" t="str">
        <f t="shared" si="0"/>
        <v>**</v>
      </c>
      <c r="AC5" t="str">
        <f t="shared" si="1"/>
        <v>***</v>
      </c>
      <c r="AD5" t="str">
        <f t="shared" si="2"/>
        <v>**</v>
      </c>
      <c r="AE5" t="str">
        <f t="shared" si="3"/>
        <v>***</v>
      </c>
      <c r="AF5" t="str">
        <f t="shared" si="4"/>
        <v>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5.4106584127983297E-2</v>
      </c>
      <c r="D6">
        <v>2.1239918296856401E-2</v>
      </c>
      <c r="E6">
        <v>2.5474007654723998</v>
      </c>
      <c r="F6">
        <v>2.74804824495503E-2</v>
      </c>
      <c r="G6">
        <v>6.2992577703349706E-2</v>
      </c>
      <c r="H6">
        <v>1.56060434819988E-2</v>
      </c>
      <c r="I6">
        <v>4.03642202945354</v>
      </c>
      <c r="J6">
        <v>2.0467977906703698E-3</v>
      </c>
      <c r="K6">
        <v>5.0048762129567298E-2</v>
      </c>
      <c r="L6">
        <v>1.6744677307766302E-2</v>
      </c>
      <c r="M6">
        <v>2.98893560082846</v>
      </c>
      <c r="N6">
        <v>1.25765965184197E-2</v>
      </c>
      <c r="O6">
        <v>6.1939459299559997E-2</v>
      </c>
      <c r="P6">
        <v>1.6132322696313001E-2</v>
      </c>
      <c r="Q6">
        <v>3.8394631985458698</v>
      </c>
      <c r="R6">
        <v>2.8504457829397799E-3</v>
      </c>
      <c r="S6">
        <v>6.8430317817215203E-2</v>
      </c>
      <c r="T6">
        <v>3.0399761331180698E-2</v>
      </c>
      <c r="U6">
        <v>2.2510149692204</v>
      </c>
      <c r="V6">
        <v>4.6327298741109003E-2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***</v>
      </c>
      <c r="AF6" t="str">
        <f t="shared" si="4"/>
        <v>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5.0651167023852701E-2</v>
      </c>
      <c r="D7">
        <v>2.0947658114402998E-2</v>
      </c>
      <c r="E7">
        <v>2.4179870965636301</v>
      </c>
      <c r="F7">
        <v>3.3823123825227203E-2</v>
      </c>
      <c r="G7">
        <v>5.2560271088765702E-2</v>
      </c>
      <c r="H7">
        <v>1.6392801293329401E-2</v>
      </c>
      <c r="I7">
        <v>3.20630197049688</v>
      </c>
      <c r="J7">
        <v>8.2009910257125306E-3</v>
      </c>
      <c r="K7">
        <v>4.36729581965472E-2</v>
      </c>
      <c r="L7">
        <v>1.6224418458694899E-2</v>
      </c>
      <c r="M7">
        <v>2.69180422754334</v>
      </c>
      <c r="N7">
        <v>2.0695059235729899E-2</v>
      </c>
      <c r="O7">
        <v>5.2712843722309798E-2</v>
      </c>
      <c r="P7">
        <v>2.0399297214451301E-2</v>
      </c>
      <c r="Q7">
        <v>2.5840519488566902</v>
      </c>
      <c r="R7">
        <v>2.5097938985791299E-2</v>
      </c>
      <c r="S7">
        <v>6.7050822711331004E-2</v>
      </c>
      <c r="T7">
        <v>3.1557049444924101E-2</v>
      </c>
      <c r="U7">
        <v>2.1247494265379099</v>
      </c>
      <c r="V7">
        <v>5.6739921928451301E-2</v>
      </c>
      <c r="AB7" t="str">
        <f t="shared" si="0"/>
        <v>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1.7968552632610199E-2</v>
      </c>
      <c r="D8">
        <v>3.07689031743929E-2</v>
      </c>
      <c r="E8">
        <v>0.58398417814140102</v>
      </c>
      <c r="F8">
        <v>0.57280638952268903</v>
      </c>
      <c r="G8">
        <v>2.7481172072556299E-2</v>
      </c>
      <c r="H8">
        <v>2.57666023684699E-2</v>
      </c>
      <c r="I8">
        <v>1.0665423279160999</v>
      </c>
      <c r="J8">
        <v>0.31254395670312601</v>
      </c>
      <c r="K8">
        <v>2.03583462110795E-2</v>
      </c>
      <c r="L8">
        <v>2.6216446181254401E-2</v>
      </c>
      <c r="M8">
        <v>0.77654866225294805</v>
      </c>
      <c r="N8">
        <v>0.45632008223158499</v>
      </c>
      <c r="O8">
        <v>3.6296093293631801E-2</v>
      </c>
      <c r="P8">
        <v>3.3776296689395101E-2</v>
      </c>
      <c r="Q8">
        <v>1.0746025127446199</v>
      </c>
      <c r="R8">
        <v>0.30907587871372599</v>
      </c>
      <c r="S8">
        <v>6.5348412663377098E-2</v>
      </c>
      <c r="T8">
        <v>5.1237937682475899E-2</v>
      </c>
      <c r="U8">
        <v>1.27539115778516</v>
      </c>
      <c r="V8">
        <v>0.232431036773774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5.0278657356761999E-2</v>
      </c>
      <c r="D9">
        <v>4.0303922554046599E-2</v>
      </c>
      <c r="E9">
        <v>1.2474879408906001</v>
      </c>
      <c r="F9">
        <v>0.24051535726621701</v>
      </c>
      <c r="G9">
        <v>6.3194512393455401E-2</v>
      </c>
      <c r="H9">
        <v>3.70536820371654E-2</v>
      </c>
      <c r="I9">
        <v>1.70548536391256</v>
      </c>
      <c r="J9">
        <v>0.11886766644072599</v>
      </c>
      <c r="K9">
        <v>5.4424591091363397E-2</v>
      </c>
      <c r="L9">
        <v>3.6140374301378203E-2</v>
      </c>
      <c r="M9">
        <v>1.5059221755013199</v>
      </c>
      <c r="N9">
        <v>0.16294484381638999</v>
      </c>
      <c r="O9">
        <v>8.7894694502355306E-2</v>
      </c>
      <c r="P9">
        <v>4.12575243959881E-2</v>
      </c>
      <c r="Q9">
        <v>2.1303918688563401</v>
      </c>
      <c r="R9">
        <v>5.8944756722222998E-2</v>
      </c>
      <c r="S9">
        <v>0.112262973008776</v>
      </c>
      <c r="T9">
        <v>6.2709857391983398E-2</v>
      </c>
      <c r="U9">
        <v>1.79019659233235</v>
      </c>
      <c r="V9">
        <v>0.103630124012398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9.4787455832825801E-2</v>
      </c>
      <c r="D10">
        <v>4.1526026744660702E-2</v>
      </c>
      <c r="E10">
        <v>2.2826035444147901</v>
      </c>
      <c r="F10">
        <v>4.5608567017057199E-2</v>
      </c>
      <c r="G10">
        <v>0.106984925214545</v>
      </c>
      <c r="H10">
        <v>3.88121361050386E-2</v>
      </c>
      <c r="I10">
        <v>2.75648124403688</v>
      </c>
      <c r="J10">
        <v>2.0317040555123098E-2</v>
      </c>
      <c r="K10">
        <v>9.49707388787253E-2</v>
      </c>
      <c r="L10">
        <v>3.6102611666867498E-2</v>
      </c>
      <c r="M10">
        <v>2.63057807991999</v>
      </c>
      <c r="N10">
        <v>2.5191422780405901E-2</v>
      </c>
      <c r="O10">
        <v>0.13127990382612301</v>
      </c>
      <c r="P10">
        <v>4.3651578477357601E-2</v>
      </c>
      <c r="Q10">
        <v>3.00744917836635</v>
      </c>
      <c r="R10">
        <v>1.32062447885172E-2</v>
      </c>
      <c r="S10">
        <v>0.13552735509576</v>
      </c>
      <c r="T10">
        <v>7.0665801649209506E-2</v>
      </c>
      <c r="U10">
        <v>1.91786340680784</v>
      </c>
      <c r="V10">
        <v>8.4125300095905006E-2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>*</v>
      </c>
      <c r="AG10" t="str">
        <f t="shared" si="5"/>
        <v>***</v>
      </c>
    </row>
    <row r="11" spans="1:33" x14ac:dyDescent="0.25">
      <c r="A11">
        <v>17</v>
      </c>
      <c r="B11" t="s">
        <v>213</v>
      </c>
      <c r="C11">
        <v>5.6943048577230003E-2</v>
      </c>
      <c r="D11">
        <v>8.5095316442873895E-2</v>
      </c>
      <c r="E11">
        <v>0.66916783387787204</v>
      </c>
      <c r="F11">
        <v>0.52164485820045603</v>
      </c>
      <c r="G11">
        <v>5.5368357167826301E-2</v>
      </c>
      <c r="H11">
        <v>9.3983017537510094E-2</v>
      </c>
      <c r="I11">
        <v>0.58913151140021502</v>
      </c>
      <c r="J11">
        <v>0.57153147266770699</v>
      </c>
      <c r="K11">
        <v>3.3676277899578097E-2</v>
      </c>
      <c r="L11">
        <v>8.7740201198578505E-2</v>
      </c>
      <c r="M11">
        <v>0.38381810663233001</v>
      </c>
      <c r="N11">
        <v>0.71080784414471399</v>
      </c>
      <c r="O11">
        <v>6.4588452378275402E-2</v>
      </c>
      <c r="P11">
        <v>7.8688010194046004E-2</v>
      </c>
      <c r="Q11">
        <v>0.82081694808394801</v>
      </c>
      <c r="R11">
        <v>0.43486419232351098</v>
      </c>
      <c r="S11">
        <v>0.18024939158762901</v>
      </c>
      <c r="T11">
        <v>0.120528828750971</v>
      </c>
      <c r="U11">
        <v>1.4954877887351701</v>
      </c>
      <c r="V11">
        <v>0.172048431672401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5.9730064269911599E-2</v>
      </c>
      <c r="D12">
        <v>2.9844036451619899E-2</v>
      </c>
      <c r="E12">
        <v>2.0014070270534501</v>
      </c>
      <c r="F12">
        <v>6.7551183764871195E-2</v>
      </c>
      <c r="G12">
        <v>4.9318054037428401E-2</v>
      </c>
      <c r="H12">
        <v>3.04101330379037E-2</v>
      </c>
      <c r="I12">
        <v>1.6217638369407199</v>
      </c>
      <c r="J12">
        <v>0.129696538236347</v>
      </c>
      <c r="K12">
        <v>1.32501369213852E-2</v>
      </c>
      <c r="L12">
        <v>2.6616249415449999E-2</v>
      </c>
      <c r="M12">
        <v>0.49782133893342201</v>
      </c>
      <c r="N12">
        <v>0.62711636131937198</v>
      </c>
      <c r="O12">
        <v>-3.5000462753301202E-2</v>
      </c>
      <c r="P12">
        <v>2.17645290251905E-2</v>
      </c>
      <c r="Q12">
        <v>-1.6081424373020601</v>
      </c>
      <c r="R12">
        <v>0.13662019620778801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6.0743876369885499E-2</v>
      </c>
      <c r="D13">
        <v>2.9944458079114701E-2</v>
      </c>
      <c r="E13">
        <v>2.0285515339565401</v>
      </c>
      <c r="F13">
        <v>6.3046256081985594E-2</v>
      </c>
      <c r="G13">
        <v>6.4217381691941897E-2</v>
      </c>
      <c r="H13">
        <v>3.6522078401952901E-2</v>
      </c>
      <c r="I13">
        <v>1.7583167361173</v>
      </c>
      <c r="J13">
        <v>0.10163962813945999</v>
      </c>
      <c r="K13">
        <v>8.4028142587764906E-2</v>
      </c>
      <c r="L13">
        <v>4.2621836285349698E-2</v>
      </c>
      <c r="M13">
        <v>1.9714810508210701</v>
      </c>
      <c r="N13">
        <v>6.9699732723913305E-2</v>
      </c>
      <c r="O13">
        <v>0.104419558798015</v>
      </c>
      <c r="P13">
        <v>4.4060868657704699E-2</v>
      </c>
      <c r="Q13">
        <v>2.3698933311827801</v>
      </c>
      <c r="R13">
        <v>3.3374323624305299E-2</v>
      </c>
      <c r="AB13" t="str">
        <f t="shared" si="0"/>
        <v>*</v>
      </c>
      <c r="AC13" t="str">
        <f t="shared" si="1"/>
        <v/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2.9105063586033399E-2</v>
      </c>
      <c r="D14">
        <v>2.3879210876036599E-2</v>
      </c>
      <c r="E14">
        <v>1.2188452850107001</v>
      </c>
      <c r="F14">
        <v>0.247585917593765</v>
      </c>
      <c r="G14">
        <v>2.25825654461435E-2</v>
      </c>
      <c r="H14">
        <v>2.6183562140562E-2</v>
      </c>
      <c r="I14">
        <v>0.86247109254703003</v>
      </c>
      <c r="J14">
        <v>0.40639830977323299</v>
      </c>
      <c r="K14">
        <v>7.5430889370164296E-3</v>
      </c>
      <c r="L14">
        <v>3.23176327010921E-2</v>
      </c>
      <c r="M14">
        <v>0.23340474863313701</v>
      </c>
      <c r="N14">
        <v>0.81968095095215199</v>
      </c>
      <c r="O14">
        <v>-3.1281330862012501E-3</v>
      </c>
      <c r="P14">
        <v>3.3598756355058899E-2</v>
      </c>
      <c r="Q14">
        <v>-9.3102645024843306E-2</v>
      </c>
      <c r="R14">
        <v>0.92744710353041504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-3.3102770785145598E-2</v>
      </c>
      <c r="D15">
        <v>2.2045711553236199E-2</v>
      </c>
      <c r="E15">
        <v>-1.50155147885378</v>
      </c>
      <c r="F15">
        <v>0.16579373200960101</v>
      </c>
      <c r="G15">
        <v>-3.2402364739983799E-2</v>
      </c>
      <c r="H15">
        <v>2.2292293273798801E-2</v>
      </c>
      <c r="I15">
        <v>-1.4535231679401901</v>
      </c>
      <c r="J15">
        <v>0.178357048212857</v>
      </c>
      <c r="K15">
        <v>-3.6971601531098103E-2</v>
      </c>
      <c r="L15">
        <v>2.6144834158993002E-2</v>
      </c>
      <c r="M15">
        <v>-1.4141073263752599</v>
      </c>
      <c r="N15">
        <v>0.18946581439796401</v>
      </c>
      <c r="O15">
        <v>-0.101117172456101</v>
      </c>
      <c r="P15">
        <v>5.2870370008921697E-2</v>
      </c>
      <c r="Q15">
        <v>-1.9125489842238299</v>
      </c>
      <c r="R15">
        <v>8.2305802929826602E-2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-9.7985581974331208E-3</v>
      </c>
      <c r="D16">
        <v>1.03636400212669E-2</v>
      </c>
      <c r="E16">
        <v>-0.945474580101757</v>
      </c>
      <c r="F16">
        <v>0.36698069543575601</v>
      </c>
      <c r="G16">
        <v>-7.67334620245398E-3</v>
      </c>
      <c r="H16">
        <v>1.1707947566217699E-2</v>
      </c>
      <c r="I16">
        <v>-0.65539635867474999</v>
      </c>
      <c r="J16">
        <v>0.52711167348576105</v>
      </c>
      <c r="K16">
        <v>3.5988182630157599E-3</v>
      </c>
      <c r="L16">
        <v>7.5324695433676304E-3</v>
      </c>
      <c r="M16">
        <v>0.477774021162095</v>
      </c>
      <c r="N16">
        <v>0.64310151040090702</v>
      </c>
      <c r="O16">
        <v>8.2908114578886097E-2</v>
      </c>
      <c r="P16">
        <v>1.9196914039090199E-2</v>
      </c>
      <c r="Q16">
        <v>4.3188251200199401</v>
      </c>
      <c r="R16">
        <v>1.18153719226194E-3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5.1435804448204101E-4</v>
      </c>
      <c r="D17">
        <v>6.8423754054419903E-5</v>
      </c>
      <c r="E17">
        <v>7.5172438517909104</v>
      </c>
      <c r="F17">
        <v>4.0240780056337098E-5</v>
      </c>
      <c r="G17">
        <v>5.6212975466105703E-4</v>
      </c>
      <c r="H17">
        <v>7.6470346479078194E-5</v>
      </c>
      <c r="I17">
        <v>7.3509508004498496</v>
      </c>
      <c r="J17">
        <v>5.1999567436396903E-5</v>
      </c>
      <c r="K17">
        <v>6.5348248091273199E-4</v>
      </c>
      <c r="L17">
        <v>6.5329443424041406E-5</v>
      </c>
      <c r="M17">
        <v>10.0028784367731</v>
      </c>
      <c r="N17">
        <v>3.14498757647911E-6</v>
      </c>
      <c r="O17">
        <v>7.1666875591973398E-4</v>
      </c>
      <c r="P17">
        <v>5.9603516171675997E-5</v>
      </c>
      <c r="Q17">
        <v>12.023934189646001</v>
      </c>
      <c r="R17">
        <v>9.4965034544478501E-7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-2.1498709675440899E-2</v>
      </c>
      <c r="D18">
        <v>6.6906598756228796E-3</v>
      </c>
      <c r="E18">
        <v>-3.2132420531150401</v>
      </c>
      <c r="F18">
        <v>1.2800961965762799E-2</v>
      </c>
      <c r="G18">
        <v>-2.32916472438052E-2</v>
      </c>
      <c r="H18">
        <v>6.6061905493335401E-3</v>
      </c>
      <c r="I18">
        <v>-3.52573045991763</v>
      </c>
      <c r="J18">
        <v>8.1888465551742499E-3</v>
      </c>
      <c r="K18">
        <v>-2.04029913899017E-2</v>
      </c>
      <c r="L18">
        <v>7.9978583868856208E-3</v>
      </c>
      <c r="M18">
        <v>-2.55105684583729</v>
      </c>
      <c r="N18">
        <v>3.4102942398751397E-2</v>
      </c>
      <c r="O18">
        <v>-2.34760786720834E-2</v>
      </c>
      <c r="P18">
        <v>7.8619551847715907E-3</v>
      </c>
      <c r="Q18">
        <v>-2.9860356769211802</v>
      </c>
      <c r="R18">
        <v>1.7961816354445801E-2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0.208079469119582</v>
      </c>
      <c r="D19">
        <v>9.0523259764448596E-2</v>
      </c>
      <c r="E19">
        <v>2.2986298732616102</v>
      </c>
      <c r="F19">
        <v>5.3036150451374602E-2</v>
      </c>
      <c r="G19">
        <v>0.24144747781810499</v>
      </c>
      <c r="H19">
        <v>9.5985730084166596E-2</v>
      </c>
      <c r="I19">
        <v>2.5154518031627</v>
      </c>
      <c r="J19">
        <v>3.8354598489139198E-2</v>
      </c>
      <c r="K19">
        <v>0.23828150663254799</v>
      </c>
      <c r="L19">
        <v>0.11094447268296299</v>
      </c>
      <c r="M19">
        <v>2.1477546458169701</v>
      </c>
      <c r="N19">
        <v>6.6031869168968402E-2</v>
      </c>
      <c r="O19">
        <v>0.25822648039712298</v>
      </c>
      <c r="P19">
        <v>0.118895843155316</v>
      </c>
      <c r="Q19">
        <v>2.1718713921713499</v>
      </c>
      <c r="R19">
        <v>6.4882357866034399E-2</v>
      </c>
      <c r="AB19" t="str">
        <f t="shared" si="0"/>
        <v>*</v>
      </c>
      <c r="AC19" t="str">
        <f t="shared" si="1"/>
        <v>**</v>
      </c>
      <c r="AD19" t="str">
        <f t="shared" si="2"/>
        <v>*</v>
      </c>
      <c r="AE19" t="str">
        <f t="shared" si="3"/>
        <v>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-4.8689221297184299E-3</v>
      </c>
      <c r="D20">
        <v>9.7238883624873707E-2</v>
      </c>
      <c r="E20">
        <v>-5.0071760886330897E-2</v>
      </c>
      <c r="F20">
        <v>0.96170211605359701</v>
      </c>
      <c r="G20">
        <v>-1.6201971523069202E-2</v>
      </c>
      <c r="H20">
        <v>0.109040843384693</v>
      </c>
      <c r="I20">
        <v>-0.14858626382693199</v>
      </c>
      <c r="J20">
        <v>0.88678264283665797</v>
      </c>
      <c r="K20">
        <v>3.71763730868378E-2</v>
      </c>
      <c r="L20">
        <v>8.8785521672933396E-2</v>
      </c>
      <c r="M20">
        <v>0.41872112013699098</v>
      </c>
      <c r="N20">
        <v>0.690102342912851</v>
      </c>
      <c r="O20">
        <v>-1.51691882834809E-2</v>
      </c>
      <c r="P20">
        <v>0.114818033620702</v>
      </c>
      <c r="Q20">
        <v>-0.132115032849212</v>
      </c>
      <c r="R20">
        <v>0.89925370557567996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227</v>
      </c>
      <c r="C21">
        <v>9.8346990786109104E-2</v>
      </c>
      <c r="D21">
        <v>1.22847986602935E-2</v>
      </c>
      <c r="E21">
        <v>8.0055842595110995</v>
      </c>
      <c r="F21">
        <v>6.7166002905350904E-6</v>
      </c>
      <c r="G21">
        <v>0.10354044971849601</v>
      </c>
      <c r="H21">
        <v>1.6137766715577699E-2</v>
      </c>
      <c r="I21">
        <v>6.4160333671541601</v>
      </c>
      <c r="J21">
        <v>5.1448462565246902E-5</v>
      </c>
      <c r="K21">
        <v>0.13214133816489801</v>
      </c>
      <c r="L21">
        <v>1.7539760977600499E-2</v>
      </c>
      <c r="M21">
        <v>7.5338163577971402</v>
      </c>
      <c r="N21">
        <v>1.16001306435372E-5</v>
      </c>
      <c r="O21">
        <v>0.15386179897546501</v>
      </c>
      <c r="P21">
        <v>2.7281657500613302E-2</v>
      </c>
      <c r="Q21">
        <v>5.6397526056474199</v>
      </c>
      <c r="R21">
        <v>1.58682457450923E-4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229</v>
      </c>
      <c r="C22">
        <v>5.4765689986619903E-2</v>
      </c>
      <c r="D22">
        <v>5.5952085605167302E-3</v>
      </c>
      <c r="E22">
        <v>9.7879622170084293</v>
      </c>
      <c r="F22">
        <v>7.1628685600005304E-7</v>
      </c>
      <c r="G22">
        <v>5.6270732543348197E-2</v>
      </c>
      <c r="H22">
        <v>6.9857954695972703E-3</v>
      </c>
      <c r="I22">
        <v>8.0550214772595101</v>
      </c>
      <c r="J22">
        <v>5.0354344037463399E-6</v>
      </c>
      <c r="K22">
        <v>6.9012278339034006E-2</v>
      </c>
      <c r="L22">
        <v>1.1728252418834999E-2</v>
      </c>
      <c r="M22">
        <v>5.8842763503455897</v>
      </c>
      <c r="N22">
        <v>9.2946784950745395E-5</v>
      </c>
      <c r="O22">
        <v>7.3083226826273995E-2</v>
      </c>
      <c r="P22">
        <v>1.3147419723683201E-2</v>
      </c>
      <c r="Q22">
        <v>5.5587505656813301</v>
      </c>
      <c r="R22">
        <v>1.56244308648424E-4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233</v>
      </c>
      <c r="C23">
        <v>-9.4505092167357196E-2</v>
      </c>
      <c r="D23">
        <v>1.16044708440446E-2</v>
      </c>
      <c r="E23">
        <v>-8.1438519203016302</v>
      </c>
      <c r="F23">
        <v>3.9457912615713398E-6</v>
      </c>
      <c r="G23">
        <v>-9.8186005073504598E-2</v>
      </c>
      <c r="H23">
        <v>1.1760706832396099E-2</v>
      </c>
      <c r="I23">
        <v>-8.3486482974850702</v>
      </c>
      <c r="J23">
        <v>3.0833690809861599E-6</v>
      </c>
      <c r="K23">
        <v>-0.110068072634953</v>
      </c>
      <c r="L23">
        <v>1.81238947658664E-2</v>
      </c>
      <c r="M23">
        <v>-6.0730915764446696</v>
      </c>
      <c r="N23">
        <v>6.47365845247637E-5</v>
      </c>
      <c r="O23">
        <v>-9.6289742278250698E-2</v>
      </c>
      <c r="P23">
        <v>1.7864982728037101E-2</v>
      </c>
      <c r="Q23">
        <v>-5.3898592427483702</v>
      </c>
      <c r="R23">
        <v>1.8506005055737599E-4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-1.9852656528941699E-2</v>
      </c>
      <c r="D24">
        <v>2.0493654817665199E-2</v>
      </c>
      <c r="E24">
        <v>-0.96872210962727201</v>
      </c>
      <c r="F24">
        <v>0.35533250855910498</v>
      </c>
      <c r="G24">
        <v>-2.09170072303295E-2</v>
      </c>
      <c r="H24">
        <v>2.1112170323080898E-2</v>
      </c>
      <c r="I24">
        <v>-0.99075589625487004</v>
      </c>
      <c r="J24">
        <v>0.34501500017614101</v>
      </c>
      <c r="K24">
        <v>3.43227916625677E-3</v>
      </c>
      <c r="L24">
        <v>2.59994372510708E-2</v>
      </c>
      <c r="M24">
        <v>0.13201359449098901</v>
      </c>
      <c r="N24">
        <v>0.89756539605494901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1.13783374107928E-2</v>
      </c>
      <c r="D25">
        <v>5.0570330089469498E-2</v>
      </c>
      <c r="E25">
        <v>0.22500025984924599</v>
      </c>
      <c r="F25">
        <v>0.82900376650757701</v>
      </c>
      <c r="G25">
        <v>1.83948120871942E-2</v>
      </c>
      <c r="H25">
        <v>6.2166634073290802E-2</v>
      </c>
      <c r="I25">
        <v>0.29589525573329001</v>
      </c>
      <c r="J25">
        <v>0.77671435321725601</v>
      </c>
      <c r="K25">
        <v>3.91810092256165E-2</v>
      </c>
      <c r="L25">
        <v>8.6678373692334706E-2</v>
      </c>
      <c r="M25">
        <v>0.45202750763056199</v>
      </c>
      <c r="N25">
        <v>0.66630374139561099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-2.55447242747407E-2</v>
      </c>
      <c r="D26">
        <v>8.6779069380595302E-3</v>
      </c>
      <c r="E26">
        <v>-2.9436504052269501</v>
      </c>
      <c r="F26">
        <v>1.3396091278714E-2</v>
      </c>
      <c r="G26">
        <v>-2.8532354523365399E-2</v>
      </c>
      <c r="H26">
        <v>1.14467839065333E-2</v>
      </c>
      <c r="I26">
        <v>-2.4926088197646799</v>
      </c>
      <c r="J26">
        <v>2.9966816128779501E-2</v>
      </c>
      <c r="K26">
        <v>-1.15208512877817E-2</v>
      </c>
      <c r="L26">
        <v>1.21545362539279E-2</v>
      </c>
      <c r="M26">
        <v>-0.94786432382877495</v>
      </c>
      <c r="N26">
        <v>0.36369482620877702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6.3683163254299902E-2</v>
      </c>
      <c r="D27">
        <v>2.3368688178327299E-2</v>
      </c>
      <c r="E27">
        <v>2.7251492582010299</v>
      </c>
      <c r="F27">
        <v>2.7133357731843499E-2</v>
      </c>
      <c r="G27">
        <v>8.5626476406022001E-2</v>
      </c>
      <c r="H27">
        <v>2.4435976664477201E-2</v>
      </c>
      <c r="I27">
        <v>3.5041151651817599</v>
      </c>
      <c r="J27">
        <v>8.4768199467802393E-3</v>
      </c>
      <c r="K27">
        <v>8.3233746583218304E-2</v>
      </c>
      <c r="L27">
        <v>2.9641209595896799E-2</v>
      </c>
      <c r="M27">
        <v>2.8080414975622401</v>
      </c>
      <c r="N27">
        <v>2.3341896006224199E-2</v>
      </c>
      <c r="AB27" t="str">
        <f t="shared" si="0"/>
        <v>**</v>
      </c>
      <c r="AC27" t="str">
        <f t="shared" si="1"/>
        <v>***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1.8458869004417601E-2</v>
      </c>
      <c r="D28">
        <v>2.4936599475339501E-2</v>
      </c>
      <c r="E28">
        <v>0.74023200407385503</v>
      </c>
      <c r="F28">
        <v>0.47398840997865599</v>
      </c>
      <c r="G28">
        <v>2.60840894541494E-2</v>
      </c>
      <c r="H28">
        <v>2.25059387570055E-2</v>
      </c>
      <c r="I28">
        <v>1.1589869560997601</v>
      </c>
      <c r="J28">
        <v>0.26998855889361401</v>
      </c>
      <c r="K28">
        <v>-5.6010270851170598E-3</v>
      </c>
      <c r="L28">
        <v>3.6372341935134798E-2</v>
      </c>
      <c r="M28">
        <v>-0.153991378809364</v>
      </c>
      <c r="N28">
        <v>0.88022829939085701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5.9684570025774E-3</v>
      </c>
      <c r="D29">
        <v>0.117751265261151</v>
      </c>
      <c r="E29">
        <v>5.0686988282804601E-2</v>
      </c>
      <c r="F29">
        <v>0.965260980123263</v>
      </c>
      <c r="G29">
        <v>3.1505372861490702E-2</v>
      </c>
      <c r="H29">
        <v>0.13010452387060301</v>
      </c>
      <c r="I29">
        <v>0.242154322726124</v>
      </c>
      <c r="J29">
        <v>0.83664310953135301</v>
      </c>
      <c r="K29">
        <v>3.8679321832057197E-2</v>
      </c>
      <c r="L29">
        <v>0.126756810897935</v>
      </c>
      <c r="M29">
        <v>0.30514590543936698</v>
      </c>
      <c r="N29">
        <v>0.79610898895869897</v>
      </c>
      <c r="AB29" t="str">
        <f t="shared" si="0"/>
        <v/>
      </c>
      <c r="AC29" t="str">
        <f t="shared" si="1"/>
        <v/>
      </c>
      <c r="AD29" t="str">
        <f t="shared" si="2"/>
        <v/>
      </c>
      <c r="AE29" t="str">
        <f t="shared" si="3"/>
        <v>***</v>
      </c>
      <c r="AF29" t="str">
        <f t="shared" si="4"/>
        <v>***</v>
      </c>
      <c r="AG29" t="str">
        <f t="shared" si="5"/>
        <v>***</v>
      </c>
    </row>
    <row r="30" spans="1:33" x14ac:dyDescent="0.25">
      <c r="A30">
        <v>55</v>
      </c>
    </row>
    <row r="31" spans="1:33" x14ac:dyDescent="0.25">
      <c r="A31">
        <v>57</v>
      </c>
      <c r="B31" t="s">
        <v>31</v>
      </c>
      <c r="C31">
        <v>2.8500957518405802E-3</v>
      </c>
      <c r="D31">
        <v>1.3297465865547701E-2</v>
      </c>
      <c r="E31">
        <v>0.21433375205909599</v>
      </c>
      <c r="F31">
        <v>0.83386207984757998</v>
      </c>
      <c r="G31">
        <v>-3.0096397799951602E-3</v>
      </c>
      <c r="H31">
        <v>1.4319418565413E-2</v>
      </c>
      <c r="I31">
        <v>-0.21017890958677701</v>
      </c>
      <c r="J31">
        <v>0.83702564127262202</v>
      </c>
      <c r="K31">
        <v>-3.06281134563905E-2</v>
      </c>
      <c r="L31">
        <v>2.7864321463956801E-2</v>
      </c>
      <c r="M31">
        <v>-1.09918748590411</v>
      </c>
      <c r="N31">
        <v>0.29298977708627399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-3.0638050212475201E-2</v>
      </c>
      <c r="D32">
        <v>6.4598277777437096E-2</v>
      </c>
      <c r="E32">
        <v>-0.47428586746590301</v>
      </c>
      <c r="F32">
        <v>0.65901050536295303</v>
      </c>
      <c r="G32">
        <v>-2.14275722215342E-2</v>
      </c>
      <c r="H32">
        <v>6.3377785348872104E-2</v>
      </c>
      <c r="I32">
        <v>-0.33809278919392699</v>
      </c>
      <c r="J32">
        <v>0.75166440546131597</v>
      </c>
      <c r="K32">
        <v>-1.15597128944079E-2</v>
      </c>
      <c r="L32">
        <v>6.8301686735221301E-2</v>
      </c>
      <c r="M32">
        <v>-0.16924491102570199</v>
      </c>
      <c r="N32">
        <v>0.87350987217208698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239</v>
      </c>
      <c r="C33">
        <v>-0.116937925591921</v>
      </c>
      <c r="D33">
        <v>0.11768300614627999</v>
      </c>
      <c r="E33">
        <v>-0.99366874981564601</v>
      </c>
      <c r="F33">
        <v>0.432502391345084</v>
      </c>
      <c r="G33">
        <v>-0.14012439278327701</v>
      </c>
      <c r="H33">
        <v>0.112372008112317</v>
      </c>
      <c r="I33">
        <v>-1.2469688415928399</v>
      </c>
      <c r="J33">
        <v>0.34778138357993499</v>
      </c>
      <c r="K33">
        <v>3.6175369547501897E-2</v>
      </c>
      <c r="L33">
        <v>5.5784166249314399E-2</v>
      </c>
      <c r="M33">
        <v>0.64848812807964995</v>
      </c>
      <c r="N33">
        <v>0.58912030671750504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240</v>
      </c>
      <c r="C34">
        <v>6.5805699968474296E-2</v>
      </c>
      <c r="D34">
        <v>5.4625329459315301E-2</v>
      </c>
      <c r="E34">
        <v>1.20467374054899</v>
      </c>
      <c r="F34">
        <v>0.254266549596046</v>
      </c>
      <c r="G34">
        <v>6.6265050097470607E-2</v>
      </c>
      <c r="H34">
        <v>5.8525841377320802E-2</v>
      </c>
      <c r="I34">
        <v>1.1322357532676</v>
      </c>
      <c r="J34">
        <v>0.28211252888732702</v>
      </c>
      <c r="K34">
        <v>0.10243919677952899</v>
      </c>
      <c r="L34">
        <v>6.7043458168669107E-2</v>
      </c>
      <c r="M34">
        <v>1.5279521608478299</v>
      </c>
      <c r="N34">
        <v>0.15789698793276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242</v>
      </c>
      <c r="C35">
        <v>1.6391302933058099E-2</v>
      </c>
      <c r="D35">
        <v>2.7252423804549699E-2</v>
      </c>
      <c r="E35">
        <v>0.60146220573311504</v>
      </c>
      <c r="F35">
        <v>0.56403851416183803</v>
      </c>
      <c r="G35">
        <v>4.2786656203449902E-2</v>
      </c>
      <c r="H35">
        <v>3.3852372624575501E-2</v>
      </c>
      <c r="I35">
        <v>1.2639189777908899</v>
      </c>
      <c r="J35">
        <v>0.24181740066192101</v>
      </c>
      <c r="K35">
        <v>3.7375800477487897E-2</v>
      </c>
      <c r="L35">
        <v>4.4927807558781299E-2</v>
      </c>
      <c r="M35">
        <v>0.83190795430173803</v>
      </c>
      <c r="N35">
        <v>0.43193255856835699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244</v>
      </c>
      <c r="C36">
        <v>2.4891944349670202E-2</v>
      </c>
      <c r="D36">
        <v>5.6113530878056699E-2</v>
      </c>
      <c r="E36">
        <v>0.44359968015137402</v>
      </c>
      <c r="F36">
        <v>0.66489370418615701</v>
      </c>
      <c r="G36">
        <v>2.9605812756678899E-2</v>
      </c>
      <c r="H36">
        <v>5.7445455973923698E-2</v>
      </c>
      <c r="I36">
        <v>0.51537257829614802</v>
      </c>
      <c r="J36">
        <v>0.61526247085960695</v>
      </c>
      <c r="K36">
        <v>2.6947145389608001E-2</v>
      </c>
      <c r="L36">
        <v>5.09045944649179E-2</v>
      </c>
      <c r="M36">
        <v>0.52936568246662397</v>
      </c>
      <c r="N36">
        <v>0.60769010444598803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245</v>
      </c>
      <c r="C37">
        <v>6.1782882753177698E-2</v>
      </c>
      <c r="D37">
        <v>6.1437503171453099E-2</v>
      </c>
      <c r="E37">
        <v>1.0056216409179399</v>
      </c>
      <c r="F37">
        <v>0.33871054482945601</v>
      </c>
      <c r="G37">
        <v>6.02016205596363E-2</v>
      </c>
      <c r="H37">
        <v>7.8413105931826002E-2</v>
      </c>
      <c r="I37">
        <v>0.76774947050276099</v>
      </c>
      <c r="J37">
        <v>0.46071161026296298</v>
      </c>
      <c r="K37">
        <v>0.13785248989387</v>
      </c>
      <c r="L37">
        <v>8.1764198817462996E-2</v>
      </c>
      <c r="M37">
        <v>1.68597615934112</v>
      </c>
      <c r="N37">
        <v>0.12674317413894201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247</v>
      </c>
      <c r="C38">
        <v>4.74412781893227E-2</v>
      </c>
      <c r="D38">
        <v>0.104648332369837</v>
      </c>
      <c r="E38">
        <v>0.45334003050961702</v>
      </c>
      <c r="F38">
        <v>0.65909007298118105</v>
      </c>
      <c r="G38">
        <v>0.137529512151884</v>
      </c>
      <c r="H38">
        <v>0.101594781842304</v>
      </c>
      <c r="I38">
        <v>1.35370645674853</v>
      </c>
      <c r="J38">
        <v>0.20219694326193199</v>
      </c>
      <c r="K38">
        <v>0.23608065802960199</v>
      </c>
      <c r="L38">
        <v>0.113160135287095</v>
      </c>
      <c r="M38">
        <v>2.0862528789900199</v>
      </c>
      <c r="N38">
        <v>6.4675699781381005E-2</v>
      </c>
      <c r="AB38" t="str">
        <f t="shared" si="0"/>
        <v/>
      </c>
      <c r="AC38" t="str">
        <f t="shared" si="1"/>
        <v/>
      </c>
      <c r="AD38" t="str">
        <f t="shared" si="2"/>
        <v>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249</v>
      </c>
      <c r="C39">
        <v>0.25942016897960701</v>
      </c>
      <c r="D39">
        <v>0.13877642231429399</v>
      </c>
      <c r="E39">
        <v>1.8693389313069699</v>
      </c>
      <c r="F39">
        <v>0.145192812882348</v>
      </c>
      <c r="G39">
        <v>0.50041900319951305</v>
      </c>
      <c r="H39">
        <v>0.137683534300335</v>
      </c>
      <c r="I39">
        <v>3.63455954077941</v>
      </c>
      <c r="J39">
        <v>2.5089201934222601E-2</v>
      </c>
      <c r="K39">
        <v>0.58955423075163504</v>
      </c>
      <c r="L39">
        <v>9.5354610538573706E-2</v>
      </c>
      <c r="M39">
        <v>6.1827553740900996</v>
      </c>
      <c r="N39">
        <v>5.7648830060339704E-3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0.27268557571858199</v>
      </c>
      <c r="D40">
        <v>2.2823440916786401E-2</v>
      </c>
      <c r="E40">
        <v>11.9476102097307</v>
      </c>
      <c r="F40">
        <v>5.90426289908089E-3</v>
      </c>
      <c r="G40">
        <v>0.22522376489672399</v>
      </c>
      <c r="H40">
        <v>4.1689929568216398E-2</v>
      </c>
      <c r="I40">
        <v>5.4023541711241103</v>
      </c>
      <c r="J40">
        <v>3.2964912678221797E-2</v>
      </c>
      <c r="K40">
        <v>0.22112096117761301</v>
      </c>
      <c r="L40">
        <v>4.6014436780045E-2</v>
      </c>
      <c r="M40">
        <v>4.8054692538039703</v>
      </c>
      <c r="N40">
        <v>4.0286807308144899E-2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0.31878067599934701</v>
      </c>
      <c r="D41">
        <v>3.8432527062909498E-2</v>
      </c>
      <c r="E41">
        <v>8.2945541280057107</v>
      </c>
      <c r="F41">
        <v>2.6480325675405799E-3</v>
      </c>
      <c r="G41">
        <v>0.27285547550254502</v>
      </c>
      <c r="H41">
        <v>5.9143833995117301E-2</v>
      </c>
      <c r="I41">
        <v>4.6134221789725496</v>
      </c>
      <c r="J41">
        <v>1.7346705047495699E-2</v>
      </c>
      <c r="K41">
        <v>0.276652686508505</v>
      </c>
      <c r="L41">
        <v>6.5426812855738203E-2</v>
      </c>
      <c r="M41">
        <v>4.2284298200266299</v>
      </c>
      <c r="N41">
        <v>2.2110771343698401E-2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0.37833781666083</v>
      </c>
      <c r="D42">
        <v>0.114325080640546</v>
      </c>
      <c r="E42">
        <v>3.3093159833438199</v>
      </c>
      <c r="F42">
        <v>1.10121151563212E-2</v>
      </c>
      <c r="G42">
        <v>0.31497204556689301</v>
      </c>
      <c r="H42">
        <v>0.13953867531452899</v>
      </c>
      <c r="I42">
        <v>2.2572383237616802</v>
      </c>
      <c r="J42">
        <v>5.4441177641918297E-2</v>
      </c>
      <c r="K42">
        <v>0.247307351830578</v>
      </c>
      <c r="L42">
        <v>0.14746711374208199</v>
      </c>
      <c r="M42">
        <v>1.67703392000412</v>
      </c>
      <c r="N42">
        <v>0.13263357972501599</v>
      </c>
      <c r="AB42" t="str">
        <f t="shared" si="0"/>
        <v>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0.28139657393641399</v>
      </c>
      <c r="D43">
        <v>6.9885882006373398E-2</v>
      </c>
      <c r="E43">
        <v>4.0265153112148102</v>
      </c>
      <c r="F43">
        <v>6.5995417965218099E-3</v>
      </c>
      <c r="G43">
        <v>0.21912890550745601</v>
      </c>
      <c r="H43">
        <v>8.3685080711153201E-2</v>
      </c>
      <c r="I43">
        <v>2.6184942841102101</v>
      </c>
      <c r="J43">
        <v>3.95259053807787E-2</v>
      </c>
      <c r="K43">
        <v>0.17582448204116799</v>
      </c>
      <c r="L43">
        <v>9.0075162417662502E-2</v>
      </c>
      <c r="M43">
        <v>1.9519751874096101</v>
      </c>
      <c r="N43">
        <v>9.8828029945240994E-2</v>
      </c>
      <c r="AB43" t="str">
        <f t="shared" si="0"/>
        <v>***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4.5085360734038897E-2</v>
      </c>
      <c r="D44">
        <v>0.21215003881080399</v>
      </c>
      <c r="E44">
        <v>0.21251639163849501</v>
      </c>
      <c r="F44">
        <v>0.83717496059183805</v>
      </c>
      <c r="G44">
        <v>-6.5044874801591407E-2</v>
      </c>
      <c r="H44">
        <v>0.26769865712618601</v>
      </c>
      <c r="I44">
        <v>-0.24297796447641801</v>
      </c>
      <c r="J44">
        <v>0.81433080967881799</v>
      </c>
      <c r="K44">
        <v>-0.165576711673531</v>
      </c>
      <c r="L44">
        <v>0.29197653937446999</v>
      </c>
      <c r="M44">
        <v>-0.56708909567961396</v>
      </c>
      <c r="N44">
        <v>0.58672803658005801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1.2893560765184101E-4</v>
      </c>
      <c r="D45">
        <v>1.2709318972994399E-4</v>
      </c>
      <c r="E45">
        <v>1.0144965904609999</v>
      </c>
      <c r="F45">
        <v>0.34401619713713699</v>
      </c>
      <c r="G45">
        <v>2.48674414509523E-4</v>
      </c>
      <c r="H45">
        <v>1.48354400094679E-4</v>
      </c>
      <c r="I45">
        <v>1.6762186652422899</v>
      </c>
      <c r="J45">
        <v>0.13755992599837699</v>
      </c>
      <c r="K45">
        <v>3.4197075330796503E-5</v>
      </c>
      <c r="L45">
        <v>1.8579923804461801E-4</v>
      </c>
      <c r="M45">
        <v>0.18405390512195899</v>
      </c>
      <c r="N45">
        <v>0.85917104483621998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9.8515412099282103E-3</v>
      </c>
      <c r="D46">
        <v>3.4937492069094999E-3</v>
      </c>
      <c r="E46">
        <v>2.8197619881945402</v>
      </c>
      <c r="F46">
        <v>1.6209414292175199E-2</v>
      </c>
      <c r="G46">
        <v>4.5235765837055896E-3</v>
      </c>
      <c r="H46">
        <v>4.5308157998122604E-3</v>
      </c>
      <c r="I46">
        <v>0.99840222678949597</v>
      </c>
      <c r="J46">
        <v>0.33894019988357199</v>
      </c>
      <c r="K46">
        <v>-5.5433576818765999E-3</v>
      </c>
      <c r="L46">
        <v>4.9986050276352497E-3</v>
      </c>
      <c r="M46">
        <v>-1.1089809359270499</v>
      </c>
      <c r="N46">
        <v>0.29037413557218</v>
      </c>
      <c r="AB46" t="str">
        <f t="shared" si="0"/>
        <v>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5.8200740518951598E-3</v>
      </c>
      <c r="D47">
        <v>2.9268261153440498E-3</v>
      </c>
      <c r="E47">
        <v>1.98852744322018</v>
      </c>
      <c r="F47">
        <v>0.13114756141137701</v>
      </c>
      <c r="G47">
        <v>1.11552476241945E-2</v>
      </c>
      <c r="H47">
        <v>5.33049919851136E-3</v>
      </c>
      <c r="I47">
        <v>2.0927210020610798</v>
      </c>
      <c r="J47">
        <v>0.11918486749738701</v>
      </c>
      <c r="K47">
        <v>1.39439793175973E-2</v>
      </c>
      <c r="L47">
        <v>4.6980155793438201E-3</v>
      </c>
      <c r="M47">
        <v>2.9680572748430198</v>
      </c>
      <c r="N47">
        <v>5.2101838307578897E-2</v>
      </c>
      <c r="AB47" t="str">
        <f t="shared" si="0"/>
        <v/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-5.5563635116310404E-3</v>
      </c>
      <c r="D48">
        <v>1.10658582764662E-2</v>
      </c>
      <c r="E48">
        <v>-0.50211771855489895</v>
      </c>
      <c r="F48">
        <v>0.630471311661433</v>
      </c>
      <c r="G48">
        <v>-1.0024979879325701E-2</v>
      </c>
      <c r="H48">
        <v>1.36132389675053E-2</v>
      </c>
      <c r="I48">
        <v>-0.73641400869075002</v>
      </c>
      <c r="J48">
        <v>0.483965687930627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-6.1474287143803902E-2</v>
      </c>
      <c r="D49">
        <v>6.4029756659812503E-2</v>
      </c>
      <c r="E49">
        <v>-0.96008934518390099</v>
      </c>
      <c r="F49">
        <v>0.35735942149317501</v>
      </c>
      <c r="G49">
        <v>-2.71885026285585E-2</v>
      </c>
      <c r="H49">
        <v>7.20924386021074E-2</v>
      </c>
      <c r="I49">
        <v>-0.37713390135985397</v>
      </c>
      <c r="J49">
        <v>0.71340111657723604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-2.4475839668636101E-2</v>
      </c>
      <c r="D50">
        <v>1.0331942102868899E-2</v>
      </c>
      <c r="E50">
        <v>-2.3689485892337401</v>
      </c>
      <c r="F50">
        <v>4.4976177080375102E-2</v>
      </c>
      <c r="G50">
        <v>-1.9666982564899599E-2</v>
      </c>
      <c r="H50">
        <v>1.10505494471368E-2</v>
      </c>
      <c r="I50">
        <v>-1.7797289319396901</v>
      </c>
      <c r="J50">
        <v>0.11527759081321901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-3.1672125610227599E-3</v>
      </c>
      <c r="D51">
        <v>6.5964559677273802E-3</v>
      </c>
      <c r="E51">
        <v>-0.48013851324379198</v>
      </c>
      <c r="F51">
        <v>0.63962784039397602</v>
      </c>
      <c r="G51">
        <v>-1.6465454973299701E-3</v>
      </c>
      <c r="H51">
        <v>8.4519219793267198E-3</v>
      </c>
      <c r="I51">
        <v>-0.19481314443713499</v>
      </c>
      <c r="J51">
        <v>0.84868342619792903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-2.1558523233264999E-3</v>
      </c>
      <c r="D52">
        <v>8.6933431213230203E-4</v>
      </c>
      <c r="E52">
        <v>-2.4798886840651999</v>
      </c>
      <c r="F52">
        <v>0.218942428935477</v>
      </c>
      <c r="G52">
        <v>-2.27189200130351E-3</v>
      </c>
      <c r="H52">
        <v>2.2407516066964899E-3</v>
      </c>
      <c r="I52">
        <v>-1.01389729879651</v>
      </c>
      <c r="J52">
        <v>0.479703021711051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3.5702344354785399E-2</v>
      </c>
      <c r="D53">
        <v>1.5323866865300399E-2</v>
      </c>
      <c r="E53">
        <v>2.32985216255241</v>
      </c>
      <c r="F53">
        <v>4.5233047214105697E-2</v>
      </c>
      <c r="G53">
        <v>4.2716183947749398E-2</v>
      </c>
      <c r="H53">
        <v>1.53763564378983E-2</v>
      </c>
      <c r="I53">
        <v>2.7780432978560698</v>
      </c>
      <c r="J53">
        <v>2.1004500231481201E-2</v>
      </c>
      <c r="AB53" t="str">
        <f t="shared" si="0"/>
        <v>**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2.5460780345550701E-2</v>
      </c>
      <c r="D54">
        <v>2.35560057150037E-2</v>
      </c>
      <c r="E54">
        <v>1.08086152863063</v>
      </c>
      <c r="F54">
        <v>0.301776842855913</v>
      </c>
      <c r="G54">
        <v>4.5505636299200999E-2</v>
      </c>
      <c r="H54">
        <v>3.3577958386770197E-2</v>
      </c>
      <c r="I54">
        <v>1.3552234407774599</v>
      </c>
      <c r="J54">
        <v>0.202689760710491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1.75896436504879E-6</v>
      </c>
      <c r="D55">
        <v>5.3361817670536598E-6</v>
      </c>
      <c r="E55">
        <v>0.32962976934348098</v>
      </c>
      <c r="F55">
        <v>0.747953554652803</v>
      </c>
      <c r="G55">
        <v>1.8771819569879E-6</v>
      </c>
      <c r="H55">
        <v>7.3020990373942902E-6</v>
      </c>
      <c r="I55">
        <v>0.25707429430562301</v>
      </c>
      <c r="J55">
        <v>0.80188542105426497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1.05834147778864E-5</v>
      </c>
      <c r="D56">
        <v>3.16148237113856E-6</v>
      </c>
      <c r="E56">
        <v>3.3476115111389699</v>
      </c>
      <c r="F56">
        <v>6.3363897336950097E-3</v>
      </c>
      <c r="G56">
        <v>1.15560069118422E-5</v>
      </c>
      <c r="H56">
        <v>3.90261258213341E-6</v>
      </c>
      <c r="I56">
        <v>2.9610950789086501</v>
      </c>
      <c r="J56">
        <v>1.3237865904382799E-2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-0.35910905478014399</v>
      </c>
      <c r="D57">
        <v>0.14773005275545201</v>
      </c>
      <c r="E57">
        <v>-2.4308463178755102</v>
      </c>
      <c r="F57">
        <v>5.9669041026410602E-2</v>
      </c>
      <c r="AB57" t="str">
        <f t="shared" si="0"/>
        <v>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-9.2788942131099394E-2</v>
      </c>
      <c r="D58">
        <v>4.3295718798040603E-2</v>
      </c>
      <c r="E58">
        <v>-2.1431435880283498</v>
      </c>
      <c r="F58">
        <v>5.8815918843864202E-2</v>
      </c>
      <c r="AB58" t="str">
        <f t="shared" si="0"/>
        <v>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-0.16695721472047001</v>
      </c>
      <c r="D59">
        <v>0.10735483050272999</v>
      </c>
      <c r="E59">
        <v>-1.5551905204323699</v>
      </c>
      <c r="F59">
        <v>0.14466734110143301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0.27086153608229202</v>
      </c>
      <c r="D60">
        <v>9.68892336761457E-2</v>
      </c>
      <c r="E60">
        <v>2.7955793002517999</v>
      </c>
      <c r="F60">
        <v>2.1026555110625001E-2</v>
      </c>
      <c r="AB60" t="str">
        <f t="shared" si="0"/>
        <v>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-0.54773484431667596</v>
      </c>
      <c r="D61">
        <v>9.9595250761281603E-2</v>
      </c>
      <c r="E61">
        <v>-5.4996080649421097</v>
      </c>
      <c r="F61">
        <v>3.3584409345265901E-3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E2CC-92DB-44FD-837C-039326600D67}">
  <sheetPr codeName="Sheet16"/>
  <dimension ref="A1:AG61"/>
  <sheetViews>
    <sheetView workbookViewId="0">
      <selection activeCell="B1" sqref="B1:Z1048576"/>
    </sheetView>
  </sheetViews>
  <sheetFormatPr defaultRowHeight="15" x14ac:dyDescent="0.25"/>
  <cols>
    <col min="2" max="2" width="11.42578125"/>
  </cols>
  <sheetData>
    <row r="1" spans="1:33" x14ac:dyDescent="0.25">
      <c r="B1" t="s">
        <v>280</v>
      </c>
      <c r="C1" t="s">
        <v>281</v>
      </c>
      <c r="D1" t="s">
        <v>282</v>
      </c>
      <c r="E1" t="s">
        <v>283</v>
      </c>
      <c r="F1" t="s">
        <v>284</v>
      </c>
      <c r="G1" t="s">
        <v>285</v>
      </c>
      <c r="H1" t="s">
        <v>286</v>
      </c>
      <c r="I1" t="s">
        <v>287</v>
      </c>
      <c r="J1" t="s">
        <v>288</v>
      </c>
      <c r="K1" t="s">
        <v>289</v>
      </c>
      <c r="L1" t="s">
        <v>290</v>
      </c>
      <c r="M1" t="s">
        <v>291</v>
      </c>
      <c r="N1" t="s">
        <v>292</v>
      </c>
      <c r="O1" t="s">
        <v>293</v>
      </c>
      <c r="P1" t="s">
        <v>294</v>
      </c>
      <c r="Q1" t="s">
        <v>295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302</v>
      </c>
      <c r="Y1" t="s">
        <v>303</v>
      </c>
      <c r="Z1" t="s">
        <v>304</v>
      </c>
    </row>
    <row r="2" spans="1:33" x14ac:dyDescent="0.25">
      <c r="A2">
        <v>119</v>
      </c>
      <c r="B2" t="s">
        <v>279</v>
      </c>
      <c r="C2">
        <v>3.8260998042343601</v>
      </c>
      <c r="D2">
        <v>14.089770580045601</v>
      </c>
      <c r="E2">
        <v>0.27155160422931302</v>
      </c>
      <c r="F2">
        <v>0.79093761324928102</v>
      </c>
      <c r="G2">
        <v>2.6461527727418699</v>
      </c>
      <c r="H2">
        <v>19.598100538731298</v>
      </c>
      <c r="I2">
        <v>0.13502087957515699</v>
      </c>
      <c r="J2">
        <v>0.89498443852991305</v>
      </c>
      <c r="K2">
        <v>12.367125438777</v>
      </c>
      <c r="L2">
        <v>0.119042280319482</v>
      </c>
      <c r="M2">
        <v>103.88851259894</v>
      </c>
      <c r="N2">
        <v>1.05484980901906E-14</v>
      </c>
      <c r="O2">
        <v>12.7649666903423</v>
      </c>
      <c r="P2">
        <v>0.13659261535175499</v>
      </c>
      <c r="Q2">
        <v>93.452831673731595</v>
      </c>
      <c r="R2">
        <v>4.7481776903268495E-16</v>
      </c>
      <c r="S2">
        <v>13.150120553462701</v>
      </c>
      <c r="T2">
        <v>4.55557223015211E-2</v>
      </c>
      <c r="U2">
        <v>288.66012630478201</v>
      </c>
      <c r="V2">
        <v>4.4237871141423201E-21</v>
      </c>
      <c r="W2">
        <v>13.247834379773</v>
      </c>
      <c r="X2">
        <v>5.2540777401378601E-2</v>
      </c>
      <c r="Y2">
        <v>252.143859208018</v>
      </c>
      <c r="Z2">
        <v>2.0659913660015501E-21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4.6311696531407204E-3</v>
      </c>
      <c r="D3">
        <v>8.5978939216946292E-3</v>
      </c>
      <c r="E3">
        <v>0.53864000827634395</v>
      </c>
      <c r="F3">
        <v>0.602549040166938</v>
      </c>
      <c r="G3">
        <v>-4.2807605256470196E-3</v>
      </c>
      <c r="H3">
        <v>1.01232746303803E-2</v>
      </c>
      <c r="I3">
        <v>-0.42286322182748098</v>
      </c>
      <c r="J3">
        <v>0.681828089033097</v>
      </c>
      <c r="K3">
        <v>-1.0407616668260299E-2</v>
      </c>
      <c r="L3">
        <v>1.57823080997282E-2</v>
      </c>
      <c r="M3">
        <v>-0.65944832672728704</v>
      </c>
      <c r="N3">
        <v>0.52529650216596402</v>
      </c>
      <c r="O3">
        <v>-2.62699087128869E-2</v>
      </c>
      <c r="P3">
        <v>1.7288831831510001E-2</v>
      </c>
      <c r="Q3">
        <v>-1.51947274222475</v>
      </c>
      <c r="R3">
        <v>0.161307223493283</v>
      </c>
      <c r="S3">
        <v>-3.33020548899184E-2</v>
      </c>
      <c r="T3">
        <v>3.2732842620780897E-2</v>
      </c>
      <c r="U3">
        <v>-1.01738963754942</v>
      </c>
      <c r="V3">
        <v>0.33428095688581899</v>
      </c>
      <c r="W3">
        <v>6.2281053283169303E-3</v>
      </c>
      <c r="X3">
        <v>3.0887876808674501E-2</v>
      </c>
      <c r="Y3">
        <v>0.20163591582856399</v>
      </c>
      <c r="Z3">
        <v>0.84390032269624504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-1.06207800993066E-5</v>
      </c>
      <c r="D4">
        <v>5.99955966053504E-5</v>
      </c>
      <c r="E4">
        <v>-0.177025993576993</v>
      </c>
      <c r="F4">
        <v>0.86698486999604296</v>
      </c>
      <c r="G4">
        <v>-1.39601789199689E-5</v>
      </c>
      <c r="H4">
        <v>4.9122876949033601E-5</v>
      </c>
      <c r="I4">
        <v>-0.28418895201217498</v>
      </c>
      <c r="J4">
        <v>0.78850645710451395</v>
      </c>
      <c r="K4">
        <v>2.4440647279852001E-5</v>
      </c>
      <c r="L4">
        <v>8.91791914473744E-5</v>
      </c>
      <c r="M4">
        <v>0.27406222105382799</v>
      </c>
      <c r="N4">
        <v>0.79582356037993296</v>
      </c>
      <c r="O4">
        <v>2.4998492689533102E-4</v>
      </c>
      <c r="P4">
        <v>1.2259673267356401E-4</v>
      </c>
      <c r="Q4">
        <v>2.0390831096694901</v>
      </c>
      <c r="R4">
        <v>0.100737281524587</v>
      </c>
      <c r="S4">
        <v>9.3348985612878898E-4</v>
      </c>
      <c r="T4">
        <v>3.3453009233338902E-4</v>
      </c>
      <c r="U4">
        <v>2.7904510760678698</v>
      </c>
      <c r="V4">
        <v>4.2790363752337399E-2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/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3.9573329588351198E-2</v>
      </c>
      <c r="D5">
        <v>1.7243783250678501E-2</v>
      </c>
      <c r="E5">
        <v>2.2949331369491701</v>
      </c>
      <c r="F5">
        <v>4.3558432306029002E-2</v>
      </c>
      <c r="G5">
        <v>4.5376715538408503E-2</v>
      </c>
      <c r="H5">
        <v>1.5935192530406799E-2</v>
      </c>
      <c r="I5">
        <v>2.8475787444565102</v>
      </c>
      <c r="J5">
        <v>1.6613695631837601E-2</v>
      </c>
      <c r="K5">
        <v>3.95220253273426E-2</v>
      </c>
      <c r="L5">
        <v>1.6756280665114601E-2</v>
      </c>
      <c r="M5">
        <v>2.35863949269033</v>
      </c>
      <c r="N5">
        <v>3.9003703787136003E-2</v>
      </c>
      <c r="O5">
        <v>5.04191923485992E-2</v>
      </c>
      <c r="P5">
        <v>1.69102231665949E-2</v>
      </c>
      <c r="Q5">
        <v>2.9815805416571401</v>
      </c>
      <c r="R5">
        <v>1.3121347489647E-2</v>
      </c>
      <c r="S5">
        <v>6.9910375222090496E-2</v>
      </c>
      <c r="T5">
        <v>3.3701196302959702E-2</v>
      </c>
      <c r="U5">
        <v>2.0744182074020601</v>
      </c>
      <c r="V5">
        <v>6.3569647307133298E-2</v>
      </c>
      <c r="AB5" t="str">
        <f t="shared" si="0"/>
        <v>**</v>
      </c>
      <c r="AC5" t="str">
        <f t="shared" si="1"/>
        <v>**</v>
      </c>
      <c r="AD5" t="str">
        <f t="shared" si="2"/>
        <v>**</v>
      </c>
      <c r="AE5" t="str">
        <f t="shared" si="3"/>
        <v>**</v>
      </c>
      <c r="AF5" t="str">
        <f t="shared" si="4"/>
        <v>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4.86106847848011E-2</v>
      </c>
      <c r="D6">
        <v>2.49033063938633E-2</v>
      </c>
      <c r="E6">
        <v>1.9519771397415699</v>
      </c>
      <c r="F6">
        <v>7.8604798693488201E-2</v>
      </c>
      <c r="G6">
        <v>5.7219765266734099E-2</v>
      </c>
      <c r="H6">
        <v>1.8709288030684799E-2</v>
      </c>
      <c r="I6">
        <v>3.05836144982583</v>
      </c>
      <c r="J6">
        <v>1.1689893203824599E-2</v>
      </c>
      <c r="K6">
        <v>4.4937373612264297E-2</v>
      </c>
      <c r="L6">
        <v>2.0328073881473702E-2</v>
      </c>
      <c r="M6">
        <v>2.21060656677456</v>
      </c>
      <c r="N6">
        <v>5.0722592373916402E-2</v>
      </c>
      <c r="O6">
        <v>5.5629864884008999E-2</v>
      </c>
      <c r="P6">
        <v>1.7961829193659101E-2</v>
      </c>
      <c r="Q6">
        <v>3.09711579395529</v>
      </c>
      <c r="R6">
        <v>1.0910412045063E-2</v>
      </c>
      <c r="S6">
        <v>6.5067482272329794E-2</v>
      </c>
      <c r="T6">
        <v>3.2189207967127299E-2</v>
      </c>
      <c r="U6">
        <v>2.0214067503238602</v>
      </c>
      <c r="V6">
        <v>7.0014148825467207E-2</v>
      </c>
      <c r="AB6" t="str">
        <f t="shared" si="0"/>
        <v>*</v>
      </c>
      <c r="AC6" t="str">
        <f t="shared" si="1"/>
        <v>**</v>
      </c>
      <c r="AD6" t="str">
        <f t="shared" si="2"/>
        <v>*</v>
      </c>
      <c r="AE6" t="str">
        <f t="shared" si="3"/>
        <v>**</v>
      </c>
      <c r="AF6" t="str">
        <f t="shared" si="4"/>
        <v>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4.1390435813737601E-2</v>
      </c>
      <c r="D7">
        <v>2.4693654511440299E-2</v>
      </c>
      <c r="E7">
        <v>1.6761567549494101</v>
      </c>
      <c r="F7">
        <v>0.122743499975789</v>
      </c>
      <c r="G7">
        <v>4.18727375705314E-2</v>
      </c>
      <c r="H7">
        <v>1.9265681371348299E-2</v>
      </c>
      <c r="I7">
        <v>2.1734366287612401</v>
      </c>
      <c r="J7">
        <v>5.31912556711924E-2</v>
      </c>
      <c r="K7">
        <v>3.3248867027359803E-2</v>
      </c>
      <c r="L7">
        <v>1.8817875628224401E-2</v>
      </c>
      <c r="M7">
        <v>1.76687675507275</v>
      </c>
      <c r="N7">
        <v>0.10578063386009399</v>
      </c>
      <c r="O7">
        <v>3.8717104484483802E-2</v>
      </c>
      <c r="P7">
        <v>2.4022843352093301E-2</v>
      </c>
      <c r="Q7">
        <v>1.61167868087147</v>
      </c>
      <c r="R7">
        <v>0.13612917371244901</v>
      </c>
      <c r="S7">
        <v>5.66912603259122E-2</v>
      </c>
      <c r="T7">
        <v>3.5174719858786598E-2</v>
      </c>
      <c r="U7">
        <v>1.6117046718071</v>
      </c>
      <c r="V7">
        <v>0.13622546212317799</v>
      </c>
      <c r="AB7" t="str">
        <f t="shared" si="0"/>
        <v/>
      </c>
      <c r="AC7" t="str">
        <f t="shared" si="1"/>
        <v>*</v>
      </c>
      <c r="AD7" t="str">
        <f t="shared" si="2"/>
        <v/>
      </c>
      <c r="AE7" t="str">
        <f t="shared" si="3"/>
        <v/>
      </c>
      <c r="AF7" t="str">
        <f t="shared" si="4"/>
        <v/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1.32744591867645E-2</v>
      </c>
      <c r="D8">
        <v>3.3379679784013398E-2</v>
      </c>
      <c r="E8">
        <v>0.39768084273600801</v>
      </c>
      <c r="F8">
        <v>0.70001009130384295</v>
      </c>
      <c r="G8">
        <v>2.3129415252748201E-2</v>
      </c>
      <c r="H8">
        <v>2.8430335177826001E-2</v>
      </c>
      <c r="I8">
        <v>0.81354704783036802</v>
      </c>
      <c r="J8">
        <v>0.43667395187951702</v>
      </c>
      <c r="K8">
        <v>1.49154338315215E-2</v>
      </c>
      <c r="L8">
        <v>2.8272302303122301E-2</v>
      </c>
      <c r="M8">
        <v>0.52756346729761405</v>
      </c>
      <c r="N8">
        <v>0.61041480712239404</v>
      </c>
      <c r="O8">
        <v>2.6051067719498399E-2</v>
      </c>
      <c r="P8">
        <v>3.7516656974865899E-2</v>
      </c>
      <c r="Q8">
        <v>0.69438670233734301</v>
      </c>
      <c r="R8">
        <v>0.50477616079397503</v>
      </c>
      <c r="S8">
        <v>5.8593649827514499E-2</v>
      </c>
      <c r="T8">
        <v>5.89549972655364E-2</v>
      </c>
      <c r="U8">
        <v>0.99387079204847795</v>
      </c>
      <c r="V8">
        <v>0.34594243499255101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4.5191764370526299E-2</v>
      </c>
      <c r="D9">
        <v>4.2790172129338701E-2</v>
      </c>
      <c r="E9">
        <v>1.0561248558180301</v>
      </c>
      <c r="F9">
        <v>0.31657755247335001</v>
      </c>
      <c r="G9">
        <v>5.8700748334041701E-2</v>
      </c>
      <c r="H9">
        <v>3.8994463230465702E-2</v>
      </c>
      <c r="I9">
        <v>1.505361106963</v>
      </c>
      <c r="J9">
        <v>0.164278689080184</v>
      </c>
      <c r="K9">
        <v>4.67974296017915E-2</v>
      </c>
      <c r="L9">
        <v>3.7601575961206397E-2</v>
      </c>
      <c r="M9">
        <v>1.2445603250797901</v>
      </c>
      <c r="N9">
        <v>0.242695847636237</v>
      </c>
      <c r="O9">
        <v>7.3827236845424193E-2</v>
      </c>
      <c r="P9">
        <v>4.3719395198651402E-2</v>
      </c>
      <c r="Q9">
        <v>1.68866098238481</v>
      </c>
      <c r="R9">
        <v>0.12333663519737</v>
      </c>
      <c r="S9">
        <v>0.103167732113497</v>
      </c>
      <c r="T9">
        <v>7.0506173225683796E-2</v>
      </c>
      <c r="U9">
        <v>1.4632439599759099</v>
      </c>
      <c r="V9">
        <v>0.17523603037013999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/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8.8931950898591794E-2</v>
      </c>
      <c r="D10">
        <v>4.3296189645059199E-2</v>
      </c>
      <c r="E10">
        <v>2.0540364320198399</v>
      </c>
      <c r="F10">
        <v>6.8140602038267703E-2</v>
      </c>
      <c r="G10">
        <v>0.101849945332755</v>
      </c>
      <c r="H10">
        <v>3.9966932932775298E-2</v>
      </c>
      <c r="I10">
        <v>2.54835529921866</v>
      </c>
      <c r="J10">
        <v>2.9832654128896699E-2</v>
      </c>
      <c r="K10">
        <v>8.7045200513251E-2</v>
      </c>
      <c r="L10">
        <v>3.70213612610708E-2</v>
      </c>
      <c r="M10">
        <v>2.35121555632213</v>
      </c>
      <c r="N10">
        <v>4.1546121573147098E-2</v>
      </c>
      <c r="O10">
        <v>0.11680253118651999</v>
      </c>
      <c r="P10">
        <v>4.5168981728272301E-2</v>
      </c>
      <c r="Q10">
        <v>2.58590135790931</v>
      </c>
      <c r="R10">
        <v>2.7981977699881599E-2</v>
      </c>
      <c r="S10">
        <v>0.12554056072030301</v>
      </c>
      <c r="T10">
        <v>7.77845188356006E-2</v>
      </c>
      <c r="U10">
        <v>1.6139530410368099</v>
      </c>
      <c r="V10">
        <v>0.13883504123794899</v>
      </c>
      <c r="AB10" t="str">
        <f t="shared" si="0"/>
        <v>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213</v>
      </c>
      <c r="C11">
        <v>4.0708215123597402E-2</v>
      </c>
      <c r="D11">
        <v>8.6836530933393496E-2</v>
      </c>
      <c r="E11">
        <v>0.46879135642604097</v>
      </c>
      <c r="F11">
        <v>0.65112177310939001</v>
      </c>
      <c r="G11">
        <v>4.0790067992147898E-2</v>
      </c>
      <c r="H11">
        <v>9.5495807024370299E-2</v>
      </c>
      <c r="I11">
        <v>0.42713988459973301</v>
      </c>
      <c r="J11">
        <v>0.68000146374056702</v>
      </c>
      <c r="K11">
        <v>1.46402018367643E-2</v>
      </c>
      <c r="L11">
        <v>8.9019487180971399E-2</v>
      </c>
      <c r="M11">
        <v>0.16446064002819599</v>
      </c>
      <c r="N11">
        <v>0.87325349121034002</v>
      </c>
      <c r="O11">
        <v>4.1015551990573197E-2</v>
      </c>
      <c r="P11">
        <v>8.1998875646831296E-2</v>
      </c>
      <c r="Q11">
        <v>0.500196516928195</v>
      </c>
      <c r="R11">
        <v>0.629799789531587</v>
      </c>
      <c r="S11">
        <v>0.16887166090032599</v>
      </c>
      <c r="T11">
        <v>0.129265198156262</v>
      </c>
      <c r="U11">
        <v>1.30639695222674</v>
      </c>
      <c r="V11">
        <v>0.22608076522894399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5.9842630958078201E-2</v>
      </c>
      <c r="D12">
        <v>3.02929483545199E-2</v>
      </c>
      <c r="E12">
        <v>1.9754640670078301</v>
      </c>
      <c r="F12">
        <v>7.0898352432994499E-2</v>
      </c>
      <c r="G12">
        <v>4.9142091296759199E-2</v>
      </c>
      <c r="H12">
        <v>3.10728296548296E-2</v>
      </c>
      <c r="I12">
        <v>1.58151323335051</v>
      </c>
      <c r="J12">
        <v>0.13876700257799099</v>
      </c>
      <c r="K12">
        <v>1.61443170819861E-2</v>
      </c>
      <c r="L12">
        <v>2.6254785437308401E-2</v>
      </c>
      <c r="M12">
        <v>0.61490950366117902</v>
      </c>
      <c r="N12">
        <v>0.54952604831380303</v>
      </c>
      <c r="O12">
        <v>-2.9926069347845301E-2</v>
      </c>
      <c r="P12">
        <v>2.21844943165798E-2</v>
      </c>
      <c r="Q12">
        <v>-1.3489633309099001</v>
      </c>
      <c r="R12">
        <v>0.20511650670663001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6.3576820515869201E-2</v>
      </c>
      <c r="D13">
        <v>2.9954629054307801E-2</v>
      </c>
      <c r="E13">
        <v>2.1224372500358601</v>
      </c>
      <c r="F13">
        <v>5.3106785606467102E-2</v>
      </c>
      <c r="G13">
        <v>6.8475008411349098E-2</v>
      </c>
      <c r="H13">
        <v>3.6212854159074097E-2</v>
      </c>
      <c r="I13">
        <v>1.89090338227844</v>
      </c>
      <c r="J13">
        <v>8.05437634254587E-2</v>
      </c>
      <c r="K13">
        <v>8.8903080473521107E-2</v>
      </c>
      <c r="L13">
        <v>4.1488511598705598E-2</v>
      </c>
      <c r="M13">
        <v>2.1428361020378199</v>
      </c>
      <c r="N13">
        <v>5.0984985693573098E-2</v>
      </c>
      <c r="O13">
        <v>0.11131315014368701</v>
      </c>
      <c r="P13">
        <v>4.1639556806177702E-2</v>
      </c>
      <c r="Q13">
        <v>2.67325492107957</v>
      </c>
      <c r="R13">
        <v>1.87644533708059E-2</v>
      </c>
      <c r="AB13" t="str">
        <f t="shared" si="0"/>
        <v>*</v>
      </c>
      <c r="AC13" t="str">
        <f t="shared" si="1"/>
        <v>*</v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2.72885053923238E-2</v>
      </c>
      <c r="D14">
        <v>2.5471394864622299E-2</v>
      </c>
      <c r="E14">
        <v>1.07133926262614</v>
      </c>
      <c r="F14">
        <v>0.30533306946382299</v>
      </c>
      <c r="G14">
        <v>2.2066278018077399E-2</v>
      </c>
      <c r="H14">
        <v>2.7322497525011601E-2</v>
      </c>
      <c r="I14">
        <v>0.80762302193924396</v>
      </c>
      <c r="J14">
        <v>0.43530165362287199</v>
      </c>
      <c r="K14">
        <v>8.5860224933060909E-3</v>
      </c>
      <c r="L14">
        <v>3.3854905889706799E-2</v>
      </c>
      <c r="M14">
        <v>0.253612357431381</v>
      </c>
      <c r="N14">
        <v>0.804200260469217</v>
      </c>
      <c r="O14">
        <v>4.45721545101675E-4</v>
      </c>
      <c r="P14">
        <v>3.2801280455178598E-2</v>
      </c>
      <c r="Q14">
        <v>1.3588541023900899E-2</v>
      </c>
      <c r="R14">
        <v>0.98938358036920004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-3.1267694964533098E-2</v>
      </c>
      <c r="D15">
        <v>2.2799415341756099E-2</v>
      </c>
      <c r="E15">
        <v>-1.37142529735259</v>
      </c>
      <c r="F15">
        <v>0.20076941733252099</v>
      </c>
      <c r="G15">
        <v>-3.1255863419974002E-2</v>
      </c>
      <c r="H15">
        <v>2.3220689962746299E-2</v>
      </c>
      <c r="I15">
        <v>-1.34603508638713</v>
      </c>
      <c r="J15">
        <v>0.20850928194784499</v>
      </c>
      <c r="K15">
        <v>-3.4696821984395602E-2</v>
      </c>
      <c r="L15">
        <v>2.6959207514794001E-2</v>
      </c>
      <c r="M15">
        <v>-1.2870119407388201</v>
      </c>
      <c r="N15">
        <v>0.227649361642493</v>
      </c>
      <c r="O15">
        <v>-9.7069084961957305E-2</v>
      </c>
      <c r="P15">
        <v>5.3910502504082497E-2</v>
      </c>
      <c r="Q15">
        <v>-1.80055982513994</v>
      </c>
      <c r="R15">
        <v>9.8143920620792094E-2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-6.3903241739388401E-3</v>
      </c>
      <c r="D16">
        <v>1.1084287176135001E-2</v>
      </c>
      <c r="E16">
        <v>-0.576520986184614</v>
      </c>
      <c r="F16">
        <v>0.57747201643858803</v>
      </c>
      <c r="G16">
        <v>-5.4647020161688901E-3</v>
      </c>
      <c r="H16">
        <v>1.24668610307934E-2</v>
      </c>
      <c r="I16">
        <v>-0.43833824750840999</v>
      </c>
      <c r="J16">
        <v>0.67074825525111603</v>
      </c>
      <c r="K16">
        <v>3.3268098533806899E-3</v>
      </c>
      <c r="L16">
        <v>7.87377950136872E-3</v>
      </c>
      <c r="M16">
        <v>0.42251752831056399</v>
      </c>
      <c r="N16">
        <v>0.68180855502249804</v>
      </c>
      <c r="O16">
        <v>7.7387637958928807E-2</v>
      </c>
      <c r="P16">
        <v>1.79036979301503E-2</v>
      </c>
      <c r="Q16">
        <v>4.3224387643742599</v>
      </c>
      <c r="R16">
        <v>1.21211033880145E-3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5.2107350605177496E-4</v>
      </c>
      <c r="D17">
        <v>6.5472512163980496E-5</v>
      </c>
      <c r="E17">
        <v>7.9586606474899</v>
      </c>
      <c r="F17">
        <v>3.3113846006134599E-5</v>
      </c>
      <c r="G17">
        <v>5.6877827578380501E-4</v>
      </c>
      <c r="H17">
        <v>7.3645662437596805E-5</v>
      </c>
      <c r="I17">
        <v>7.7231741416645701</v>
      </c>
      <c r="J17">
        <v>4.5728671438979598E-5</v>
      </c>
      <c r="K17">
        <v>6.5048780362877805E-4</v>
      </c>
      <c r="L17">
        <v>6.48233293215486E-5</v>
      </c>
      <c r="M17">
        <v>10.034779306106101</v>
      </c>
      <c r="N17">
        <v>4.2545050390015296E-6</v>
      </c>
      <c r="O17">
        <v>7.1078948223731104E-4</v>
      </c>
      <c r="P17">
        <v>5.8781626107802402E-5</v>
      </c>
      <c r="Q17">
        <v>12.0920350337665</v>
      </c>
      <c r="R17">
        <v>1.4087690217567599E-6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-2.2454534928734601E-2</v>
      </c>
      <c r="D18">
        <v>6.9496093096873199E-3</v>
      </c>
      <c r="E18">
        <v>-3.23104996671315</v>
      </c>
      <c r="F18">
        <v>1.32122336267834E-2</v>
      </c>
      <c r="G18">
        <v>-2.4141655061860199E-2</v>
      </c>
      <c r="H18">
        <v>6.7423711769076999E-3</v>
      </c>
      <c r="I18">
        <v>-3.5805882572208798</v>
      </c>
      <c r="J18">
        <v>8.1369269088860299E-3</v>
      </c>
      <c r="K18">
        <v>-2.1793728169595399E-2</v>
      </c>
      <c r="L18">
        <v>8.0776292813870103E-3</v>
      </c>
      <c r="M18">
        <v>-2.6980352044397402</v>
      </c>
      <c r="N18">
        <v>2.8349716313566399E-2</v>
      </c>
      <c r="O18">
        <v>-2.4865010346175401E-2</v>
      </c>
      <c r="P18">
        <v>7.74200644898287E-3</v>
      </c>
      <c r="Q18">
        <v>-3.2117010635456298</v>
      </c>
      <c r="R18">
        <v>1.36315194263155E-2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0.22081243594209399</v>
      </c>
      <c r="D19">
        <v>9.3263711102257701E-2</v>
      </c>
      <c r="E19">
        <v>2.36761365521888</v>
      </c>
      <c r="F19">
        <v>4.87715131490883E-2</v>
      </c>
      <c r="G19">
        <v>0.25303022680931297</v>
      </c>
      <c r="H19">
        <v>9.7213033307777405E-2</v>
      </c>
      <c r="I19">
        <v>2.6028426251057999</v>
      </c>
      <c r="J19">
        <v>3.4463185177665397E-2</v>
      </c>
      <c r="K19">
        <v>0.25532448855016898</v>
      </c>
      <c r="L19">
        <v>0.11270642620903699</v>
      </c>
      <c r="M19">
        <v>2.2653942382719001</v>
      </c>
      <c r="N19">
        <v>5.6275723946229997E-2</v>
      </c>
      <c r="O19">
        <v>0.27470325464311102</v>
      </c>
      <c r="P19">
        <v>0.118190818650769</v>
      </c>
      <c r="Q19">
        <v>2.3242351460040802</v>
      </c>
      <c r="R19">
        <v>5.2623127247319303E-2</v>
      </c>
      <c r="AB19" t="str">
        <f t="shared" si="0"/>
        <v>**</v>
      </c>
      <c r="AC19" t="str">
        <f t="shared" si="1"/>
        <v>**</v>
      </c>
      <c r="AD19" t="str">
        <f t="shared" si="2"/>
        <v>*</v>
      </c>
      <c r="AE19" t="str">
        <f t="shared" si="3"/>
        <v>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-1.11814726158838E-2</v>
      </c>
      <c r="D20">
        <v>0.11575228000235301</v>
      </c>
      <c r="E20">
        <v>-9.65982926267758E-2</v>
      </c>
      <c r="F20">
        <v>0.92608544595570097</v>
      </c>
      <c r="G20">
        <v>-2.12188305538627E-2</v>
      </c>
      <c r="H20">
        <v>0.128946956902042</v>
      </c>
      <c r="I20">
        <v>-0.16455472128731299</v>
      </c>
      <c r="J20">
        <v>0.87451610885099595</v>
      </c>
      <c r="K20">
        <v>2.9263624364006199E-2</v>
      </c>
      <c r="L20">
        <v>0.110849445597497</v>
      </c>
      <c r="M20">
        <v>0.26399432316752097</v>
      </c>
      <c r="N20">
        <v>0.80032337222655103</v>
      </c>
      <c r="O20">
        <v>-3.0891093407445998E-2</v>
      </c>
      <c r="P20">
        <v>0.141961281240223</v>
      </c>
      <c r="Q20">
        <v>-0.217602244341349</v>
      </c>
      <c r="R20">
        <v>0.83473981203730996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227</v>
      </c>
      <c r="C21">
        <v>9.72536640498394E-2</v>
      </c>
      <c r="D21">
        <v>1.2854207084596E-2</v>
      </c>
      <c r="E21">
        <v>7.5659014523256403</v>
      </c>
      <c r="F21">
        <v>1.28451810290821E-5</v>
      </c>
      <c r="G21">
        <v>0.10172509105556</v>
      </c>
      <c r="H21">
        <v>1.66743115046688E-2</v>
      </c>
      <c r="I21">
        <v>6.10070712827196</v>
      </c>
      <c r="J21">
        <v>8.6943293193899102E-5</v>
      </c>
      <c r="K21">
        <v>0.129173200471145</v>
      </c>
      <c r="L21">
        <v>1.8205126407970101E-2</v>
      </c>
      <c r="M21">
        <v>7.0954300220949502</v>
      </c>
      <c r="N21">
        <v>2.2430553002930198E-5</v>
      </c>
      <c r="O21">
        <v>0.15242562405412</v>
      </c>
      <c r="P21">
        <v>2.9498350150567398E-2</v>
      </c>
      <c r="Q21">
        <v>5.1672592967436897</v>
      </c>
      <c r="R21">
        <v>3.4310122764467102E-4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229</v>
      </c>
      <c r="C22">
        <v>5.3587255493032601E-2</v>
      </c>
      <c r="D22">
        <v>5.7771530376341902E-3</v>
      </c>
      <c r="E22">
        <v>9.2757202628956392</v>
      </c>
      <c r="F22">
        <v>1.3188376598303399E-6</v>
      </c>
      <c r="G22">
        <v>5.4765599817167901E-2</v>
      </c>
      <c r="H22">
        <v>7.5786431973244002E-3</v>
      </c>
      <c r="I22">
        <v>7.2263066608680901</v>
      </c>
      <c r="J22">
        <v>1.49749911788751E-5</v>
      </c>
      <c r="K22">
        <v>6.6379588872065395E-2</v>
      </c>
      <c r="L22">
        <v>1.1521279057617E-2</v>
      </c>
      <c r="M22">
        <v>5.7614773967461801</v>
      </c>
      <c r="N22">
        <v>1.15276951194755E-4</v>
      </c>
      <c r="O22">
        <v>7.2358790001137999E-2</v>
      </c>
      <c r="P22">
        <v>1.30148031243866E-2</v>
      </c>
      <c r="Q22">
        <v>5.55972989445804</v>
      </c>
      <c r="R22">
        <v>1.6149414346827899E-4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233</v>
      </c>
      <c r="C23">
        <v>-7.5159565759137306E-2</v>
      </c>
      <c r="D23">
        <v>1.2381835506660501E-2</v>
      </c>
      <c r="E23">
        <v>-6.0701473314442698</v>
      </c>
      <c r="F23">
        <v>7.2361637132452205E-5</v>
      </c>
      <c r="G23">
        <v>-8.0470162542465806E-2</v>
      </c>
      <c r="H23">
        <v>1.27854304208357E-2</v>
      </c>
      <c r="I23">
        <v>-6.2938954648979202</v>
      </c>
      <c r="J23">
        <v>5.2481436609856499E-5</v>
      </c>
      <c r="K23">
        <v>-8.8228350188594595E-2</v>
      </c>
      <c r="L23">
        <v>1.8124814171430501E-2</v>
      </c>
      <c r="M23">
        <v>-4.8678209527613303</v>
      </c>
      <c r="N23">
        <v>4.6042581388651801E-4</v>
      </c>
      <c r="O23">
        <v>-7.3053340018123095E-2</v>
      </c>
      <c r="P23">
        <v>1.72570518680479E-2</v>
      </c>
      <c r="Q23">
        <v>-4.2332456654073196</v>
      </c>
      <c r="R23">
        <v>1.3317577397745401E-3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-2.5591364553381801E-2</v>
      </c>
      <c r="D24">
        <v>2.1080469127260401E-2</v>
      </c>
      <c r="E24">
        <v>-1.2139845844459001</v>
      </c>
      <c r="F24">
        <v>0.25186751248693001</v>
      </c>
      <c r="G24">
        <v>-2.7121915566928601E-2</v>
      </c>
      <c r="H24">
        <v>2.2318602884236202E-2</v>
      </c>
      <c r="I24">
        <v>-1.21521565250327</v>
      </c>
      <c r="J24">
        <v>0.25145360800925498</v>
      </c>
      <c r="K24">
        <v>-2.07523843070687E-3</v>
      </c>
      <c r="L24">
        <v>2.7318891727483301E-2</v>
      </c>
      <c r="M24">
        <v>-7.5963492641216795E-2</v>
      </c>
      <c r="N24">
        <v>0.94090115370924299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1.53111005736215E-2</v>
      </c>
      <c r="D25">
        <v>5.4696609735531199E-2</v>
      </c>
      <c r="E25">
        <v>0.27992778067331098</v>
      </c>
      <c r="F25">
        <v>0.78865097051245403</v>
      </c>
      <c r="G25">
        <v>1.88346291272272E-2</v>
      </c>
      <c r="H25">
        <v>6.6745988651981905E-2</v>
      </c>
      <c r="I25">
        <v>0.282183686355029</v>
      </c>
      <c r="J25">
        <v>0.78701595420054404</v>
      </c>
      <c r="K25">
        <v>4.0297678583998499E-2</v>
      </c>
      <c r="L25">
        <v>8.7365053799042594E-2</v>
      </c>
      <c r="M25">
        <v>0.46125626702744799</v>
      </c>
      <c r="N25">
        <v>0.66049702848524094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-2.7773728527109999E-2</v>
      </c>
      <c r="D26">
        <v>9.3488796428220795E-3</v>
      </c>
      <c r="E26">
        <v>-2.9708082238960301</v>
      </c>
      <c r="F26">
        <v>1.2258750753447401E-2</v>
      </c>
      <c r="G26">
        <v>-2.9465200526152199E-2</v>
      </c>
      <c r="H26">
        <v>1.2286805478708E-2</v>
      </c>
      <c r="I26">
        <v>-2.3981172793215499</v>
      </c>
      <c r="J26">
        <v>3.4594935727171698E-2</v>
      </c>
      <c r="K26">
        <v>-1.4246237353244999E-2</v>
      </c>
      <c r="L26">
        <v>1.24140429233069E-2</v>
      </c>
      <c r="M26">
        <v>-1.1475904700231201</v>
      </c>
      <c r="N26">
        <v>0.27470303252564998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6.0349283483542203E-2</v>
      </c>
      <c r="D27">
        <v>2.2646541457609401E-2</v>
      </c>
      <c r="E27">
        <v>2.6648344338364498</v>
      </c>
      <c r="F27">
        <v>3.05322102258213E-2</v>
      </c>
      <c r="G27">
        <v>8.2794509938320507E-2</v>
      </c>
      <c r="H27">
        <v>2.5287682549710401E-2</v>
      </c>
      <c r="I27">
        <v>3.2741042907179598</v>
      </c>
      <c r="J27">
        <v>1.2331966170787899E-2</v>
      </c>
      <c r="K27">
        <v>7.8779087511324994E-2</v>
      </c>
      <c r="L27">
        <v>2.9373330311370401E-2</v>
      </c>
      <c r="M27">
        <v>2.6819937227488801</v>
      </c>
      <c r="N27">
        <v>2.9117734712103702E-2</v>
      </c>
      <c r="AB27" t="str">
        <f t="shared" si="0"/>
        <v>**</v>
      </c>
      <c r="AC27" t="str">
        <f t="shared" si="1"/>
        <v>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1.8422744812419699E-2</v>
      </c>
      <c r="D28">
        <v>2.42110204374715E-2</v>
      </c>
      <c r="E28">
        <v>0.76092392966248901</v>
      </c>
      <c r="F28">
        <v>0.461367631969888</v>
      </c>
      <c r="G28">
        <v>2.7089495161559899E-2</v>
      </c>
      <c r="H28">
        <v>2.1293421868049601E-2</v>
      </c>
      <c r="I28">
        <v>1.27220018132488</v>
      </c>
      <c r="J28">
        <v>0.227433841053198</v>
      </c>
      <c r="K28">
        <v>-1.56448897654849E-3</v>
      </c>
      <c r="L28">
        <v>3.5740663330267E-2</v>
      </c>
      <c r="M28">
        <v>-4.3773361509594599E-2</v>
      </c>
      <c r="N28">
        <v>0.96579180218395999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1.01547022136064E-2</v>
      </c>
      <c r="D29">
        <v>0.115318982790394</v>
      </c>
      <c r="E29">
        <v>8.8057507687730296E-2</v>
      </c>
      <c r="F29">
        <v>0.93972587562967302</v>
      </c>
      <c r="G29">
        <v>3.3043906182385598E-2</v>
      </c>
      <c r="H29">
        <v>0.126792900753676</v>
      </c>
      <c r="I29">
        <v>0.26061322034568002</v>
      </c>
      <c r="J29">
        <v>0.82459876149793498</v>
      </c>
      <c r="K29">
        <v>4.1374826710396301E-2</v>
      </c>
      <c r="L29">
        <v>0.122896662953355</v>
      </c>
      <c r="M29">
        <v>0.33666354900214102</v>
      </c>
      <c r="N29">
        <v>0.77619641453025501</v>
      </c>
      <c r="AB29" t="str">
        <f>IF(F29&lt;0.01,"***",IF(F29&lt;0.05,"**",IF(F29&lt;0.1,"*","")))</f>
        <v/>
      </c>
      <c r="AC29" t="str">
        <f>IF(J29&lt;0.01,"***",IF(J29&lt;0.05,"**",IF(J29&lt;0.1,"*","")))</f>
        <v/>
      </c>
      <c r="AD29" t="str">
        <f>IF(N29&lt;0.01,"***",IF(N29&lt;0.05,"**",IF(N29&lt;0.1,"*","")))</f>
        <v/>
      </c>
      <c r="AE29" t="str">
        <f>IF(R29&lt;0.01,"***",IF(R29&lt;0.05,"**",IF(R29&lt;0.1,"*","")))</f>
        <v>***</v>
      </c>
      <c r="AF29" t="str">
        <f>IF(V29&lt;0.01,"***",IF(V29&lt;0.05,"**",IF(V29&lt;0.1,"*","")))</f>
        <v>***</v>
      </c>
      <c r="AG29" t="str">
        <f>IF(Z29&lt;0.01,"***",IF(Z29&lt;0.05,"**",IF(Z29&lt;0.1,"*","")))</f>
        <v>***</v>
      </c>
    </row>
    <row r="30" spans="1:33" x14ac:dyDescent="0.25">
      <c r="A30">
        <v>55</v>
      </c>
    </row>
    <row r="31" spans="1:33" x14ac:dyDescent="0.25">
      <c r="A31">
        <v>57</v>
      </c>
      <c r="B31" t="s">
        <v>31</v>
      </c>
      <c r="C31">
        <v>3.0629548918150199E-3</v>
      </c>
      <c r="D31">
        <v>1.2890000275543901E-2</v>
      </c>
      <c r="E31">
        <v>0.23762256216753899</v>
      </c>
      <c r="F31">
        <v>0.81600355881679498</v>
      </c>
      <c r="G31">
        <v>-3.63926775070646E-3</v>
      </c>
      <c r="H31">
        <v>1.4123325409093401E-2</v>
      </c>
      <c r="I31">
        <v>-0.25767782340859202</v>
      </c>
      <c r="J31">
        <v>0.800821547604189</v>
      </c>
      <c r="K31">
        <v>-2.79914954746916E-2</v>
      </c>
      <c r="L31">
        <v>2.60188332083508E-2</v>
      </c>
      <c r="M31">
        <v>-1.0758167074804701</v>
      </c>
      <c r="N31">
        <v>0.30210756135234901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-1.4519949609171001E-2</v>
      </c>
      <c r="D32">
        <v>7.1464653072640605E-2</v>
      </c>
      <c r="E32">
        <v>-0.20317666125674799</v>
      </c>
      <c r="F32">
        <v>0.84759148789402305</v>
      </c>
      <c r="G32">
        <v>-6.7961549214184602E-3</v>
      </c>
      <c r="H32">
        <v>7.0612087697245404E-2</v>
      </c>
      <c r="I32">
        <v>-9.6246338878372903E-2</v>
      </c>
      <c r="J32">
        <v>0.92735161012843104</v>
      </c>
      <c r="K32">
        <v>1.2729762240040699E-2</v>
      </c>
      <c r="L32">
        <v>7.2155939230588204E-2</v>
      </c>
      <c r="M32">
        <v>0.17642015855909299</v>
      </c>
      <c r="N32">
        <v>0.86742241030592604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239</v>
      </c>
      <c r="C33">
        <v>-0.112250717461908</v>
      </c>
      <c r="D33">
        <v>0.12770994760453899</v>
      </c>
      <c r="E33">
        <v>-0.87895046210102801</v>
      </c>
      <c r="F33">
        <v>0.47397952879064198</v>
      </c>
      <c r="G33">
        <v>-0.140655470338752</v>
      </c>
      <c r="H33">
        <v>0.123862208919942</v>
      </c>
      <c r="I33">
        <v>-1.1355801867675701</v>
      </c>
      <c r="J33">
        <v>0.37641302332082299</v>
      </c>
      <c r="K33">
        <v>1.8201092483106598E-2</v>
      </c>
      <c r="L33">
        <v>6.5635424411245299E-2</v>
      </c>
      <c r="M33">
        <v>0.277305931154887</v>
      </c>
      <c r="N33">
        <v>0.80848877413214904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240</v>
      </c>
      <c r="C34">
        <v>6.9325372932354801E-2</v>
      </c>
      <c r="D34">
        <v>5.1761428513522403E-2</v>
      </c>
      <c r="E34">
        <v>1.3393249553428399</v>
      </c>
      <c r="F34">
        <v>0.207686539579712</v>
      </c>
      <c r="G34">
        <v>7.0847557784380802E-2</v>
      </c>
      <c r="H34">
        <v>5.5733691331632397E-2</v>
      </c>
      <c r="I34">
        <v>1.2711800724415701</v>
      </c>
      <c r="J34">
        <v>0.22993122038675901</v>
      </c>
      <c r="K34">
        <v>9.7829324444388896E-2</v>
      </c>
      <c r="L34">
        <v>6.7047325114728204E-2</v>
      </c>
      <c r="M34">
        <v>1.4591085367982699</v>
      </c>
      <c r="N34">
        <v>0.174946980214925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242</v>
      </c>
      <c r="C35">
        <v>1.8549139861076602E-2</v>
      </c>
      <c r="D35">
        <v>2.63519015930565E-2</v>
      </c>
      <c r="E35">
        <v>0.703901378637666</v>
      </c>
      <c r="F35">
        <v>0.50063778083369204</v>
      </c>
      <c r="G35">
        <v>4.44173949658421E-2</v>
      </c>
      <c r="H35">
        <v>3.2309929563747702E-2</v>
      </c>
      <c r="I35">
        <v>1.3747289321137699</v>
      </c>
      <c r="J35">
        <v>0.20505216850760699</v>
      </c>
      <c r="K35">
        <v>3.81072611689404E-2</v>
      </c>
      <c r="L35">
        <v>4.5857024227913802E-2</v>
      </c>
      <c r="M35">
        <v>0.83100161448644605</v>
      </c>
      <c r="N35">
        <v>0.43112990510217197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244</v>
      </c>
      <c r="C36">
        <v>2.59997528647661E-2</v>
      </c>
      <c r="D36">
        <v>5.5221438896506901E-2</v>
      </c>
      <c r="E36">
        <v>0.470827153082581</v>
      </c>
      <c r="F36">
        <v>0.64581411826314095</v>
      </c>
      <c r="G36">
        <v>3.2660142228880903E-2</v>
      </c>
      <c r="H36">
        <v>5.6507440532255801E-2</v>
      </c>
      <c r="I36">
        <v>0.57797950006668097</v>
      </c>
      <c r="J36">
        <v>0.57343517646585696</v>
      </c>
      <c r="K36">
        <v>2.2671860242593302E-2</v>
      </c>
      <c r="L36">
        <v>4.9531364574414503E-2</v>
      </c>
      <c r="M36">
        <v>0.45772734988012997</v>
      </c>
      <c r="N36">
        <v>0.65643169735363305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245</v>
      </c>
      <c r="C37">
        <v>6.0800823590031597E-2</v>
      </c>
      <c r="D37">
        <v>6.1394745218171801E-2</v>
      </c>
      <c r="E37">
        <v>0.99032618140152495</v>
      </c>
      <c r="F37">
        <v>0.345174871165426</v>
      </c>
      <c r="G37">
        <v>5.9412571360601803E-2</v>
      </c>
      <c r="H37">
        <v>7.7146807427805095E-2</v>
      </c>
      <c r="I37">
        <v>0.77012352606037304</v>
      </c>
      <c r="J37">
        <v>0.458895667988658</v>
      </c>
      <c r="K37">
        <v>0.127646962394449</v>
      </c>
      <c r="L37">
        <v>8.2533827280692695E-2</v>
      </c>
      <c r="M37">
        <v>1.5466017583351499</v>
      </c>
      <c r="N37">
        <v>0.15600073818119101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247</v>
      </c>
      <c r="C38">
        <v>4.7251126477448703E-2</v>
      </c>
      <c r="D38">
        <v>0.10475599064166601</v>
      </c>
      <c r="E38">
        <v>0.45105894362718002</v>
      </c>
      <c r="F38">
        <v>0.66058961397441995</v>
      </c>
      <c r="G38">
        <v>0.137923829227102</v>
      </c>
      <c r="H38">
        <v>9.9933352501361594E-2</v>
      </c>
      <c r="I38">
        <v>1.38015813314401</v>
      </c>
      <c r="J38">
        <v>0.19389673172725599</v>
      </c>
      <c r="K38">
        <v>0.22783224071792399</v>
      </c>
      <c r="L38">
        <v>0.110073349723199</v>
      </c>
      <c r="M38">
        <v>2.0698219986114101</v>
      </c>
      <c r="N38">
        <v>6.5927886643864994E-2</v>
      </c>
      <c r="AB38" t="str">
        <f t="shared" si="0"/>
        <v/>
      </c>
      <c r="AC38" t="str">
        <f t="shared" si="1"/>
        <v/>
      </c>
      <c r="AD38" t="str">
        <f t="shared" si="2"/>
        <v>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249</v>
      </c>
      <c r="C39">
        <v>0.25864306176898899</v>
      </c>
      <c r="D39">
        <v>0.139840063847365</v>
      </c>
      <c r="E39">
        <v>1.8495633844339201</v>
      </c>
      <c r="F39">
        <v>0.14501547030516099</v>
      </c>
      <c r="G39">
        <v>0.50369088398191997</v>
      </c>
      <c r="H39">
        <v>0.13631425605962</v>
      </c>
      <c r="I39">
        <v>3.6950712166277002</v>
      </c>
      <c r="J39">
        <v>2.17341125183067E-2</v>
      </c>
      <c r="K39">
        <v>0.586395117418819</v>
      </c>
      <c r="L39">
        <v>9.5001398373979307E-2</v>
      </c>
      <c r="M39">
        <v>6.1724893260037703</v>
      </c>
      <c r="N39">
        <v>4.8840899505960501E-3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0.26734196965169799</v>
      </c>
      <c r="D40">
        <v>2.3363644070427202E-2</v>
      </c>
      <c r="E40">
        <v>11.442648623041199</v>
      </c>
      <c r="F40">
        <v>6.4360653661590002E-3</v>
      </c>
      <c r="G40">
        <v>0.22051021124886699</v>
      </c>
      <c r="H40">
        <v>4.4927728555702401E-2</v>
      </c>
      <c r="I40">
        <v>4.90810949802355</v>
      </c>
      <c r="J40">
        <v>3.9420097596107199E-2</v>
      </c>
      <c r="K40">
        <v>0.21595395054855401</v>
      </c>
      <c r="L40">
        <v>4.8142657910546997E-2</v>
      </c>
      <c r="M40">
        <v>4.4857089309404996</v>
      </c>
      <c r="N40">
        <v>4.5791831565428501E-2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0.31322806012850102</v>
      </c>
      <c r="D41">
        <v>3.9671950132038003E-2</v>
      </c>
      <c r="E41">
        <v>7.8954540698402997</v>
      </c>
      <c r="F41">
        <v>3.0111988867569102E-3</v>
      </c>
      <c r="G41">
        <v>0.26827354597407999</v>
      </c>
      <c r="H41">
        <v>6.2548382109273201E-2</v>
      </c>
      <c r="I41">
        <v>4.2890565179671896</v>
      </c>
      <c r="J41">
        <v>2.0944812737235301E-2</v>
      </c>
      <c r="K41">
        <v>0.26928618915311903</v>
      </c>
      <c r="L41">
        <v>6.8101090711337006E-2</v>
      </c>
      <c r="M41">
        <v>3.95421257340141</v>
      </c>
      <c r="N41">
        <v>2.62150555814166E-2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0.372444609419877</v>
      </c>
      <c r="D42">
        <v>0.118269440592051</v>
      </c>
      <c r="E42">
        <v>3.1491195659287601</v>
      </c>
      <c r="F42">
        <v>1.47451888932897E-2</v>
      </c>
      <c r="G42">
        <v>0.31399544556079001</v>
      </c>
      <c r="H42">
        <v>0.142283868257982</v>
      </c>
      <c r="I42">
        <v>2.20682393165941</v>
      </c>
      <c r="J42">
        <v>6.0316420104045101E-2</v>
      </c>
      <c r="K42">
        <v>0.244123694714972</v>
      </c>
      <c r="L42">
        <v>0.15421408707107501</v>
      </c>
      <c r="M42">
        <v>1.5830181233862199</v>
      </c>
      <c r="N42">
        <v>0.154320828731182</v>
      </c>
      <c r="AB42" t="str">
        <f t="shared" si="0"/>
        <v>**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0.27237627374613299</v>
      </c>
      <c r="D43">
        <v>7.1505639342105798E-2</v>
      </c>
      <c r="E43">
        <v>3.80915793848088</v>
      </c>
      <c r="F43">
        <v>7.8689050453500699E-3</v>
      </c>
      <c r="G43">
        <v>0.21158237053413301</v>
      </c>
      <c r="H43">
        <v>8.6999066183961998E-2</v>
      </c>
      <c r="I43">
        <v>2.4320073745014201</v>
      </c>
      <c r="J43">
        <v>4.9151200988245401E-2</v>
      </c>
      <c r="K43">
        <v>0.16251590706358701</v>
      </c>
      <c r="L43">
        <v>9.0282016462358006E-2</v>
      </c>
      <c r="M43">
        <v>1.8000916841655401</v>
      </c>
      <c r="N43">
        <v>0.119864237124954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6.3987958165439104E-2</v>
      </c>
      <c r="D44">
        <v>0.19495236873637101</v>
      </c>
      <c r="E44">
        <v>0.32822354803992398</v>
      </c>
      <c r="F44">
        <v>0.75041974901997199</v>
      </c>
      <c r="G44">
        <v>-3.8027690644307E-2</v>
      </c>
      <c r="H44">
        <v>0.24538021055790599</v>
      </c>
      <c r="I44">
        <v>-0.15497456195772999</v>
      </c>
      <c r="J44">
        <v>0.88034300909568297</v>
      </c>
      <c r="K44">
        <v>-0.12830156028296799</v>
      </c>
      <c r="L44">
        <v>0.27016190710427201</v>
      </c>
      <c r="M44">
        <v>-0.47490618369616699</v>
      </c>
      <c r="N44">
        <v>0.64644612976222204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1.22575793430979E-4</v>
      </c>
      <c r="D45">
        <v>1.32697310288684E-4</v>
      </c>
      <c r="E45">
        <v>0.92372477757321303</v>
      </c>
      <c r="F45">
        <v>0.38491606612725998</v>
      </c>
      <c r="G45">
        <v>2.3785616764604399E-4</v>
      </c>
      <c r="H45">
        <v>1.49862991938249E-4</v>
      </c>
      <c r="I45">
        <v>1.58715747343449</v>
      </c>
      <c r="J45">
        <v>0.154422913345103</v>
      </c>
      <c r="K45">
        <v>1.6181006083624899E-5</v>
      </c>
      <c r="L45">
        <v>1.81831090730765E-4</v>
      </c>
      <c r="M45">
        <v>8.8989215312929595E-2</v>
      </c>
      <c r="N45">
        <v>0.93144505739541295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1.0816922676662601E-2</v>
      </c>
      <c r="D46">
        <v>3.5505442516480198E-3</v>
      </c>
      <c r="E46">
        <v>3.0465534042117102</v>
      </c>
      <c r="F46">
        <v>1.0952249644218899E-2</v>
      </c>
      <c r="G46">
        <v>6.1839662384559303E-3</v>
      </c>
      <c r="H46">
        <v>4.0262465705073903E-3</v>
      </c>
      <c r="I46">
        <v>1.5359134444855</v>
      </c>
      <c r="J46">
        <v>0.15250020646545401</v>
      </c>
      <c r="K46">
        <v>-2.90379390913908E-3</v>
      </c>
      <c r="L46">
        <v>4.1793075192752896E-3</v>
      </c>
      <c r="M46">
        <v>-0.69480264272168502</v>
      </c>
      <c r="N46">
        <v>0.50139790305384502</v>
      </c>
      <c r="AB46" t="str">
        <f t="shared" si="0"/>
        <v>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5.5900465425959703E-3</v>
      </c>
      <c r="D47">
        <v>3.0709813702579098E-3</v>
      </c>
      <c r="E47">
        <v>1.8202801868923399</v>
      </c>
      <c r="F47">
        <v>0.15527681743318</v>
      </c>
      <c r="G47">
        <v>1.0660388135072901E-2</v>
      </c>
      <c r="H47">
        <v>5.4032298980396798E-3</v>
      </c>
      <c r="I47">
        <v>1.97296586231515</v>
      </c>
      <c r="J47">
        <v>0.13335513673104299</v>
      </c>
      <c r="K47">
        <v>1.3086930256392499E-2</v>
      </c>
      <c r="L47">
        <v>4.9921088245293496E-3</v>
      </c>
      <c r="M47">
        <v>2.62152343155828</v>
      </c>
      <c r="N47">
        <v>6.9893726596233705E-2</v>
      </c>
      <c r="AB47" t="str">
        <f t="shared" si="0"/>
        <v/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-6.36144870124073E-3</v>
      </c>
      <c r="D48">
        <v>1.1005840360684501E-2</v>
      </c>
      <c r="E48">
        <v>-0.57800663036739797</v>
      </c>
      <c r="F48">
        <v>0.58100537073678704</v>
      </c>
      <c r="G48">
        <v>-1.0585501499189701E-2</v>
      </c>
      <c r="H48">
        <v>1.37228345935237E-2</v>
      </c>
      <c r="I48">
        <v>-0.77137864098320896</v>
      </c>
      <c r="J48">
        <v>0.46444443780778399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-6.2054851328080897E-2</v>
      </c>
      <c r="D49">
        <v>6.5317281435182103E-2</v>
      </c>
      <c r="E49">
        <v>-0.95005257360047002</v>
      </c>
      <c r="F49">
        <v>0.36157997732563502</v>
      </c>
      <c r="G49">
        <v>-2.7543503427413098E-2</v>
      </c>
      <c r="H49">
        <v>7.3173581573544297E-2</v>
      </c>
      <c r="I49">
        <v>-0.37641321956791302</v>
      </c>
      <c r="J49">
        <v>0.71366962010734902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-2.5371001219889101E-2</v>
      </c>
      <c r="D50">
        <v>1.07062937234621E-2</v>
      </c>
      <c r="E50">
        <v>-2.36972773914191</v>
      </c>
      <c r="F50">
        <v>4.5125929160320703E-2</v>
      </c>
      <c r="G50">
        <v>-2.0460473151963501E-2</v>
      </c>
      <c r="H50">
        <v>1.14945146605501E-2</v>
      </c>
      <c r="I50">
        <v>-1.78002062341833</v>
      </c>
      <c r="J50">
        <v>0.115491558765555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-2.2417502053272802E-3</v>
      </c>
      <c r="D51">
        <v>6.5679344629413303E-3</v>
      </c>
      <c r="E51">
        <v>-0.34131738341423001</v>
      </c>
      <c r="F51">
        <v>0.73867665964419404</v>
      </c>
      <c r="G51">
        <v>-6.15151822927343E-4</v>
      </c>
      <c r="H51">
        <v>8.6200733382300297E-3</v>
      </c>
      <c r="I51">
        <v>-7.1362713377291595E-2</v>
      </c>
      <c r="J51">
        <v>0.94424481482922695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-2.22289893004461E-3</v>
      </c>
      <c r="D52">
        <v>9.0183921094183798E-4</v>
      </c>
      <c r="E52">
        <v>-2.4648506109233401</v>
      </c>
      <c r="F52">
        <v>0.21915606538756599</v>
      </c>
      <c r="G52">
        <v>-2.3786855452806901E-3</v>
      </c>
      <c r="H52">
        <v>2.11515598917613E-3</v>
      </c>
      <c r="I52">
        <v>-1.12459107387498</v>
      </c>
      <c r="J52">
        <v>0.444582881077911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3.5208132530222001E-2</v>
      </c>
      <c r="D53">
        <v>1.5960253028891098E-2</v>
      </c>
      <c r="E53">
        <v>2.2059883678841801</v>
      </c>
      <c r="F53">
        <v>5.4721146564137103E-2</v>
      </c>
      <c r="G53">
        <v>4.28226753627243E-2</v>
      </c>
      <c r="H53">
        <v>1.5970908788447698E-2</v>
      </c>
      <c r="I53">
        <v>2.6812923378348699</v>
      </c>
      <c r="J53">
        <v>2.4151970255261099E-2</v>
      </c>
      <c r="AB53" t="str">
        <f t="shared" si="0"/>
        <v>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2.6968263733213399E-2</v>
      </c>
      <c r="D54">
        <v>2.4706175631629201E-2</v>
      </c>
      <c r="E54">
        <v>1.09155962198731</v>
      </c>
      <c r="F54">
        <v>0.29719507563881498</v>
      </c>
      <c r="G54">
        <v>4.8602652579474402E-2</v>
      </c>
      <c r="H54">
        <v>3.51302519105431E-2</v>
      </c>
      <c r="I54">
        <v>1.38349855000294</v>
      </c>
      <c r="J54">
        <v>0.194418610967694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1.3119353279925799E-6</v>
      </c>
      <c r="D55">
        <v>5.3792814641199102E-6</v>
      </c>
      <c r="E55">
        <v>0.24388672292819299</v>
      </c>
      <c r="F55">
        <v>0.81183146617711999</v>
      </c>
      <c r="G55">
        <v>1.3428663182402701E-6</v>
      </c>
      <c r="H55">
        <v>7.5052142400545097E-6</v>
      </c>
      <c r="I55">
        <v>0.178924448428606</v>
      </c>
      <c r="J55">
        <v>0.86123594463279896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9.8063555833962396E-6</v>
      </c>
      <c r="D56">
        <v>3.2106000893649001E-6</v>
      </c>
      <c r="E56">
        <v>3.0543684390590302</v>
      </c>
      <c r="F56">
        <v>1.08994724960594E-2</v>
      </c>
      <c r="G56">
        <v>1.0793986480793601E-5</v>
      </c>
      <c r="H56">
        <v>4.04016175611322E-6</v>
      </c>
      <c r="I56">
        <v>2.6716718617666801</v>
      </c>
      <c r="J56">
        <v>2.2271647164677E-2</v>
      </c>
      <c r="AB56" t="str">
        <f t="shared" si="0"/>
        <v>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-0.38295243839429499</v>
      </c>
      <c r="D57">
        <v>0.14234610906793699</v>
      </c>
      <c r="E57">
        <v>-2.6902908755414199</v>
      </c>
      <c r="F57">
        <v>4.6235550036299103E-2</v>
      </c>
      <c r="AB57" t="str">
        <f t="shared" si="0"/>
        <v>**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-0.112556667976023</v>
      </c>
      <c r="D58">
        <v>4.0824743282360597E-2</v>
      </c>
      <c r="E58">
        <v>-2.7570698288911499</v>
      </c>
      <c r="F58">
        <v>2.1495327734878E-2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-0.17829200709995599</v>
      </c>
      <c r="D59">
        <v>0.109449387976948</v>
      </c>
      <c r="E59">
        <v>-1.62899044385253</v>
      </c>
      <c r="F59">
        <v>0.12791629874024801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0.270963704891859</v>
      </c>
      <c r="D60">
        <v>9.9124390923780503E-2</v>
      </c>
      <c r="E60">
        <v>2.7335724574611602</v>
      </c>
      <c r="F60">
        <v>2.4289876309319398E-2</v>
      </c>
      <c r="AB60" t="str">
        <f t="shared" si="0"/>
        <v>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-0.54355019822389705</v>
      </c>
      <c r="D61">
        <v>0.105010889349479</v>
      </c>
      <c r="E61">
        <v>-5.1761317477747397</v>
      </c>
      <c r="F61">
        <v>4.3997256542174798E-3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03807-8259-4204-BF58-0FB645173BA4}">
  <sheetPr codeName="Sheet17"/>
  <dimension ref="A1:AG61"/>
  <sheetViews>
    <sheetView workbookViewId="0">
      <selection activeCell="X23" sqref="X23"/>
    </sheetView>
  </sheetViews>
  <sheetFormatPr defaultRowHeight="15" x14ac:dyDescent="0.25"/>
  <sheetData>
    <row r="1" spans="1:33" x14ac:dyDescent="0.25">
      <c r="B1" t="s">
        <v>280</v>
      </c>
      <c r="C1" t="s">
        <v>281</v>
      </c>
      <c r="D1" t="s">
        <v>282</v>
      </c>
      <c r="E1" t="s">
        <v>283</v>
      </c>
      <c r="F1" t="s">
        <v>284</v>
      </c>
      <c r="G1" t="s">
        <v>285</v>
      </c>
      <c r="H1" t="s">
        <v>286</v>
      </c>
      <c r="I1" t="s">
        <v>287</v>
      </c>
      <c r="J1" t="s">
        <v>288</v>
      </c>
      <c r="K1" t="s">
        <v>289</v>
      </c>
      <c r="L1" t="s">
        <v>290</v>
      </c>
      <c r="M1" t="s">
        <v>291</v>
      </c>
      <c r="N1" t="s">
        <v>292</v>
      </c>
      <c r="O1" t="s">
        <v>293</v>
      </c>
      <c r="P1" t="s">
        <v>294</v>
      </c>
      <c r="Q1" t="s">
        <v>295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302</v>
      </c>
      <c r="Y1" t="s">
        <v>303</v>
      </c>
      <c r="Z1" t="s">
        <v>304</v>
      </c>
    </row>
    <row r="2" spans="1:33" x14ac:dyDescent="0.25">
      <c r="A2">
        <v>119</v>
      </c>
      <c r="B2" t="s">
        <v>279</v>
      </c>
      <c r="C2">
        <v>1.5707637842284301</v>
      </c>
      <c r="D2">
        <v>14.119405829384201</v>
      </c>
      <c r="E2">
        <v>0.11124857541522599</v>
      </c>
      <c r="F2">
        <v>0.91340158303034702</v>
      </c>
      <c r="G2">
        <v>0.246030682774803</v>
      </c>
      <c r="H2">
        <v>19.194542074863801</v>
      </c>
      <c r="I2">
        <v>1.2817741721329899E-2</v>
      </c>
      <c r="J2">
        <v>0.98999768231529695</v>
      </c>
      <c r="K2">
        <v>12.3247707575433</v>
      </c>
      <c r="L2">
        <v>0.11892983575301599</v>
      </c>
      <c r="M2">
        <v>103.630604377007</v>
      </c>
      <c r="N2">
        <v>1.12304318168007E-14</v>
      </c>
      <c r="O2">
        <v>12.732470419789299</v>
      </c>
      <c r="P2">
        <v>0.13940908587725101</v>
      </c>
      <c r="Q2">
        <v>91.331711557165804</v>
      </c>
      <c r="R2">
        <v>3.3110930029475502E-16</v>
      </c>
      <c r="S2">
        <v>13.1311553081888</v>
      </c>
      <c r="T2">
        <v>4.33677079495495E-2</v>
      </c>
      <c r="U2">
        <v>302.78647244776101</v>
      </c>
      <c r="V2">
        <v>5.8243934622893596E-22</v>
      </c>
      <c r="W2">
        <v>13.2384482848279</v>
      </c>
      <c r="X2">
        <v>5.1202860279941899E-2</v>
      </c>
      <c r="Y2">
        <v>258.54899926389197</v>
      </c>
      <c r="Z2">
        <v>4.0947279238933399E-22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6.6390983012655199E-3</v>
      </c>
      <c r="D3">
        <v>1.08645694427629E-2</v>
      </c>
      <c r="E3">
        <v>0.61107790200447898</v>
      </c>
      <c r="F3">
        <v>0.55517545834989102</v>
      </c>
      <c r="G3">
        <v>3.2429062822881101E-4</v>
      </c>
      <c r="H3">
        <v>1.1013470457502899E-2</v>
      </c>
      <c r="I3">
        <v>2.9444908349292202E-2</v>
      </c>
      <c r="J3">
        <v>0.97710580128973701</v>
      </c>
      <c r="K3">
        <v>-2.9844268435910001E-3</v>
      </c>
      <c r="L3">
        <v>1.4654242488623801E-2</v>
      </c>
      <c r="M3">
        <v>-0.203656166185856</v>
      </c>
      <c r="N3">
        <v>0.842821677206534</v>
      </c>
      <c r="O3">
        <v>-2.11196258494885E-2</v>
      </c>
      <c r="P3">
        <v>1.74140060443276E-2</v>
      </c>
      <c r="Q3">
        <v>-1.2127953668861799</v>
      </c>
      <c r="R3">
        <v>0.253871985609885</v>
      </c>
      <c r="S3">
        <v>-3.9614365323638399E-2</v>
      </c>
      <c r="T3">
        <v>3.6157801559621998E-2</v>
      </c>
      <c r="U3">
        <v>-1.0955966241010699</v>
      </c>
      <c r="V3">
        <v>0.29967818948754998</v>
      </c>
      <c r="W3">
        <v>2.3657174485175801E-3</v>
      </c>
      <c r="X3">
        <v>2.7440748918592699E-2</v>
      </c>
      <c r="Y3">
        <v>8.6211839754660402E-2</v>
      </c>
      <c r="Z3">
        <v>0.93286819975658997</v>
      </c>
      <c r="AB3" t="str">
        <f t="shared" ref="AB3:AB61" si="0">IF(F3&lt;0.01,"***",IF(F3&lt;0.05,"**",IF(F3&lt;0.1,"*","")))</f>
        <v/>
      </c>
      <c r="AC3" t="str">
        <f t="shared" ref="AC3:AC61" si="1">IF(J3&lt;0.01,"***",IF(J3&lt;0.05,"**",IF(J3&lt;0.1,"*","")))</f>
        <v/>
      </c>
      <c r="AD3" t="str">
        <f t="shared" ref="AD3:AD61" si="2">IF(N3&lt;0.01,"***",IF(N3&lt;0.05,"**",IF(N3&lt;0.1,"*","")))</f>
        <v/>
      </c>
      <c r="AE3" t="str">
        <f t="shared" ref="AE3:AE61" si="3">IF(R3&lt;0.01,"***",IF(R3&lt;0.05,"**",IF(R3&lt;0.1,"*","")))</f>
        <v/>
      </c>
      <c r="AF3" t="str">
        <f t="shared" ref="AF3:AF61" si="4">IF(V3&lt;0.01,"***",IF(V3&lt;0.05,"**",IF(V3&lt;0.1,"*","")))</f>
        <v/>
      </c>
      <c r="AG3" t="str">
        <f t="shared" ref="AG3:AG61" si="5">IF(Z3&lt;0.01,"***",IF(Z3&lt;0.05,"**",IF(Z3&lt;0.1,"*","")))</f>
        <v/>
      </c>
    </row>
    <row r="4" spans="1:33" x14ac:dyDescent="0.25">
      <c r="A4">
        <v>3</v>
      </c>
      <c r="B4" t="s">
        <v>16</v>
      </c>
      <c r="C4">
        <v>7.0174907718173598E-8</v>
      </c>
      <c r="D4">
        <v>5.51800848703746E-5</v>
      </c>
      <c r="E4">
        <v>1.2717433813852199E-3</v>
      </c>
      <c r="F4">
        <v>0.99903694493986706</v>
      </c>
      <c r="G4">
        <v>7.4417482062973899E-6</v>
      </c>
      <c r="H4">
        <v>4.5855942297496698E-5</v>
      </c>
      <c r="I4">
        <v>0.162285362233274</v>
      </c>
      <c r="J4">
        <v>0.877723613044885</v>
      </c>
      <c r="K4">
        <v>3.9172684763300198E-5</v>
      </c>
      <c r="L4">
        <v>8.8986254654447301E-5</v>
      </c>
      <c r="M4">
        <v>0.44021051245966097</v>
      </c>
      <c r="N4">
        <v>0.67898978886241801</v>
      </c>
      <c r="O4">
        <v>2.6466731346921999E-4</v>
      </c>
      <c r="P4">
        <v>1.2236277513068299E-4</v>
      </c>
      <c r="Q4">
        <v>2.16297246598532</v>
      </c>
      <c r="R4">
        <v>8.4719577854439898E-2</v>
      </c>
      <c r="S4">
        <v>1.03007263782878E-3</v>
      </c>
      <c r="T4">
        <v>3.2725134751645802E-4</v>
      </c>
      <c r="U4">
        <v>3.14764979776586</v>
      </c>
      <c r="V4">
        <v>2.7903246276478999E-2</v>
      </c>
      <c r="AB4" t="str">
        <f t="shared" si="0"/>
        <v/>
      </c>
      <c r="AC4" t="str">
        <f t="shared" si="1"/>
        <v/>
      </c>
      <c r="AD4" t="str">
        <f t="shared" si="2"/>
        <v/>
      </c>
      <c r="AE4" t="str">
        <f t="shared" si="3"/>
        <v>*</v>
      </c>
      <c r="AF4" t="str">
        <f t="shared" si="4"/>
        <v>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4.2124765665111398E-2</v>
      </c>
      <c r="D5">
        <v>1.4181321287822599E-2</v>
      </c>
      <c r="E5">
        <v>2.9704401169786401</v>
      </c>
      <c r="F5">
        <v>1.2829074330898299E-2</v>
      </c>
      <c r="G5">
        <v>4.74776350954371E-2</v>
      </c>
      <c r="H5">
        <v>1.28324387643661E-2</v>
      </c>
      <c r="I5">
        <v>3.6998138831783001</v>
      </c>
      <c r="J5">
        <v>3.5466383858835399E-3</v>
      </c>
      <c r="K5">
        <v>4.1674003005553503E-2</v>
      </c>
      <c r="L5">
        <v>1.41751734890369E-2</v>
      </c>
      <c r="M5">
        <v>2.9399289566215501</v>
      </c>
      <c r="N5">
        <v>1.35373326114084E-2</v>
      </c>
      <c r="O5">
        <v>5.4948003414082403E-2</v>
      </c>
      <c r="P5">
        <v>1.48418197145689E-2</v>
      </c>
      <c r="Q5">
        <v>3.702241670551</v>
      </c>
      <c r="R5">
        <v>3.5212757599536902E-3</v>
      </c>
      <c r="S5">
        <v>7.2693113039135296E-2</v>
      </c>
      <c r="T5">
        <v>3.2525121892323101E-2</v>
      </c>
      <c r="U5">
        <v>2.2349835699245499</v>
      </c>
      <c r="V5">
        <v>4.7259081863269999E-2</v>
      </c>
      <c r="AB5" t="str">
        <f t="shared" si="0"/>
        <v>**</v>
      </c>
      <c r="AC5" t="str">
        <f t="shared" si="1"/>
        <v>***</v>
      </c>
      <c r="AD5" t="str">
        <f t="shared" si="2"/>
        <v>**</v>
      </c>
      <c r="AE5" t="str">
        <f t="shared" si="3"/>
        <v>***</v>
      </c>
      <c r="AF5" t="str">
        <f t="shared" si="4"/>
        <v>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5.54279838706064E-2</v>
      </c>
      <c r="D6">
        <v>2.0741759376999E-2</v>
      </c>
      <c r="E6">
        <v>2.6722894072366801</v>
      </c>
      <c r="F6">
        <v>2.2152855392590199E-2</v>
      </c>
      <c r="G6">
        <v>6.5000422412120895E-2</v>
      </c>
      <c r="H6">
        <v>1.52060510957056E-2</v>
      </c>
      <c r="I6">
        <v>4.2746418516558604</v>
      </c>
      <c r="J6">
        <v>1.3982563093175599E-3</v>
      </c>
      <c r="K6">
        <v>5.2353431481136997E-2</v>
      </c>
      <c r="L6">
        <v>1.66295426366686E-2</v>
      </c>
      <c r="M6">
        <v>3.1482183620429902</v>
      </c>
      <c r="N6">
        <v>9.5695255654737205E-3</v>
      </c>
      <c r="O6">
        <v>6.65903136180718E-2</v>
      </c>
      <c r="P6">
        <v>1.6504046163585199E-2</v>
      </c>
      <c r="Q6">
        <v>4.0347871641923598</v>
      </c>
      <c r="R6">
        <v>2.07603447551493E-3</v>
      </c>
      <c r="S6">
        <v>7.5527308657104303E-2</v>
      </c>
      <c r="T6">
        <v>3.33093924621801E-2</v>
      </c>
      <c r="U6">
        <v>2.2674477999819098</v>
      </c>
      <c r="V6">
        <v>4.5194385037694101E-2</v>
      </c>
      <c r="AB6" t="str">
        <f t="shared" si="0"/>
        <v>**</v>
      </c>
      <c r="AC6" t="str">
        <f t="shared" si="1"/>
        <v>***</v>
      </c>
      <c r="AD6" t="str">
        <f t="shared" si="2"/>
        <v>***</v>
      </c>
      <c r="AE6" t="str">
        <f t="shared" si="3"/>
        <v>***</v>
      </c>
      <c r="AF6" t="str">
        <f t="shared" si="4"/>
        <v>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5.1956502391730698E-2</v>
      </c>
      <c r="D7">
        <v>2.0384216086128601E-2</v>
      </c>
      <c r="E7">
        <v>2.5488594789321799</v>
      </c>
      <c r="F7">
        <v>2.6952076378305399E-2</v>
      </c>
      <c r="G7">
        <v>5.3164764739337497E-2</v>
      </c>
      <c r="H7">
        <v>1.6260037180972998E-2</v>
      </c>
      <c r="I7">
        <v>3.2696582515536399</v>
      </c>
      <c r="J7">
        <v>7.4009888664279102E-3</v>
      </c>
      <c r="K7">
        <v>4.5962767164464798E-2</v>
      </c>
      <c r="L7">
        <v>1.67922816136395E-2</v>
      </c>
      <c r="M7">
        <v>2.7371365143812101</v>
      </c>
      <c r="N7">
        <v>1.9211145025014899E-2</v>
      </c>
      <c r="O7">
        <v>5.7690383408756402E-2</v>
      </c>
      <c r="P7">
        <v>2.1403667815296699E-2</v>
      </c>
      <c r="Q7">
        <v>2.6953503439969602</v>
      </c>
      <c r="R7">
        <v>2.0678486008768301E-2</v>
      </c>
      <c r="S7">
        <v>6.8358156684305504E-2</v>
      </c>
      <c r="T7">
        <v>3.3668410072006098E-2</v>
      </c>
      <c r="U7">
        <v>2.03033515803416</v>
      </c>
      <c r="V7">
        <v>6.7032152012252794E-2</v>
      </c>
      <c r="AB7" t="str">
        <f t="shared" si="0"/>
        <v>**</v>
      </c>
      <c r="AC7" t="str">
        <f t="shared" si="1"/>
        <v>***</v>
      </c>
      <c r="AD7" t="str">
        <f t="shared" si="2"/>
        <v>**</v>
      </c>
      <c r="AE7" t="str">
        <f t="shared" si="3"/>
        <v>**</v>
      </c>
      <c r="AF7" t="str">
        <f t="shared" si="4"/>
        <v>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1.9916097159100199E-2</v>
      </c>
      <c r="D8">
        <v>3.2044054303672201E-2</v>
      </c>
      <c r="E8">
        <v>0.62152238822095096</v>
      </c>
      <c r="F8">
        <v>0.54914406661077197</v>
      </c>
      <c r="G8">
        <v>2.90611727622559E-2</v>
      </c>
      <c r="H8">
        <v>2.7390489111088101E-2</v>
      </c>
      <c r="I8">
        <v>1.0609950280329801</v>
      </c>
      <c r="J8">
        <v>0.31546094147502401</v>
      </c>
      <c r="K8">
        <v>2.3719896743203801E-2</v>
      </c>
      <c r="L8">
        <v>2.9619778112089299E-2</v>
      </c>
      <c r="M8">
        <v>0.80081277629566405</v>
      </c>
      <c r="N8">
        <v>0.44320422806985399</v>
      </c>
      <c r="O8">
        <v>4.2748463276696701E-2</v>
      </c>
      <c r="P8">
        <v>3.8915218823131398E-2</v>
      </c>
      <c r="Q8">
        <v>1.09850245146988</v>
      </c>
      <c r="R8">
        <v>0.29957256931878701</v>
      </c>
      <c r="S8">
        <v>6.8833513743165403E-2</v>
      </c>
      <c r="T8">
        <v>5.7446636717022E-2</v>
      </c>
      <c r="U8">
        <v>1.1982166002551999</v>
      </c>
      <c r="V8">
        <v>0.26040150034901899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/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4.7515270416093998E-2</v>
      </c>
      <c r="D9">
        <v>3.8879222644875602E-2</v>
      </c>
      <c r="E9">
        <v>1.2221250113486199</v>
      </c>
      <c r="F9">
        <v>0.25006723515174201</v>
      </c>
      <c r="G9">
        <v>6.0044485042610299E-2</v>
      </c>
      <c r="H9">
        <v>3.61355707430333E-2</v>
      </c>
      <c r="I9">
        <v>1.6616448504327701</v>
      </c>
      <c r="J9">
        <v>0.128066738391064</v>
      </c>
      <c r="K9">
        <v>5.20380131872119E-2</v>
      </c>
      <c r="L9">
        <v>3.7694164991798298E-2</v>
      </c>
      <c r="M9">
        <v>1.3805323237306</v>
      </c>
      <c r="N9">
        <v>0.19797350401340999</v>
      </c>
      <c r="O9">
        <v>8.8421878658316203E-2</v>
      </c>
      <c r="P9">
        <v>4.4440048680355303E-2</v>
      </c>
      <c r="Q9">
        <v>1.9896890593957199</v>
      </c>
      <c r="R9">
        <v>7.5126084532107396E-2</v>
      </c>
      <c r="S9">
        <v>0.110847239159286</v>
      </c>
      <c r="T9">
        <v>6.6621811936031297E-2</v>
      </c>
      <c r="U9">
        <v>1.66382804577154</v>
      </c>
      <c r="V9">
        <v>0.12757953622842999</v>
      </c>
      <c r="AB9" t="str">
        <f t="shared" si="0"/>
        <v/>
      </c>
      <c r="AC9" t="str">
        <f t="shared" si="1"/>
        <v/>
      </c>
      <c r="AD9" t="str">
        <f t="shared" si="2"/>
        <v/>
      </c>
      <c r="AE9" t="str">
        <f t="shared" si="3"/>
        <v>*</v>
      </c>
      <c r="AF9" t="str">
        <f t="shared" si="4"/>
        <v/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8.99242567470835E-2</v>
      </c>
      <c r="D10">
        <v>3.8712876626319802E-2</v>
      </c>
      <c r="E10">
        <v>2.3228513245111402</v>
      </c>
      <c r="F10">
        <v>4.3147833564719497E-2</v>
      </c>
      <c r="G10">
        <v>9.9623248501507097E-2</v>
      </c>
      <c r="H10">
        <v>3.6319450150545399E-2</v>
      </c>
      <c r="I10">
        <v>2.74297237674483</v>
      </c>
      <c r="J10">
        <v>2.11928246777691E-2</v>
      </c>
      <c r="K10">
        <v>8.7422153696498806E-2</v>
      </c>
      <c r="L10">
        <v>3.5320303870051299E-2</v>
      </c>
      <c r="M10">
        <v>2.4751246200524801</v>
      </c>
      <c r="N10">
        <v>3.3374434596989397E-2</v>
      </c>
      <c r="O10">
        <v>0.12806063719209199</v>
      </c>
      <c r="P10">
        <v>4.5520167877524602E-2</v>
      </c>
      <c r="Q10">
        <v>2.8132725155286802</v>
      </c>
      <c r="R10">
        <v>1.8774237958734001E-2</v>
      </c>
      <c r="S10">
        <v>0.12772099234078799</v>
      </c>
      <c r="T10">
        <v>7.5671950273368593E-2</v>
      </c>
      <c r="U10">
        <v>1.6878247736366001</v>
      </c>
      <c r="V10">
        <v>0.122994869045303</v>
      </c>
      <c r="AB10" t="str">
        <f t="shared" si="0"/>
        <v>**</v>
      </c>
      <c r="AC10" t="str">
        <f t="shared" si="1"/>
        <v>**</v>
      </c>
      <c r="AD10" t="str">
        <f t="shared" si="2"/>
        <v>**</v>
      </c>
      <c r="AE10" t="str">
        <f t="shared" si="3"/>
        <v>**</v>
      </c>
      <c r="AF10" t="str">
        <f t="shared" si="4"/>
        <v/>
      </c>
      <c r="AG10" t="str">
        <f t="shared" si="5"/>
        <v>***</v>
      </c>
    </row>
    <row r="11" spans="1:33" x14ac:dyDescent="0.25">
      <c r="A11">
        <v>17</v>
      </c>
      <c r="B11" t="s">
        <v>213</v>
      </c>
      <c r="C11">
        <v>6.3633882441455195E-2</v>
      </c>
      <c r="D11">
        <v>0.102918140367737</v>
      </c>
      <c r="E11">
        <v>0.61829607699949696</v>
      </c>
      <c r="F11">
        <v>0.55373744810328396</v>
      </c>
      <c r="G11">
        <v>6.2335641662449898E-2</v>
      </c>
      <c r="H11">
        <v>0.11639016455135499</v>
      </c>
      <c r="I11">
        <v>0.53557482200263795</v>
      </c>
      <c r="J11">
        <v>0.60696023664495802</v>
      </c>
      <c r="K11">
        <v>4.85895314434686E-2</v>
      </c>
      <c r="L11">
        <v>0.113668840695944</v>
      </c>
      <c r="M11">
        <v>0.42746570780502602</v>
      </c>
      <c r="N11">
        <v>0.680427662871396</v>
      </c>
      <c r="O11">
        <v>0.100784355706279</v>
      </c>
      <c r="P11">
        <v>9.5418708837714403E-2</v>
      </c>
      <c r="Q11">
        <v>1.05623265011572</v>
      </c>
      <c r="R11">
        <v>0.32199844194326299</v>
      </c>
      <c r="S11">
        <v>0.13561747057463899</v>
      </c>
      <c r="T11">
        <v>0.13410350577844399</v>
      </c>
      <c r="U11">
        <v>1.0112895243670701</v>
      </c>
      <c r="V11">
        <v>0.34176162932561999</v>
      </c>
      <c r="AB11" t="str">
        <f t="shared" si="0"/>
        <v/>
      </c>
      <c r="AC11" t="str">
        <f t="shared" si="1"/>
        <v/>
      </c>
      <c r="AD11" t="str">
        <f t="shared" si="2"/>
        <v/>
      </c>
      <c r="AE11" t="str">
        <f t="shared" si="3"/>
        <v/>
      </c>
      <c r="AF11" t="str">
        <f t="shared" si="4"/>
        <v/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5.8299328604423703E-2</v>
      </c>
      <c r="D12">
        <v>3.05037931463405E-2</v>
      </c>
      <c r="E12">
        <v>1.91121570765758</v>
      </c>
      <c r="F12">
        <v>7.9410321908527107E-2</v>
      </c>
      <c r="G12">
        <v>4.8965300393744603E-2</v>
      </c>
      <c r="H12">
        <v>3.14174236728701E-2</v>
      </c>
      <c r="I12">
        <v>1.55853964677656</v>
      </c>
      <c r="J12">
        <v>0.144180805788516</v>
      </c>
      <c r="K12">
        <v>1.4901754477697499E-2</v>
      </c>
      <c r="L12">
        <v>2.6804105767921398E-2</v>
      </c>
      <c r="M12">
        <v>0.55595044306725605</v>
      </c>
      <c r="N12">
        <v>0.58797920995602504</v>
      </c>
      <c r="O12">
        <v>-3.6056189194833298E-2</v>
      </c>
      <c r="P12">
        <v>2.2474299055470999E-2</v>
      </c>
      <c r="Q12">
        <v>-1.6043298661212699</v>
      </c>
      <c r="R12">
        <v>0.13768081463137699</v>
      </c>
      <c r="AB12" t="str">
        <f t="shared" si="0"/>
        <v>*</v>
      </c>
      <c r="AC12" t="str">
        <f t="shared" si="1"/>
        <v/>
      </c>
      <c r="AD12" t="str">
        <f t="shared" si="2"/>
        <v/>
      </c>
      <c r="AE12" t="str">
        <f t="shared" si="3"/>
        <v/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6.1154772246434098E-2</v>
      </c>
      <c r="D13">
        <v>3.0751343835948099E-2</v>
      </c>
      <c r="E13">
        <v>1.98868617165747</v>
      </c>
      <c r="F13">
        <v>6.7700920534186998E-2</v>
      </c>
      <c r="G13">
        <v>6.4484450772735E-2</v>
      </c>
      <c r="H13">
        <v>3.7516997625432598E-2</v>
      </c>
      <c r="I13">
        <v>1.7188062706014899</v>
      </c>
      <c r="J13">
        <v>0.108734364866926</v>
      </c>
      <c r="K13">
        <v>8.4425017976877098E-2</v>
      </c>
      <c r="L13">
        <v>4.39770614471129E-2</v>
      </c>
      <c r="M13">
        <v>1.9197512339110501</v>
      </c>
      <c r="N13">
        <v>7.6385928115341797E-2</v>
      </c>
      <c r="O13">
        <v>0.108174502188427</v>
      </c>
      <c r="P13">
        <v>4.3938829790272603E-2</v>
      </c>
      <c r="Q13">
        <v>2.4619340730001702</v>
      </c>
      <c r="R13">
        <v>2.80632444491428E-2</v>
      </c>
      <c r="AB13" t="str">
        <f t="shared" si="0"/>
        <v>*</v>
      </c>
      <c r="AC13" t="str">
        <f t="shared" si="1"/>
        <v/>
      </c>
      <c r="AD13" t="str">
        <f t="shared" si="2"/>
        <v>*</v>
      </c>
      <c r="AE13" t="str">
        <f t="shared" si="3"/>
        <v>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2.44156668464332E-2</v>
      </c>
      <c r="D14">
        <v>2.47779116270791E-2</v>
      </c>
      <c r="E14">
        <v>0.98538033446490803</v>
      </c>
      <c r="F14">
        <v>0.34389760313113499</v>
      </c>
      <c r="G14">
        <v>1.8013393364689701E-2</v>
      </c>
      <c r="H14">
        <v>2.6739306268044698E-2</v>
      </c>
      <c r="I14">
        <v>0.67366719181555201</v>
      </c>
      <c r="J14">
        <v>0.51339013201172001</v>
      </c>
      <c r="K14">
        <v>5.0317649969346401E-3</v>
      </c>
      <c r="L14">
        <v>3.3948335929138103E-2</v>
      </c>
      <c r="M14">
        <v>0.14821831053627099</v>
      </c>
      <c r="N14">
        <v>0.88466876771672998</v>
      </c>
      <c r="O14">
        <v>-3.5526857823818198E-3</v>
      </c>
      <c r="P14">
        <v>3.4080410808406097E-2</v>
      </c>
      <c r="Q14">
        <v>-0.10424421825060699</v>
      </c>
      <c r="R14">
        <v>0.91869939915516197</v>
      </c>
      <c r="AB14" t="str">
        <f t="shared" si="0"/>
        <v/>
      </c>
      <c r="AC14" t="str">
        <f t="shared" si="1"/>
        <v/>
      </c>
      <c r="AD14" t="str">
        <f t="shared" si="2"/>
        <v/>
      </c>
      <c r="AE14" t="str">
        <f t="shared" si="3"/>
        <v/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-3.3829336129902E-2</v>
      </c>
      <c r="D15">
        <v>2.3285341721079E-2</v>
      </c>
      <c r="E15">
        <v>-1.4528168207760599</v>
      </c>
      <c r="F15">
        <v>0.17765246617196501</v>
      </c>
      <c r="G15">
        <v>-3.3951531802774298E-2</v>
      </c>
      <c r="H15">
        <v>2.4089896235185999E-2</v>
      </c>
      <c r="I15">
        <v>-1.4093681214443901</v>
      </c>
      <c r="J15">
        <v>0.189729601995759</v>
      </c>
      <c r="K15">
        <v>-3.6799501818802802E-2</v>
      </c>
      <c r="L15">
        <v>2.8080905971764599E-2</v>
      </c>
      <c r="M15">
        <v>-1.31048128774067</v>
      </c>
      <c r="N15">
        <v>0.22010167049187901</v>
      </c>
      <c r="O15">
        <v>-0.107723802792713</v>
      </c>
      <c r="P15">
        <v>5.6803492329577099E-2</v>
      </c>
      <c r="Q15">
        <v>-1.8964292224797299</v>
      </c>
      <c r="R15">
        <v>8.3609846424591794E-2</v>
      </c>
      <c r="AB15" t="str">
        <f t="shared" si="0"/>
        <v/>
      </c>
      <c r="AC15" t="str">
        <f t="shared" si="1"/>
        <v/>
      </c>
      <c r="AD15" t="str">
        <f t="shared" si="2"/>
        <v/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-8.0210775728673297E-3</v>
      </c>
      <c r="D16">
        <v>1.0201916002806699E-2</v>
      </c>
      <c r="E16">
        <v>-0.786232465613382</v>
      </c>
      <c r="F16">
        <v>0.45080036717875499</v>
      </c>
      <c r="G16">
        <v>-6.4657605709281304E-3</v>
      </c>
      <c r="H16">
        <v>1.1732189452301801E-2</v>
      </c>
      <c r="I16">
        <v>-0.55111286748438804</v>
      </c>
      <c r="J16">
        <v>0.59414563917885599</v>
      </c>
      <c r="K16">
        <v>2.9562527743945701E-3</v>
      </c>
      <c r="L16">
        <v>7.3759913133761602E-3</v>
      </c>
      <c r="M16">
        <v>0.40079396094644099</v>
      </c>
      <c r="N16">
        <v>0.697278405479685</v>
      </c>
      <c r="O16">
        <v>8.2145138353171804E-2</v>
      </c>
      <c r="P16">
        <v>1.8984198160465302E-2</v>
      </c>
      <c r="Q16">
        <v>4.3270270178826804</v>
      </c>
      <c r="R16">
        <v>1.21939542724005E-3</v>
      </c>
      <c r="AB16" t="str">
        <f t="shared" si="0"/>
        <v/>
      </c>
      <c r="AC16" t="str">
        <f t="shared" si="1"/>
        <v/>
      </c>
      <c r="AD16" t="str">
        <f t="shared" si="2"/>
        <v/>
      </c>
      <c r="AE16" t="str">
        <f t="shared" si="3"/>
        <v>***</v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5.2165831793573095E-4</v>
      </c>
      <c r="D17">
        <v>6.5711516697598805E-5</v>
      </c>
      <c r="E17">
        <v>7.93861326221365</v>
      </c>
      <c r="F17">
        <v>3.4960051803060103E-5</v>
      </c>
      <c r="G17">
        <v>5.6783114120835597E-4</v>
      </c>
      <c r="H17">
        <v>7.5224759177545004E-5</v>
      </c>
      <c r="I17">
        <v>7.5484607384141196</v>
      </c>
      <c r="J17">
        <v>5.6191710316165002E-5</v>
      </c>
      <c r="K17">
        <v>6.55145611916871E-4</v>
      </c>
      <c r="L17">
        <v>6.5950091907327998E-5</v>
      </c>
      <c r="M17">
        <v>9.9339605597134195</v>
      </c>
      <c r="N17">
        <v>4.8016992119059703E-6</v>
      </c>
      <c r="O17">
        <v>7.1807763968848904E-4</v>
      </c>
      <c r="P17">
        <v>6.03866664307338E-5</v>
      </c>
      <c r="Q17">
        <v>11.8913277074527</v>
      </c>
      <c r="R17">
        <v>1.6093601132628001E-6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-2.2383223933778701E-2</v>
      </c>
      <c r="D18">
        <v>6.7322671354595603E-3</v>
      </c>
      <c r="E18">
        <v>-3.3247676426688302</v>
      </c>
      <c r="F18">
        <v>1.11944201767327E-2</v>
      </c>
      <c r="G18">
        <v>-2.4153324410837701E-2</v>
      </c>
      <c r="H18">
        <v>6.7313919984913796E-3</v>
      </c>
      <c r="I18">
        <v>-3.5881619160273002</v>
      </c>
      <c r="J18">
        <v>7.7334443258306801E-3</v>
      </c>
      <c r="K18">
        <v>-2.1431966165649699E-2</v>
      </c>
      <c r="L18">
        <v>8.1839832194322403E-3</v>
      </c>
      <c r="M18">
        <v>-2.6187695637939599</v>
      </c>
      <c r="N18">
        <v>3.1248047823141001E-2</v>
      </c>
      <c r="O18">
        <v>-2.4491134313204401E-2</v>
      </c>
      <c r="P18">
        <v>7.8706404526844107E-3</v>
      </c>
      <c r="Q18">
        <v>-3.1117079303058901</v>
      </c>
      <c r="R18">
        <v>1.52431409973079E-2</v>
      </c>
      <c r="AB18" t="str">
        <f t="shared" si="0"/>
        <v>**</v>
      </c>
      <c r="AC18" t="str">
        <f t="shared" si="1"/>
        <v>***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0.22294956765954099</v>
      </c>
      <c r="D19">
        <v>9.1112444743702697E-2</v>
      </c>
      <c r="E19">
        <v>2.4469716325436499</v>
      </c>
      <c r="F19">
        <v>4.2745387047258297E-2</v>
      </c>
      <c r="G19">
        <v>0.25702244176278199</v>
      </c>
      <c r="H19">
        <v>9.8109886631011306E-2</v>
      </c>
      <c r="I19">
        <v>2.6197404827246</v>
      </c>
      <c r="J19">
        <v>3.3066291663256898E-2</v>
      </c>
      <c r="K19">
        <v>0.25555765840898498</v>
      </c>
      <c r="L19">
        <v>0.11520297015518401</v>
      </c>
      <c r="M19">
        <v>2.2183252572805698</v>
      </c>
      <c r="N19">
        <v>5.97924314013831E-2</v>
      </c>
      <c r="O19">
        <v>0.27549306615768698</v>
      </c>
      <c r="P19">
        <v>0.121593986128398</v>
      </c>
      <c r="Q19">
        <v>2.2656800301519699</v>
      </c>
      <c r="R19">
        <v>5.6905617231519101E-2</v>
      </c>
      <c r="AB19" t="str">
        <f t="shared" si="0"/>
        <v>**</v>
      </c>
      <c r="AC19" t="str">
        <f t="shared" si="1"/>
        <v>**</v>
      </c>
      <c r="AD19" t="str">
        <f t="shared" si="2"/>
        <v>*</v>
      </c>
      <c r="AE19" t="str">
        <f t="shared" si="3"/>
        <v>*</v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-6.5963986913463802E-3</v>
      </c>
      <c r="D20">
        <v>0.13272558993770001</v>
      </c>
      <c r="E20">
        <v>-4.9699524367853097E-2</v>
      </c>
      <c r="F20">
        <v>0.96199633467858203</v>
      </c>
      <c r="G20">
        <v>-1.2291609083110999E-2</v>
      </c>
      <c r="H20">
        <v>0.14843066691538301</v>
      </c>
      <c r="I20">
        <v>-8.2810441659729395E-2</v>
      </c>
      <c r="J20">
        <v>0.93673125888710296</v>
      </c>
      <c r="K20">
        <v>3.9480604423585697E-2</v>
      </c>
      <c r="L20">
        <v>0.13167751879523801</v>
      </c>
      <c r="M20">
        <v>0.29982797963393598</v>
      </c>
      <c r="N20">
        <v>0.77456175686022199</v>
      </c>
      <c r="O20">
        <v>1.06668635307851E-2</v>
      </c>
      <c r="P20">
        <v>0.17372142928859599</v>
      </c>
      <c r="Q20">
        <v>6.14021170241736E-2</v>
      </c>
      <c r="R20">
        <v>0.95306098904730097</v>
      </c>
      <c r="AB20" t="str">
        <f t="shared" si="0"/>
        <v/>
      </c>
      <c r="AC20" t="str">
        <f t="shared" si="1"/>
        <v/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227</v>
      </c>
      <c r="C21">
        <v>9.9798388928887802E-2</v>
      </c>
      <c r="D21">
        <v>1.30551514691391E-2</v>
      </c>
      <c r="E21">
        <v>7.64436852110064</v>
      </c>
      <c r="F21">
        <v>1.16464787357637E-5</v>
      </c>
      <c r="G21">
        <v>0.105041992013948</v>
      </c>
      <c r="H21">
        <v>1.7110987679332799E-2</v>
      </c>
      <c r="I21">
        <v>6.1388619980610999</v>
      </c>
      <c r="J21">
        <v>8.2224860786924504E-5</v>
      </c>
      <c r="K21">
        <v>0.13418438494877299</v>
      </c>
      <c r="L21">
        <v>1.7928513365196901E-2</v>
      </c>
      <c r="M21">
        <v>7.4844122440879204</v>
      </c>
      <c r="N21">
        <v>1.37433646471336E-5</v>
      </c>
      <c r="O21">
        <v>0.157391272847764</v>
      </c>
      <c r="P21">
        <v>2.92494251399044E-2</v>
      </c>
      <c r="Q21">
        <v>5.3810039716998803</v>
      </c>
      <c r="R21">
        <v>2.50310041870651E-4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229</v>
      </c>
      <c r="C22">
        <v>5.6962988954412201E-2</v>
      </c>
      <c r="D22">
        <v>6.1539965794301004E-3</v>
      </c>
      <c r="E22">
        <v>9.2562594436292898</v>
      </c>
      <c r="F22">
        <v>1.4001164391204999E-6</v>
      </c>
      <c r="G22">
        <v>5.9026800669495498E-2</v>
      </c>
      <c r="H22">
        <v>7.6977235183021799E-3</v>
      </c>
      <c r="I22">
        <v>7.66808531498343</v>
      </c>
      <c r="J22">
        <v>8.8012957473022102E-6</v>
      </c>
      <c r="K22">
        <v>7.2277802496953605E-2</v>
      </c>
      <c r="L22">
        <v>1.25193690401522E-2</v>
      </c>
      <c r="M22">
        <v>5.7732783709101998</v>
      </c>
      <c r="N22">
        <v>1.1569066151246199E-4</v>
      </c>
      <c r="O22">
        <v>7.7607446936589997E-2</v>
      </c>
      <c r="P22">
        <v>1.42653202947853E-2</v>
      </c>
      <c r="Q22">
        <v>5.4402877280617004</v>
      </c>
      <c r="R22">
        <v>1.9742030753055299E-4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233</v>
      </c>
      <c r="C23">
        <v>-9.2607012075859502E-2</v>
      </c>
      <c r="D23">
        <v>1.12404323939888E-2</v>
      </c>
      <c r="E23">
        <v>-8.2387410759557902</v>
      </c>
      <c r="F23">
        <v>3.98228520027614E-6</v>
      </c>
      <c r="G23">
        <v>-9.5084716411403397E-2</v>
      </c>
      <c r="H23">
        <v>1.16554920194514E-2</v>
      </c>
      <c r="I23">
        <v>-8.15793243671909</v>
      </c>
      <c r="J23">
        <v>4.3967583221996298E-6</v>
      </c>
      <c r="K23">
        <v>-0.105475696620902</v>
      </c>
      <c r="L23">
        <v>1.6577148358557801E-2</v>
      </c>
      <c r="M23">
        <v>-6.3627165746182701</v>
      </c>
      <c r="N23">
        <v>4.6204257629358202E-5</v>
      </c>
      <c r="O23">
        <v>-9.1251875713418001E-2</v>
      </c>
      <c r="P23">
        <v>1.5807000780094099E-2</v>
      </c>
      <c r="Q23">
        <v>-5.7728772828512902</v>
      </c>
      <c r="R23">
        <v>1.10088709089378E-4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-2.4010219789322499E-2</v>
      </c>
      <c r="D24">
        <v>2.0904184453036299E-2</v>
      </c>
      <c r="E24">
        <v>-1.1485843823883299</v>
      </c>
      <c r="F24">
        <v>0.27635060546503898</v>
      </c>
      <c r="G24">
        <v>-2.3429908483217899E-2</v>
      </c>
      <c r="H24">
        <v>2.2048444966415202E-2</v>
      </c>
      <c r="I24">
        <v>-1.0626558253385701</v>
      </c>
      <c r="J24">
        <v>0.31193684956705198</v>
      </c>
      <c r="K24">
        <v>-1.85509715120677E-3</v>
      </c>
      <c r="L24">
        <v>2.5914144556099899E-2</v>
      </c>
      <c r="M24">
        <v>-7.1586277802486997E-2</v>
      </c>
      <c r="N24">
        <v>0.94428180532916595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1.77810224630068E-2</v>
      </c>
      <c r="D25">
        <v>5.0691422054529298E-2</v>
      </c>
      <c r="E25">
        <v>0.35076984906597303</v>
      </c>
      <c r="F25">
        <v>0.73730655729376804</v>
      </c>
      <c r="G25">
        <v>2.9414055232081002E-2</v>
      </c>
      <c r="H25">
        <v>6.3336756790787402E-2</v>
      </c>
      <c r="I25">
        <v>0.46440734768344499</v>
      </c>
      <c r="J25">
        <v>0.658171543322011</v>
      </c>
      <c r="K25">
        <v>4.2892841801113399E-2</v>
      </c>
      <c r="L25">
        <v>9.0838784211392895E-2</v>
      </c>
      <c r="M25">
        <v>0.47218643637167801</v>
      </c>
      <c r="N25">
        <v>0.65300233711490996</v>
      </c>
      <c r="AB25" t="str">
        <f t="shared" si="0"/>
        <v/>
      </c>
      <c r="AC25" t="str">
        <f t="shared" si="1"/>
        <v/>
      </c>
      <c r="AD25" t="str">
        <f t="shared" si="2"/>
        <v/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  <c r="B26" t="s">
        <v>24</v>
      </c>
      <c r="C26">
        <v>-2.54669466126221E-2</v>
      </c>
      <c r="D26">
        <v>9.2794458424408192E-3</v>
      </c>
      <c r="E26">
        <v>-2.7444469254991</v>
      </c>
      <c r="F26">
        <v>1.8790281937259699E-2</v>
      </c>
      <c r="G26">
        <v>-3.0100868307639202E-2</v>
      </c>
      <c r="H26">
        <v>1.1976821148944401E-2</v>
      </c>
      <c r="I26">
        <v>-2.5132602326863802</v>
      </c>
      <c r="J26">
        <v>2.8502273833778499E-2</v>
      </c>
      <c r="K26">
        <v>-1.33983289051608E-2</v>
      </c>
      <c r="L26">
        <v>1.28387416233555E-2</v>
      </c>
      <c r="M26">
        <v>-1.0435858356076999</v>
      </c>
      <c r="N26">
        <v>0.31879362497616298</v>
      </c>
      <c r="AB26" t="str">
        <f t="shared" si="0"/>
        <v>**</v>
      </c>
      <c r="AC26" t="str">
        <f t="shared" si="1"/>
        <v>**</v>
      </c>
      <c r="AD26" t="str">
        <f t="shared" si="2"/>
        <v/>
      </c>
      <c r="AE26" t="str">
        <f t="shared" si="3"/>
        <v>***</v>
      </c>
      <c r="AF26" t="str">
        <f t="shared" si="4"/>
        <v>***</v>
      </c>
      <c r="AG26" t="str">
        <f t="shared" si="5"/>
        <v>***</v>
      </c>
    </row>
    <row r="27" spans="1:33" x14ac:dyDescent="0.25">
      <c r="A27">
        <v>49</v>
      </c>
      <c r="B27" t="s">
        <v>25</v>
      </c>
      <c r="C27">
        <v>6.2055326627702398E-2</v>
      </c>
      <c r="D27">
        <v>2.2216997312479499E-2</v>
      </c>
      <c r="E27">
        <v>2.7931464254553098</v>
      </c>
      <c r="F27">
        <v>2.4901024566748999E-2</v>
      </c>
      <c r="G27">
        <v>8.38159771011283E-2</v>
      </c>
      <c r="H27">
        <v>2.25915310603414E-2</v>
      </c>
      <c r="I27">
        <v>3.7100618314561302</v>
      </c>
      <c r="J27">
        <v>6.53667375806786E-3</v>
      </c>
      <c r="K27">
        <v>8.1895646783376505E-2</v>
      </c>
      <c r="L27">
        <v>2.7102129008429902E-2</v>
      </c>
      <c r="M27">
        <v>3.0217421944196099</v>
      </c>
      <c r="N27">
        <v>1.7279477342685399E-2</v>
      </c>
      <c r="AB27" t="str">
        <f t="shared" si="0"/>
        <v>**</v>
      </c>
      <c r="AC27" t="str">
        <f t="shared" si="1"/>
        <v>***</v>
      </c>
      <c r="AD27" t="str">
        <f t="shared" si="2"/>
        <v>**</v>
      </c>
      <c r="AE27" t="str">
        <f t="shared" si="3"/>
        <v>***</v>
      </c>
      <c r="AF27" t="str">
        <f t="shared" si="4"/>
        <v>***</v>
      </c>
      <c r="AG27" t="str">
        <f t="shared" si="5"/>
        <v>***</v>
      </c>
    </row>
    <row r="28" spans="1:33" x14ac:dyDescent="0.25">
      <c r="A28">
        <v>51</v>
      </c>
      <c r="B28" t="s">
        <v>26</v>
      </c>
      <c r="C28">
        <v>1.7175939646426799E-2</v>
      </c>
      <c r="D28">
        <v>2.65608067388243E-2</v>
      </c>
      <c r="E28">
        <v>0.64666483271084096</v>
      </c>
      <c r="F28">
        <v>0.53033289992281996</v>
      </c>
      <c r="G28">
        <v>2.35237396383613E-2</v>
      </c>
      <c r="H28">
        <v>2.46147430624193E-2</v>
      </c>
      <c r="I28">
        <v>0.95567683069892595</v>
      </c>
      <c r="J28">
        <v>0.35860433089416299</v>
      </c>
      <c r="K28">
        <v>-7.9873754863235592E-3</v>
      </c>
      <c r="L28">
        <v>3.9350496719802203E-2</v>
      </c>
      <c r="M28">
        <v>-0.20298029636571599</v>
      </c>
      <c r="N28">
        <v>0.84256675768675504</v>
      </c>
      <c r="AB28" t="str">
        <f t="shared" si="0"/>
        <v/>
      </c>
      <c r="AC28" t="str">
        <f t="shared" si="1"/>
        <v/>
      </c>
      <c r="AD28" t="str">
        <f t="shared" si="2"/>
        <v/>
      </c>
      <c r="AE28" t="str">
        <f t="shared" si="3"/>
        <v>***</v>
      </c>
      <c r="AF28" t="str">
        <f t="shared" si="4"/>
        <v>***</v>
      </c>
      <c r="AG28" t="str">
        <f t="shared" si="5"/>
        <v>***</v>
      </c>
    </row>
    <row r="29" spans="1:33" x14ac:dyDescent="0.25">
      <c r="A29">
        <v>53</v>
      </c>
      <c r="B29" t="s">
        <v>27</v>
      </c>
      <c r="C29">
        <v>1.07379841416726E-2</v>
      </c>
      <c r="D29">
        <v>0.11887399087518501</v>
      </c>
      <c r="E29">
        <v>9.03308121702351E-2</v>
      </c>
      <c r="F29">
        <v>0.93826387184992499</v>
      </c>
      <c r="G29">
        <v>3.6671605601644397E-2</v>
      </c>
      <c r="H29">
        <v>0.12937610336804101</v>
      </c>
      <c r="I29">
        <v>0.28344960658865498</v>
      </c>
      <c r="J29">
        <v>0.81007554575250695</v>
      </c>
      <c r="K29">
        <v>4.5458039236499097E-2</v>
      </c>
      <c r="L29">
        <v>0.12520844988448299</v>
      </c>
      <c r="M29">
        <v>0.36305887724381802</v>
      </c>
      <c r="N29">
        <v>0.76008737036582597</v>
      </c>
      <c r="AB29" t="str">
        <f>IF(F29&lt;0.01,"***",IF(F29&lt;0.05,"**",IF(F29&lt;0.1,"*","")))</f>
        <v/>
      </c>
      <c r="AC29" t="str">
        <f>IF(J29&lt;0.01,"***",IF(J29&lt;0.05,"**",IF(J29&lt;0.1,"*","")))</f>
        <v/>
      </c>
      <c r="AD29" t="str">
        <f>IF(N29&lt;0.01,"***",IF(N29&lt;0.05,"**",IF(N29&lt;0.1,"*","")))</f>
        <v/>
      </c>
      <c r="AE29" t="str">
        <f>IF(R29&lt;0.01,"***",IF(R29&lt;0.05,"**",IF(R29&lt;0.1,"*","")))</f>
        <v>***</v>
      </c>
      <c r="AF29" t="str">
        <f>IF(V29&lt;0.01,"***",IF(V29&lt;0.05,"**",IF(V29&lt;0.1,"*","")))</f>
        <v>***</v>
      </c>
      <c r="AG29" t="str">
        <f>IF(Z29&lt;0.01,"***",IF(Z29&lt;0.05,"**",IF(Z29&lt;0.1,"*","")))</f>
        <v>***</v>
      </c>
    </row>
    <row r="30" spans="1:33" x14ac:dyDescent="0.25">
      <c r="A30">
        <v>55</v>
      </c>
    </row>
    <row r="31" spans="1:33" x14ac:dyDescent="0.25">
      <c r="A31">
        <v>57</v>
      </c>
      <c r="B31" t="s">
        <v>31</v>
      </c>
      <c r="C31">
        <v>-2.9225767426023599E-3</v>
      </c>
      <c r="D31">
        <v>1.23871898960521E-2</v>
      </c>
      <c r="E31">
        <v>-0.23593541126981599</v>
      </c>
      <c r="F31">
        <v>0.81728142293560002</v>
      </c>
      <c r="G31">
        <v>-1.0112710445205999E-2</v>
      </c>
      <c r="H31">
        <v>1.34321863972948E-2</v>
      </c>
      <c r="I31">
        <v>-0.75287150923118995</v>
      </c>
      <c r="J31">
        <v>0.46536505899838199</v>
      </c>
      <c r="K31">
        <v>-3.6241918952300597E-2</v>
      </c>
      <c r="L31">
        <v>2.67761969137503E-2</v>
      </c>
      <c r="M31">
        <v>-1.3535125645004999</v>
      </c>
      <c r="N31">
        <v>0.19958423863660299</v>
      </c>
      <c r="AB31" t="str">
        <f t="shared" si="0"/>
        <v/>
      </c>
      <c r="AC31" t="str">
        <f t="shared" si="1"/>
        <v/>
      </c>
      <c r="AD31" t="str">
        <f t="shared" si="2"/>
        <v/>
      </c>
      <c r="AE31" t="str">
        <f t="shared" si="3"/>
        <v>***</v>
      </c>
      <c r="AF31" t="str">
        <f t="shared" si="4"/>
        <v>***</v>
      </c>
      <c r="AG31" t="str">
        <f t="shared" si="5"/>
        <v>***</v>
      </c>
    </row>
    <row r="32" spans="1:33" x14ac:dyDescent="0.25">
      <c r="A32">
        <v>59</v>
      </c>
      <c r="B32" t="s">
        <v>28</v>
      </c>
      <c r="C32">
        <v>-3.7182597926449602E-2</v>
      </c>
      <c r="D32">
        <v>7.57798832953121E-2</v>
      </c>
      <c r="E32">
        <v>-0.49066581142055998</v>
      </c>
      <c r="F32">
        <v>0.64583376082247401</v>
      </c>
      <c r="G32">
        <v>-3.56370022599731E-2</v>
      </c>
      <c r="H32">
        <v>7.5403126507532003E-2</v>
      </c>
      <c r="I32">
        <v>-0.47261968980044</v>
      </c>
      <c r="J32">
        <v>0.65781945655093199</v>
      </c>
      <c r="K32">
        <v>-2.15191607156528E-2</v>
      </c>
      <c r="L32">
        <v>8.20000861429213E-2</v>
      </c>
      <c r="M32">
        <v>-0.26242851352797603</v>
      </c>
      <c r="N32">
        <v>0.80421277296171301</v>
      </c>
      <c r="AB32" t="str">
        <f t="shared" si="0"/>
        <v/>
      </c>
      <c r="AC32" t="str">
        <f t="shared" si="1"/>
        <v/>
      </c>
      <c r="AD32" t="str">
        <f t="shared" si="2"/>
        <v/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239</v>
      </c>
      <c r="C33">
        <v>-9.5990521844521004E-2</v>
      </c>
      <c r="D33">
        <v>0.14989245032544399</v>
      </c>
      <c r="E33">
        <v>-0.64039597482133204</v>
      </c>
      <c r="F33">
        <v>0.59153866434211499</v>
      </c>
      <c r="G33">
        <v>-0.107996643534211</v>
      </c>
      <c r="H33">
        <v>0.14771412127200001</v>
      </c>
      <c r="I33">
        <v>-0.73111929045258195</v>
      </c>
      <c r="J33">
        <v>0.54555441164818497</v>
      </c>
      <c r="K33">
        <v>5.3747844870868498E-2</v>
      </c>
      <c r="L33">
        <v>5.9621969494089801E-2</v>
      </c>
      <c r="M33">
        <v>0.901477179082393</v>
      </c>
      <c r="N33">
        <v>0.46953047090052602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240</v>
      </c>
      <c r="C34">
        <v>7.9967063775936598E-2</v>
      </c>
      <c r="D34">
        <v>5.2833720988208398E-2</v>
      </c>
      <c r="E34">
        <v>1.5135610795572001</v>
      </c>
      <c r="F34">
        <v>0.15842854880554399</v>
      </c>
      <c r="G34">
        <v>7.9518828310125605E-2</v>
      </c>
      <c r="H34">
        <v>5.6599664155802101E-2</v>
      </c>
      <c r="I34">
        <v>1.4049346316125499</v>
      </c>
      <c r="J34">
        <v>0.187520779358444</v>
      </c>
      <c r="K34">
        <v>0.112362795880062</v>
      </c>
      <c r="L34">
        <v>6.6870185803304297E-2</v>
      </c>
      <c r="M34">
        <v>1.68031230256443</v>
      </c>
      <c r="N34">
        <v>0.123272132992994</v>
      </c>
      <c r="AB34" t="str">
        <f t="shared" si="0"/>
        <v/>
      </c>
      <c r="AC34" t="str">
        <f t="shared" si="1"/>
        <v/>
      </c>
      <c r="AD34" t="str">
        <f t="shared" si="2"/>
        <v/>
      </c>
      <c r="AE34" t="str">
        <f t="shared" si="3"/>
        <v>***</v>
      </c>
      <c r="AF34" t="str">
        <f t="shared" si="4"/>
        <v>***</v>
      </c>
      <c r="AG34" t="str">
        <f t="shared" si="5"/>
        <v>***</v>
      </c>
    </row>
    <row r="35" spans="1:33" x14ac:dyDescent="0.25">
      <c r="A35">
        <v>65</v>
      </c>
      <c r="B35" t="s">
        <v>242</v>
      </c>
      <c r="C35">
        <v>1.94863410254025E-2</v>
      </c>
      <c r="D35">
        <v>2.6901661850754599E-2</v>
      </c>
      <c r="E35">
        <v>0.72435454484221495</v>
      </c>
      <c r="F35">
        <v>0.488398004520675</v>
      </c>
      <c r="G35">
        <v>4.8912003811836503E-2</v>
      </c>
      <c r="H35">
        <v>3.1967995626265601E-2</v>
      </c>
      <c r="I35">
        <v>1.53003035860182</v>
      </c>
      <c r="J35">
        <v>0.16299875638934999</v>
      </c>
      <c r="K35">
        <v>4.06623346494248E-2</v>
      </c>
      <c r="L35">
        <v>4.67867715626284E-2</v>
      </c>
      <c r="M35">
        <v>0.86909896304758905</v>
      </c>
      <c r="N35">
        <v>0.41110960699728799</v>
      </c>
      <c r="AB35" t="str">
        <f t="shared" si="0"/>
        <v/>
      </c>
      <c r="AC35" t="str">
        <f t="shared" si="1"/>
        <v/>
      </c>
      <c r="AD35" t="str">
        <f t="shared" si="2"/>
        <v/>
      </c>
      <c r="AE35" t="str">
        <f t="shared" si="3"/>
        <v>***</v>
      </c>
      <c r="AF35" t="str">
        <f t="shared" si="4"/>
        <v>***</v>
      </c>
      <c r="AG35" t="str">
        <f t="shared" si="5"/>
        <v>***</v>
      </c>
    </row>
    <row r="36" spans="1:33" x14ac:dyDescent="0.25">
      <c r="A36">
        <v>67</v>
      </c>
      <c r="B36" t="s">
        <v>244</v>
      </c>
      <c r="C36">
        <v>3.3402467811617202E-2</v>
      </c>
      <c r="D36">
        <v>5.6340813497571099E-2</v>
      </c>
      <c r="E36">
        <v>0.592864492683572</v>
      </c>
      <c r="F36">
        <v>0.56379337298205501</v>
      </c>
      <c r="G36">
        <v>3.8840692327181299E-2</v>
      </c>
      <c r="H36">
        <v>5.8436495093417501E-2</v>
      </c>
      <c r="I36">
        <v>0.66466498829353104</v>
      </c>
      <c r="J36">
        <v>0.51827040433905103</v>
      </c>
      <c r="K36">
        <v>3.3743025596082499E-2</v>
      </c>
      <c r="L36">
        <v>5.2559730154399499E-2</v>
      </c>
      <c r="M36">
        <v>0.64199388956067605</v>
      </c>
      <c r="N36">
        <v>0.534662970093019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245</v>
      </c>
      <c r="C37">
        <v>6.8714128772989602E-2</v>
      </c>
      <c r="D37">
        <v>5.93616291391591E-2</v>
      </c>
      <c r="E37">
        <v>1.15755126281837</v>
      </c>
      <c r="F37">
        <v>0.27382564847796098</v>
      </c>
      <c r="G37">
        <v>6.7973256053014006E-2</v>
      </c>
      <c r="H37">
        <v>7.5924927443974305E-2</v>
      </c>
      <c r="I37">
        <v>0.89526929219882401</v>
      </c>
      <c r="J37">
        <v>0.39160797209522202</v>
      </c>
      <c r="K37">
        <v>0.14343571311934</v>
      </c>
      <c r="L37">
        <v>8.0750457987467994E-2</v>
      </c>
      <c r="M37">
        <v>1.7762835864237501</v>
      </c>
      <c r="N37">
        <v>0.109098900419642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247</v>
      </c>
      <c r="C38">
        <v>5.4768097243608899E-2</v>
      </c>
      <c r="D38">
        <v>0.10141179480583599</v>
      </c>
      <c r="E38">
        <v>0.54005648305967302</v>
      </c>
      <c r="F38">
        <v>0.59977629195637605</v>
      </c>
      <c r="G38">
        <v>0.14597810046852</v>
      </c>
      <c r="H38">
        <v>9.8065990886198495E-2</v>
      </c>
      <c r="I38">
        <v>1.4885700858100901</v>
      </c>
      <c r="J38">
        <v>0.163509865329654</v>
      </c>
      <c r="K38">
        <v>0.24323904077796701</v>
      </c>
      <c r="L38">
        <v>0.10860449915907</v>
      </c>
      <c r="M38">
        <v>2.2396773859405301</v>
      </c>
      <c r="N38">
        <v>4.9471562722588701E-2</v>
      </c>
      <c r="AB38" t="str">
        <f t="shared" si="0"/>
        <v/>
      </c>
      <c r="AC38" t="str">
        <f t="shared" si="1"/>
        <v/>
      </c>
      <c r="AD38" t="str">
        <f t="shared" si="2"/>
        <v>**</v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249</v>
      </c>
      <c r="C39">
        <v>0.26723056769998099</v>
      </c>
      <c r="D39">
        <v>0.138398800661861</v>
      </c>
      <c r="E39">
        <v>1.9308734354778501</v>
      </c>
      <c r="F39">
        <v>0.132210633476738</v>
      </c>
      <c r="G39">
        <v>0.50829526224576405</v>
      </c>
      <c r="H39">
        <v>0.135347907926851</v>
      </c>
      <c r="I39">
        <v>3.7554718800712701</v>
      </c>
      <c r="J39">
        <v>2.0488447246718298E-2</v>
      </c>
      <c r="K39">
        <v>0.59589865617193305</v>
      </c>
      <c r="L39">
        <v>9.1460497560137494E-2</v>
      </c>
      <c r="M39">
        <v>6.5153664376264198</v>
      </c>
      <c r="N39">
        <v>4.0117551927064199E-3</v>
      </c>
      <c r="AB39" t="str">
        <f t="shared" si="0"/>
        <v/>
      </c>
      <c r="AC39" t="str">
        <f t="shared" si="1"/>
        <v>**</v>
      </c>
      <c r="AD39" t="str">
        <f t="shared" si="2"/>
        <v>***</v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0.27380568402557598</v>
      </c>
      <c r="D40">
        <v>2.36861172500012E-2</v>
      </c>
      <c r="E40">
        <v>11.5597538058105</v>
      </c>
      <c r="F40">
        <v>6.3205202742510997E-3</v>
      </c>
      <c r="G40">
        <v>0.226328465941219</v>
      </c>
      <c r="H40">
        <v>4.4571735983994297E-2</v>
      </c>
      <c r="I40">
        <v>5.07784722637893</v>
      </c>
      <c r="J40">
        <v>3.7152689973713598E-2</v>
      </c>
      <c r="K40">
        <v>0.221072875231213</v>
      </c>
      <c r="L40">
        <v>4.77654632651488E-2</v>
      </c>
      <c r="M40">
        <v>4.6282996148079798</v>
      </c>
      <c r="N40">
        <v>4.3460638146095999E-2</v>
      </c>
      <c r="AB40" t="str">
        <f t="shared" si="0"/>
        <v>***</v>
      </c>
      <c r="AC40" t="str">
        <f t="shared" si="1"/>
        <v>**</v>
      </c>
      <c r="AD40" t="str">
        <f t="shared" si="2"/>
        <v>**</v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0.316447217012437</v>
      </c>
      <c r="D41">
        <v>4.0359113807591301E-2</v>
      </c>
      <c r="E41">
        <v>7.84078705298319</v>
      </c>
      <c r="F41">
        <v>3.13470417611607E-3</v>
      </c>
      <c r="G41">
        <v>0.27221348537752899</v>
      </c>
      <c r="H41">
        <v>6.2089830976920703E-2</v>
      </c>
      <c r="I41">
        <v>4.3841878950952902</v>
      </c>
      <c r="J41">
        <v>1.98781678330264E-2</v>
      </c>
      <c r="K41">
        <v>0.27278098654784</v>
      </c>
      <c r="L41">
        <v>6.7904516813901403E-2</v>
      </c>
      <c r="M41">
        <v>4.0171258017404199</v>
      </c>
      <c r="N41">
        <v>2.5358980684581998E-2</v>
      </c>
      <c r="AB41" t="str">
        <f t="shared" si="0"/>
        <v>***</v>
      </c>
      <c r="AC41" t="str">
        <f t="shared" si="1"/>
        <v>**</v>
      </c>
      <c r="AD41" t="str">
        <f t="shared" si="2"/>
        <v>**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0.38758068311706101</v>
      </c>
      <c r="D42">
        <v>0.11739779758723901</v>
      </c>
      <c r="E42">
        <v>3.3014306152468098</v>
      </c>
      <c r="F42">
        <v>1.149947612315E-2</v>
      </c>
      <c r="G42">
        <v>0.32893318589901599</v>
      </c>
      <c r="H42">
        <v>0.14168073452118701</v>
      </c>
      <c r="I42">
        <v>2.3216507664973101</v>
      </c>
      <c r="J42">
        <v>4.9979347409732901E-2</v>
      </c>
      <c r="K42">
        <v>0.25539605238379698</v>
      </c>
      <c r="L42">
        <v>0.154191533725547</v>
      </c>
      <c r="M42">
        <v>1.6563558725499701</v>
      </c>
      <c r="N42">
        <v>0.137707677124421</v>
      </c>
      <c r="AB42" t="str">
        <f t="shared" si="0"/>
        <v>**</v>
      </c>
      <c r="AC42" t="str">
        <f t="shared" si="1"/>
        <v>**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0.28453736906725202</v>
      </c>
      <c r="D43">
        <v>7.1780821459559802E-2</v>
      </c>
      <c r="E43">
        <v>3.9639748233802998</v>
      </c>
      <c r="F43">
        <v>6.4848243473578796E-3</v>
      </c>
      <c r="G43">
        <v>0.224567183708554</v>
      </c>
      <c r="H43">
        <v>8.6077201380572801E-2</v>
      </c>
      <c r="I43">
        <v>2.6089043336304099</v>
      </c>
      <c r="J43">
        <v>3.8347986323543401E-2</v>
      </c>
      <c r="K43">
        <v>0.172015890286456</v>
      </c>
      <c r="L43">
        <v>9.3532127930780307E-2</v>
      </c>
      <c r="M43">
        <v>1.83911019766127</v>
      </c>
      <c r="N43">
        <v>0.113252273074767</v>
      </c>
      <c r="AB43" t="str">
        <f t="shared" si="0"/>
        <v>***</v>
      </c>
      <c r="AC43" t="str">
        <f t="shared" si="1"/>
        <v>**</v>
      </c>
      <c r="AD43" t="str">
        <f t="shared" si="2"/>
        <v/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5.7916135080058301E-2</v>
      </c>
      <c r="D44">
        <v>0.19654820465223599</v>
      </c>
      <c r="E44">
        <v>0.29466631446739699</v>
      </c>
      <c r="F44">
        <v>0.77573374445784204</v>
      </c>
      <c r="G44">
        <v>-4.6086850961204101E-2</v>
      </c>
      <c r="H44">
        <v>0.24941486697529999</v>
      </c>
      <c r="I44">
        <v>-0.184779887101791</v>
      </c>
      <c r="J44">
        <v>0.85799790214701999</v>
      </c>
      <c r="K44">
        <v>-0.14395182349873101</v>
      </c>
      <c r="L44">
        <v>0.269478252848107</v>
      </c>
      <c r="M44">
        <v>-0.53418716344383499</v>
      </c>
      <c r="N44">
        <v>0.60773461933991502</v>
      </c>
      <c r="AB44" t="str">
        <f t="shared" si="0"/>
        <v/>
      </c>
      <c r="AC44" t="str">
        <f t="shared" si="1"/>
        <v/>
      </c>
      <c r="AD44" t="str">
        <f t="shared" si="2"/>
        <v/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1.20363536468705E-4</v>
      </c>
      <c r="D45">
        <v>1.33624684442289E-4</v>
      </c>
      <c r="E45">
        <v>0.90075824665979998</v>
      </c>
      <c r="F45">
        <v>0.39762255379431499</v>
      </c>
      <c r="G45">
        <v>2.4200921113486001E-4</v>
      </c>
      <c r="H45">
        <v>1.5026883705867699E-4</v>
      </c>
      <c r="I45">
        <v>1.6105083121150401</v>
      </c>
      <c r="J45">
        <v>0.151310972274106</v>
      </c>
      <c r="K45">
        <v>2.3866541875815301E-5</v>
      </c>
      <c r="L45">
        <v>2.0440749516409401E-4</v>
      </c>
      <c r="M45">
        <v>0.116759622031744</v>
      </c>
      <c r="N45">
        <v>0.91030333765846305</v>
      </c>
      <c r="AB45" t="str">
        <f t="shared" si="0"/>
        <v/>
      </c>
      <c r="AC45" t="str">
        <f t="shared" si="1"/>
        <v/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9.0315665997581993E-3</v>
      </c>
      <c r="D46">
        <v>3.84670315288063E-3</v>
      </c>
      <c r="E46">
        <v>2.3478719934484298</v>
      </c>
      <c r="F46">
        <v>3.8458891579150903E-2</v>
      </c>
      <c r="G46">
        <v>4.0870756560114404E-3</v>
      </c>
      <c r="H46">
        <v>4.2610456149070296E-3</v>
      </c>
      <c r="I46">
        <v>0.95917200269179004</v>
      </c>
      <c r="J46">
        <v>0.35797137158873898</v>
      </c>
      <c r="K46">
        <v>-5.3644619928128702E-3</v>
      </c>
      <c r="L46">
        <v>5.0993236676170998E-3</v>
      </c>
      <c r="M46">
        <v>-1.05199480214984</v>
      </c>
      <c r="N46">
        <v>0.31518761007983798</v>
      </c>
      <c r="AB46" t="str">
        <f t="shared" si="0"/>
        <v>**</v>
      </c>
      <c r="AC46" t="str">
        <f t="shared" si="1"/>
        <v/>
      </c>
      <c r="AD46" t="str">
        <f t="shared" si="2"/>
        <v/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5.3723628154901202E-3</v>
      </c>
      <c r="D47">
        <v>2.9641214594291498E-3</v>
      </c>
      <c r="E47">
        <v>1.8124637903754299</v>
      </c>
      <c r="F47">
        <v>0.159047725147206</v>
      </c>
      <c r="G47">
        <v>1.09028961366476E-2</v>
      </c>
      <c r="H47">
        <v>5.5494812382772696E-3</v>
      </c>
      <c r="I47">
        <v>1.9646694291793201</v>
      </c>
      <c r="J47">
        <v>0.13717625082915899</v>
      </c>
      <c r="K47">
        <v>1.3679939077478699E-2</v>
      </c>
      <c r="L47">
        <v>4.8808062945692498E-3</v>
      </c>
      <c r="M47">
        <v>2.8028031132274198</v>
      </c>
      <c r="N47">
        <v>6.1338626962879103E-2</v>
      </c>
      <c r="AB47" t="str">
        <f t="shared" si="0"/>
        <v/>
      </c>
      <c r="AC47" t="str">
        <f t="shared" si="1"/>
        <v/>
      </c>
      <c r="AD47" t="str">
        <f t="shared" si="2"/>
        <v>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-6.4881707029102098E-3</v>
      </c>
      <c r="D48">
        <v>1.1631217496999E-2</v>
      </c>
      <c r="E48">
        <v>-0.55782386535066097</v>
      </c>
      <c r="F48">
        <v>0.59395972725726698</v>
      </c>
      <c r="G48">
        <v>-1.1111336231861E-2</v>
      </c>
      <c r="H48">
        <v>1.4062352310552299E-2</v>
      </c>
      <c r="I48">
        <v>-0.79014776379362806</v>
      </c>
      <c r="J48">
        <v>0.45401013558093301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-6.6892272910514999E-2</v>
      </c>
      <c r="D49">
        <v>6.52585520553947E-2</v>
      </c>
      <c r="E49">
        <v>-1.02503458632875</v>
      </c>
      <c r="F49">
        <v>0.32638358593599498</v>
      </c>
      <c r="G49">
        <v>-3.2658052594037097E-2</v>
      </c>
      <c r="H49">
        <v>7.3066151113625397E-2</v>
      </c>
      <c r="I49">
        <v>-0.446965552397175</v>
      </c>
      <c r="J49">
        <v>0.66344971340521597</v>
      </c>
      <c r="AB49" t="str">
        <f t="shared" si="0"/>
        <v/>
      </c>
      <c r="AC49" t="str">
        <f t="shared" si="1"/>
        <v/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-2.5651389269158598E-2</v>
      </c>
      <c r="D50">
        <v>1.0599267996005199E-2</v>
      </c>
      <c r="E50">
        <v>-2.4201095093384102</v>
      </c>
      <c r="F50">
        <v>4.1595928567431099E-2</v>
      </c>
      <c r="G50">
        <v>-2.0645881435336001E-2</v>
      </c>
      <c r="H50">
        <v>1.1335108045387199E-2</v>
      </c>
      <c r="I50">
        <v>-1.8214102020613501</v>
      </c>
      <c r="J50">
        <v>0.108495029256178</v>
      </c>
      <c r="AB50" t="str">
        <f t="shared" si="0"/>
        <v>**</v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-3.06185250562964E-3</v>
      </c>
      <c r="D51">
        <v>6.6336814150590399E-3</v>
      </c>
      <c r="E51">
        <v>-0.46156158459448499</v>
      </c>
      <c r="F51">
        <v>0.65254093401436197</v>
      </c>
      <c r="G51">
        <v>-1.3955209384260499E-3</v>
      </c>
      <c r="H51">
        <v>8.5130430437195207E-3</v>
      </c>
      <c r="I51">
        <v>-0.163927391328721</v>
      </c>
      <c r="J51">
        <v>0.87242174784520599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-2.1839790973834298E-3</v>
      </c>
      <c r="D52">
        <v>9.8050538029910493E-4</v>
      </c>
      <c r="E52">
        <v>-2.2274014414048402</v>
      </c>
      <c r="F52">
        <v>0.24282952475113501</v>
      </c>
      <c r="G52">
        <v>-2.3325744768133202E-3</v>
      </c>
      <c r="H52">
        <v>2.05381318178912E-3</v>
      </c>
      <c r="I52">
        <v>-1.13572865219482</v>
      </c>
      <c r="J52">
        <v>0.44141561836862098</v>
      </c>
      <c r="AB52" t="str">
        <f t="shared" si="0"/>
        <v/>
      </c>
      <c r="AC52" t="str">
        <f t="shared" si="1"/>
        <v/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3.7934182389026398E-2</v>
      </c>
      <c r="D53">
        <v>1.6195465674469001E-2</v>
      </c>
      <c r="E53">
        <v>2.3422717908523598</v>
      </c>
      <c r="F53">
        <v>4.3509121874574501E-2</v>
      </c>
      <c r="G53">
        <v>4.4592125476161197E-2</v>
      </c>
      <c r="H53">
        <v>1.6260307066050899E-2</v>
      </c>
      <c r="I53">
        <v>2.74239135183756</v>
      </c>
      <c r="J53">
        <v>2.17270733810906E-2</v>
      </c>
      <c r="AB53" t="str">
        <f t="shared" si="0"/>
        <v>**</v>
      </c>
      <c r="AC53" t="str">
        <f t="shared" si="1"/>
        <v>**</v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2.5485681772525099E-2</v>
      </c>
      <c r="D54">
        <v>2.3682663067546701E-2</v>
      </c>
      <c r="E54">
        <v>1.07613243070832</v>
      </c>
      <c r="F54">
        <v>0.303790734289199</v>
      </c>
      <c r="G54">
        <v>4.6835979388149401E-2</v>
      </c>
      <c r="H54">
        <v>3.4681502785038197E-2</v>
      </c>
      <c r="I54">
        <v>1.3504599174507099</v>
      </c>
      <c r="J54">
        <v>0.20444289375488101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2.0335680798234302E-6</v>
      </c>
      <c r="D55">
        <v>5.3935794866958899E-6</v>
      </c>
      <c r="E55">
        <v>0.37703496997486502</v>
      </c>
      <c r="F55">
        <v>0.71336922860682805</v>
      </c>
      <c r="G55">
        <v>2.1161653878107E-6</v>
      </c>
      <c r="H55">
        <v>7.3633867108627801E-6</v>
      </c>
      <c r="I55">
        <v>0.28739022828840999</v>
      </c>
      <c r="J55">
        <v>0.77912498048124601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1.0664712681237301E-5</v>
      </c>
      <c r="D56">
        <v>3.23554385194765E-6</v>
      </c>
      <c r="E56">
        <v>3.2961113090207701</v>
      </c>
      <c r="F56">
        <v>7.0788505271164297E-3</v>
      </c>
      <c r="G56">
        <v>1.1705420141834599E-5</v>
      </c>
      <c r="H56">
        <v>3.93719191528211E-6</v>
      </c>
      <c r="I56">
        <v>2.9730377369719601</v>
      </c>
      <c r="J56">
        <v>1.31188463077965E-2</v>
      </c>
      <c r="AB56" t="str">
        <f t="shared" si="0"/>
        <v>***</v>
      </c>
      <c r="AC56" t="str">
        <f t="shared" si="1"/>
        <v>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-0.39339848294373098</v>
      </c>
      <c r="D57">
        <v>0.15812401329858999</v>
      </c>
      <c r="E57">
        <v>-2.4879110688954298</v>
      </c>
      <c r="F57">
        <v>5.5322921679768301E-2</v>
      </c>
      <c r="AB57" t="str">
        <f t="shared" si="0"/>
        <v>*</v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-9.4724777260696905E-2</v>
      </c>
      <c r="D58">
        <v>4.4200092244261399E-2</v>
      </c>
      <c r="E58">
        <v>-2.1430900355868601</v>
      </c>
      <c r="F58">
        <v>6.0650040084564698E-2</v>
      </c>
      <c r="AB58" t="str">
        <f t="shared" si="0"/>
        <v>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-0.159350287644514</v>
      </c>
      <c r="D59">
        <v>9.9112052169717496E-2</v>
      </c>
      <c r="E59">
        <v>-1.6077791162233801</v>
      </c>
      <c r="F59">
        <v>0.13266037961499999</v>
      </c>
      <c r="AB59" t="str">
        <f t="shared" si="0"/>
        <v/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0.283521878091263</v>
      </c>
      <c r="D60">
        <v>0.100141782129387</v>
      </c>
      <c r="E60">
        <v>2.8312046386885799</v>
      </c>
      <c r="F60">
        <v>2.1093930354673902E-2</v>
      </c>
      <c r="AB60" t="str">
        <f t="shared" si="0"/>
        <v>**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-0.55304145534411797</v>
      </c>
      <c r="D61">
        <v>0.101540501090368</v>
      </c>
      <c r="E61">
        <v>-5.4465109922190198</v>
      </c>
      <c r="F61">
        <v>3.8184246456519702E-3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8B05E-DAA8-40A4-964B-2375082964A7}">
  <sheetPr codeName="Sheet18"/>
  <dimension ref="A2:H180"/>
  <sheetViews>
    <sheetView workbookViewId="0">
      <selection activeCell="B162" sqref="B1:I1048576"/>
    </sheetView>
  </sheetViews>
  <sheetFormatPr defaultRowHeight="15" x14ac:dyDescent="0.25"/>
  <sheetData>
    <row r="2" spans="1:8" x14ac:dyDescent="0.25">
      <c r="B2" t="s">
        <v>192</v>
      </c>
      <c r="C2" t="s">
        <v>192</v>
      </c>
      <c r="D2" t="s">
        <v>309</v>
      </c>
      <c r="E2" t="s">
        <v>193</v>
      </c>
      <c r="F2" t="s">
        <v>479</v>
      </c>
      <c r="G2" t="s">
        <v>193</v>
      </c>
      <c r="H2" t="s">
        <v>193</v>
      </c>
    </row>
    <row r="3" spans="1:8" x14ac:dyDescent="0.25">
      <c r="E3" t="s">
        <v>480</v>
      </c>
      <c r="F3" t="s">
        <v>481</v>
      </c>
    </row>
    <row r="4" spans="1:8" x14ac:dyDescent="0.25">
      <c r="C4" t="s">
        <v>195</v>
      </c>
      <c r="D4" t="s">
        <v>312</v>
      </c>
      <c r="E4" t="s">
        <v>194</v>
      </c>
      <c r="F4" t="s">
        <v>6</v>
      </c>
      <c r="G4" t="s">
        <v>194</v>
      </c>
      <c r="H4" t="s">
        <v>194</v>
      </c>
    </row>
    <row r="5" spans="1:8" x14ac:dyDescent="0.25">
      <c r="E5" t="s">
        <v>482</v>
      </c>
      <c r="F5" t="s">
        <v>483</v>
      </c>
    </row>
    <row r="6" spans="1:8" x14ac:dyDescent="0.25">
      <c r="C6">
        <v>-1</v>
      </c>
      <c r="D6">
        <v>-2</v>
      </c>
      <c r="E6">
        <v>-3</v>
      </c>
      <c r="F6">
        <v>-4</v>
      </c>
      <c r="G6">
        <v>-5</v>
      </c>
      <c r="H6">
        <v>-6</v>
      </c>
    </row>
    <row r="7" spans="1:8" x14ac:dyDescent="0.25">
      <c r="B7" t="s">
        <v>195</v>
      </c>
      <c r="C7" t="s">
        <v>195</v>
      </c>
      <c r="D7" t="s">
        <v>312</v>
      </c>
      <c r="E7" t="s">
        <v>194</v>
      </c>
      <c r="F7" t="s">
        <v>6</v>
      </c>
      <c r="G7" t="s">
        <v>194</v>
      </c>
      <c r="H7" t="s">
        <v>194</v>
      </c>
    </row>
    <row r="8" spans="1:8" x14ac:dyDescent="0.25">
      <c r="A8">
        <v>1</v>
      </c>
      <c r="B8" t="s">
        <v>11</v>
      </c>
      <c r="C8" t="s">
        <v>484</v>
      </c>
      <c r="D8" t="s">
        <v>412</v>
      </c>
      <c r="E8" t="s">
        <v>198</v>
      </c>
      <c r="F8" t="s">
        <v>348</v>
      </c>
      <c r="G8" t="s">
        <v>485</v>
      </c>
      <c r="H8" t="s">
        <v>337</v>
      </c>
    </row>
    <row r="9" spans="1:8" x14ac:dyDescent="0.25">
      <c r="A9">
        <v>2</v>
      </c>
      <c r="C9">
        <v>-6.0000000000000001E-3</v>
      </c>
      <c r="D9">
        <v>-2.3E-2</v>
      </c>
      <c r="E9">
        <v>-1.4999999999999999E-2</v>
      </c>
      <c r="F9">
        <v>-1.4E-2</v>
      </c>
      <c r="G9">
        <v>-1.0999999999999999E-2</v>
      </c>
      <c r="H9">
        <v>-1.0999999999999999E-2</v>
      </c>
    </row>
    <row r="11" spans="1:8" x14ac:dyDescent="0.25">
      <c r="A11">
        <f>A9+1</f>
        <v>3</v>
      </c>
      <c r="B11" t="s">
        <v>16</v>
      </c>
      <c r="D11" t="s">
        <v>487</v>
      </c>
      <c r="E11" t="s">
        <v>224</v>
      </c>
      <c r="F11" t="s">
        <v>223</v>
      </c>
      <c r="G11" t="s">
        <v>224</v>
      </c>
      <c r="H11" t="s">
        <v>251</v>
      </c>
    </row>
    <row r="12" spans="1:8" x14ac:dyDescent="0.25">
      <c r="A12">
        <f>A11+1</f>
        <v>4</v>
      </c>
      <c r="D12">
        <v>-1E-4</v>
      </c>
      <c r="E12">
        <v>-4.0000000000000003E-5</v>
      </c>
      <c r="F12">
        <v>-4.0000000000000003E-5</v>
      </c>
      <c r="G12">
        <v>-3.0000000000000001E-5</v>
      </c>
      <c r="H12">
        <v>-3.0000000000000001E-5</v>
      </c>
    </row>
    <row r="14" spans="1:8" x14ac:dyDescent="0.25">
      <c r="A14">
        <f>A12+1</f>
        <v>5</v>
      </c>
      <c r="B14" t="s">
        <v>197</v>
      </c>
      <c r="D14" t="s">
        <v>488</v>
      </c>
      <c r="E14" t="s">
        <v>261</v>
      </c>
      <c r="F14" t="s">
        <v>452</v>
      </c>
      <c r="G14" t="s">
        <v>260</v>
      </c>
      <c r="H14" t="s">
        <v>202</v>
      </c>
    </row>
    <row r="15" spans="1:8" x14ac:dyDescent="0.25">
      <c r="A15">
        <f>A14+1</f>
        <v>6</v>
      </c>
      <c r="D15">
        <v>-1.0999999999999999E-2</v>
      </c>
      <c r="E15">
        <v>-7.0000000000000001E-3</v>
      </c>
      <c r="F15">
        <v>-7.0000000000000001E-3</v>
      </c>
      <c r="G15">
        <v>-6.0000000000000001E-3</v>
      </c>
      <c r="H15">
        <v>-5.0000000000000001E-3</v>
      </c>
    </row>
    <row r="17" spans="1:8" x14ac:dyDescent="0.25">
      <c r="A17">
        <f t="shared" ref="A17" si="0">A15+1</f>
        <v>7</v>
      </c>
      <c r="B17" t="s">
        <v>200</v>
      </c>
      <c r="D17" t="s">
        <v>492</v>
      </c>
      <c r="E17" t="s">
        <v>490</v>
      </c>
      <c r="F17" t="s">
        <v>490</v>
      </c>
      <c r="G17" t="s">
        <v>547</v>
      </c>
      <c r="H17" t="s">
        <v>216</v>
      </c>
    </row>
    <row r="18" spans="1:8" x14ac:dyDescent="0.25">
      <c r="A18">
        <f t="shared" ref="A18" si="1">A17+1</f>
        <v>8</v>
      </c>
      <c r="D18">
        <v>-1.0999999999999999E-2</v>
      </c>
      <c r="E18">
        <v>-7.0000000000000001E-3</v>
      </c>
      <c r="F18">
        <v>-7.0000000000000001E-3</v>
      </c>
      <c r="G18">
        <v>-6.0000000000000001E-3</v>
      </c>
      <c r="H18">
        <v>-5.0000000000000001E-3</v>
      </c>
    </row>
    <row r="20" spans="1:8" x14ac:dyDescent="0.25">
      <c r="A20">
        <f t="shared" ref="A20" si="2">A18+1</f>
        <v>9</v>
      </c>
      <c r="B20" t="s">
        <v>204</v>
      </c>
      <c r="D20" t="s">
        <v>493</v>
      </c>
      <c r="E20">
        <v>5.0000000000000001E-3</v>
      </c>
      <c r="F20">
        <v>3.0000000000000001E-3</v>
      </c>
      <c r="G20" t="s">
        <v>494</v>
      </c>
      <c r="H20" t="s">
        <v>495</v>
      </c>
    </row>
    <row r="21" spans="1:8" x14ac:dyDescent="0.25">
      <c r="A21">
        <f t="shared" ref="A21" si="3">A20+1</f>
        <v>10</v>
      </c>
      <c r="D21">
        <v>-1.0999999999999999E-2</v>
      </c>
      <c r="E21">
        <v>-7.0000000000000001E-3</v>
      </c>
      <c r="F21">
        <v>-7.0000000000000001E-3</v>
      </c>
      <c r="G21">
        <v>-6.0000000000000001E-3</v>
      </c>
      <c r="H21">
        <v>-5.0000000000000001E-3</v>
      </c>
    </row>
    <row r="23" spans="1:8" x14ac:dyDescent="0.25">
      <c r="A23">
        <f t="shared" ref="A23" si="4">A21+1</f>
        <v>11</v>
      </c>
      <c r="B23" t="s">
        <v>206</v>
      </c>
      <c r="D23" t="s">
        <v>674</v>
      </c>
      <c r="E23">
        <v>-1.7999999999999999E-2</v>
      </c>
      <c r="F23">
        <v>-2.1000000000000001E-2</v>
      </c>
      <c r="G23">
        <v>-1E-3</v>
      </c>
      <c r="H23">
        <v>4.0000000000000002E-4</v>
      </c>
    </row>
    <row r="24" spans="1:8" x14ac:dyDescent="0.25">
      <c r="A24">
        <f t="shared" ref="A24" si="5">A23+1</f>
        <v>12</v>
      </c>
      <c r="D24">
        <v>-2.1999999999999999E-2</v>
      </c>
      <c r="E24">
        <v>-1.4999999999999999E-2</v>
      </c>
      <c r="F24">
        <v>-1.4E-2</v>
      </c>
      <c r="G24">
        <v>-1.0999999999999999E-2</v>
      </c>
      <c r="H24">
        <v>-1.0999999999999999E-2</v>
      </c>
    </row>
    <row r="26" spans="1:8" x14ac:dyDescent="0.25">
      <c r="A26">
        <f t="shared" ref="A26" si="6">A24+1</f>
        <v>13</v>
      </c>
      <c r="B26" t="s">
        <v>207</v>
      </c>
      <c r="D26" t="s">
        <v>460</v>
      </c>
      <c r="E26" t="s">
        <v>525</v>
      </c>
      <c r="F26" t="s">
        <v>496</v>
      </c>
      <c r="G26" t="s">
        <v>347</v>
      </c>
      <c r="H26" t="s">
        <v>445</v>
      </c>
    </row>
    <row r="27" spans="1:8" x14ac:dyDescent="0.25">
      <c r="A27">
        <f t="shared" ref="A27" si="7">A26+1</f>
        <v>14</v>
      </c>
      <c r="D27">
        <v>-2.5000000000000001E-2</v>
      </c>
      <c r="E27">
        <v>-1.6E-2</v>
      </c>
      <c r="F27">
        <v>-1.6E-2</v>
      </c>
      <c r="G27">
        <v>-1.2999999999999999E-2</v>
      </c>
      <c r="H27">
        <v>-1.2E-2</v>
      </c>
    </row>
    <row r="29" spans="1:8" x14ac:dyDescent="0.25">
      <c r="A29">
        <f t="shared" ref="A29" si="8">A27+1</f>
        <v>15</v>
      </c>
      <c r="B29" t="s">
        <v>209</v>
      </c>
      <c r="D29" t="s">
        <v>675</v>
      </c>
      <c r="E29" t="s">
        <v>414</v>
      </c>
      <c r="F29" t="s">
        <v>498</v>
      </c>
      <c r="G29" t="s">
        <v>225</v>
      </c>
      <c r="H29" t="s">
        <v>499</v>
      </c>
    </row>
    <row r="30" spans="1:8" x14ac:dyDescent="0.25">
      <c r="A30">
        <f t="shared" ref="A30" si="9">A29+1</f>
        <v>16</v>
      </c>
      <c r="D30">
        <v>-2.5000000000000001E-2</v>
      </c>
      <c r="E30">
        <v>-1.6E-2</v>
      </c>
      <c r="F30">
        <v>-1.6E-2</v>
      </c>
      <c r="G30">
        <v>-1.2999999999999999E-2</v>
      </c>
      <c r="H30">
        <v>-1.2E-2</v>
      </c>
    </row>
    <row r="32" spans="1:8" x14ac:dyDescent="0.25">
      <c r="A32">
        <f t="shared" ref="A32" si="10">A30+1</f>
        <v>17</v>
      </c>
      <c r="B32" t="s">
        <v>213</v>
      </c>
      <c r="D32" t="s">
        <v>428</v>
      </c>
      <c r="E32">
        <v>2.7E-2</v>
      </c>
      <c r="F32" t="s">
        <v>500</v>
      </c>
      <c r="G32" t="s">
        <v>468</v>
      </c>
      <c r="H32" t="s">
        <v>501</v>
      </c>
    </row>
    <row r="33" spans="1:8" x14ac:dyDescent="0.25">
      <c r="A33">
        <f t="shared" ref="A33" si="11">A32+1</f>
        <v>18</v>
      </c>
      <c r="D33">
        <v>-3.5000000000000003E-2</v>
      </c>
      <c r="E33">
        <v>-2.3E-2</v>
      </c>
      <c r="F33">
        <v>-0.03</v>
      </c>
      <c r="G33">
        <v>-2.4E-2</v>
      </c>
      <c r="H33">
        <v>-2.1999999999999999E-2</v>
      </c>
    </row>
    <row r="35" spans="1:8" x14ac:dyDescent="0.25">
      <c r="A35">
        <f t="shared" ref="A35" si="12">A33+1</f>
        <v>19</v>
      </c>
      <c r="B35" t="s">
        <v>15</v>
      </c>
      <c r="E35" t="s">
        <v>502</v>
      </c>
      <c r="F35" t="s">
        <v>502</v>
      </c>
      <c r="G35" t="s">
        <v>426</v>
      </c>
      <c r="H35" t="s">
        <v>455</v>
      </c>
    </row>
    <row r="36" spans="1:8" x14ac:dyDescent="0.25">
      <c r="A36">
        <f t="shared" ref="A36" si="13">A35+1</f>
        <v>20</v>
      </c>
      <c r="E36">
        <v>-2E-3</v>
      </c>
      <c r="F36">
        <v>-2E-3</v>
      </c>
      <c r="G36">
        <v>-2E-3</v>
      </c>
      <c r="H36">
        <v>-2E-3</v>
      </c>
    </row>
    <row r="38" spans="1:8" x14ac:dyDescent="0.25">
      <c r="A38">
        <f t="shared" ref="A38" si="14">A36+1</f>
        <v>21</v>
      </c>
      <c r="B38" t="s">
        <v>13</v>
      </c>
      <c r="E38" t="s">
        <v>500</v>
      </c>
      <c r="F38" t="s">
        <v>466</v>
      </c>
      <c r="G38" t="s">
        <v>503</v>
      </c>
      <c r="H38" t="s">
        <v>230</v>
      </c>
    </row>
    <row r="39" spans="1:8" x14ac:dyDescent="0.25">
      <c r="A39">
        <f t="shared" ref="A39" si="15">A38+1</f>
        <v>22</v>
      </c>
      <c r="E39">
        <v>-3.0000000000000001E-3</v>
      </c>
      <c r="F39">
        <v>-3.0000000000000001E-3</v>
      </c>
      <c r="G39">
        <v>-3.0000000000000001E-3</v>
      </c>
      <c r="H39">
        <v>-3.0000000000000001E-3</v>
      </c>
    </row>
    <row r="41" spans="1:8" x14ac:dyDescent="0.25">
      <c r="A41">
        <f t="shared" ref="A41" si="16">A39+1</f>
        <v>23</v>
      </c>
      <c r="B41" t="s">
        <v>14</v>
      </c>
      <c r="E41" t="s">
        <v>349</v>
      </c>
      <c r="F41" t="s">
        <v>341</v>
      </c>
      <c r="G41" t="s">
        <v>201</v>
      </c>
      <c r="H41" t="s">
        <v>442</v>
      </c>
    </row>
    <row r="42" spans="1:8" x14ac:dyDescent="0.25">
      <c r="A42">
        <f t="shared" ref="A42" si="17">A41+1</f>
        <v>24</v>
      </c>
      <c r="E42">
        <v>-4.0000000000000001E-3</v>
      </c>
      <c r="F42">
        <v>-4.0000000000000001E-3</v>
      </c>
      <c r="G42">
        <v>-3.0000000000000001E-3</v>
      </c>
      <c r="H42">
        <v>-3.0000000000000001E-3</v>
      </c>
    </row>
    <row r="44" spans="1:8" x14ac:dyDescent="0.25">
      <c r="A44">
        <f t="shared" ref="A44" si="18">A42+1</f>
        <v>25</v>
      </c>
      <c r="B44" t="s">
        <v>59</v>
      </c>
      <c r="E44" t="s">
        <v>504</v>
      </c>
      <c r="F44" t="s">
        <v>505</v>
      </c>
      <c r="G44" t="s">
        <v>506</v>
      </c>
      <c r="H44" t="s">
        <v>426</v>
      </c>
    </row>
    <row r="45" spans="1:8" x14ac:dyDescent="0.25">
      <c r="A45">
        <f t="shared" ref="A45" si="19">A44+1</f>
        <v>26</v>
      </c>
      <c r="E45">
        <v>-5.0000000000000001E-3</v>
      </c>
      <c r="F45">
        <v>-5.0000000000000001E-3</v>
      </c>
      <c r="G45">
        <v>-4.0000000000000001E-3</v>
      </c>
      <c r="H45">
        <v>-4.0000000000000001E-3</v>
      </c>
    </row>
    <row r="47" spans="1:8" x14ac:dyDescent="0.25">
      <c r="A47">
        <f t="shared" ref="A47" si="20">A45+1</f>
        <v>27</v>
      </c>
      <c r="B47" t="s">
        <v>60</v>
      </c>
      <c r="E47" t="s">
        <v>354</v>
      </c>
      <c r="F47" t="s">
        <v>246</v>
      </c>
      <c r="G47" t="s">
        <v>417</v>
      </c>
      <c r="H47" t="s">
        <v>352</v>
      </c>
    </row>
    <row r="48" spans="1:8" x14ac:dyDescent="0.25">
      <c r="A48">
        <f t="shared" ref="A48" si="21">A47+1</f>
        <v>28</v>
      </c>
      <c r="E48">
        <v>-8.9999999999999993E-3</v>
      </c>
      <c r="F48">
        <v>-0.01</v>
      </c>
      <c r="G48">
        <v>-8.0000000000000002E-3</v>
      </c>
      <c r="H48">
        <v>-8.0000000000000002E-3</v>
      </c>
    </row>
    <row r="50" spans="1:8" x14ac:dyDescent="0.25">
      <c r="A50">
        <f t="shared" ref="A50" si="22">A48+1</f>
        <v>29</v>
      </c>
      <c r="B50" t="s">
        <v>18</v>
      </c>
      <c r="E50" t="s">
        <v>223</v>
      </c>
      <c r="F50" t="s">
        <v>223</v>
      </c>
      <c r="G50" t="s">
        <v>224</v>
      </c>
      <c r="H50" t="s">
        <v>224</v>
      </c>
    </row>
    <row r="51" spans="1:8" x14ac:dyDescent="0.25">
      <c r="A51">
        <f t="shared" ref="A51" si="23">A50+1</f>
        <v>30</v>
      </c>
      <c r="E51">
        <v>0</v>
      </c>
      <c r="F51">
        <v>0</v>
      </c>
      <c r="G51">
        <v>0</v>
      </c>
      <c r="H51">
        <v>0</v>
      </c>
    </row>
    <row r="53" spans="1:8" x14ac:dyDescent="0.25">
      <c r="A53">
        <f t="shared" ref="A53" si="24">A51+1</f>
        <v>31</v>
      </c>
      <c r="B53" t="s">
        <v>33</v>
      </c>
      <c r="E53" t="s">
        <v>508</v>
      </c>
      <c r="F53" t="s">
        <v>509</v>
      </c>
      <c r="G53" t="s">
        <v>472</v>
      </c>
      <c r="H53" t="s">
        <v>259</v>
      </c>
    </row>
    <row r="54" spans="1:8" x14ac:dyDescent="0.25">
      <c r="A54">
        <f t="shared" ref="A54" si="25">A53+1</f>
        <v>32</v>
      </c>
      <c r="E54">
        <v>-2.9999999999999997E-4</v>
      </c>
      <c r="F54">
        <v>-2.9999999999999997E-4</v>
      </c>
      <c r="G54">
        <v>-2.9999999999999997E-4</v>
      </c>
      <c r="H54">
        <v>-2.9999999999999997E-4</v>
      </c>
    </row>
    <row r="56" spans="1:8" x14ac:dyDescent="0.25">
      <c r="A56">
        <f t="shared" ref="A56" si="26">A54+1</f>
        <v>33</v>
      </c>
      <c r="B56" t="s">
        <v>34</v>
      </c>
      <c r="E56">
        <v>4.0000000000000001E-3</v>
      </c>
      <c r="F56">
        <v>4.0000000000000001E-3</v>
      </c>
      <c r="G56" t="s">
        <v>216</v>
      </c>
      <c r="H56" t="s">
        <v>489</v>
      </c>
    </row>
    <row r="57" spans="1:8" x14ac:dyDescent="0.25">
      <c r="A57">
        <f t="shared" ref="A57" si="27">A56+1</f>
        <v>34</v>
      </c>
      <c r="E57">
        <v>-3.0000000000000001E-3</v>
      </c>
      <c r="F57">
        <v>-4.0000000000000001E-3</v>
      </c>
      <c r="G57">
        <v>-3.0000000000000001E-3</v>
      </c>
      <c r="H57">
        <v>-3.0000000000000001E-3</v>
      </c>
    </row>
    <row r="59" spans="1:8" x14ac:dyDescent="0.25">
      <c r="A59">
        <f t="shared" ref="A59" si="28">A57+1</f>
        <v>35</v>
      </c>
      <c r="B59" t="s">
        <v>21</v>
      </c>
      <c r="E59" t="s">
        <v>465</v>
      </c>
      <c r="F59" t="s">
        <v>455</v>
      </c>
      <c r="G59" t="s">
        <v>511</v>
      </c>
      <c r="H59" t="s">
        <v>246</v>
      </c>
    </row>
    <row r="60" spans="1:8" x14ac:dyDescent="0.25">
      <c r="A60">
        <f t="shared" ref="A60" si="29">A59+1</f>
        <v>36</v>
      </c>
      <c r="E60">
        <v>-1.2E-2</v>
      </c>
      <c r="F60">
        <v>-1.2E-2</v>
      </c>
      <c r="G60">
        <v>-8.9999999999999993E-3</v>
      </c>
      <c r="H60">
        <v>-8.9999999999999993E-3</v>
      </c>
    </row>
    <row r="62" spans="1:8" x14ac:dyDescent="0.25">
      <c r="A62">
        <f t="shared" ref="A62" si="30">A60+1</f>
        <v>37</v>
      </c>
      <c r="B62" t="s">
        <v>227</v>
      </c>
      <c r="E62" t="s">
        <v>676</v>
      </c>
      <c r="F62" t="s">
        <v>512</v>
      </c>
      <c r="G62" t="s">
        <v>228</v>
      </c>
      <c r="H62" t="s">
        <v>513</v>
      </c>
    </row>
    <row r="63" spans="1:8" x14ac:dyDescent="0.25">
      <c r="A63">
        <f t="shared" ref="A63" si="31">A62+1</f>
        <v>38</v>
      </c>
      <c r="E63">
        <v>-6.0000000000000001E-3</v>
      </c>
      <c r="F63">
        <v>-6.0000000000000001E-3</v>
      </c>
      <c r="G63">
        <v>-5.0000000000000001E-3</v>
      </c>
      <c r="H63">
        <v>-4.0000000000000001E-3</v>
      </c>
    </row>
    <row r="65" spans="1:8" x14ac:dyDescent="0.25">
      <c r="A65">
        <f t="shared" ref="A65" si="32">A63+1</f>
        <v>39</v>
      </c>
      <c r="B65" t="s">
        <v>229</v>
      </c>
      <c r="E65" t="s">
        <v>514</v>
      </c>
      <c r="F65" t="s">
        <v>214</v>
      </c>
      <c r="G65" t="s">
        <v>351</v>
      </c>
      <c r="H65" t="s">
        <v>220</v>
      </c>
    </row>
    <row r="66" spans="1:8" x14ac:dyDescent="0.25">
      <c r="A66">
        <f t="shared" ref="A66" si="33">A65+1</f>
        <v>40</v>
      </c>
      <c r="E66">
        <v>-5.0000000000000001E-3</v>
      </c>
      <c r="F66">
        <v>-5.0000000000000001E-3</v>
      </c>
      <c r="G66">
        <v>-4.0000000000000001E-3</v>
      </c>
      <c r="H66">
        <v>-4.0000000000000001E-3</v>
      </c>
    </row>
    <row r="68" spans="1:8" x14ac:dyDescent="0.25">
      <c r="A68">
        <f t="shared" ref="A68" si="34">A66+1</f>
        <v>41</v>
      </c>
      <c r="B68" t="s">
        <v>233</v>
      </c>
      <c r="E68" t="s">
        <v>243</v>
      </c>
      <c r="F68" t="s">
        <v>243</v>
      </c>
      <c r="G68" t="s">
        <v>515</v>
      </c>
      <c r="H68" t="s">
        <v>516</v>
      </c>
    </row>
    <row r="69" spans="1:8" x14ac:dyDescent="0.25">
      <c r="A69">
        <f t="shared" ref="A69" si="35">A68+1</f>
        <v>42</v>
      </c>
      <c r="E69">
        <v>-8.0000000000000002E-3</v>
      </c>
      <c r="F69">
        <v>-8.0000000000000002E-3</v>
      </c>
      <c r="G69">
        <v>-6.0000000000000001E-3</v>
      </c>
      <c r="H69">
        <v>-6.0000000000000001E-3</v>
      </c>
    </row>
    <row r="71" spans="1:8" x14ac:dyDescent="0.25">
      <c r="A71">
        <f t="shared" ref="A71" si="36">A69+1</f>
        <v>43</v>
      </c>
      <c r="B71" t="s">
        <v>22</v>
      </c>
      <c r="F71" t="s">
        <v>341</v>
      </c>
      <c r="G71" t="s">
        <v>452</v>
      </c>
      <c r="H71" t="s">
        <v>517</v>
      </c>
    </row>
    <row r="72" spans="1:8" x14ac:dyDescent="0.25">
      <c r="A72">
        <f t="shared" ref="A72" si="37">A71+1</f>
        <v>44</v>
      </c>
      <c r="F72">
        <v>-0.01</v>
      </c>
      <c r="G72">
        <v>-8.0000000000000002E-3</v>
      </c>
      <c r="H72">
        <v>-8.0000000000000002E-3</v>
      </c>
    </row>
    <row r="74" spans="1:8" x14ac:dyDescent="0.25">
      <c r="A74">
        <f t="shared" ref="A74" si="38">A72+1</f>
        <v>45</v>
      </c>
      <c r="B74" t="s">
        <v>23</v>
      </c>
      <c r="F74" t="s">
        <v>430</v>
      </c>
      <c r="G74" t="s">
        <v>353</v>
      </c>
      <c r="H74" t="s">
        <v>419</v>
      </c>
    </row>
    <row r="75" spans="1:8" x14ac:dyDescent="0.25">
      <c r="A75">
        <f t="shared" ref="A75" si="39">A74+1</f>
        <v>46</v>
      </c>
      <c r="F75">
        <v>-1.9E-2</v>
      </c>
      <c r="G75">
        <v>-1.4999999999999999E-2</v>
      </c>
      <c r="H75">
        <v>-1.4E-2</v>
      </c>
    </row>
    <row r="77" spans="1:8" x14ac:dyDescent="0.25">
      <c r="A77">
        <f t="shared" ref="A77" si="40">A75+1</f>
        <v>47</v>
      </c>
      <c r="B77" t="s">
        <v>29</v>
      </c>
      <c r="F77" t="s">
        <v>429</v>
      </c>
      <c r="G77" t="s">
        <v>453</v>
      </c>
      <c r="H77" t="s">
        <v>454</v>
      </c>
    </row>
    <row r="78" spans="1:8" x14ac:dyDescent="0.25">
      <c r="A78">
        <f t="shared" ref="A78" si="41">A77+1</f>
        <v>48</v>
      </c>
      <c r="F78">
        <v>-1.4E-2</v>
      </c>
      <c r="G78">
        <v>-1.0999999999999999E-2</v>
      </c>
      <c r="H78">
        <v>-1.0999999999999999E-2</v>
      </c>
    </row>
    <row r="80" spans="1:8" x14ac:dyDescent="0.25">
      <c r="A80">
        <f t="shared" ref="A80" si="42">A78+1</f>
        <v>49</v>
      </c>
      <c r="B80" t="s">
        <v>28</v>
      </c>
      <c r="F80" t="s">
        <v>677</v>
      </c>
      <c r="G80" t="s">
        <v>412</v>
      </c>
      <c r="H80" t="s">
        <v>678</v>
      </c>
    </row>
    <row r="81" spans="1:8" x14ac:dyDescent="0.25">
      <c r="A81">
        <f t="shared" ref="A81" si="43">A80+1</f>
        <v>50</v>
      </c>
      <c r="F81">
        <v>-7.0000000000000001E-3</v>
      </c>
      <c r="G81">
        <v>-6.0000000000000001E-3</v>
      </c>
      <c r="H81">
        <v>-5.0000000000000001E-3</v>
      </c>
    </row>
    <row r="83" spans="1:8" x14ac:dyDescent="0.25">
      <c r="A83">
        <f t="shared" ref="A83" si="44">A81+1</f>
        <v>51</v>
      </c>
      <c r="B83" t="s">
        <v>239</v>
      </c>
      <c r="F83" t="s">
        <v>519</v>
      </c>
      <c r="G83">
        <v>-1.7999999999999999E-2</v>
      </c>
      <c r="H83">
        <v>8.9999999999999993E-3</v>
      </c>
    </row>
    <row r="84" spans="1:8" x14ac:dyDescent="0.25">
      <c r="A84">
        <f t="shared" ref="A84" si="45">A83+1</f>
        <v>52</v>
      </c>
      <c r="F84">
        <v>-1.4E-2</v>
      </c>
      <c r="G84">
        <v>-1.2E-2</v>
      </c>
      <c r="H84">
        <v>-1.0999999999999999E-2</v>
      </c>
    </row>
    <row r="86" spans="1:8" x14ac:dyDescent="0.25">
      <c r="A86">
        <f t="shared" ref="A86" si="46">A84+1</f>
        <v>53</v>
      </c>
      <c r="B86" t="s">
        <v>240</v>
      </c>
      <c r="F86" t="s">
        <v>520</v>
      </c>
      <c r="G86" t="s">
        <v>521</v>
      </c>
      <c r="H86">
        <v>0.192</v>
      </c>
    </row>
    <row r="87" spans="1:8" x14ac:dyDescent="0.25">
      <c r="A87">
        <f t="shared" ref="A87" si="47">A86+1</f>
        <v>54</v>
      </c>
      <c r="F87">
        <v>-0.159</v>
      </c>
      <c r="G87">
        <v>-0.126</v>
      </c>
      <c r="H87">
        <v>-0.11799999999999999</v>
      </c>
    </row>
    <row r="89" spans="1:8" x14ac:dyDescent="0.25">
      <c r="A89">
        <f t="shared" ref="A89" si="48">A87+1</f>
        <v>55</v>
      </c>
      <c r="B89" t="s">
        <v>242</v>
      </c>
      <c r="F89" t="s">
        <v>419</v>
      </c>
      <c r="G89" t="s">
        <v>504</v>
      </c>
      <c r="H89" t="s">
        <v>530</v>
      </c>
    </row>
    <row r="90" spans="1:8" x14ac:dyDescent="0.25">
      <c r="A90">
        <f t="shared" ref="A90" si="49">A89+1</f>
        <v>56</v>
      </c>
      <c r="F90">
        <v>-7.0000000000000001E-3</v>
      </c>
      <c r="G90">
        <v>-6.0000000000000001E-3</v>
      </c>
      <c r="H90">
        <v>-6.0000000000000001E-3</v>
      </c>
    </row>
    <row r="92" spans="1:8" x14ac:dyDescent="0.25">
      <c r="A92">
        <f t="shared" ref="A92" si="50">A90+1</f>
        <v>57</v>
      </c>
      <c r="B92" t="s">
        <v>244</v>
      </c>
      <c r="F92">
        <v>3.0000000000000001E-3</v>
      </c>
      <c r="G92">
        <v>1.6E-2</v>
      </c>
      <c r="H92">
        <v>-6.0000000000000001E-3</v>
      </c>
    </row>
    <row r="93" spans="1:8" x14ac:dyDescent="0.25">
      <c r="A93">
        <f t="shared" ref="A93" si="51">A92+1</f>
        <v>58</v>
      </c>
      <c r="F93">
        <v>-1.4E-2</v>
      </c>
      <c r="G93">
        <v>-1.0999999999999999E-2</v>
      </c>
      <c r="H93">
        <v>-1.0999999999999999E-2</v>
      </c>
    </row>
    <row r="95" spans="1:8" x14ac:dyDescent="0.25">
      <c r="A95">
        <f t="shared" ref="A95" si="52">A93+1</f>
        <v>59</v>
      </c>
      <c r="B95" t="s">
        <v>245</v>
      </c>
      <c r="F95">
        <v>-2.3E-2</v>
      </c>
      <c r="G95">
        <v>-2.3E-2</v>
      </c>
      <c r="H95">
        <v>-1E-3</v>
      </c>
    </row>
    <row r="96" spans="1:8" x14ac:dyDescent="0.25">
      <c r="A96">
        <f t="shared" ref="A96" si="53">A95+1</f>
        <v>60</v>
      </c>
      <c r="F96">
        <v>-8.6999999999999994E-2</v>
      </c>
      <c r="G96">
        <v>-6.9000000000000006E-2</v>
      </c>
      <c r="H96">
        <v>-6.5000000000000002E-2</v>
      </c>
    </row>
    <row r="98" spans="1:8" x14ac:dyDescent="0.25">
      <c r="A98">
        <f t="shared" ref="A98" si="54">A96+1</f>
        <v>61</v>
      </c>
      <c r="B98" t="s">
        <v>247</v>
      </c>
      <c r="F98" t="s">
        <v>416</v>
      </c>
      <c r="G98" t="s">
        <v>203</v>
      </c>
      <c r="H98" t="s">
        <v>679</v>
      </c>
    </row>
    <row r="99" spans="1:8" x14ac:dyDescent="0.25">
      <c r="A99">
        <f t="shared" ref="A99" si="55">A98+1</f>
        <v>62</v>
      </c>
      <c r="F99">
        <v>-1.6E-2</v>
      </c>
      <c r="G99">
        <v>-1.2999999999999999E-2</v>
      </c>
      <c r="H99">
        <v>-1.2E-2</v>
      </c>
    </row>
    <row r="101" spans="1:8" x14ac:dyDescent="0.25">
      <c r="A101">
        <f t="shared" ref="A101" si="56">A99+1</f>
        <v>63</v>
      </c>
      <c r="B101" t="s">
        <v>249</v>
      </c>
      <c r="F101" t="s">
        <v>680</v>
      </c>
      <c r="G101" t="s">
        <v>681</v>
      </c>
      <c r="H101" t="s">
        <v>682</v>
      </c>
    </row>
    <row r="102" spans="1:8" x14ac:dyDescent="0.25">
      <c r="A102">
        <f t="shared" ref="A102" si="57">A101+1</f>
        <v>64</v>
      </c>
      <c r="F102">
        <v>-0.159</v>
      </c>
      <c r="G102">
        <v>-0.126</v>
      </c>
      <c r="H102">
        <v>-0.11799999999999999</v>
      </c>
    </row>
    <row r="104" spans="1:8" x14ac:dyDescent="0.25">
      <c r="A104">
        <f t="shared" ref="A104" si="58">A102+1</f>
        <v>65</v>
      </c>
      <c r="B104" t="s">
        <v>166</v>
      </c>
      <c r="F104" t="s">
        <v>522</v>
      </c>
      <c r="G104" t="s">
        <v>523</v>
      </c>
      <c r="H104" t="s">
        <v>683</v>
      </c>
    </row>
    <row r="105" spans="1:8" x14ac:dyDescent="0.25">
      <c r="A105">
        <f t="shared" ref="A105" si="59">A104+1</f>
        <v>66</v>
      </c>
      <c r="F105">
        <v>-0.03</v>
      </c>
      <c r="G105">
        <v>-2.4E-2</v>
      </c>
      <c r="H105">
        <v>-2.1999999999999999E-2</v>
      </c>
    </row>
    <row r="107" spans="1:8" x14ac:dyDescent="0.25">
      <c r="A107">
        <f t="shared" ref="A107" si="60">A105+1</f>
        <v>67</v>
      </c>
      <c r="B107" t="s">
        <v>167</v>
      </c>
      <c r="F107" t="s">
        <v>497</v>
      </c>
      <c r="G107" t="s">
        <v>524</v>
      </c>
      <c r="H107" t="s">
        <v>342</v>
      </c>
    </row>
    <row r="108" spans="1:8" x14ac:dyDescent="0.25">
      <c r="A108">
        <f t="shared" ref="A108" si="61">A107+1</f>
        <v>68</v>
      </c>
      <c r="F108">
        <v>-2.8000000000000001E-2</v>
      </c>
      <c r="G108">
        <v>-2.3E-2</v>
      </c>
      <c r="H108">
        <v>-2.1000000000000001E-2</v>
      </c>
    </row>
    <row r="110" spans="1:8" x14ac:dyDescent="0.25">
      <c r="A110">
        <f t="shared" ref="A110" si="62">A108+1</f>
        <v>69</v>
      </c>
      <c r="B110" t="s">
        <v>168</v>
      </c>
      <c r="F110" t="s">
        <v>358</v>
      </c>
      <c r="G110" t="s">
        <v>212</v>
      </c>
      <c r="H110" t="s">
        <v>342</v>
      </c>
    </row>
    <row r="111" spans="1:8" x14ac:dyDescent="0.25">
      <c r="A111">
        <f t="shared" ref="A111" si="63">A110+1</f>
        <v>70</v>
      </c>
      <c r="F111">
        <v>-2.9000000000000001E-2</v>
      </c>
      <c r="G111">
        <v>-2.3E-2</v>
      </c>
      <c r="H111">
        <v>-2.1000000000000001E-2</v>
      </c>
    </row>
    <row r="113" spans="1:8" x14ac:dyDescent="0.25">
      <c r="A113">
        <f t="shared" ref="A113" si="64">A111+1</f>
        <v>71</v>
      </c>
      <c r="B113" t="s">
        <v>169</v>
      </c>
      <c r="F113" t="s">
        <v>420</v>
      </c>
      <c r="G113" t="s">
        <v>526</v>
      </c>
      <c r="H113" t="s">
        <v>501</v>
      </c>
    </row>
    <row r="114" spans="1:8" x14ac:dyDescent="0.25">
      <c r="A114">
        <f t="shared" ref="A114" si="65">A113+1</f>
        <v>72</v>
      </c>
      <c r="F114">
        <v>-2.9000000000000001E-2</v>
      </c>
      <c r="G114">
        <v>-2.3E-2</v>
      </c>
      <c r="H114">
        <v>-2.1000000000000001E-2</v>
      </c>
    </row>
    <row r="116" spans="1:8" x14ac:dyDescent="0.25">
      <c r="A116">
        <f t="shared" ref="A116" si="66">A114+1</f>
        <v>73</v>
      </c>
      <c r="B116" t="s">
        <v>170</v>
      </c>
      <c r="F116" t="s">
        <v>527</v>
      </c>
      <c r="G116" t="s">
        <v>528</v>
      </c>
      <c r="H116" t="s">
        <v>684</v>
      </c>
    </row>
    <row r="117" spans="1:8" x14ac:dyDescent="0.25">
      <c r="A117">
        <f t="shared" ref="A117" si="67">A116+1</f>
        <v>74</v>
      </c>
      <c r="F117">
        <v>-2.9000000000000001E-2</v>
      </c>
      <c r="G117">
        <v>-2.3E-2</v>
      </c>
      <c r="H117">
        <v>-2.1999999999999999E-2</v>
      </c>
    </row>
    <row r="119" spans="1:8" x14ac:dyDescent="0.25">
      <c r="A119">
        <f t="shared" ref="A119" si="68">A117+1</f>
        <v>75</v>
      </c>
      <c r="B119" t="s">
        <v>50</v>
      </c>
      <c r="F119" t="s">
        <v>224</v>
      </c>
      <c r="G119" t="s">
        <v>223</v>
      </c>
      <c r="H119" t="s">
        <v>224</v>
      </c>
    </row>
    <row r="120" spans="1:8" x14ac:dyDescent="0.25">
      <c r="A120">
        <f t="shared" ref="A120" si="69">A119+1</f>
        <v>76</v>
      </c>
      <c r="F120">
        <v>-4.0000000000000003E-5</v>
      </c>
      <c r="G120">
        <v>-3.0000000000000001E-5</v>
      </c>
      <c r="H120">
        <v>-3.0000000000000001E-5</v>
      </c>
    </row>
    <row r="122" spans="1:8" x14ac:dyDescent="0.25">
      <c r="A122">
        <f t="shared" ref="A122" si="70">A120+1</f>
        <v>77</v>
      </c>
      <c r="B122" t="s">
        <v>52</v>
      </c>
      <c r="F122" t="s">
        <v>529</v>
      </c>
      <c r="G122">
        <v>-5.0000000000000001E-3</v>
      </c>
      <c r="H122">
        <v>-5.0000000000000001E-3</v>
      </c>
    </row>
    <row r="123" spans="1:8" x14ac:dyDescent="0.25">
      <c r="A123">
        <f t="shared" ref="A123" si="71">A122+1</f>
        <v>78</v>
      </c>
      <c r="F123">
        <v>-4.0000000000000001E-3</v>
      </c>
      <c r="G123">
        <v>-3.0000000000000001E-3</v>
      </c>
      <c r="H123">
        <v>-3.0000000000000001E-3</v>
      </c>
    </row>
    <row r="125" spans="1:8" x14ac:dyDescent="0.25">
      <c r="A125">
        <f t="shared" ref="A125" si="72">A123+1</f>
        <v>79</v>
      </c>
      <c r="B125" t="s">
        <v>51</v>
      </c>
      <c r="F125" t="s">
        <v>502</v>
      </c>
      <c r="G125" t="s">
        <v>511</v>
      </c>
      <c r="H125" t="s">
        <v>558</v>
      </c>
    </row>
    <row r="126" spans="1:8" x14ac:dyDescent="0.25">
      <c r="A126">
        <f t="shared" ref="A126" si="73">A125+1</f>
        <v>80</v>
      </c>
      <c r="F126">
        <v>-0.02</v>
      </c>
      <c r="G126">
        <v>-1.6E-2</v>
      </c>
      <c r="H126">
        <v>-1.4999999999999999E-2</v>
      </c>
    </row>
    <row r="128" spans="1:8" x14ac:dyDescent="0.25">
      <c r="A128">
        <f t="shared" ref="A128" si="74">A126+1</f>
        <v>81</v>
      </c>
      <c r="B128" t="s">
        <v>164</v>
      </c>
      <c r="G128">
        <v>1E-3</v>
      </c>
      <c r="H128" t="s">
        <v>487</v>
      </c>
    </row>
    <row r="129" spans="1:8" x14ac:dyDescent="0.25">
      <c r="A129">
        <f t="shared" ref="A129" si="75">A128+1</f>
        <v>82</v>
      </c>
      <c r="G129">
        <v>-1E-3</v>
      </c>
      <c r="H129">
        <v>-1E-3</v>
      </c>
    </row>
    <row r="131" spans="1:8" x14ac:dyDescent="0.25">
      <c r="A131">
        <f t="shared" ref="A131" si="76">A129+1</f>
        <v>83</v>
      </c>
      <c r="B131" t="s">
        <v>39</v>
      </c>
      <c r="G131" t="s">
        <v>530</v>
      </c>
      <c r="H131" t="s">
        <v>571</v>
      </c>
    </row>
    <row r="132" spans="1:8" x14ac:dyDescent="0.25">
      <c r="A132">
        <f t="shared" ref="A132" si="77">A131+1</f>
        <v>84</v>
      </c>
      <c r="G132">
        <v>-5.0000000000000001E-3</v>
      </c>
      <c r="H132">
        <v>-5.0000000000000001E-3</v>
      </c>
    </row>
    <row r="134" spans="1:8" x14ac:dyDescent="0.25">
      <c r="A134">
        <f t="shared" ref="A134" si="78">A132+1</f>
        <v>85</v>
      </c>
      <c r="B134" t="s">
        <v>40</v>
      </c>
      <c r="G134" t="s">
        <v>531</v>
      </c>
      <c r="H134">
        <v>1E-4</v>
      </c>
    </row>
    <row r="135" spans="1:8" x14ac:dyDescent="0.25">
      <c r="A135">
        <f t="shared" ref="A135" si="79">A134+1</f>
        <v>86</v>
      </c>
      <c r="G135">
        <v>-1E-3</v>
      </c>
      <c r="H135">
        <v>-1E-3</v>
      </c>
    </row>
    <row r="137" spans="1:8" x14ac:dyDescent="0.25">
      <c r="A137">
        <f t="shared" ref="A137" si="80">A135+1</f>
        <v>87</v>
      </c>
      <c r="B137" t="s">
        <v>41</v>
      </c>
      <c r="G137" t="s">
        <v>255</v>
      </c>
      <c r="H137" t="s">
        <v>360</v>
      </c>
    </row>
    <row r="138" spans="1:8" x14ac:dyDescent="0.25">
      <c r="A138">
        <f t="shared" ref="A138" si="81">A137+1</f>
        <v>88</v>
      </c>
      <c r="G138">
        <v>-1E-3</v>
      </c>
      <c r="H138">
        <v>-5.0000000000000001E-4</v>
      </c>
    </row>
    <row r="140" spans="1:8" x14ac:dyDescent="0.25">
      <c r="A140">
        <f t="shared" ref="A140" si="82">A138+1</f>
        <v>89</v>
      </c>
      <c r="B140" t="s">
        <v>173</v>
      </c>
      <c r="G140" t="s">
        <v>410</v>
      </c>
      <c r="H140" t="s">
        <v>491</v>
      </c>
    </row>
    <row r="141" spans="1:8" x14ac:dyDescent="0.25">
      <c r="A141">
        <f t="shared" ref="A141" si="83">A140+1</f>
        <v>90</v>
      </c>
      <c r="G141">
        <v>-2E-3</v>
      </c>
      <c r="H141">
        <v>-2E-3</v>
      </c>
    </row>
    <row r="143" spans="1:8" x14ac:dyDescent="0.25">
      <c r="A143">
        <f t="shared" ref="A143" si="84">A141+1</f>
        <v>91</v>
      </c>
      <c r="B143" t="s">
        <v>174</v>
      </c>
      <c r="G143" t="s">
        <v>258</v>
      </c>
      <c r="H143" t="s">
        <v>255</v>
      </c>
    </row>
    <row r="144" spans="1:8" x14ac:dyDescent="0.25">
      <c r="A144">
        <f t="shared" ref="A144" si="85">A143+1</f>
        <v>92</v>
      </c>
      <c r="G144">
        <v>-1E-3</v>
      </c>
      <c r="H144">
        <v>-1E-3</v>
      </c>
    </row>
    <row r="146" spans="1:8" x14ac:dyDescent="0.25">
      <c r="A146">
        <f t="shared" ref="A146" si="86">A144+1</f>
        <v>93</v>
      </c>
      <c r="B146" t="s">
        <v>175</v>
      </c>
      <c r="G146" t="s">
        <v>253</v>
      </c>
      <c r="H146" t="s">
        <v>253</v>
      </c>
    </row>
    <row r="147" spans="1:8" x14ac:dyDescent="0.25">
      <c r="A147">
        <f t="shared" ref="A147" si="87">A146+1</f>
        <v>94</v>
      </c>
      <c r="G147">
        <v>-1E-3</v>
      </c>
      <c r="H147">
        <v>-1E-3</v>
      </c>
    </row>
    <row r="149" spans="1:8" x14ac:dyDescent="0.25">
      <c r="A149">
        <f t="shared" ref="A149" si="88">A147+1</f>
        <v>95</v>
      </c>
      <c r="B149" t="s">
        <v>53</v>
      </c>
      <c r="G149" t="s">
        <v>262</v>
      </c>
      <c r="H149" t="s">
        <v>263</v>
      </c>
    </row>
    <row r="150" spans="1:8" x14ac:dyDescent="0.25">
      <c r="A150">
        <f t="shared" ref="A150" si="89">A149+1</f>
        <v>96</v>
      </c>
      <c r="G150">
        <v>0</v>
      </c>
      <c r="H150">
        <v>0</v>
      </c>
    </row>
    <row r="152" spans="1:8" x14ac:dyDescent="0.25">
      <c r="A152">
        <f t="shared" ref="A152" si="90">A150+1</f>
        <v>97</v>
      </c>
      <c r="B152" t="s">
        <v>54</v>
      </c>
      <c r="G152" t="s">
        <v>533</v>
      </c>
      <c r="H152" t="s">
        <v>262</v>
      </c>
    </row>
    <row r="153" spans="1:8" x14ac:dyDescent="0.25">
      <c r="A153">
        <f t="shared" ref="A153" si="91">A152+1</f>
        <v>98</v>
      </c>
      <c r="G153">
        <v>0</v>
      </c>
      <c r="H153">
        <v>0</v>
      </c>
    </row>
    <row r="155" spans="1:8" x14ac:dyDescent="0.25">
      <c r="A155">
        <f t="shared" ref="A155" si="92">A153+1</f>
        <v>99</v>
      </c>
      <c r="B155" t="s">
        <v>43</v>
      </c>
      <c r="H155" t="s">
        <v>685</v>
      </c>
    </row>
    <row r="156" spans="1:8" x14ac:dyDescent="0.25">
      <c r="A156">
        <f t="shared" ref="A156" si="93">A155+1</f>
        <v>100</v>
      </c>
      <c r="H156">
        <v>-4.8000000000000001E-2</v>
      </c>
    </row>
    <row r="158" spans="1:8" x14ac:dyDescent="0.25">
      <c r="A158">
        <f t="shared" ref="A158" si="94">A156+1</f>
        <v>101</v>
      </c>
      <c r="B158" t="s">
        <v>44</v>
      </c>
      <c r="H158" t="s">
        <v>550</v>
      </c>
    </row>
    <row r="159" spans="1:8" x14ac:dyDescent="0.25">
      <c r="A159">
        <f t="shared" ref="A159" si="95">A158+1</f>
        <v>102</v>
      </c>
      <c r="H159">
        <v>-0.01</v>
      </c>
    </row>
    <row r="161" spans="1:8" x14ac:dyDescent="0.25">
      <c r="A161">
        <f t="shared" ref="A161" si="96">A159+1</f>
        <v>103</v>
      </c>
      <c r="B161" t="s">
        <v>45</v>
      </c>
      <c r="H161" t="s">
        <v>686</v>
      </c>
    </row>
    <row r="162" spans="1:8" x14ac:dyDescent="0.25">
      <c r="A162">
        <f t="shared" ref="A162" si="97">A161+1</f>
        <v>104</v>
      </c>
      <c r="H162">
        <v>-1.9E-2</v>
      </c>
    </row>
    <row r="164" spans="1:8" x14ac:dyDescent="0.25">
      <c r="A164">
        <f t="shared" ref="A164" si="98">A162+1</f>
        <v>105</v>
      </c>
      <c r="B164" t="s">
        <v>48</v>
      </c>
      <c r="H164" t="s">
        <v>451</v>
      </c>
    </row>
    <row r="165" spans="1:8" x14ac:dyDescent="0.25">
      <c r="A165">
        <f t="shared" ref="A165" si="99">A164+1</f>
        <v>106</v>
      </c>
      <c r="H165">
        <v>-0.01</v>
      </c>
    </row>
    <row r="167" spans="1:8" x14ac:dyDescent="0.25">
      <c r="A167">
        <f t="shared" ref="A167" si="100">A165+1</f>
        <v>107</v>
      </c>
      <c r="B167" t="s">
        <v>46</v>
      </c>
      <c r="H167" t="s">
        <v>687</v>
      </c>
    </row>
    <row r="168" spans="1:8" x14ac:dyDescent="0.25">
      <c r="A168">
        <f t="shared" ref="A168" si="101">A167+1</f>
        <v>108</v>
      </c>
      <c r="H168">
        <v>-1.9E-2</v>
      </c>
    </row>
    <row r="170" spans="1:8" x14ac:dyDescent="0.25">
      <c r="A170">
        <f t="shared" ref="A170" si="102">A168+1</f>
        <v>109</v>
      </c>
      <c r="B170" t="s">
        <v>264</v>
      </c>
      <c r="C170" t="s">
        <v>688</v>
      </c>
      <c r="D170" t="s">
        <v>689</v>
      </c>
      <c r="E170" t="s">
        <v>690</v>
      </c>
      <c r="F170" t="s">
        <v>534</v>
      </c>
      <c r="G170" t="s">
        <v>691</v>
      </c>
      <c r="H170">
        <v>0.151</v>
      </c>
    </row>
    <row r="171" spans="1:8" x14ac:dyDescent="0.25">
      <c r="A171">
        <f t="shared" ref="A171" si="103">A170+1</f>
        <v>110</v>
      </c>
      <c r="C171">
        <v>-4.0000000000000001E-3</v>
      </c>
      <c r="D171">
        <v>-8.9999999999999993E-3</v>
      </c>
      <c r="E171">
        <v>-1.0999999999999999E-2</v>
      </c>
      <c r="F171">
        <v>-3.1E-2</v>
      </c>
      <c r="G171">
        <v>-0.83299999999999996</v>
      </c>
      <c r="H171">
        <v>-0.83599999999999997</v>
      </c>
    </row>
    <row r="173" spans="1:8" x14ac:dyDescent="0.25">
      <c r="A173">
        <f t="shared" ref="A173" si="104">A171+1</f>
        <v>111</v>
      </c>
      <c r="B173" t="s">
        <v>195</v>
      </c>
      <c r="C173" t="s">
        <v>195</v>
      </c>
      <c r="D173" t="s">
        <v>312</v>
      </c>
      <c r="E173" t="s">
        <v>194</v>
      </c>
      <c r="F173" t="s">
        <v>6</v>
      </c>
      <c r="G173" t="s">
        <v>194</v>
      </c>
      <c r="H173" t="s">
        <v>194</v>
      </c>
    </row>
    <row r="174" spans="1:8" x14ac:dyDescent="0.25">
      <c r="A174">
        <f t="shared" ref="A174" si="105">A173+1</f>
        <v>112</v>
      </c>
      <c r="B174" t="s">
        <v>187</v>
      </c>
      <c r="C174" s="1">
        <v>22962</v>
      </c>
      <c r="D174" s="1">
        <v>22962</v>
      </c>
      <c r="E174" s="1">
        <v>22962</v>
      </c>
      <c r="F174" s="1">
        <v>22962</v>
      </c>
      <c r="G174" s="1">
        <v>22962</v>
      </c>
      <c r="H174" s="1">
        <v>22962</v>
      </c>
    </row>
    <row r="175" spans="1:8" x14ac:dyDescent="0.25">
      <c r="A175">
        <v>113</v>
      </c>
      <c r="B175" t="s">
        <v>265</v>
      </c>
      <c r="C175">
        <v>0.03</v>
      </c>
      <c r="D175">
        <v>9.0999999999999998E-2</v>
      </c>
      <c r="E175">
        <v>0.61899999999999999</v>
      </c>
      <c r="F175">
        <v>0.627</v>
      </c>
      <c r="G175">
        <v>0.76600000000000001</v>
      </c>
      <c r="H175">
        <v>0.79500000000000004</v>
      </c>
    </row>
    <row r="176" spans="1:8" x14ac:dyDescent="0.25">
      <c r="A176">
        <v>114</v>
      </c>
      <c r="B176" t="s">
        <v>266</v>
      </c>
      <c r="C176">
        <v>0.03</v>
      </c>
      <c r="D176">
        <v>0.09</v>
      </c>
      <c r="E176">
        <v>0.61899999999999999</v>
      </c>
      <c r="F176">
        <v>0.627</v>
      </c>
      <c r="G176">
        <v>0.76600000000000001</v>
      </c>
      <c r="H176">
        <v>0.79400000000000004</v>
      </c>
    </row>
    <row r="177" spans="1:8" x14ac:dyDescent="0.25">
      <c r="A177">
        <v>115</v>
      </c>
      <c r="B177" t="s">
        <v>267</v>
      </c>
      <c r="C177" t="s">
        <v>692</v>
      </c>
      <c r="D177" t="s">
        <v>693</v>
      </c>
      <c r="E177" t="s">
        <v>694</v>
      </c>
      <c r="F177" t="s">
        <v>695</v>
      </c>
      <c r="G177" t="s">
        <v>696</v>
      </c>
      <c r="H177" t="s">
        <v>697</v>
      </c>
    </row>
    <row r="178" spans="1:8" x14ac:dyDescent="0.25">
      <c r="A178">
        <v>116</v>
      </c>
      <c r="B178" t="s">
        <v>268</v>
      </c>
      <c r="C178" t="s">
        <v>698</v>
      </c>
      <c r="D178" t="s">
        <v>699</v>
      </c>
      <c r="E178" t="s">
        <v>700</v>
      </c>
      <c r="F178" t="s">
        <v>701</v>
      </c>
      <c r="G178" t="s">
        <v>702</v>
      </c>
      <c r="H178" t="s">
        <v>703</v>
      </c>
    </row>
    <row r="179" spans="1:8" x14ac:dyDescent="0.25">
      <c r="B179" t="s">
        <v>192</v>
      </c>
      <c r="C179" t="s">
        <v>192</v>
      </c>
      <c r="D179" t="s">
        <v>309</v>
      </c>
      <c r="E179" t="s">
        <v>193</v>
      </c>
      <c r="F179" t="s">
        <v>479</v>
      </c>
      <c r="G179" t="s">
        <v>193</v>
      </c>
      <c r="H179" t="s">
        <v>193</v>
      </c>
    </row>
    <row r="180" spans="1:8" x14ac:dyDescent="0.25">
      <c r="B180" t="s">
        <v>269</v>
      </c>
      <c r="H180" t="s">
        <v>270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DC513-0C03-4C24-AD96-2D61B9A99534}">
  <sheetPr codeName="Sheet19"/>
  <dimension ref="A1:AG66"/>
  <sheetViews>
    <sheetView workbookViewId="0">
      <selection activeCell="B1" sqref="B1:Z1048576"/>
    </sheetView>
  </sheetViews>
  <sheetFormatPr defaultColWidth="11.42578125" defaultRowHeight="15" x14ac:dyDescent="0.25"/>
  <sheetData>
    <row r="1" spans="1:33" x14ac:dyDescent="0.25">
      <c r="B1" t="s">
        <v>280</v>
      </c>
      <c r="C1" t="s">
        <v>281</v>
      </c>
      <c r="D1" t="s">
        <v>282</v>
      </c>
      <c r="E1" t="s">
        <v>283</v>
      </c>
      <c r="F1" t="s">
        <v>284</v>
      </c>
      <c r="G1" t="s">
        <v>285</v>
      </c>
      <c r="H1" t="s">
        <v>286</v>
      </c>
      <c r="I1" t="s">
        <v>287</v>
      </c>
      <c r="J1" t="s">
        <v>288</v>
      </c>
      <c r="K1" t="s">
        <v>289</v>
      </c>
      <c r="L1" t="s">
        <v>290</v>
      </c>
      <c r="M1" t="s">
        <v>291</v>
      </c>
      <c r="N1" t="s">
        <v>292</v>
      </c>
      <c r="O1" t="s">
        <v>293</v>
      </c>
      <c r="P1" t="s">
        <v>294</v>
      </c>
      <c r="Q1" t="s">
        <v>295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302</v>
      </c>
      <c r="Y1" t="s">
        <v>303</v>
      </c>
      <c r="Z1" t="s">
        <v>304</v>
      </c>
    </row>
    <row r="2" spans="1:33" x14ac:dyDescent="0.25">
      <c r="A2">
        <v>119</v>
      </c>
      <c r="B2" t="s">
        <v>279</v>
      </c>
      <c r="C2">
        <v>0.15147922455666901</v>
      </c>
      <c r="D2">
        <v>15.3985787085685</v>
      </c>
      <c r="E2">
        <v>9.8372211762881197E-3</v>
      </c>
      <c r="F2">
        <v>0.99233226697607202</v>
      </c>
      <c r="G2">
        <v>-9.2577323634065998</v>
      </c>
      <c r="H2">
        <v>18.988746024635599</v>
      </c>
      <c r="I2">
        <v>-0.48753784749112999</v>
      </c>
      <c r="J2">
        <v>0.63836652525271698</v>
      </c>
      <c r="K2">
        <v>12.8709541128362</v>
      </c>
      <c r="L2">
        <v>0.17996566421388299</v>
      </c>
      <c r="M2">
        <v>71.518943177624905</v>
      </c>
      <c r="N2">
        <v>3.3861073217536399E-17</v>
      </c>
      <c r="O2">
        <v>13.0836002503467</v>
      </c>
      <c r="P2">
        <v>7.8999553318382598E-2</v>
      </c>
      <c r="Q2">
        <v>165.616129468699</v>
      </c>
      <c r="R2">
        <v>1.4353605367008701E-22</v>
      </c>
      <c r="S2">
        <v>13.678661529052301</v>
      </c>
      <c r="T2">
        <v>7.5000007221501103E-2</v>
      </c>
      <c r="U2">
        <v>182.382136159727</v>
      </c>
      <c r="V2">
        <v>8.6065879989773201E-23</v>
      </c>
      <c r="W2">
        <v>13.845811517361801</v>
      </c>
      <c r="X2">
        <v>8.9719534940042006E-2</v>
      </c>
      <c r="Y2">
        <v>154.32326445533499</v>
      </c>
      <c r="Z2">
        <v>1.8041186978139901E-20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3.7696869294502298E-2</v>
      </c>
      <c r="D3">
        <v>9.4519089535650604E-3</v>
      </c>
      <c r="E3">
        <v>3.9882810424537398</v>
      </c>
      <c r="F3">
        <v>2.2950150280518699E-3</v>
      </c>
      <c r="G3">
        <v>4.5246855894195998E-2</v>
      </c>
      <c r="H3">
        <v>1.0601108768993501E-2</v>
      </c>
      <c r="I3">
        <v>4.26812486129145</v>
      </c>
      <c r="J3">
        <v>1.4445985135661901E-3</v>
      </c>
      <c r="K3">
        <v>5.6685940524778301E-2</v>
      </c>
      <c r="L3">
        <v>1.42955837400394E-2</v>
      </c>
      <c r="M3">
        <v>3.96527637874703</v>
      </c>
      <c r="N3">
        <v>2.38146546144842E-3</v>
      </c>
      <c r="O3">
        <v>5.5462474360949601E-2</v>
      </c>
      <c r="P3">
        <v>1.3726670800219399E-2</v>
      </c>
      <c r="Q3">
        <v>4.0404898731936596</v>
      </c>
      <c r="R3">
        <v>2.1036297243436299E-3</v>
      </c>
      <c r="S3">
        <v>9.3997738346247098E-2</v>
      </c>
      <c r="T3">
        <v>2.0073801070752201E-2</v>
      </c>
      <c r="U3">
        <v>4.6826078436735603</v>
      </c>
      <c r="V3">
        <v>7.4148083597277298E-4</v>
      </c>
      <c r="W3">
        <v>0.158010321485687</v>
      </c>
      <c r="X3">
        <v>1.01456497222734E-2</v>
      </c>
      <c r="Y3">
        <v>15.574194439100101</v>
      </c>
      <c r="Z3">
        <v>2.4617627882928802E-9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8.8394762006686897E-5</v>
      </c>
      <c r="D4">
        <v>4.8515511262948602E-5</v>
      </c>
      <c r="E4">
        <v>1.8219897040267601</v>
      </c>
      <c r="F4">
        <v>8.9464546445962606E-2</v>
      </c>
      <c r="G4">
        <v>1.65856754846243E-4</v>
      </c>
      <c r="H4">
        <v>7.49396707555614E-5</v>
      </c>
      <c r="I4">
        <v>2.2132036766912901</v>
      </c>
      <c r="J4">
        <v>4.3713763231650701E-2</v>
      </c>
      <c r="K4">
        <v>2.70444197368203E-4</v>
      </c>
      <c r="L4">
        <v>1.24482613986502E-4</v>
      </c>
      <c r="M4">
        <v>2.1725459380016501</v>
      </c>
      <c r="N4">
        <v>4.7122950934441202E-2</v>
      </c>
      <c r="O4">
        <v>2.4030180756811801E-4</v>
      </c>
      <c r="P4">
        <v>1.45420083631255E-4</v>
      </c>
      <c r="Q4">
        <v>1.6524664376996001</v>
      </c>
      <c r="R4">
        <v>0.120181649652791</v>
      </c>
      <c r="S4">
        <v>1.8597112447499E-3</v>
      </c>
      <c r="T4">
        <v>2.8809079557046201E-4</v>
      </c>
      <c r="U4">
        <v>6.4552955989704799</v>
      </c>
      <c r="V4">
        <v>1.5338340957594499E-5</v>
      </c>
      <c r="AB4" t="str">
        <f t="shared" si="0"/>
        <v>*</v>
      </c>
      <c r="AC4" t="str">
        <f t="shared" si="1"/>
        <v>**</v>
      </c>
      <c r="AD4" t="str">
        <f t="shared" si="2"/>
        <v>**</v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2.61914227019171E-2</v>
      </c>
      <c r="D5">
        <v>7.4590014702111997E-3</v>
      </c>
      <c r="E5">
        <v>3.5113845742646701</v>
      </c>
      <c r="F5">
        <v>4.3716945709404501E-3</v>
      </c>
      <c r="G5">
        <v>2.7444595839524601E-2</v>
      </c>
      <c r="H5">
        <v>6.2709107510164099E-3</v>
      </c>
      <c r="I5">
        <v>4.37649281407431</v>
      </c>
      <c r="J5">
        <v>9.2740984007283695E-4</v>
      </c>
      <c r="K5">
        <v>2.3006836681676499E-2</v>
      </c>
      <c r="L5">
        <v>9.98034038473373E-3</v>
      </c>
      <c r="M5">
        <v>2.3052156334135199</v>
      </c>
      <c r="N5">
        <v>4.0074395699372503E-2</v>
      </c>
      <c r="O5">
        <v>2.1431278764152999E-2</v>
      </c>
      <c r="P5">
        <v>1.1526837157936599E-2</v>
      </c>
      <c r="Q5">
        <v>1.85925058804156</v>
      </c>
      <c r="R5">
        <v>8.7995646459752302E-2</v>
      </c>
      <c r="S5">
        <v>8.7049627500882604E-2</v>
      </c>
      <c r="T5">
        <v>1.6068307943406201E-2</v>
      </c>
      <c r="U5">
        <v>5.4174731905486304</v>
      </c>
      <c r="V5">
        <v>1.62965187151531E-4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3.06933213524395E-2</v>
      </c>
      <c r="D6">
        <v>1.09327755496659E-2</v>
      </c>
      <c r="E6">
        <v>2.8074592049388198</v>
      </c>
      <c r="F6">
        <v>1.5974729528998401E-2</v>
      </c>
      <c r="G6">
        <v>3.5353689316483201E-2</v>
      </c>
      <c r="H6">
        <v>7.9119167870157093E-3</v>
      </c>
      <c r="I6">
        <v>4.4684101549832196</v>
      </c>
      <c r="J6">
        <v>7.9491185378816303E-4</v>
      </c>
      <c r="K6">
        <v>2.8022546643188401E-2</v>
      </c>
      <c r="L6">
        <v>1.31983989204625E-2</v>
      </c>
      <c r="M6">
        <v>2.1231777287579101</v>
      </c>
      <c r="N6">
        <v>5.5555366903082701E-2</v>
      </c>
      <c r="O6">
        <v>2.7616530741811501E-2</v>
      </c>
      <c r="P6">
        <v>1.40060516212229E-2</v>
      </c>
      <c r="Q6">
        <v>1.9717570296517499</v>
      </c>
      <c r="R6">
        <v>7.2494578992556194E-2</v>
      </c>
      <c r="S6">
        <v>0.11578156501685199</v>
      </c>
      <c r="T6">
        <v>1.84121486589559E-2</v>
      </c>
      <c r="U6">
        <v>6.2883244732294798</v>
      </c>
      <c r="V6">
        <v>4.2898607135088699E-5</v>
      </c>
      <c r="AB6" t="str">
        <f t="shared" si="0"/>
        <v>**</v>
      </c>
      <c r="AC6" t="str">
        <f t="shared" si="1"/>
        <v>***</v>
      </c>
      <c r="AD6" t="str">
        <f t="shared" si="2"/>
        <v>*</v>
      </c>
      <c r="AE6" t="str">
        <f t="shared" si="3"/>
        <v>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1.1580820611006201E-2</v>
      </c>
      <c r="D7">
        <v>1.19650350195964E-2</v>
      </c>
      <c r="E7">
        <v>0.96788856798489098</v>
      </c>
      <c r="F7">
        <v>0.35235008099843401</v>
      </c>
      <c r="G7">
        <v>1.51727766097648E-2</v>
      </c>
      <c r="H7">
        <v>8.7436710514592897E-3</v>
      </c>
      <c r="I7">
        <v>1.7352867600425701</v>
      </c>
      <c r="J7">
        <v>0.10850524139725599</v>
      </c>
      <c r="K7">
        <v>3.0694471786532102E-3</v>
      </c>
      <c r="L7">
        <v>1.0620584137080301E-2</v>
      </c>
      <c r="M7">
        <v>0.28900926154679601</v>
      </c>
      <c r="N7">
        <v>0.77755521909298897</v>
      </c>
      <c r="O7">
        <v>5.1893289943127597E-3</v>
      </c>
      <c r="P7">
        <v>1.0619859007621E-2</v>
      </c>
      <c r="Q7">
        <v>0.48864386905596302</v>
      </c>
      <c r="R7">
        <v>0.63399275201543404</v>
      </c>
      <c r="S7">
        <v>8.4637692063872505E-2</v>
      </c>
      <c r="T7">
        <v>1.21751683744058E-2</v>
      </c>
      <c r="U7">
        <v>6.9516650169532799</v>
      </c>
      <c r="V7">
        <v>1.6100434547028201E-5</v>
      </c>
      <c r="AB7" t="str">
        <f t="shared" si="0"/>
        <v/>
      </c>
      <c r="AC7" t="str">
        <f t="shared" si="1"/>
        <v/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3.8669178564435598E-4</v>
      </c>
      <c r="D8">
        <v>1.5788620095982999E-2</v>
      </c>
      <c r="E8">
        <v>2.4491803798784101E-2</v>
      </c>
      <c r="F8">
        <v>0.98091275272238898</v>
      </c>
      <c r="G8">
        <v>-5.8483685723706598E-4</v>
      </c>
      <c r="H8">
        <v>1.38440618959263E-2</v>
      </c>
      <c r="I8">
        <v>-4.2244600004941998E-2</v>
      </c>
      <c r="J8">
        <v>0.967084348398767</v>
      </c>
      <c r="K8">
        <v>-2.11552038302436E-2</v>
      </c>
      <c r="L8">
        <v>1.76696464226287E-2</v>
      </c>
      <c r="M8">
        <v>-1.19726243096473</v>
      </c>
      <c r="N8">
        <v>0.25715446563760003</v>
      </c>
      <c r="O8">
        <v>-1.7937859999368699E-2</v>
      </c>
      <c r="P8">
        <v>1.76379448419491E-2</v>
      </c>
      <c r="Q8">
        <v>-1.0170039741085</v>
      </c>
      <c r="R8">
        <v>0.33172223041691901</v>
      </c>
      <c r="S8">
        <v>4.79384947312744E-2</v>
      </c>
      <c r="T8">
        <v>2.2781180448773201E-2</v>
      </c>
      <c r="U8">
        <v>2.1043024894636702</v>
      </c>
      <c r="V8">
        <v>6.0018268863909E-2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0.12985087710781801</v>
      </c>
      <c r="D9">
        <v>1.6436896563379599E-2</v>
      </c>
      <c r="E9">
        <v>7.8999631473691601</v>
      </c>
      <c r="F9">
        <v>7.6393908186117098E-6</v>
      </c>
      <c r="G9">
        <v>0.12458008290174601</v>
      </c>
      <c r="H9">
        <v>1.4673119940420001E-2</v>
      </c>
      <c r="I9">
        <v>8.4903608372044808</v>
      </c>
      <c r="J9">
        <v>3.8343411779666404E-6</v>
      </c>
      <c r="K9">
        <v>0.10580258069725899</v>
      </c>
      <c r="L9">
        <v>1.86699418849719E-2</v>
      </c>
      <c r="M9">
        <v>5.6670010731218898</v>
      </c>
      <c r="N9">
        <v>1.48183728804403E-4</v>
      </c>
      <c r="O9">
        <v>0.10872321382641</v>
      </c>
      <c r="P9">
        <v>1.8822248172548399E-2</v>
      </c>
      <c r="Q9">
        <v>5.7763139041477203</v>
      </c>
      <c r="R9">
        <v>1.27322076657252E-4</v>
      </c>
      <c r="S9">
        <v>0.22127718896781401</v>
      </c>
      <c r="T9">
        <v>2.7008215864298801E-2</v>
      </c>
      <c r="U9">
        <v>8.1929583975338502</v>
      </c>
      <c r="V9">
        <v>5.4892934922328703E-6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0.17285290616309201</v>
      </c>
      <c r="D10">
        <v>1.7355490966742999E-2</v>
      </c>
      <c r="E10">
        <v>9.9595515041503297</v>
      </c>
      <c r="F10">
        <v>8.0060074809940405E-7</v>
      </c>
      <c r="G10">
        <v>0.16952487195989199</v>
      </c>
      <c r="H10">
        <v>1.6403174750209599E-2</v>
      </c>
      <c r="I10">
        <v>10.3348817860838</v>
      </c>
      <c r="J10">
        <v>5.5271543035658296E-7</v>
      </c>
      <c r="K10">
        <v>0.137787017554134</v>
      </c>
      <c r="L10">
        <v>2.0078131890156201E-2</v>
      </c>
      <c r="M10">
        <v>6.8625417099529598</v>
      </c>
      <c r="N10">
        <v>2.7854398905334699E-5</v>
      </c>
      <c r="O10">
        <v>0.13516897214825699</v>
      </c>
      <c r="P10">
        <v>2.0872579284097199E-2</v>
      </c>
      <c r="Q10">
        <v>6.4759113048976404</v>
      </c>
      <c r="R10">
        <v>4.7069793742375103E-5</v>
      </c>
      <c r="S10">
        <v>0.24319397699898901</v>
      </c>
      <c r="T10">
        <v>2.5229062455954399E-2</v>
      </c>
      <c r="U10">
        <v>9.6394377485712806</v>
      </c>
      <c r="V10">
        <v>1.11960545904074E-6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213</v>
      </c>
      <c r="C11">
        <v>0.13911603590261701</v>
      </c>
      <c r="D11">
        <v>2.89039404245434E-2</v>
      </c>
      <c r="E11">
        <v>4.81304742049939</v>
      </c>
      <c r="F11">
        <v>2.9815753517360499E-4</v>
      </c>
      <c r="G11">
        <v>0.136278256930881</v>
      </c>
      <c r="H11">
        <v>2.8036704872614799E-2</v>
      </c>
      <c r="I11">
        <v>4.8607087583959601</v>
      </c>
      <c r="J11">
        <v>2.7289724457815197E-4</v>
      </c>
      <c r="K11">
        <v>9.9169700196914096E-2</v>
      </c>
      <c r="L11">
        <v>4.4811525464317499E-2</v>
      </c>
      <c r="M11">
        <v>2.2130400420285001</v>
      </c>
      <c r="N11">
        <v>4.45092002429303E-2</v>
      </c>
      <c r="O11">
        <v>2.6777787850896601E-2</v>
      </c>
      <c r="P11">
        <v>4.3104267471996999E-2</v>
      </c>
      <c r="Q11">
        <v>0.62123287139244299</v>
      </c>
      <c r="R11">
        <v>0.54543601229348004</v>
      </c>
      <c r="S11">
        <v>0.19884387931275499</v>
      </c>
      <c r="T11">
        <v>5.7825262379692502E-2</v>
      </c>
      <c r="U11">
        <v>3.4387025865460998</v>
      </c>
      <c r="V11">
        <v>4.55644437603165E-3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-3.1928481306459998E-2</v>
      </c>
      <c r="D12">
        <v>5.4662645350847102E-3</v>
      </c>
      <c r="E12">
        <v>-5.8410055169357404</v>
      </c>
      <c r="F12">
        <v>2.6796546582963801E-5</v>
      </c>
      <c r="G12">
        <v>-4.5247212113089498E-2</v>
      </c>
      <c r="H12">
        <v>8.0437324618265992E-3</v>
      </c>
      <c r="I12">
        <v>-5.6251512998251298</v>
      </c>
      <c r="J12">
        <v>4.1615377244940202E-5</v>
      </c>
      <c r="K12">
        <v>-7.0917175293379903E-2</v>
      </c>
      <c r="L12">
        <v>9.2530754986630704E-3</v>
      </c>
      <c r="M12">
        <v>-7.6641734203537402</v>
      </c>
      <c r="N12">
        <v>1.2250356101158101E-6</v>
      </c>
      <c r="O12">
        <v>-7.0895911166802605E-2</v>
      </c>
      <c r="P12">
        <v>9.6170278846568497E-3</v>
      </c>
      <c r="Q12">
        <v>-7.3719149010590899</v>
      </c>
      <c r="R12">
        <v>1.9138373743641899E-6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6.4872594621270499E-2</v>
      </c>
      <c r="D13">
        <v>6.5455856204790401E-3</v>
      </c>
      <c r="E13">
        <v>9.9108923758181309</v>
      </c>
      <c r="F13">
        <v>4.6138149670611102E-8</v>
      </c>
      <c r="G13">
        <v>7.4153013270310902E-2</v>
      </c>
      <c r="H13">
        <v>6.74446300255503E-3</v>
      </c>
      <c r="I13">
        <v>10.994650462493301</v>
      </c>
      <c r="J13">
        <v>1.13313898178494E-8</v>
      </c>
      <c r="K13">
        <v>0.10183897849146201</v>
      </c>
      <c r="L13">
        <v>1.56031186811562E-2</v>
      </c>
      <c r="M13">
        <v>6.5268348317091203</v>
      </c>
      <c r="N13">
        <v>8.91528595090589E-6</v>
      </c>
      <c r="O13">
        <v>9.9068528295528605E-2</v>
      </c>
      <c r="P13">
        <v>1.58235377404181E-2</v>
      </c>
      <c r="Q13">
        <v>6.2608330653187503</v>
      </c>
      <c r="R13">
        <v>1.43604357523761E-5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3.9351722009393401E-2</v>
      </c>
      <c r="D14">
        <v>7.4519079724446897E-3</v>
      </c>
      <c r="E14">
        <v>5.2807579152757</v>
      </c>
      <c r="F14">
        <v>1.03989600501889E-4</v>
      </c>
      <c r="G14">
        <v>4.4481893738745698E-2</v>
      </c>
      <c r="H14">
        <v>9.1634520841421402E-3</v>
      </c>
      <c r="I14">
        <v>4.8542725307336996</v>
      </c>
      <c r="J14">
        <v>2.3161528218103099E-4</v>
      </c>
      <c r="K14">
        <v>3.1648636725637003E-2</v>
      </c>
      <c r="L14">
        <v>1.0025515736708601E-2</v>
      </c>
      <c r="M14">
        <v>3.1568088422379001</v>
      </c>
      <c r="N14">
        <v>6.7486835615182903E-3</v>
      </c>
      <c r="O14">
        <v>2.8650363508094901E-2</v>
      </c>
      <c r="P14">
        <v>1.2161630826139001E-2</v>
      </c>
      <c r="Q14">
        <v>2.35579947440245</v>
      </c>
      <c r="R14">
        <v>3.3374040481311297E-2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-4.4632019378013602E-2</v>
      </c>
      <c r="D15">
        <v>9.2043459444877303E-3</v>
      </c>
      <c r="E15">
        <v>-4.8490158504681897</v>
      </c>
      <c r="F15">
        <v>2.00769489580968E-4</v>
      </c>
      <c r="G15">
        <v>-5.1145619055987197E-2</v>
      </c>
      <c r="H15">
        <v>9.8108430144117995E-3</v>
      </c>
      <c r="I15">
        <v>-5.2131727090991102</v>
      </c>
      <c r="J15">
        <v>1.00092362221289E-4</v>
      </c>
      <c r="K15">
        <v>-4.2477495664432097E-2</v>
      </c>
      <c r="L15">
        <v>2.24242417506017E-2</v>
      </c>
      <c r="M15">
        <v>-1.8942667554541599</v>
      </c>
      <c r="N15">
        <v>7.7382792904068395E-2</v>
      </c>
      <c r="O15">
        <v>-4.6905346616628797E-2</v>
      </c>
      <c r="P15">
        <v>2.60722771106255E-2</v>
      </c>
      <c r="Q15">
        <v>-1.7990506321180899</v>
      </c>
      <c r="R15">
        <v>9.2038122374737394E-2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-7.9189574411703698E-2</v>
      </c>
      <c r="D16">
        <v>1.46343609636495E-2</v>
      </c>
      <c r="E16">
        <v>-5.4112082248349704</v>
      </c>
      <c r="F16">
        <v>1.1261594846959899E-4</v>
      </c>
      <c r="G16">
        <v>-9.67586178510393E-2</v>
      </c>
      <c r="H16">
        <v>1.7068687820850501E-2</v>
      </c>
      <c r="I16">
        <v>-5.6687789282104104</v>
      </c>
      <c r="J16">
        <v>7.2693799506809298E-5</v>
      </c>
      <c r="K16">
        <v>-4.5602578654109799E-2</v>
      </c>
      <c r="L16">
        <v>3.9478582003702703E-2</v>
      </c>
      <c r="M16">
        <v>-1.15512200133816</v>
      </c>
      <c r="N16">
        <v>0.26873422230932498</v>
      </c>
      <c r="O16">
        <v>-3.6878402057704998E-2</v>
      </c>
      <c r="P16">
        <v>4.3363871221933997E-2</v>
      </c>
      <c r="Q16">
        <v>-0.85044072446768604</v>
      </c>
      <c r="R16">
        <v>0.41037007525254099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1.8478164175461399E-4</v>
      </c>
      <c r="D17">
        <v>9.7948409269117397E-6</v>
      </c>
      <c r="E17">
        <v>18.865200888246999</v>
      </c>
      <c r="F17">
        <v>4.9788045310066002E-11</v>
      </c>
      <c r="G17">
        <v>2.0272472995067301E-4</v>
      </c>
      <c r="H17">
        <v>1.16120666232995E-5</v>
      </c>
      <c r="I17">
        <v>17.458109441424199</v>
      </c>
      <c r="J17">
        <v>1.62763955545178E-10</v>
      </c>
      <c r="K17">
        <v>2.57169186022793E-4</v>
      </c>
      <c r="L17">
        <v>1.7010681957387301E-5</v>
      </c>
      <c r="M17">
        <v>15.118099713287</v>
      </c>
      <c r="N17">
        <v>9.8182149355032293E-10</v>
      </c>
      <c r="O17">
        <v>2.6503858000976601E-4</v>
      </c>
      <c r="P17">
        <v>1.6231116013909601E-5</v>
      </c>
      <c r="Q17">
        <v>16.329042302614099</v>
      </c>
      <c r="R17">
        <v>3.13495457670013E-10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-1.0519784245426099E-3</v>
      </c>
      <c r="D18">
        <v>8.8342266258158695E-4</v>
      </c>
      <c r="E18">
        <v>-1.1907985487585999</v>
      </c>
      <c r="F18">
        <v>0.254103337475098</v>
      </c>
      <c r="G18">
        <v>-1.86735584633624E-3</v>
      </c>
      <c r="H18">
        <v>1.00376472794899E-3</v>
      </c>
      <c r="I18">
        <v>-1.8603521266899301</v>
      </c>
      <c r="J18">
        <v>8.4487182664126206E-2</v>
      </c>
      <c r="K18">
        <v>4.5964410554057604E-3</v>
      </c>
      <c r="L18">
        <v>2.0000801927106699E-3</v>
      </c>
      <c r="M18">
        <v>2.2981283811307098</v>
      </c>
      <c r="N18">
        <v>3.8631822388830797E-2</v>
      </c>
      <c r="O18">
        <v>4.4204931642233304E-3</v>
      </c>
      <c r="P18">
        <v>1.90366749138361E-3</v>
      </c>
      <c r="Q18">
        <v>2.3220931093436099</v>
      </c>
      <c r="R18">
        <v>3.7869858102190603E-2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2.1656586031155899E-2</v>
      </c>
      <c r="D19">
        <v>9.5982301436976294E-3</v>
      </c>
      <c r="E19">
        <v>2.2563103516929202</v>
      </c>
      <c r="F19">
        <v>4.1322679856168797E-2</v>
      </c>
      <c r="G19">
        <v>3.1188493630924002E-2</v>
      </c>
      <c r="H19">
        <v>1.13144743507574E-2</v>
      </c>
      <c r="I19">
        <v>2.7565128227840501</v>
      </c>
      <c r="J19">
        <v>1.5640372784558002E-2</v>
      </c>
      <c r="K19">
        <v>4.2701243843263096E-3</v>
      </c>
      <c r="L19">
        <v>2.2047943036683601E-2</v>
      </c>
      <c r="M19">
        <v>0.193674501844532</v>
      </c>
      <c r="N19">
        <v>0.84929651128625405</v>
      </c>
      <c r="O19">
        <v>3.5104709081467899E-3</v>
      </c>
      <c r="P19">
        <v>2.2336650211506399E-2</v>
      </c>
      <c r="Q19">
        <v>0.157161923337028</v>
      </c>
      <c r="R19">
        <v>0.87746427875668498</v>
      </c>
      <c r="AB19" t="str">
        <f t="shared" si="0"/>
        <v>**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-4.5575496963916599E-2</v>
      </c>
      <c r="D20">
        <v>1.45036485863739E-2</v>
      </c>
      <c r="E20">
        <v>-3.1423470234058501</v>
      </c>
      <c r="F20">
        <v>1.11073640985066E-2</v>
      </c>
      <c r="G20">
        <v>-6.08093565804151E-2</v>
      </c>
      <c r="H20">
        <v>1.6191950498312999E-2</v>
      </c>
      <c r="I20">
        <v>-3.7555300448053401</v>
      </c>
      <c r="J20">
        <v>4.0662907472006904E-3</v>
      </c>
      <c r="K20">
        <v>-3.1757144663498001E-2</v>
      </c>
      <c r="L20">
        <v>3.23002662717531E-2</v>
      </c>
      <c r="M20">
        <v>-0.98318522814376696</v>
      </c>
      <c r="N20">
        <v>0.34989604397595803</v>
      </c>
      <c r="O20">
        <v>-3.35868285036343E-2</v>
      </c>
      <c r="P20">
        <v>3.3146751113382597E-2</v>
      </c>
      <c r="Q20">
        <v>-1.01327663724105</v>
      </c>
      <c r="R20">
        <v>0.33607045092376298</v>
      </c>
      <c r="AB20" t="str">
        <f t="shared" si="0"/>
        <v>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227</v>
      </c>
      <c r="C21">
        <v>0.115333022887982</v>
      </c>
      <c r="D21">
        <v>1.09214906970641E-2</v>
      </c>
      <c r="E21">
        <v>10.560190553381601</v>
      </c>
      <c r="F21">
        <v>1.2371599211158999E-7</v>
      </c>
      <c r="G21">
        <v>0.11996264206530199</v>
      </c>
      <c r="H21">
        <v>1.22883054645626E-2</v>
      </c>
      <c r="I21">
        <v>9.7623421236763406</v>
      </c>
      <c r="J21">
        <v>3.0259620918751502E-7</v>
      </c>
      <c r="K21">
        <v>0.15585888609060999</v>
      </c>
      <c r="L21">
        <v>2.2273048826918E-2</v>
      </c>
      <c r="M21">
        <v>6.9976448802217099</v>
      </c>
      <c r="N21">
        <v>1.08565752972891E-5</v>
      </c>
      <c r="O21">
        <v>0.15330522022924301</v>
      </c>
      <c r="P21">
        <v>2.2459127055686499E-2</v>
      </c>
      <c r="Q21">
        <v>6.82596522336459</v>
      </c>
      <c r="R21">
        <v>1.30463226366168E-5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229</v>
      </c>
      <c r="C22">
        <v>5.9115251085435798E-2</v>
      </c>
      <c r="D22">
        <v>4.7259692135636399E-3</v>
      </c>
      <c r="E22">
        <v>12.50859843009</v>
      </c>
      <c r="F22">
        <v>6.08264638945671E-9</v>
      </c>
      <c r="G22">
        <v>6.2500827740359893E-2</v>
      </c>
      <c r="H22">
        <v>4.65422288620378E-3</v>
      </c>
      <c r="I22">
        <v>13.4288428527192</v>
      </c>
      <c r="J22">
        <v>2.4289166339833499E-9</v>
      </c>
      <c r="K22">
        <v>7.8446468300703898E-2</v>
      </c>
      <c r="L22">
        <v>1.1937937004686301E-2</v>
      </c>
      <c r="M22">
        <v>6.5711913431867899</v>
      </c>
      <c r="N22">
        <v>1.30705711144352E-5</v>
      </c>
      <c r="O22">
        <v>7.58465733708579E-2</v>
      </c>
      <c r="P22">
        <v>1.29512772668481E-2</v>
      </c>
      <c r="Q22">
        <v>5.8563006418684003</v>
      </c>
      <c r="R22">
        <v>4.1654991716272801E-5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233</v>
      </c>
      <c r="C23">
        <v>-6.8806108907447303E-2</v>
      </c>
      <c r="D23">
        <v>9.1741094288553503E-3</v>
      </c>
      <c r="E23">
        <v>-7.5000314135158801</v>
      </c>
      <c r="F23">
        <v>1.2142101675719199E-6</v>
      </c>
      <c r="G23">
        <v>-6.50668546353418E-2</v>
      </c>
      <c r="H23">
        <v>1.0641837731841E-2</v>
      </c>
      <c r="I23">
        <v>-6.1142498386963702</v>
      </c>
      <c r="J23">
        <v>1.44824983586517E-5</v>
      </c>
      <c r="K23">
        <v>-6.2559238619703805E-2</v>
      </c>
      <c r="L23">
        <v>1.6172600765933801E-2</v>
      </c>
      <c r="M23">
        <v>-3.86822376469464</v>
      </c>
      <c r="N23">
        <v>1.3459719624896701E-3</v>
      </c>
      <c r="O23">
        <v>-6.2858847314495397E-2</v>
      </c>
      <c r="P23">
        <v>1.7002097181838299E-2</v>
      </c>
      <c r="Q23">
        <v>-3.6971231632319701</v>
      </c>
      <c r="R23">
        <v>1.9244012355232999E-3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1.74766276843102E-2</v>
      </c>
      <c r="D24">
        <v>1.39713778264313E-2</v>
      </c>
      <c r="E24">
        <v>1.2508879153813699</v>
      </c>
      <c r="F24">
        <v>0.233388540633687</v>
      </c>
      <c r="G24">
        <v>2.2896078265899799E-2</v>
      </c>
      <c r="H24">
        <v>1.41663388670164E-2</v>
      </c>
      <c r="I24">
        <v>1.6162311575935</v>
      </c>
      <c r="J24">
        <v>0.13045220284839901</v>
      </c>
      <c r="K24">
        <v>3.2055377350188298E-2</v>
      </c>
      <c r="L24">
        <v>1.84962484536089E-2</v>
      </c>
      <c r="M24">
        <v>1.73307454376965</v>
      </c>
      <c r="N24">
        <v>0.10719797917948901</v>
      </c>
      <c r="AB24" t="str">
        <f t="shared" si="0"/>
        <v/>
      </c>
      <c r="AC24" t="str">
        <f t="shared" si="1"/>
        <v/>
      </c>
      <c r="AD24" t="str">
        <f t="shared" si="2"/>
        <v/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-4.9250417512336102E-2</v>
      </c>
      <c r="D25">
        <v>2.2485628716247898E-2</v>
      </c>
      <c r="E25">
        <v>-2.19030644567871</v>
      </c>
      <c r="F25">
        <v>9.1357949584705805E-2</v>
      </c>
      <c r="G25">
        <v>-5.1513515406154502E-2</v>
      </c>
      <c r="H25">
        <v>2.5095684586178099E-2</v>
      </c>
      <c r="I25">
        <v>-2.0526842066913198</v>
      </c>
      <c r="J25">
        <v>0.106954645391185</v>
      </c>
      <c r="K25">
        <v>-7.3885057725593395E-2</v>
      </c>
      <c r="L25">
        <v>2.98676252573166E-2</v>
      </c>
      <c r="M25">
        <v>-2.4737506610939501</v>
      </c>
      <c r="N25">
        <v>6.6512873460655597E-2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</row>
    <row r="27" spans="1:33" x14ac:dyDescent="0.25">
      <c r="A27">
        <v>49</v>
      </c>
    </row>
    <row r="28" spans="1:33" x14ac:dyDescent="0.25">
      <c r="A28">
        <v>51</v>
      </c>
    </row>
    <row r="29" spans="1:33" x14ac:dyDescent="0.25">
      <c r="A29">
        <v>53</v>
      </c>
    </row>
    <row r="30" spans="1:33" x14ac:dyDescent="0.25">
      <c r="A30">
        <v>55</v>
      </c>
      <c r="B30" t="s">
        <v>29</v>
      </c>
      <c r="C30">
        <v>-3.1260267871606198E-2</v>
      </c>
      <c r="D30">
        <v>1.85974241819639E-2</v>
      </c>
      <c r="E30">
        <v>-1.68089234109759</v>
      </c>
      <c r="F30">
        <v>0.114454810467514</v>
      </c>
      <c r="G30">
        <v>-3.6285106470508602E-2</v>
      </c>
      <c r="H30">
        <v>2.2726348024965998E-2</v>
      </c>
      <c r="I30">
        <v>-1.59660964580176</v>
      </c>
      <c r="J30">
        <v>0.13213770929785201</v>
      </c>
      <c r="K30">
        <v>-3.8388196453214597E-2</v>
      </c>
      <c r="L30">
        <v>2.5303002788400902E-2</v>
      </c>
      <c r="M30">
        <v>-1.5171399526862499</v>
      </c>
      <c r="N30">
        <v>0.15097262638084599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</row>
    <row r="32" spans="1:33" x14ac:dyDescent="0.25">
      <c r="A32">
        <v>59</v>
      </c>
      <c r="B32" t="s">
        <v>28</v>
      </c>
      <c r="C32">
        <v>7.6754756821447501E-2</v>
      </c>
      <c r="D32">
        <v>1.7948485757801801E-2</v>
      </c>
      <c r="E32">
        <v>4.2763917723858098</v>
      </c>
      <c r="F32">
        <v>1.4987340078427599E-3</v>
      </c>
      <c r="G32">
        <v>9.3691505102826894E-2</v>
      </c>
      <c r="H32">
        <v>2.11790458600556E-2</v>
      </c>
      <c r="I32">
        <v>4.4237830977802703</v>
      </c>
      <c r="J32">
        <v>1.17258656432386E-3</v>
      </c>
      <c r="K32">
        <v>8.8834859304467897E-2</v>
      </c>
      <c r="L32">
        <v>4.38689602840652E-2</v>
      </c>
      <c r="M32">
        <v>2.0250048947874402</v>
      </c>
      <c r="N32">
        <v>7.0335385572068795E-2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239</v>
      </c>
      <c r="C33">
        <v>9.2791858394167502E-3</v>
      </c>
      <c r="D33">
        <v>9.0590809998574703E-2</v>
      </c>
      <c r="E33">
        <v>0.102429659692443</v>
      </c>
      <c r="F33">
        <v>0.92604117585767898</v>
      </c>
      <c r="G33">
        <v>-1.8328863372771498E-2</v>
      </c>
      <c r="H33">
        <v>9.2713301289026495E-2</v>
      </c>
      <c r="I33">
        <v>-0.19769399986774999</v>
      </c>
      <c r="J33">
        <v>0.85849663812400501</v>
      </c>
      <c r="K33">
        <v>-4.0664946631407302E-2</v>
      </c>
      <c r="L33">
        <v>6.3166970495219105E-2</v>
      </c>
      <c r="M33">
        <v>-0.64376914568801602</v>
      </c>
      <c r="N33">
        <v>0.58969708611594096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240</v>
      </c>
      <c r="C34">
        <v>0.191556566725058</v>
      </c>
      <c r="D34">
        <v>7.6077652554498595E-2</v>
      </c>
      <c r="E34">
        <v>2.5179084828864302</v>
      </c>
      <c r="F34">
        <v>0.23953539057688999</v>
      </c>
      <c r="G34">
        <v>0.24113450592529301</v>
      </c>
      <c r="H34">
        <v>0.105737135539617</v>
      </c>
      <c r="I34">
        <v>2.2805091578724102</v>
      </c>
      <c r="J34">
        <v>0.262045261751851</v>
      </c>
      <c r="K34">
        <v>0.32677378357569797</v>
      </c>
      <c r="L34">
        <v>0.10843228665789199</v>
      </c>
      <c r="M34">
        <v>3.0136206995863</v>
      </c>
      <c r="N34">
        <v>0.20302375416464799</v>
      </c>
      <c r="AB34" t="str">
        <f>IF(F34&lt;0.01,"***",IF(F34&lt;0.05,"**",IF(F34&lt;0.1,"*","")))</f>
        <v/>
      </c>
      <c r="AC34" t="str">
        <f>IF(J34&lt;0.01,"***",IF(J34&lt;0.05,"**",IF(J34&lt;0.1,"*","")))</f>
        <v/>
      </c>
      <c r="AD34" t="str">
        <f>IF(N34&lt;0.01,"***",IF(N34&lt;0.05,"**",IF(N34&lt;0.1,"*","")))</f>
        <v/>
      </c>
      <c r="AE34" t="str">
        <f>IF(R34&lt;0.01,"***",IF(R34&lt;0.05,"**",IF(R34&lt;0.1,"*","")))</f>
        <v>***</v>
      </c>
      <c r="AF34" t="str">
        <f>IF(V34&lt;0.01,"***",IF(V34&lt;0.05,"**",IF(V34&lt;0.1,"*","")))</f>
        <v>***</v>
      </c>
      <c r="AG34" t="str">
        <f>IF(Z34&lt;0.01,"***",IF(Z34&lt;0.05,"**",IF(Z34&lt;0.1,"*","")))</f>
        <v>***</v>
      </c>
    </row>
    <row r="35" spans="1:33" x14ac:dyDescent="0.25">
      <c r="A35">
        <v>65</v>
      </c>
      <c r="B35" t="s">
        <v>242</v>
      </c>
      <c r="C35">
        <v>-8.1531174909450402E-2</v>
      </c>
      <c r="D35">
        <v>3.41853898168651E-2</v>
      </c>
      <c r="E35">
        <v>-2.3849713385227398</v>
      </c>
      <c r="F35">
        <v>0.104984269375964</v>
      </c>
      <c r="G35">
        <v>-4.65333912761191E-2</v>
      </c>
      <c r="H35">
        <v>4.0526266143968002E-2</v>
      </c>
      <c r="I35">
        <v>-1.14822794458317</v>
      </c>
      <c r="J35">
        <v>0.34152387834314302</v>
      </c>
      <c r="K35">
        <v>-4.89377575287539E-2</v>
      </c>
      <c r="L35">
        <v>5.9099500392977899E-2</v>
      </c>
      <c r="M35">
        <v>-0.82805704284039205</v>
      </c>
      <c r="N35">
        <v>0.47610763418012197</v>
      </c>
    </row>
    <row r="36" spans="1:33" x14ac:dyDescent="0.25">
      <c r="A36">
        <v>67</v>
      </c>
      <c r="B36" t="s">
        <v>244</v>
      </c>
      <c r="C36">
        <v>-5.7105445149622704E-3</v>
      </c>
      <c r="D36">
        <v>3.1377368897564102E-2</v>
      </c>
      <c r="E36">
        <v>-0.18199564576638499</v>
      </c>
      <c r="F36">
        <v>0.85994310214649605</v>
      </c>
      <c r="G36">
        <v>1.6063161635272799E-2</v>
      </c>
      <c r="H36">
        <v>2.9499021605942699E-2</v>
      </c>
      <c r="I36">
        <v>0.54453201363250503</v>
      </c>
      <c r="J36">
        <v>0.60064530419702</v>
      </c>
      <c r="K36">
        <v>3.0781580080357501E-3</v>
      </c>
      <c r="L36">
        <v>4.52711180838496E-2</v>
      </c>
      <c r="M36">
        <v>6.7993858740897306E-2</v>
      </c>
      <c r="N36">
        <v>0.94746450416503003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245</v>
      </c>
      <c r="C37">
        <v>-9.9060441036063498E-4</v>
      </c>
      <c r="D37">
        <v>0.14506590263571201</v>
      </c>
      <c r="E37">
        <v>-6.8286509259741597E-3</v>
      </c>
      <c r="F37">
        <v>0.99476511123573896</v>
      </c>
      <c r="G37">
        <v>-2.2798327903566801E-2</v>
      </c>
      <c r="H37">
        <v>0.14636035820446999</v>
      </c>
      <c r="I37">
        <v>-0.15576846205662301</v>
      </c>
      <c r="J37">
        <v>0.88115881218805703</v>
      </c>
      <c r="K37">
        <v>-2.33030944585607E-2</v>
      </c>
      <c r="L37">
        <v>0.14509491234281899</v>
      </c>
      <c r="M37">
        <v>-0.16060586882262201</v>
      </c>
      <c r="N37">
        <v>0.87750785427530797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247</v>
      </c>
      <c r="C38">
        <v>2.9381264851460101E-2</v>
      </c>
      <c r="D38">
        <v>4.45098909512067E-2</v>
      </c>
      <c r="E38">
        <v>0.66010642182136203</v>
      </c>
      <c r="F38">
        <v>0.54323749512697295</v>
      </c>
      <c r="G38">
        <v>3.6845617465813003E-2</v>
      </c>
      <c r="H38">
        <v>5.3027198221851202E-2</v>
      </c>
      <c r="I38">
        <v>0.69484375379708196</v>
      </c>
      <c r="J38">
        <v>0.52327383818374595</v>
      </c>
      <c r="K38">
        <v>-9.9066705780291794E-2</v>
      </c>
      <c r="L38">
        <v>0.104295188721298</v>
      </c>
      <c r="M38">
        <v>-0.94986841670157696</v>
      </c>
      <c r="N38">
        <v>0.40261532384547799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249</v>
      </c>
      <c r="C39">
        <v>0.36248164591809201</v>
      </c>
      <c r="D39">
        <v>0.27369331643656603</v>
      </c>
      <c r="E39">
        <v>1.3244081026074499</v>
      </c>
      <c r="F39">
        <v>0.41054213855952898</v>
      </c>
      <c r="G39">
        <v>0.50984437448541597</v>
      </c>
      <c r="H39">
        <v>0.19502168702210401</v>
      </c>
      <c r="I39">
        <v>2.6142957856150102</v>
      </c>
      <c r="J39">
        <v>0.23136338209274299</v>
      </c>
      <c r="K39">
        <v>0.34921947487898303</v>
      </c>
      <c r="L39">
        <v>0.228430844144416</v>
      </c>
      <c r="M39">
        <v>1.5287754864584</v>
      </c>
      <c r="N39">
        <v>0.36785337417524899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4.1130872723730297E-2</v>
      </c>
      <c r="D40">
        <v>5.3674640385158498E-2</v>
      </c>
      <c r="E40">
        <v>0.76629992168710104</v>
      </c>
      <c r="F40">
        <v>0.45814869052059298</v>
      </c>
      <c r="G40">
        <v>4.9984589048145303E-2</v>
      </c>
      <c r="H40">
        <v>6.0371126625335399E-2</v>
      </c>
      <c r="I40">
        <v>0.82795521372908498</v>
      </c>
      <c r="J40">
        <v>0.42368114842018001</v>
      </c>
      <c r="K40">
        <v>8.0851141186314396E-2</v>
      </c>
      <c r="L40">
        <v>7.3495632129434496E-2</v>
      </c>
      <c r="M40">
        <v>1.1000809006435399</v>
      </c>
      <c r="N40">
        <v>0.29266379633676098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0.109527835421025</v>
      </c>
      <c r="D41">
        <v>5.5047151250899103E-2</v>
      </c>
      <c r="E41">
        <v>1.98970942059851</v>
      </c>
      <c r="F41">
        <v>7.0927125422021398E-2</v>
      </c>
      <c r="G41">
        <v>0.117521840782342</v>
      </c>
      <c r="H41">
        <v>6.0608750433971799E-2</v>
      </c>
      <c r="I41">
        <v>1.93902431482022</v>
      </c>
      <c r="J41">
        <v>7.7411489990388702E-2</v>
      </c>
      <c r="K41">
        <v>0.128541811567329</v>
      </c>
      <c r="L41">
        <v>6.9395770442448795E-2</v>
      </c>
      <c r="M41">
        <v>1.85230037432802</v>
      </c>
      <c r="N41">
        <v>8.9820077433813705E-2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0.10957763900013701</v>
      </c>
      <c r="D42">
        <v>5.8744223148303E-2</v>
      </c>
      <c r="E42">
        <v>1.86533471935618</v>
      </c>
      <c r="F42">
        <v>8.7562400799729906E-2</v>
      </c>
      <c r="G42">
        <v>0.116857225620106</v>
      </c>
      <c r="H42">
        <v>6.4234462553903193E-2</v>
      </c>
      <c r="I42">
        <v>1.81922944435075</v>
      </c>
      <c r="J42">
        <v>9.4707334999278803E-2</v>
      </c>
      <c r="K42">
        <v>0.13366464089659799</v>
      </c>
      <c r="L42">
        <v>7.7115279741907405E-2</v>
      </c>
      <c r="M42">
        <v>1.73330942121915</v>
      </c>
      <c r="N42">
        <v>0.109477981902079</v>
      </c>
      <c r="AB42" t="str">
        <f t="shared" si="0"/>
        <v>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0.13862439040739399</v>
      </c>
      <c r="D43">
        <v>5.8255481439580703E-2</v>
      </c>
      <c r="E43">
        <v>2.37959393660093</v>
      </c>
      <c r="F43">
        <v>3.5456441908787502E-2</v>
      </c>
      <c r="G43">
        <v>0.14791103393215299</v>
      </c>
      <c r="H43">
        <v>6.5761118570763999E-2</v>
      </c>
      <c r="I43">
        <v>2.2492171232304901</v>
      </c>
      <c r="J43">
        <v>4.4788805726323697E-2</v>
      </c>
      <c r="K43">
        <v>0.15433458673095499</v>
      </c>
      <c r="L43">
        <v>7.1771362628610294E-2</v>
      </c>
      <c r="M43">
        <v>2.1503644500882402</v>
      </c>
      <c r="N43">
        <v>5.3414322950361401E-2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0.14123739574423699</v>
      </c>
      <c r="D44">
        <v>5.6096832121119801E-2</v>
      </c>
      <c r="E44">
        <v>2.5177428101338899</v>
      </c>
      <c r="F44">
        <v>2.7206885633603701E-2</v>
      </c>
      <c r="G44">
        <v>0.149707235796286</v>
      </c>
      <c r="H44">
        <v>6.24100325678799E-2</v>
      </c>
      <c r="I44">
        <v>2.3987687497752499</v>
      </c>
      <c r="J44">
        <v>3.3796689999611697E-2</v>
      </c>
      <c r="K44">
        <v>0.15524981451303099</v>
      </c>
      <c r="L44">
        <v>6.8243042796162001E-2</v>
      </c>
      <c r="M44">
        <v>2.2749544591197899</v>
      </c>
      <c r="N44">
        <v>4.2293798923730502E-2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1.5831751385086699E-4</v>
      </c>
      <c r="D45">
        <v>1.23357407613016E-4</v>
      </c>
      <c r="E45">
        <v>1.2834050010804701</v>
      </c>
      <c r="F45">
        <v>0.251470791853247</v>
      </c>
      <c r="G45">
        <v>2.8466401685423698E-4</v>
      </c>
      <c r="H45">
        <v>1.0604165109905301E-4</v>
      </c>
      <c r="I45">
        <v>2.68445477700392</v>
      </c>
      <c r="J45">
        <v>4.1667995634800101E-2</v>
      </c>
      <c r="K45">
        <v>2.1842448870791501E-4</v>
      </c>
      <c r="L45">
        <v>2.34249534733668E-4</v>
      </c>
      <c r="M45">
        <v>0.93244363945591002</v>
      </c>
      <c r="N45">
        <v>0.393842592094373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-5.0068256109493496E-3</v>
      </c>
      <c r="D46">
        <v>5.3802353245786102E-3</v>
      </c>
      <c r="E46">
        <v>-0.93059602580515299</v>
      </c>
      <c r="F46">
        <v>0.36893252482514299</v>
      </c>
      <c r="G46">
        <v>-5.1766093417027698E-3</v>
      </c>
      <c r="H46">
        <v>5.8645370258853299E-3</v>
      </c>
      <c r="I46">
        <v>-0.88269701748899598</v>
      </c>
      <c r="J46">
        <v>0.393335648583932</v>
      </c>
      <c r="K46">
        <v>-1.8802217503681301E-2</v>
      </c>
      <c r="L46">
        <v>1.05982692900799E-2</v>
      </c>
      <c r="M46">
        <v>-1.7740837667977001</v>
      </c>
      <c r="N46">
        <v>9.9219935347687305E-2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-5.3415553554367598E-2</v>
      </c>
      <c r="D47">
        <v>1.2920901310269999E-2</v>
      </c>
      <c r="E47">
        <v>-4.1340423761236504</v>
      </c>
      <c r="F47">
        <v>9.7387292602103099E-4</v>
      </c>
      <c r="G47">
        <v>-6.0648369141883998E-2</v>
      </c>
      <c r="H47">
        <v>1.3999015054352E-2</v>
      </c>
      <c r="I47">
        <v>-4.33233116090046</v>
      </c>
      <c r="J47">
        <v>6.5998871606432104E-4</v>
      </c>
      <c r="K47">
        <v>-7.1306722133435196E-2</v>
      </c>
      <c r="L47">
        <v>1.6896232849965599E-2</v>
      </c>
      <c r="M47">
        <v>-4.2202734045287702</v>
      </c>
      <c r="N47">
        <v>8.21322614650042E-4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2.1057384990942301E-3</v>
      </c>
      <c r="D48">
        <v>9.3966928268942405E-3</v>
      </c>
      <c r="E48">
        <v>0.224093576100242</v>
      </c>
      <c r="F48">
        <v>0.82767898084705005</v>
      </c>
      <c r="G48">
        <v>5.0032665516908201E-4</v>
      </c>
      <c r="H48">
        <v>1.07262378011879E-2</v>
      </c>
      <c r="I48">
        <v>4.6645120539251198E-2</v>
      </c>
      <c r="J48">
        <v>0.96382964038852403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-6.2076319939863497E-2</v>
      </c>
      <c r="D49">
        <v>3.03168800264348E-2</v>
      </c>
      <c r="E49">
        <v>-2.0475827290188202</v>
      </c>
      <c r="F49">
        <v>6.2785072186669399E-2</v>
      </c>
      <c r="G49">
        <v>-8.2096598757886399E-2</v>
      </c>
      <c r="H49">
        <v>3.9614175794389701E-2</v>
      </c>
      <c r="I49">
        <v>-2.0724045650727199</v>
      </c>
      <c r="J49">
        <v>5.9812157030706498E-2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8.1463656364323396E-5</v>
      </c>
      <c r="D50">
        <v>8.6302667554788003E-3</v>
      </c>
      <c r="E50">
        <v>9.4392976106569808E-3</v>
      </c>
      <c r="F50">
        <v>0.99265581238990097</v>
      </c>
      <c r="G50">
        <v>1.3681296248967E-3</v>
      </c>
      <c r="H50">
        <v>9.8171130300560606E-3</v>
      </c>
      <c r="I50">
        <v>0.13936170651270199</v>
      </c>
      <c r="J50">
        <v>0.89229808354464302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-5.1434487617104396E-3</v>
      </c>
      <c r="D51">
        <v>7.2787530147312898E-3</v>
      </c>
      <c r="E51">
        <v>-0.70663872661989502</v>
      </c>
      <c r="F51">
        <v>0.492435721763817</v>
      </c>
      <c r="G51">
        <v>-7.3926593980491399E-3</v>
      </c>
      <c r="H51">
        <v>9.5270448705793102E-3</v>
      </c>
      <c r="I51">
        <v>-0.77596563241541805</v>
      </c>
      <c r="J51">
        <v>0.45328785789882697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2.4138394188672301E-2</v>
      </c>
      <c r="D52">
        <v>1.31321259535809E-2</v>
      </c>
      <c r="E52">
        <v>1.8381177787965199</v>
      </c>
      <c r="F52">
        <v>0.106820000486852</v>
      </c>
      <c r="G52">
        <v>3.9663138307826702E-2</v>
      </c>
      <c r="H52">
        <v>1.61126233609994E-2</v>
      </c>
      <c r="I52">
        <v>2.4616189070633498</v>
      </c>
      <c r="J52">
        <v>4.1748481219982099E-2</v>
      </c>
      <c r="AB52" t="str">
        <f t="shared" si="0"/>
        <v/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-7.4610192508516304E-3</v>
      </c>
      <c r="D53">
        <v>1.0982323234843199E-2</v>
      </c>
      <c r="E53">
        <v>-0.67936620433646799</v>
      </c>
      <c r="F53">
        <v>0.51089374883290695</v>
      </c>
      <c r="G53">
        <v>-5.9847979390885301E-3</v>
      </c>
      <c r="H53">
        <v>1.4060396570208199E-2</v>
      </c>
      <c r="I53">
        <v>-0.42564929866696599</v>
      </c>
      <c r="J53">
        <v>0.678411523781693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1.3093325632067899E-2</v>
      </c>
      <c r="D54">
        <v>7.3938773884765297E-3</v>
      </c>
      <c r="E54">
        <v>1.77083348074909</v>
      </c>
      <c r="F54">
        <v>0.10052413498362001</v>
      </c>
      <c r="G54">
        <v>1.29994390218327E-2</v>
      </c>
      <c r="H54">
        <v>1.04353613903328E-2</v>
      </c>
      <c r="I54">
        <v>1.2457104776337999</v>
      </c>
      <c r="J54">
        <v>0.235103855368756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2.57118128327434E-6</v>
      </c>
      <c r="D55">
        <v>5.84634198189214E-6</v>
      </c>
      <c r="E55">
        <v>0.43979317173679799</v>
      </c>
      <c r="F55">
        <v>0.66931131122406895</v>
      </c>
      <c r="G55">
        <v>5.4218083838958398E-6</v>
      </c>
      <c r="H55">
        <v>7.2225397373721799E-6</v>
      </c>
      <c r="I55">
        <v>0.75067892750265297</v>
      </c>
      <c r="J55">
        <v>0.47407465948476901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1.2724522131438001E-5</v>
      </c>
      <c r="D56">
        <v>2.9779009043240699E-6</v>
      </c>
      <c r="E56">
        <v>4.2729837359467897</v>
      </c>
      <c r="F56">
        <v>8.5713793711547203E-4</v>
      </c>
      <c r="G56">
        <v>1.5808090417409801E-5</v>
      </c>
      <c r="H56">
        <v>3.5980549952006501E-6</v>
      </c>
      <c r="I56">
        <v>4.39350994870723</v>
      </c>
      <c r="J56">
        <v>8.3186509012258799E-4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-0.249457634649182</v>
      </c>
      <c r="D57">
        <v>0.22236564738182199</v>
      </c>
      <c r="E57">
        <v>-1.1218353085845201</v>
      </c>
      <c r="F57">
        <v>0.32274447652836902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-0.18173395122370001</v>
      </c>
      <c r="D58">
        <v>6.1078741076768202E-2</v>
      </c>
      <c r="E58">
        <v>-2.97540433905283</v>
      </c>
      <c r="F58">
        <v>1.25644911060358E-2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-0.62211008067036799</v>
      </c>
      <c r="D59">
        <v>0.15535993049138799</v>
      </c>
      <c r="E59">
        <v>-4.0043148751592303</v>
      </c>
      <c r="F59">
        <v>1.6418058169611401E-3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8.3876975923708394E-2</v>
      </c>
      <c r="D60">
        <v>4.9645436519447202E-2</v>
      </c>
      <c r="E60">
        <v>1.6895203628807201</v>
      </c>
      <c r="F60">
        <v>0.111639162912788</v>
      </c>
      <c r="AB60" t="str">
        <f t="shared" si="0"/>
        <v/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-0.74633450261979295</v>
      </c>
      <c r="D61">
        <v>0.11312376511601301</v>
      </c>
      <c r="E61">
        <v>-6.5975040863818197</v>
      </c>
      <c r="F61">
        <v>1.6767247317651798E-5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1548-9780-4D37-9CC0-FD18615336BD}">
  <sheetPr codeName="Sheet20"/>
  <dimension ref="A1:AG66"/>
  <sheetViews>
    <sheetView workbookViewId="0">
      <selection activeCell="B1" sqref="B1:Z1048576"/>
    </sheetView>
  </sheetViews>
  <sheetFormatPr defaultColWidth="11.42578125" defaultRowHeight="15" x14ac:dyDescent="0.25"/>
  <sheetData>
    <row r="1" spans="1:33" x14ac:dyDescent="0.25">
      <c r="B1" t="s">
        <v>280</v>
      </c>
      <c r="C1" t="s">
        <v>281</v>
      </c>
      <c r="D1" t="s">
        <v>282</v>
      </c>
      <c r="E1" t="s">
        <v>283</v>
      </c>
      <c r="F1" t="s">
        <v>284</v>
      </c>
      <c r="G1" t="s">
        <v>285</v>
      </c>
      <c r="H1" t="s">
        <v>286</v>
      </c>
      <c r="I1" t="s">
        <v>287</v>
      </c>
      <c r="J1" t="s">
        <v>288</v>
      </c>
      <c r="K1" t="s">
        <v>289</v>
      </c>
      <c r="L1" t="s">
        <v>290</v>
      </c>
      <c r="M1" t="s">
        <v>291</v>
      </c>
      <c r="N1" t="s">
        <v>292</v>
      </c>
      <c r="O1" t="s">
        <v>293</v>
      </c>
      <c r="P1" t="s">
        <v>294</v>
      </c>
      <c r="Q1" t="s">
        <v>295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302</v>
      </c>
      <c r="Y1" t="s">
        <v>303</v>
      </c>
      <c r="Z1" t="s">
        <v>304</v>
      </c>
    </row>
    <row r="2" spans="1:33" x14ac:dyDescent="0.25">
      <c r="A2">
        <v>119</v>
      </c>
      <c r="B2" t="s">
        <v>279</v>
      </c>
      <c r="C2">
        <v>0.48299254302646</v>
      </c>
      <c r="D2">
        <v>15.281991463069099</v>
      </c>
      <c r="E2">
        <v>3.1605340455376801E-2</v>
      </c>
      <c r="F2">
        <v>0.97536475351961305</v>
      </c>
      <c r="G2">
        <v>-9.2390569510261198</v>
      </c>
      <c r="H2">
        <v>18.949814028381201</v>
      </c>
      <c r="I2">
        <v>-0.487553964233568</v>
      </c>
      <c r="J2">
        <v>0.63828248990158798</v>
      </c>
      <c r="K2">
        <v>12.909744885796</v>
      </c>
      <c r="L2">
        <v>0.164461117419057</v>
      </c>
      <c r="M2">
        <v>78.497246573493598</v>
      </c>
      <c r="N2">
        <v>1.4856435054041199E-18</v>
      </c>
      <c r="O2">
        <v>13.1019130590371</v>
      </c>
      <c r="P2">
        <v>7.80815112225626E-2</v>
      </c>
      <c r="Q2">
        <v>167.79789291848601</v>
      </c>
      <c r="R2">
        <v>1.1331414139426001E-23</v>
      </c>
      <c r="S2">
        <v>13.6914671462392</v>
      </c>
      <c r="T2">
        <v>7.0081467642501005E-2</v>
      </c>
      <c r="U2">
        <v>195.36501741205001</v>
      </c>
      <c r="V2">
        <v>1.09401329727834E-25</v>
      </c>
      <c r="W2">
        <v>13.8689095730441</v>
      </c>
      <c r="X2">
        <v>8.4926061844698794E-2</v>
      </c>
      <c r="Y2">
        <v>163.305695234116</v>
      </c>
      <c r="Z2">
        <v>7.3345039810357895E-23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3.98902978545232E-2</v>
      </c>
      <c r="D3">
        <v>1.00086369576175E-2</v>
      </c>
      <c r="E3">
        <v>3.9855874504632798</v>
      </c>
      <c r="F3">
        <v>2.0003572299619899E-3</v>
      </c>
      <c r="G3">
        <v>4.6292648139544201E-2</v>
      </c>
      <c r="H3">
        <v>1.1110861414488599E-2</v>
      </c>
      <c r="I3">
        <v>4.1664319635180203</v>
      </c>
      <c r="J3">
        <v>1.4614245550609601E-3</v>
      </c>
      <c r="K3">
        <v>5.2215610933833E-2</v>
      </c>
      <c r="L3">
        <v>1.33356573917856E-2</v>
      </c>
      <c r="M3">
        <v>3.9154883332558001</v>
      </c>
      <c r="N3">
        <v>2.25909248448491E-3</v>
      </c>
      <c r="O3">
        <v>4.9694581815918903E-2</v>
      </c>
      <c r="P3">
        <v>1.2539574143403299E-2</v>
      </c>
      <c r="Q3">
        <v>3.9630198958599898</v>
      </c>
      <c r="R3">
        <v>2.08149709061284E-3</v>
      </c>
      <c r="S3">
        <v>8.3033689873676403E-2</v>
      </c>
      <c r="T3">
        <v>1.9057470899234898E-2</v>
      </c>
      <c r="U3">
        <v>4.3570151733517797</v>
      </c>
      <c r="V3">
        <v>1.05506647053284E-3</v>
      </c>
      <c r="W3">
        <v>0.14094194116219</v>
      </c>
      <c r="X3">
        <v>9.8698180819543797E-3</v>
      </c>
      <c r="Y3">
        <v>14.2800951336563</v>
      </c>
      <c r="Z3">
        <v>3.3149814771264499E-9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8.7301654950154396E-5</v>
      </c>
      <c r="D4">
        <v>4.71087169870857E-5</v>
      </c>
      <c r="E4">
        <v>1.8531953433180299</v>
      </c>
      <c r="F4">
        <v>8.3722931191660493E-2</v>
      </c>
      <c r="G4">
        <v>1.6519164934192699E-4</v>
      </c>
      <c r="H4">
        <v>7.3140045200496999E-5</v>
      </c>
      <c r="I4">
        <v>2.2585664103582501</v>
      </c>
      <c r="J4">
        <v>3.9343030642515299E-2</v>
      </c>
      <c r="K4">
        <v>2.7991666815657901E-4</v>
      </c>
      <c r="L4">
        <v>1.10065044215747E-4</v>
      </c>
      <c r="M4">
        <v>2.5431931650151598</v>
      </c>
      <c r="N4">
        <v>2.2544382242785699E-2</v>
      </c>
      <c r="O4">
        <v>2.4892693887419899E-4</v>
      </c>
      <c r="P4">
        <v>1.28275722489898E-4</v>
      </c>
      <c r="Q4">
        <v>1.94056158127508</v>
      </c>
      <c r="R4">
        <v>7.1343861028670394E-2</v>
      </c>
      <c r="S4">
        <v>1.9096108160116E-3</v>
      </c>
      <c r="T4">
        <v>2.8910934794073098E-4</v>
      </c>
      <c r="U4">
        <v>6.6051507141273103</v>
      </c>
      <c r="V4">
        <v>9.5858763691223608E-6</v>
      </c>
      <c r="AB4" t="str">
        <f t="shared" si="0"/>
        <v>*</v>
      </c>
      <c r="AC4" t="str">
        <f t="shared" si="1"/>
        <v>**</v>
      </c>
      <c r="AD4" t="str">
        <f t="shared" si="2"/>
        <v>**</v>
      </c>
      <c r="AE4" t="str">
        <f t="shared" si="3"/>
        <v>*</v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2.9924935430027499E-2</v>
      </c>
      <c r="D5">
        <v>8.3650896231690398E-3</v>
      </c>
      <c r="E5">
        <v>3.5773598106042401</v>
      </c>
      <c r="F5">
        <v>3.1374034954240399E-3</v>
      </c>
      <c r="G5">
        <v>3.0856007293286601E-2</v>
      </c>
      <c r="H5">
        <v>7.2220653960631698E-3</v>
      </c>
      <c r="I5">
        <v>4.2724630145424296</v>
      </c>
      <c r="J5">
        <v>8.1403094380906105E-4</v>
      </c>
      <c r="K5">
        <v>3.0736573512280301E-2</v>
      </c>
      <c r="L5">
        <v>9.9872264188156194E-3</v>
      </c>
      <c r="M5">
        <v>3.0775885339270501</v>
      </c>
      <c r="N5">
        <v>8.3846173540850898E-3</v>
      </c>
      <c r="O5">
        <v>2.8927197568500099E-2</v>
      </c>
      <c r="P5">
        <v>1.0820795803804E-2</v>
      </c>
      <c r="Q5">
        <v>2.6732966865829502</v>
      </c>
      <c r="R5">
        <v>1.8480269027745001E-2</v>
      </c>
      <c r="S5">
        <v>9.5689017494948306E-2</v>
      </c>
      <c r="T5">
        <v>1.6892191166439498E-2</v>
      </c>
      <c r="U5">
        <v>5.6646894740960496</v>
      </c>
      <c r="V5">
        <v>6.3953453811178607E-5</v>
      </c>
      <c r="AB5" t="str">
        <f t="shared" si="0"/>
        <v>***</v>
      </c>
      <c r="AC5" t="str">
        <f t="shared" si="1"/>
        <v>***</v>
      </c>
      <c r="AD5" t="str">
        <f t="shared" si="2"/>
        <v>***</v>
      </c>
      <c r="AE5" t="str">
        <f t="shared" si="3"/>
        <v>**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3.6232931150018501E-2</v>
      </c>
      <c r="D6">
        <v>1.14640657023731E-2</v>
      </c>
      <c r="E6">
        <v>3.1605655524565002</v>
      </c>
      <c r="F6">
        <v>7.3075505369058101E-3</v>
      </c>
      <c r="G6">
        <v>4.1196828637822903E-2</v>
      </c>
      <c r="H6">
        <v>8.4864275119001104E-3</v>
      </c>
      <c r="I6">
        <v>4.8544371091433502</v>
      </c>
      <c r="J6">
        <v>2.9246093562124701E-4</v>
      </c>
      <c r="K6">
        <v>3.7264329900665097E-2</v>
      </c>
      <c r="L6">
        <v>1.1268832152734099E-2</v>
      </c>
      <c r="M6">
        <v>3.3068493163796</v>
      </c>
      <c r="N6">
        <v>5.4994646675444103E-3</v>
      </c>
      <c r="O6">
        <v>3.6459701230655797E-2</v>
      </c>
      <c r="P6">
        <v>1.13381242381602E-2</v>
      </c>
      <c r="Q6">
        <v>3.2156731100145399</v>
      </c>
      <c r="R6">
        <v>6.56326124265935E-3</v>
      </c>
      <c r="S6">
        <v>0.13143041214361101</v>
      </c>
      <c r="T6">
        <v>2.0419157970538501E-2</v>
      </c>
      <c r="U6">
        <v>6.43662252543636</v>
      </c>
      <c r="V6">
        <v>1.9547426412100099E-5</v>
      </c>
      <c r="AB6" t="str">
        <f t="shared" si="0"/>
        <v>***</v>
      </c>
      <c r="AC6" t="str">
        <f t="shared" si="1"/>
        <v>***</v>
      </c>
      <c r="AD6" t="str">
        <f t="shared" si="2"/>
        <v>***</v>
      </c>
      <c r="AE6" t="str">
        <f t="shared" si="3"/>
        <v>***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1.1643809375128E-2</v>
      </c>
      <c r="D7">
        <v>1.21398410324269E-2</v>
      </c>
      <c r="E7">
        <v>0.95914018511660004</v>
      </c>
      <c r="F7">
        <v>0.35458860508638501</v>
      </c>
      <c r="G7">
        <v>1.68705333564933E-2</v>
      </c>
      <c r="H7">
        <v>9.1408769186470396E-3</v>
      </c>
      <c r="I7">
        <v>1.8456143219780199</v>
      </c>
      <c r="J7">
        <v>8.7282741524200305E-2</v>
      </c>
      <c r="K7">
        <v>7.5462398751938598E-3</v>
      </c>
      <c r="L7">
        <v>1.04285893496923E-2</v>
      </c>
      <c r="M7">
        <v>0.72361079932795902</v>
      </c>
      <c r="N7">
        <v>0.48182268801735001</v>
      </c>
      <c r="O7">
        <v>9.0877437258155801E-3</v>
      </c>
      <c r="P7">
        <v>9.9666157168052504E-3</v>
      </c>
      <c r="Q7">
        <v>0.91181841299371502</v>
      </c>
      <c r="R7">
        <v>0.378060571369492</v>
      </c>
      <c r="S7">
        <v>8.86872059307484E-2</v>
      </c>
      <c r="T7">
        <v>1.48329083590822E-2</v>
      </c>
      <c r="U7">
        <v>5.9790840598327604</v>
      </c>
      <c r="V7">
        <v>4.1136596359127601E-5</v>
      </c>
      <c r="AB7" t="str">
        <f t="shared" si="0"/>
        <v/>
      </c>
      <c r="AC7" t="str">
        <f t="shared" si="1"/>
        <v>*</v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-2.7426360798210999E-3</v>
      </c>
      <c r="D8">
        <v>1.7118173684849101E-2</v>
      </c>
      <c r="E8">
        <v>-0.16021779719693699</v>
      </c>
      <c r="F8">
        <v>0.87545298833575502</v>
      </c>
      <c r="G8">
        <v>-4.7639128410406802E-4</v>
      </c>
      <c r="H8">
        <v>1.49315424444355E-2</v>
      </c>
      <c r="I8">
        <v>-3.1905028290068103E-2</v>
      </c>
      <c r="J8">
        <v>0.97508745155986998</v>
      </c>
      <c r="K8">
        <v>-1.45512090572991E-2</v>
      </c>
      <c r="L8">
        <v>1.5961608988781299E-2</v>
      </c>
      <c r="M8">
        <v>-0.911637985088255</v>
      </c>
      <c r="N8">
        <v>0.38042877654664697</v>
      </c>
      <c r="O8">
        <v>-1.0644446777558899E-2</v>
      </c>
      <c r="P8">
        <v>1.48271117655049E-2</v>
      </c>
      <c r="Q8">
        <v>-0.71790426523411499</v>
      </c>
      <c r="R8">
        <v>0.48697936927255198</v>
      </c>
      <c r="S8">
        <v>5.4339652194711402E-2</v>
      </c>
      <c r="T8">
        <v>2.3186844712324399E-2</v>
      </c>
      <c r="U8">
        <v>2.3435552732118201</v>
      </c>
      <c r="V8">
        <v>3.7763900557739503E-2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0.12498331514286699</v>
      </c>
      <c r="D9">
        <v>1.7541947961711501E-2</v>
      </c>
      <c r="E9">
        <v>7.1248253281600302</v>
      </c>
      <c r="F9">
        <v>1.33025859553438E-5</v>
      </c>
      <c r="G9">
        <v>0.122298378428018</v>
      </c>
      <c r="H9">
        <v>1.60629704918945E-2</v>
      </c>
      <c r="I9">
        <v>7.61368381332273</v>
      </c>
      <c r="J9">
        <v>6.8985082674582801E-6</v>
      </c>
      <c r="K9">
        <v>0.109701556039051</v>
      </c>
      <c r="L9">
        <v>1.7578679768731599E-2</v>
      </c>
      <c r="M9">
        <v>6.2406026779203696</v>
      </c>
      <c r="N9">
        <v>4.6605628834526299E-5</v>
      </c>
      <c r="O9">
        <v>0.113029420439042</v>
      </c>
      <c r="P9">
        <v>1.6809136371147101E-2</v>
      </c>
      <c r="Q9">
        <v>6.7242848141238998</v>
      </c>
      <c r="R9">
        <v>2.3377739885013401E-5</v>
      </c>
      <c r="S9">
        <v>0.21930018331463999</v>
      </c>
      <c r="T9">
        <v>2.8243988809807202E-2</v>
      </c>
      <c r="U9">
        <v>7.76449051836798</v>
      </c>
      <c r="V9">
        <v>5.7467921505694597E-6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0.16730312314191501</v>
      </c>
      <c r="D10">
        <v>1.82486997972214E-2</v>
      </c>
      <c r="E10">
        <v>9.1679475798812096</v>
      </c>
      <c r="F10">
        <v>1.06426115062586E-6</v>
      </c>
      <c r="G10">
        <v>0.16693595757969401</v>
      </c>
      <c r="H10">
        <v>1.7340489081156402E-2</v>
      </c>
      <c r="I10">
        <v>9.62694632189476</v>
      </c>
      <c r="J10">
        <v>6.3599243378542803E-7</v>
      </c>
      <c r="K10">
        <v>0.14156179662132801</v>
      </c>
      <c r="L10">
        <v>1.8971601734596302E-2</v>
      </c>
      <c r="M10">
        <v>7.4617735814671704</v>
      </c>
      <c r="N10">
        <v>8.5816623329890402E-6</v>
      </c>
      <c r="O10">
        <v>0.139315277886364</v>
      </c>
      <c r="P10">
        <v>1.8901594436553201E-2</v>
      </c>
      <c r="Q10">
        <v>7.37055693126851</v>
      </c>
      <c r="R10">
        <v>9.7125539916849994E-6</v>
      </c>
      <c r="S10">
        <v>0.24249738936481499</v>
      </c>
      <c r="T10">
        <v>2.63043499031878E-2</v>
      </c>
      <c r="U10">
        <v>9.2189082892114307</v>
      </c>
      <c r="V10">
        <v>1.00289276404592E-6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213</v>
      </c>
      <c r="C11">
        <v>0.13231965108914401</v>
      </c>
      <c r="D11">
        <v>2.8891508039001399E-2</v>
      </c>
      <c r="E11">
        <v>4.5798803894390803</v>
      </c>
      <c r="F11">
        <v>4.4715858120240599E-4</v>
      </c>
      <c r="G11">
        <v>0.13254957183107099</v>
      </c>
      <c r="H11">
        <v>2.7640717136047099E-2</v>
      </c>
      <c r="I11">
        <v>4.7954461955044101</v>
      </c>
      <c r="J11">
        <v>2.9844027662968099E-4</v>
      </c>
      <c r="K11">
        <v>0.10225830678455</v>
      </c>
      <c r="L11">
        <v>4.4024951685485002E-2</v>
      </c>
      <c r="M11">
        <v>2.3227352414849798</v>
      </c>
      <c r="N11">
        <v>3.6044944736873197E-2</v>
      </c>
      <c r="O11">
        <v>3.2140959645783999E-2</v>
      </c>
      <c r="P11">
        <v>4.0666161476095898E-2</v>
      </c>
      <c r="Q11">
        <v>0.79036128513572501</v>
      </c>
      <c r="R11">
        <v>0.44346228749233502</v>
      </c>
      <c r="S11">
        <v>0.19460249367123</v>
      </c>
      <c r="T11">
        <v>5.7211835450620897E-2</v>
      </c>
      <c r="U11">
        <v>3.4014376944642901</v>
      </c>
      <c r="V11">
        <v>4.7272398547928297E-3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-3.18756566137239E-2</v>
      </c>
      <c r="D12">
        <v>5.2739190054434601E-3</v>
      </c>
      <c r="E12">
        <v>-6.0440170925688204</v>
      </c>
      <c r="F12">
        <v>1.76565845883243E-5</v>
      </c>
      <c r="G12">
        <v>-4.5732522542315503E-2</v>
      </c>
      <c r="H12">
        <v>7.8618447949209795E-3</v>
      </c>
      <c r="I12">
        <v>-5.8170217977160004</v>
      </c>
      <c r="J12">
        <v>2.8296481639581701E-5</v>
      </c>
      <c r="K12">
        <v>-7.0792758491644098E-2</v>
      </c>
      <c r="L12">
        <v>9.3571917072340794E-3</v>
      </c>
      <c r="M12">
        <v>-7.5655988149643196</v>
      </c>
      <c r="N12">
        <v>1.4232215521248499E-6</v>
      </c>
      <c r="O12">
        <v>-7.09922298116792E-2</v>
      </c>
      <c r="P12">
        <v>9.3927274125950797E-3</v>
      </c>
      <c r="Q12">
        <v>-7.55821250774114</v>
      </c>
      <c r="R12">
        <v>1.40391438846245E-6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6.5573067805682103E-2</v>
      </c>
      <c r="D13">
        <v>6.3235574047687997E-3</v>
      </c>
      <c r="E13">
        <v>10.3696485393224</v>
      </c>
      <c r="F13">
        <v>2.4093598157974502E-8</v>
      </c>
      <c r="G13">
        <v>7.5806613811088594E-2</v>
      </c>
      <c r="H13">
        <v>6.6805250380046503E-3</v>
      </c>
      <c r="I13">
        <v>11.3474035917588</v>
      </c>
      <c r="J13">
        <v>6.9458018802771004E-9</v>
      </c>
      <c r="K13">
        <v>0.103388293095848</v>
      </c>
      <c r="L13">
        <v>1.5321332803771801E-2</v>
      </c>
      <c r="M13">
        <v>6.7479960405531196</v>
      </c>
      <c r="N13">
        <v>5.9153497889798203E-6</v>
      </c>
      <c r="O13">
        <v>0.10086568170973</v>
      </c>
      <c r="P13">
        <v>1.5666058505733299E-2</v>
      </c>
      <c r="Q13">
        <v>6.4384849368982202</v>
      </c>
      <c r="R13">
        <v>1.02025903787308E-5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3.96798148263902E-2</v>
      </c>
      <c r="D14">
        <v>6.6772911936723899E-3</v>
      </c>
      <c r="E14">
        <v>5.9425017833567004</v>
      </c>
      <c r="F14">
        <v>2.6452305442919801E-5</v>
      </c>
      <c r="G14">
        <v>4.5308660953931698E-2</v>
      </c>
      <c r="H14">
        <v>8.2383147191577698E-3</v>
      </c>
      <c r="I14">
        <v>5.4997487348436396</v>
      </c>
      <c r="J14">
        <v>5.9727949378815897E-5</v>
      </c>
      <c r="K14">
        <v>3.2361958372714897E-2</v>
      </c>
      <c r="L14">
        <v>8.5945441973292701E-3</v>
      </c>
      <c r="M14">
        <v>3.7654071733985899</v>
      </c>
      <c r="N14">
        <v>1.85218190810751E-3</v>
      </c>
      <c r="O14">
        <v>2.9825407963106398E-2</v>
      </c>
      <c r="P14">
        <v>1.04206563030722E-2</v>
      </c>
      <c r="Q14">
        <v>2.86214294912629</v>
      </c>
      <c r="R14">
        <v>1.1975331310800899E-2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-4.4000654714457903E-2</v>
      </c>
      <c r="D15">
        <v>9.0496091913473808E-3</v>
      </c>
      <c r="E15">
        <v>-4.8621607612103697</v>
      </c>
      <c r="F15">
        <v>1.8664014066747199E-4</v>
      </c>
      <c r="G15">
        <v>-5.0017256298763003E-2</v>
      </c>
      <c r="H15">
        <v>9.4725447569048802E-3</v>
      </c>
      <c r="I15">
        <v>-5.2802343596533197</v>
      </c>
      <c r="J15">
        <v>8.2773396493707294E-5</v>
      </c>
      <c r="K15">
        <v>-4.0431824040985102E-2</v>
      </c>
      <c r="L15">
        <v>2.2607153948053901E-2</v>
      </c>
      <c r="M15">
        <v>-1.7884526346787499</v>
      </c>
      <c r="N15">
        <v>9.3317868136600896E-2</v>
      </c>
      <c r="O15">
        <v>-4.3918559483536297E-2</v>
      </c>
      <c r="P15">
        <v>2.62550858835085E-2</v>
      </c>
      <c r="Q15">
        <v>-1.6727638857628999</v>
      </c>
      <c r="R15">
        <v>0.11459481132327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/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-7.3073385726798196E-2</v>
      </c>
      <c r="D16">
        <v>1.48307349625576E-2</v>
      </c>
      <c r="E16">
        <v>-4.9271587626157904</v>
      </c>
      <c r="F16">
        <v>2.6251268700562899E-4</v>
      </c>
      <c r="G16">
        <v>-9.0179792598293895E-2</v>
      </c>
      <c r="H16">
        <v>1.72275733544488E-2</v>
      </c>
      <c r="I16">
        <v>-5.23461956846094</v>
      </c>
      <c r="J16">
        <v>1.5212470189398099E-4</v>
      </c>
      <c r="K16">
        <v>-4.1377560694700603E-2</v>
      </c>
      <c r="L16">
        <v>4.1192967479903697E-2</v>
      </c>
      <c r="M16">
        <v>-1.00448118273798</v>
      </c>
      <c r="N16">
        <v>0.333347827029147</v>
      </c>
      <c r="O16">
        <v>-3.0985298857011099E-2</v>
      </c>
      <c r="P16">
        <v>4.48479072402291E-2</v>
      </c>
      <c r="Q16">
        <v>-0.69089731859811099</v>
      </c>
      <c r="R16">
        <v>0.50165949671446097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1.8168203680131399E-4</v>
      </c>
      <c r="D17">
        <v>9.9971255156557702E-6</v>
      </c>
      <c r="E17">
        <v>18.1734276034441</v>
      </c>
      <c r="F17">
        <v>5.7357757825659602E-11</v>
      </c>
      <c r="G17">
        <v>1.9915850124484701E-4</v>
      </c>
      <c r="H17">
        <v>1.2098954856813399E-5</v>
      </c>
      <c r="I17">
        <v>16.460802077684601</v>
      </c>
      <c r="J17">
        <v>2.5241142078185802E-10</v>
      </c>
      <c r="K17">
        <v>2.5089047108654502E-4</v>
      </c>
      <c r="L17">
        <v>1.7044055531018699E-5</v>
      </c>
      <c r="M17">
        <v>14.7201157981413</v>
      </c>
      <c r="N17">
        <v>1.03275533915287E-9</v>
      </c>
      <c r="O17">
        <v>2.5798363607913098E-4</v>
      </c>
      <c r="P17">
        <v>1.6265309557673898E-5</v>
      </c>
      <c r="Q17">
        <v>15.860973021409</v>
      </c>
      <c r="R17">
        <v>3.3452613198104701E-10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-9.9550237023505604E-4</v>
      </c>
      <c r="D18">
        <v>8.1603033156141605E-4</v>
      </c>
      <c r="E18">
        <v>-1.2199330487265501</v>
      </c>
      <c r="F18">
        <v>0.24256506064411101</v>
      </c>
      <c r="G18">
        <v>-1.8428668863882901E-3</v>
      </c>
      <c r="H18">
        <v>9.1331942456176097E-4</v>
      </c>
      <c r="I18">
        <v>-2.0177681945969299</v>
      </c>
      <c r="J18">
        <v>6.3095120882400199E-2</v>
      </c>
      <c r="K18">
        <v>4.3229097234786899E-3</v>
      </c>
      <c r="L18">
        <v>1.96163766339312E-3</v>
      </c>
      <c r="M18">
        <v>2.2037248795484401</v>
      </c>
      <c r="N18">
        <v>4.5465673790775603E-2</v>
      </c>
      <c r="O18">
        <v>4.1893761152091901E-3</v>
      </c>
      <c r="P18">
        <v>1.85638879197798E-3</v>
      </c>
      <c r="Q18">
        <v>2.2567342214695199</v>
      </c>
      <c r="R18">
        <v>4.2108344898694201E-2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2.07099653869878E-2</v>
      </c>
      <c r="D19">
        <v>9.0903367828924601E-3</v>
      </c>
      <c r="E19">
        <v>2.2782396165962702</v>
      </c>
      <c r="F19">
        <v>3.94777479507313E-2</v>
      </c>
      <c r="G19">
        <v>3.06227208212103E-2</v>
      </c>
      <c r="H19">
        <v>1.08904607902475E-2</v>
      </c>
      <c r="I19">
        <v>2.8118847687908102</v>
      </c>
      <c r="J19">
        <v>1.39576686924312E-2</v>
      </c>
      <c r="K19">
        <v>5.3205917638592002E-3</v>
      </c>
      <c r="L19">
        <v>2.1368006550911301E-2</v>
      </c>
      <c r="M19">
        <v>0.24899804065402101</v>
      </c>
      <c r="N19">
        <v>0.80706552631110595</v>
      </c>
      <c r="O19">
        <v>4.5121493994367198E-3</v>
      </c>
      <c r="P19">
        <v>2.1446052157304801E-2</v>
      </c>
      <c r="Q19">
        <v>0.21039533832802901</v>
      </c>
      <c r="R19">
        <v>0.83651443208490694</v>
      </c>
      <c r="AB19" t="str">
        <f t="shared" si="0"/>
        <v>**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-4.1762316867947999E-2</v>
      </c>
      <c r="D20">
        <v>1.3847756435755599E-2</v>
      </c>
      <c r="E20">
        <v>-3.0158182707572401</v>
      </c>
      <c r="F20">
        <v>1.3468617364085399E-2</v>
      </c>
      <c r="G20">
        <v>-5.7355935449885799E-2</v>
      </c>
      <c r="H20">
        <v>1.5767017171115501E-2</v>
      </c>
      <c r="I20">
        <v>-3.6377163053363999</v>
      </c>
      <c r="J20">
        <v>4.7852776407414704E-3</v>
      </c>
      <c r="K20">
        <v>-3.2689848563907199E-2</v>
      </c>
      <c r="L20">
        <v>3.1196086400884799E-2</v>
      </c>
      <c r="M20">
        <v>-1.0478829986501099</v>
      </c>
      <c r="N20">
        <v>0.32021432128949601</v>
      </c>
      <c r="O20">
        <v>-3.3541736591175098E-2</v>
      </c>
      <c r="P20">
        <v>3.1868671283571501E-2</v>
      </c>
      <c r="Q20">
        <v>-1.05249874689523</v>
      </c>
      <c r="R20">
        <v>0.31821211132393801</v>
      </c>
      <c r="AB20" t="str">
        <f t="shared" si="0"/>
        <v>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227</v>
      </c>
      <c r="C21">
        <v>0.11577415143897</v>
      </c>
      <c r="D21">
        <v>1.02334321039796E-2</v>
      </c>
      <c r="E21">
        <v>11.3133257994596</v>
      </c>
      <c r="F21">
        <v>3.0070036584696403E-8</v>
      </c>
      <c r="G21">
        <v>0.121048142764707</v>
      </c>
      <c r="H21">
        <v>1.19034090629956E-2</v>
      </c>
      <c r="I21">
        <v>10.1691996069439</v>
      </c>
      <c r="J21">
        <v>1.10217011273642E-7</v>
      </c>
      <c r="K21">
        <v>0.15535419809002399</v>
      </c>
      <c r="L21">
        <v>2.14399043013947E-2</v>
      </c>
      <c r="M21">
        <v>7.2460303882941304</v>
      </c>
      <c r="N21">
        <v>5.3610438248637997E-6</v>
      </c>
      <c r="O21">
        <v>0.15300924592485601</v>
      </c>
      <c r="P21">
        <v>2.2146065776933802E-2</v>
      </c>
      <c r="Q21">
        <v>6.9090938077237301</v>
      </c>
      <c r="R21">
        <v>8.6453926066992002E-6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229</v>
      </c>
      <c r="C22">
        <v>5.7736056157170201E-2</v>
      </c>
      <c r="D22">
        <v>3.9483241096201502E-3</v>
      </c>
      <c r="E22">
        <v>14.6229272355062</v>
      </c>
      <c r="F22">
        <v>4.1092654762741101E-10</v>
      </c>
      <c r="G22">
        <v>6.1632948986725097E-2</v>
      </c>
      <c r="H22">
        <v>4.0954912912683199E-3</v>
      </c>
      <c r="I22">
        <v>15.0489757158385</v>
      </c>
      <c r="J22">
        <v>2.7729472497527499E-10</v>
      </c>
      <c r="K22">
        <v>7.5996665710191993E-2</v>
      </c>
      <c r="L22">
        <v>9.5579849718338706E-3</v>
      </c>
      <c r="M22">
        <v>7.9511179327174402</v>
      </c>
      <c r="N22">
        <v>1.12587264449797E-6</v>
      </c>
      <c r="O22">
        <v>7.3764711875922498E-2</v>
      </c>
      <c r="P22">
        <v>1.09665593820683E-2</v>
      </c>
      <c r="Q22">
        <v>6.7263313228884503</v>
      </c>
      <c r="R22">
        <v>7.5632076282477004E-6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233</v>
      </c>
      <c r="C23">
        <v>-5.1449837313865501E-2</v>
      </c>
      <c r="D23">
        <v>1.03888576035122E-2</v>
      </c>
      <c r="E23">
        <v>-4.9524056712907303</v>
      </c>
      <c r="F23">
        <v>1.32548808811114E-4</v>
      </c>
      <c r="G23">
        <v>-4.6983234181148102E-2</v>
      </c>
      <c r="H23">
        <v>1.25246691006162E-2</v>
      </c>
      <c r="I23">
        <v>-3.7512555264902399</v>
      </c>
      <c r="J23">
        <v>1.6676995882726801E-3</v>
      </c>
      <c r="K23">
        <v>-4.1738379093848997E-2</v>
      </c>
      <c r="L23">
        <v>1.6649748732340298E-2</v>
      </c>
      <c r="M23">
        <v>-2.5068473863978902</v>
      </c>
      <c r="N23">
        <v>2.29983657204752E-2</v>
      </c>
      <c r="O23">
        <v>-4.1394474311963698E-2</v>
      </c>
      <c r="P23">
        <v>1.7525256254820199E-2</v>
      </c>
      <c r="Q23">
        <v>-2.3619896742210802</v>
      </c>
      <c r="R23">
        <v>3.07339147317977E-2</v>
      </c>
      <c r="AB23" t="str">
        <f t="shared" si="0"/>
        <v>***</v>
      </c>
      <c r="AC23" t="str">
        <f t="shared" si="1"/>
        <v>***</v>
      </c>
      <c r="AD23" t="str">
        <f t="shared" si="2"/>
        <v>**</v>
      </c>
      <c r="AE23" t="str">
        <f t="shared" si="3"/>
        <v>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1.7638069103763001E-2</v>
      </c>
      <c r="D24">
        <v>1.4036535065306201E-2</v>
      </c>
      <c r="E24">
        <v>1.25658284054436</v>
      </c>
      <c r="F24">
        <v>0.23080233590535701</v>
      </c>
      <c r="G24">
        <v>2.325004555488E-2</v>
      </c>
      <c r="H24">
        <v>1.42835470283181E-2</v>
      </c>
      <c r="I24">
        <v>1.6277501315874201</v>
      </c>
      <c r="J24">
        <v>0.12733686627871099</v>
      </c>
      <c r="K24">
        <v>3.30758878749055E-2</v>
      </c>
      <c r="L24">
        <v>1.7750916072417001E-2</v>
      </c>
      <c r="M24">
        <v>1.8633341366703799</v>
      </c>
      <c r="N24">
        <v>8.4998045778994696E-2</v>
      </c>
      <c r="AB24" t="str">
        <f t="shared" si="0"/>
        <v/>
      </c>
      <c r="AC24" t="str">
        <f t="shared" si="1"/>
        <v/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-5.10260354782551E-2</v>
      </c>
      <c r="D25">
        <v>2.3607518211659202E-2</v>
      </c>
      <c r="E25">
        <v>-2.1614315838186999</v>
      </c>
      <c r="F25">
        <v>9.5173749103505803E-2</v>
      </c>
      <c r="G25">
        <v>-4.9118670155392501E-2</v>
      </c>
      <c r="H25">
        <v>2.63847142711355E-2</v>
      </c>
      <c r="I25">
        <v>-1.86163358263567</v>
      </c>
      <c r="J25">
        <v>0.13448968602297101</v>
      </c>
      <c r="K25">
        <v>-7.4364886461694799E-2</v>
      </c>
      <c r="L25">
        <v>3.2641805234461301E-2</v>
      </c>
      <c r="M25">
        <v>-2.2782099803470701</v>
      </c>
      <c r="N25">
        <v>8.3395674940299702E-2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</row>
    <row r="27" spans="1:33" x14ac:dyDescent="0.25">
      <c r="A27">
        <v>49</v>
      </c>
    </row>
    <row r="28" spans="1:33" x14ac:dyDescent="0.25">
      <c r="A28">
        <v>51</v>
      </c>
    </row>
    <row r="29" spans="1:33" x14ac:dyDescent="0.25">
      <c r="A29">
        <v>53</v>
      </c>
    </row>
    <row r="30" spans="1:33" x14ac:dyDescent="0.25">
      <c r="A30">
        <v>55</v>
      </c>
      <c r="B30" t="s">
        <v>29</v>
      </c>
      <c r="C30">
        <v>-3.2277846584401797E-2</v>
      </c>
      <c r="D30">
        <v>1.78408318018843E-2</v>
      </c>
      <c r="E30">
        <v>-1.8092119774927</v>
      </c>
      <c r="F30">
        <v>8.9914159475911096E-2</v>
      </c>
      <c r="G30">
        <v>-3.7928124300431298E-2</v>
      </c>
      <c r="H30">
        <v>2.2375684348425101E-2</v>
      </c>
      <c r="I30">
        <v>-1.69505985648661</v>
      </c>
      <c r="J30">
        <v>0.110086368126741</v>
      </c>
      <c r="K30">
        <v>-3.91233857175231E-2</v>
      </c>
      <c r="L30">
        <v>2.45699155846048E-2</v>
      </c>
      <c r="M30">
        <v>-1.5923288618068101</v>
      </c>
      <c r="N30">
        <v>0.131549406315185</v>
      </c>
      <c r="AB30" t="str">
        <f t="shared" si="0"/>
        <v>*</v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</row>
    <row r="32" spans="1:33" x14ac:dyDescent="0.25">
      <c r="A32">
        <v>59</v>
      </c>
      <c r="B32" t="s">
        <v>28</v>
      </c>
      <c r="C32">
        <v>7.4504817348609503E-2</v>
      </c>
      <c r="D32">
        <v>1.70085874786138E-2</v>
      </c>
      <c r="E32">
        <v>4.3804235620559302</v>
      </c>
      <c r="F32">
        <v>9.5596381388257505E-4</v>
      </c>
      <c r="G32">
        <v>9.2161472133080999E-2</v>
      </c>
      <c r="H32">
        <v>2.0224705382844599E-2</v>
      </c>
      <c r="I32">
        <v>4.5568758796979099</v>
      </c>
      <c r="J32">
        <v>7.0407309012588098E-4</v>
      </c>
      <c r="K32">
        <v>7.9193262373523102E-2</v>
      </c>
      <c r="L32">
        <v>3.9221612130495201E-2</v>
      </c>
      <c r="M32">
        <v>2.0191230821934898</v>
      </c>
      <c r="N32">
        <v>6.7650292346584706E-2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239</v>
      </c>
      <c r="C33">
        <v>7.5684867555708699E-3</v>
      </c>
      <c r="D33">
        <v>9.2105565366196504E-2</v>
      </c>
      <c r="E33">
        <v>8.2171872301959395E-2</v>
      </c>
      <c r="F33">
        <v>0.94061339517175602</v>
      </c>
      <c r="G33">
        <v>-1.9997414990446799E-2</v>
      </c>
      <c r="H33">
        <v>9.5537373961093394E-2</v>
      </c>
      <c r="I33">
        <v>-0.20931510006325399</v>
      </c>
      <c r="J33">
        <v>0.85034349236297102</v>
      </c>
      <c r="K33">
        <v>-5.2193391297132199E-2</v>
      </c>
      <c r="L33">
        <v>6.1457015107133299E-2</v>
      </c>
      <c r="M33">
        <v>-0.84926661677511395</v>
      </c>
      <c r="N33">
        <v>0.49000163783593398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240</v>
      </c>
      <c r="C34">
        <v>0.183886873357202</v>
      </c>
      <c r="D34">
        <v>7.4459109480432994E-2</v>
      </c>
      <c r="E34">
        <v>2.4696356784326801</v>
      </c>
      <c r="F34">
        <v>0.24364132747832401</v>
      </c>
      <c r="G34">
        <v>0.23231680771739199</v>
      </c>
      <c r="H34">
        <v>0.103323291803012</v>
      </c>
      <c r="I34">
        <v>2.24844566663932</v>
      </c>
      <c r="J34">
        <v>0.26523486923900202</v>
      </c>
      <c r="K34">
        <v>0.31124998679621901</v>
      </c>
      <c r="L34">
        <v>0.105239400041522</v>
      </c>
      <c r="M34">
        <v>2.9575423907150298</v>
      </c>
      <c r="N34">
        <v>0.20649101423631</v>
      </c>
      <c r="AB34" t="str">
        <f>IF(F34&lt;0.01,"***",IF(F34&lt;0.05,"**",IF(F34&lt;0.1,"*","")))</f>
        <v/>
      </c>
      <c r="AC34" t="str">
        <f>IF(J34&lt;0.01,"***",IF(J34&lt;0.05,"**",IF(J34&lt;0.1,"*","")))</f>
        <v/>
      </c>
      <c r="AD34" t="str">
        <f>IF(N34&lt;0.01,"***",IF(N34&lt;0.05,"**",IF(N34&lt;0.1,"*","")))</f>
        <v/>
      </c>
      <c r="AE34" t="str">
        <f>IF(R34&lt;0.01,"***",IF(R34&lt;0.05,"**",IF(R34&lt;0.1,"*","")))</f>
        <v>***</v>
      </c>
      <c r="AF34" t="str">
        <f>IF(V34&lt;0.01,"***",IF(V34&lt;0.05,"**",IF(V34&lt;0.1,"*","")))</f>
        <v>***</v>
      </c>
      <c r="AG34" t="str">
        <f>IF(Z34&lt;0.01,"***",IF(Z34&lt;0.05,"**",IF(Z34&lt;0.1,"*","")))</f>
        <v>***</v>
      </c>
    </row>
    <row r="35" spans="1:33" x14ac:dyDescent="0.25">
      <c r="A35">
        <v>65</v>
      </c>
      <c r="B35" t="s">
        <v>242</v>
      </c>
      <c r="C35">
        <v>-7.9610315868240494E-2</v>
      </c>
      <c r="D35">
        <v>3.7869290498621998E-2</v>
      </c>
      <c r="E35">
        <v>-2.1022394351734</v>
      </c>
      <c r="F35">
        <v>0.12869421003504</v>
      </c>
      <c r="G35">
        <v>-4.3795602701385002E-2</v>
      </c>
      <c r="H35">
        <v>4.31501097511999E-2</v>
      </c>
      <c r="I35">
        <v>-1.0149592423728899</v>
      </c>
      <c r="J35">
        <v>0.38732840349596298</v>
      </c>
      <c r="K35">
        <v>-5.3332518408281598E-2</v>
      </c>
      <c r="L35">
        <v>5.9349353176890898E-2</v>
      </c>
      <c r="M35">
        <v>-0.89862004475977797</v>
      </c>
      <c r="N35">
        <v>0.43936566458591197</v>
      </c>
    </row>
    <row r="36" spans="1:33" x14ac:dyDescent="0.25">
      <c r="A36">
        <v>67</v>
      </c>
      <c r="B36" t="s">
        <v>244</v>
      </c>
      <c r="C36">
        <v>-4.6157798381993497E-3</v>
      </c>
      <c r="D36">
        <v>3.1021365024510701E-2</v>
      </c>
      <c r="E36">
        <v>-0.148793576122531</v>
      </c>
      <c r="F36">
        <v>0.88516580736010297</v>
      </c>
      <c r="G36">
        <v>1.24157720385016E-2</v>
      </c>
      <c r="H36">
        <v>2.8699549527166801E-2</v>
      </c>
      <c r="I36">
        <v>0.43261208775241999</v>
      </c>
      <c r="J36">
        <v>0.67623770737593503</v>
      </c>
      <c r="K36">
        <v>2.28695424181183E-3</v>
      </c>
      <c r="L36">
        <v>4.6606266628953397E-2</v>
      </c>
      <c r="M36">
        <v>4.9069672540368099E-2</v>
      </c>
      <c r="N36">
        <v>0.96203852115517396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245</v>
      </c>
      <c r="C37">
        <v>-1.7012303911259699E-3</v>
      </c>
      <c r="D37">
        <v>0.143564036529606</v>
      </c>
      <c r="E37">
        <v>-1.1849976026378601E-2</v>
      </c>
      <c r="F37">
        <v>0.990915504729735</v>
      </c>
      <c r="G37">
        <v>-2.51874308179015E-2</v>
      </c>
      <c r="H37">
        <v>0.14556804338586099</v>
      </c>
      <c r="I37">
        <v>-0.173028572975571</v>
      </c>
      <c r="J37">
        <v>0.86813039566668304</v>
      </c>
      <c r="K37">
        <v>-3.4200939399974699E-2</v>
      </c>
      <c r="L37">
        <v>0.143914288060983</v>
      </c>
      <c r="M37">
        <v>-0.237647976867191</v>
      </c>
      <c r="N37">
        <v>0.81980603053580003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247</v>
      </c>
      <c r="C38">
        <v>2.8271312415827698E-2</v>
      </c>
      <c r="D38">
        <v>4.2898368755489802E-2</v>
      </c>
      <c r="E38">
        <v>0.65903001060406896</v>
      </c>
      <c r="F38">
        <v>0.54427834369359296</v>
      </c>
      <c r="G38">
        <v>3.8282551115199299E-2</v>
      </c>
      <c r="H38">
        <v>5.1212753890021299E-2</v>
      </c>
      <c r="I38">
        <v>0.747519869706882</v>
      </c>
      <c r="J38">
        <v>0.49445593412420302</v>
      </c>
      <c r="K38">
        <v>-9.3462290452109797E-2</v>
      </c>
      <c r="L38">
        <v>0.103948097344253</v>
      </c>
      <c r="M38">
        <v>-0.89912459044424498</v>
      </c>
      <c r="N38">
        <v>0.42661686089942802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249</v>
      </c>
      <c r="C39">
        <v>0.36742206793433801</v>
      </c>
      <c r="D39">
        <v>0.27637030153008402</v>
      </c>
      <c r="E39">
        <v>1.3294556828290101</v>
      </c>
      <c r="F39">
        <v>0.40926336614945702</v>
      </c>
      <c r="G39">
        <v>0.51533197097058003</v>
      </c>
      <c r="H39">
        <v>0.202166315364809</v>
      </c>
      <c r="I39">
        <v>2.5490496279791501</v>
      </c>
      <c r="J39">
        <v>0.236677680044351</v>
      </c>
      <c r="K39">
        <v>0.35982359597303099</v>
      </c>
      <c r="L39">
        <v>0.240566176230322</v>
      </c>
      <c r="M39">
        <v>1.49573643980827</v>
      </c>
      <c r="N39">
        <v>0.374189284893717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3.4528839677071398E-2</v>
      </c>
      <c r="D40">
        <v>5.00805883818468E-2</v>
      </c>
      <c r="E40">
        <v>0.689465535304841</v>
      </c>
      <c r="F40">
        <v>0.50304399746875506</v>
      </c>
      <c r="G40">
        <v>4.3779494024169301E-2</v>
      </c>
      <c r="H40">
        <v>5.4510073773881E-2</v>
      </c>
      <c r="I40">
        <v>0.80314501509896497</v>
      </c>
      <c r="J40">
        <v>0.43679789375272998</v>
      </c>
      <c r="K40">
        <v>7.7059865674840494E-2</v>
      </c>
      <c r="L40">
        <v>6.7848595533248998E-2</v>
      </c>
      <c r="M40">
        <v>1.1357621343403901</v>
      </c>
      <c r="N40">
        <v>0.27724949582772901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9.9041874743284394E-2</v>
      </c>
      <c r="D41">
        <v>5.2053235943671103E-2</v>
      </c>
      <c r="E41">
        <v>1.9027035101230101</v>
      </c>
      <c r="F41">
        <v>8.1275866053030804E-2</v>
      </c>
      <c r="G41">
        <v>0.10819680632935599</v>
      </c>
      <c r="H41">
        <v>5.6113338632084002E-2</v>
      </c>
      <c r="I41">
        <v>1.9281833689983301</v>
      </c>
      <c r="J41">
        <v>7.77657539655605E-2</v>
      </c>
      <c r="K41">
        <v>0.11722994926772699</v>
      </c>
      <c r="L41">
        <v>6.5489738470011105E-2</v>
      </c>
      <c r="M41">
        <v>1.79005065536196</v>
      </c>
      <c r="N41">
        <v>9.8648599975759102E-2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9.6985165793219905E-2</v>
      </c>
      <c r="D42">
        <v>5.45417064095731E-2</v>
      </c>
      <c r="E42">
        <v>1.77818356222528</v>
      </c>
      <c r="F42">
        <v>0.100394514642629</v>
      </c>
      <c r="G42">
        <v>0.106764401489971</v>
      </c>
      <c r="H42">
        <v>5.82943174374786E-2</v>
      </c>
      <c r="I42">
        <v>1.8314718515141299</v>
      </c>
      <c r="J42">
        <v>9.1658958870338994E-2</v>
      </c>
      <c r="K42">
        <v>0.11971305843574601</v>
      </c>
      <c r="L42">
        <v>7.0738745903078201E-2</v>
      </c>
      <c r="M42">
        <v>1.69232655890973</v>
      </c>
      <c r="N42">
        <v>0.116082232641539</v>
      </c>
      <c r="AB42" t="str">
        <f t="shared" si="0"/>
        <v/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0.126372154638661</v>
      </c>
      <c r="D43">
        <v>5.4557448039263101E-2</v>
      </c>
      <c r="E43">
        <v>2.3163135223574902</v>
      </c>
      <c r="F43">
        <v>3.8822136475058201E-2</v>
      </c>
      <c r="G43">
        <v>0.13780793610526701</v>
      </c>
      <c r="H43">
        <v>6.0438257039119599E-2</v>
      </c>
      <c r="I43">
        <v>2.2801441149447501</v>
      </c>
      <c r="J43">
        <v>4.1467915805645301E-2</v>
      </c>
      <c r="K43">
        <v>0.14168444862912899</v>
      </c>
      <c r="L43">
        <v>6.7143860993093593E-2</v>
      </c>
      <c r="M43">
        <v>2.1101623667978</v>
      </c>
      <c r="N43">
        <v>5.6322931147579303E-2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0.13046127068201099</v>
      </c>
      <c r="D44">
        <v>5.27452257555584E-2</v>
      </c>
      <c r="E44">
        <v>2.4734233063409001</v>
      </c>
      <c r="F44">
        <v>2.8774940517578101E-2</v>
      </c>
      <c r="G44">
        <v>0.14104896563108299</v>
      </c>
      <c r="H44">
        <v>5.7756023792072002E-2</v>
      </c>
      <c r="I44">
        <v>2.4421515951110901</v>
      </c>
      <c r="J44">
        <v>3.0494055894146901E-2</v>
      </c>
      <c r="K44">
        <v>0.144253118720616</v>
      </c>
      <c r="L44">
        <v>6.33923095378391E-2</v>
      </c>
      <c r="M44">
        <v>2.2755618113978202</v>
      </c>
      <c r="N44">
        <v>4.1415431384911501E-2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1.74877102522595E-4</v>
      </c>
      <c r="D45">
        <v>1.2136643368154E-4</v>
      </c>
      <c r="E45">
        <v>1.4409017157203901</v>
      </c>
      <c r="F45">
        <v>0.203129263011463</v>
      </c>
      <c r="G45">
        <v>2.8674779520416501E-4</v>
      </c>
      <c r="H45">
        <v>1.07063958377147E-4</v>
      </c>
      <c r="I45">
        <v>2.6782850134688498</v>
      </c>
      <c r="J45">
        <v>4.0520037580032899E-2</v>
      </c>
      <c r="K45">
        <v>2.1511244075640199E-4</v>
      </c>
      <c r="L45">
        <v>2.41066214541969E-4</v>
      </c>
      <c r="M45">
        <v>0.89233757274996195</v>
      </c>
      <c r="N45">
        <v>0.411516709583576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-6.4117834376623004E-3</v>
      </c>
      <c r="D46">
        <v>5.52675965002173E-3</v>
      </c>
      <c r="E46">
        <v>-1.1601342999667299</v>
      </c>
      <c r="F46">
        <v>0.26577773680933597</v>
      </c>
      <c r="G46">
        <v>-6.1831696915017999E-3</v>
      </c>
      <c r="H46">
        <v>5.9289137393691502E-3</v>
      </c>
      <c r="I46">
        <v>-1.04288407005221</v>
      </c>
      <c r="J46">
        <v>0.31501440738610298</v>
      </c>
      <c r="K46">
        <v>-1.7898895683474102E-2</v>
      </c>
      <c r="L46">
        <v>1.0072049521424001E-2</v>
      </c>
      <c r="M46">
        <v>-1.77708575056167</v>
      </c>
      <c r="N46">
        <v>9.7612237990414297E-2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-5.2165087561368902E-2</v>
      </c>
      <c r="D47">
        <v>1.27583753983642E-2</v>
      </c>
      <c r="E47">
        <v>-4.0886935783420499</v>
      </c>
      <c r="F47">
        <v>1.06353303152751E-3</v>
      </c>
      <c r="G47">
        <v>-6.0267008788217197E-2</v>
      </c>
      <c r="H47">
        <v>1.37695525653544E-2</v>
      </c>
      <c r="I47">
        <v>-4.3768313096719798</v>
      </c>
      <c r="J47">
        <v>6.0412804288144698E-4</v>
      </c>
      <c r="K47">
        <v>-6.9634502412553506E-2</v>
      </c>
      <c r="L47">
        <v>1.6835288128489601E-2</v>
      </c>
      <c r="M47">
        <v>-4.1362227887691603</v>
      </c>
      <c r="N47">
        <v>9.6754812128535799E-4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1.7665376282251001E-3</v>
      </c>
      <c r="D48">
        <v>9.2181325152699504E-3</v>
      </c>
      <c r="E48">
        <v>0.19163725681951399</v>
      </c>
      <c r="F48">
        <v>0.85232864015961396</v>
      </c>
      <c r="G48">
        <v>1.70769279010553E-4</v>
      </c>
      <c r="H48">
        <v>1.0673513386765201E-2</v>
      </c>
      <c r="I48">
        <v>1.5999350244156801E-2</v>
      </c>
      <c r="J48">
        <v>0.98759197997679804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-6.2990730507494805E-2</v>
      </c>
      <c r="D49">
        <v>3.1064060786943001E-2</v>
      </c>
      <c r="E49">
        <v>-2.0277687112295202</v>
      </c>
      <c r="F49">
        <v>6.4179419180525096E-2</v>
      </c>
      <c r="G49">
        <v>-8.4279296908376197E-2</v>
      </c>
      <c r="H49">
        <v>3.9947122300715697E-2</v>
      </c>
      <c r="I49">
        <v>-2.1097714191759498</v>
      </c>
      <c r="J49">
        <v>5.5159397544655299E-2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4.30250977207265E-4</v>
      </c>
      <c r="D50">
        <v>8.3643846521201208E-3</v>
      </c>
      <c r="E50">
        <v>5.1438449461815298E-2</v>
      </c>
      <c r="F50">
        <v>0.95999326579836097</v>
      </c>
      <c r="G50">
        <v>1.92585581715694E-3</v>
      </c>
      <c r="H50">
        <v>9.6575421993755593E-3</v>
      </c>
      <c r="I50">
        <v>0.19941469344876001</v>
      </c>
      <c r="J50">
        <v>0.84650829648564196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-5.05811968353797E-3</v>
      </c>
      <c r="D51">
        <v>7.05082847303121E-3</v>
      </c>
      <c r="E51">
        <v>-0.71737948283451003</v>
      </c>
      <c r="F51">
        <v>0.486039197571141</v>
      </c>
      <c r="G51">
        <v>-7.2059819776724996E-3</v>
      </c>
      <c r="H51">
        <v>9.3797258947181297E-3</v>
      </c>
      <c r="I51">
        <v>-0.768250805892985</v>
      </c>
      <c r="J51">
        <v>0.45760639186179097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2.3247811507864799E-2</v>
      </c>
      <c r="D52">
        <v>1.2729002635590099E-2</v>
      </c>
      <c r="E52">
        <v>1.8263655192327699</v>
      </c>
      <c r="F52">
        <v>0.106707394707932</v>
      </c>
      <c r="G52">
        <v>3.8521102156570897E-2</v>
      </c>
      <c r="H52">
        <v>1.5457861585169701E-2</v>
      </c>
      <c r="I52">
        <v>2.4920071863968598</v>
      </c>
      <c r="J52">
        <v>3.8355528469389499E-2</v>
      </c>
      <c r="AB52" t="str">
        <f t="shared" si="0"/>
        <v/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-7.7355275107654801E-3</v>
      </c>
      <c r="D53">
        <v>1.11800618328358E-2</v>
      </c>
      <c r="E53">
        <v>-0.691903821859575</v>
      </c>
      <c r="F53">
        <v>0.50319185736297101</v>
      </c>
      <c r="G53">
        <v>-6.0176488461740297E-3</v>
      </c>
      <c r="H53">
        <v>1.44726404866365E-2</v>
      </c>
      <c r="I53">
        <v>-0.41579481309789401</v>
      </c>
      <c r="J53">
        <v>0.685350906859023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1.37415037919854E-2</v>
      </c>
      <c r="D54">
        <v>7.5909289964961497E-3</v>
      </c>
      <c r="E54">
        <v>1.8102532375586999</v>
      </c>
      <c r="F54">
        <v>9.3838636787262106E-2</v>
      </c>
      <c r="G54">
        <v>1.3496918072986801E-2</v>
      </c>
      <c r="H54">
        <v>1.06992498260969E-2</v>
      </c>
      <c r="I54">
        <v>1.26148265461248</v>
      </c>
      <c r="J54">
        <v>0.22944130133955501</v>
      </c>
      <c r="AB54" t="str">
        <f t="shared" si="0"/>
        <v>*</v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2.4818862557659602E-6</v>
      </c>
      <c r="D55">
        <v>5.8125593292016296E-6</v>
      </c>
      <c r="E55">
        <v>0.42698682545866601</v>
      </c>
      <c r="F55">
        <v>0.67824791865204404</v>
      </c>
      <c r="G55">
        <v>5.4485160707840896E-6</v>
      </c>
      <c r="H55">
        <v>7.2190800825308402E-6</v>
      </c>
      <c r="I55">
        <v>0.75473827807627902</v>
      </c>
      <c r="J55">
        <v>0.47167882038668801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1.25375690825526E-5</v>
      </c>
      <c r="D56">
        <v>2.9302618656424399E-6</v>
      </c>
      <c r="E56">
        <v>4.2786514166384304</v>
      </c>
      <c r="F56">
        <v>8.6118023062759104E-4</v>
      </c>
      <c r="G56">
        <v>1.56976832329385E-5</v>
      </c>
      <c r="H56">
        <v>3.5658385144884102E-6</v>
      </c>
      <c r="I56">
        <v>4.4022417642181502</v>
      </c>
      <c r="J56">
        <v>8.3906481516565399E-4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-0.29761582965717398</v>
      </c>
      <c r="D57">
        <v>0.23570189076515399</v>
      </c>
      <c r="E57">
        <v>-1.2626790081786401</v>
      </c>
      <c r="F57">
        <v>0.26992566770294701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-0.200166291648602</v>
      </c>
      <c r="D58">
        <v>6.1526389744186699E-2</v>
      </c>
      <c r="E58">
        <v>-3.2533404362071199</v>
      </c>
      <c r="F58">
        <v>7.4913002175729798E-3</v>
      </c>
      <c r="AB58" t="str">
        <f t="shared" si="0"/>
        <v>***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-0.64204426622044297</v>
      </c>
      <c r="D59">
        <v>0.15006699004579499</v>
      </c>
      <c r="E59">
        <v>-4.2783843803658197</v>
      </c>
      <c r="F59">
        <v>9.1744853198919897E-4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8.5871238385841306E-2</v>
      </c>
      <c r="D60">
        <v>4.6913059684917102E-2</v>
      </c>
      <c r="E60">
        <v>1.8304335501154601</v>
      </c>
      <c r="F60">
        <v>8.6633507143078395E-2</v>
      </c>
      <c r="AB60" t="str">
        <f t="shared" si="0"/>
        <v>*</v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-0.722804042790261</v>
      </c>
      <c r="D61">
        <v>0.11093611539895799</v>
      </c>
      <c r="E61">
        <v>-6.51549804309313</v>
      </c>
      <c r="F61">
        <v>1.7712205416170899E-5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19E9A-391A-4ACF-A2F4-76559AB307B8}">
  <sheetPr codeName="Sheet21"/>
  <dimension ref="A1:AG66"/>
  <sheetViews>
    <sheetView workbookViewId="0">
      <selection activeCell="B1" sqref="B1:Z1048576"/>
    </sheetView>
  </sheetViews>
  <sheetFormatPr defaultColWidth="11.42578125" defaultRowHeight="15" x14ac:dyDescent="0.25"/>
  <sheetData>
    <row r="1" spans="1:33" x14ac:dyDescent="0.25">
      <c r="B1" t="s">
        <v>280</v>
      </c>
      <c r="C1" t="s">
        <v>281</v>
      </c>
      <c r="D1" t="s">
        <v>282</v>
      </c>
      <c r="E1" t="s">
        <v>283</v>
      </c>
      <c r="F1" t="s">
        <v>284</v>
      </c>
      <c r="G1" t="s">
        <v>285</v>
      </c>
      <c r="H1" t="s">
        <v>286</v>
      </c>
      <c r="I1" t="s">
        <v>287</v>
      </c>
      <c r="J1" t="s">
        <v>288</v>
      </c>
      <c r="K1" t="s">
        <v>289</v>
      </c>
      <c r="L1" t="s">
        <v>290</v>
      </c>
      <c r="M1" t="s">
        <v>291</v>
      </c>
      <c r="N1" t="s">
        <v>292</v>
      </c>
      <c r="O1" t="s">
        <v>293</v>
      </c>
      <c r="P1" t="s">
        <v>294</v>
      </c>
      <c r="Q1" t="s">
        <v>295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302</v>
      </c>
      <c r="Y1" t="s">
        <v>303</v>
      </c>
      <c r="Z1" t="s">
        <v>304</v>
      </c>
    </row>
    <row r="2" spans="1:33" x14ac:dyDescent="0.25">
      <c r="A2">
        <v>119</v>
      </c>
      <c r="B2" t="s">
        <v>279</v>
      </c>
      <c r="C2">
        <v>-0.88216922322422697</v>
      </c>
      <c r="D2">
        <v>15.6296216920106</v>
      </c>
      <c r="E2">
        <v>-5.6442135363722001E-2</v>
      </c>
      <c r="F2">
        <v>0.95601562168625998</v>
      </c>
      <c r="G2">
        <v>-9.9322265692063407</v>
      </c>
      <c r="H2">
        <v>19.261966121321802</v>
      </c>
      <c r="I2">
        <v>-0.51563929178610701</v>
      </c>
      <c r="J2">
        <v>0.619260710644567</v>
      </c>
      <c r="K2">
        <v>12.8705366685935</v>
      </c>
      <c r="L2">
        <v>0.18633542276001</v>
      </c>
      <c r="M2">
        <v>69.071873066078595</v>
      </c>
      <c r="N2">
        <v>7.0979307165704794E-17</v>
      </c>
      <c r="O2">
        <v>13.0871423536436</v>
      </c>
      <c r="P2">
        <v>8.1392113251644596E-2</v>
      </c>
      <c r="Q2">
        <v>160.79128346479101</v>
      </c>
      <c r="R2">
        <v>1.26331067204525E-22</v>
      </c>
      <c r="S2">
        <v>13.681305425496401</v>
      </c>
      <c r="T2">
        <v>7.5058972660624099E-2</v>
      </c>
      <c r="U2">
        <v>182.27408317132</v>
      </c>
      <c r="V2">
        <v>6.28464750573502E-23</v>
      </c>
      <c r="W2">
        <v>13.849435384253001</v>
      </c>
      <c r="X2">
        <v>8.8349671514006994E-2</v>
      </c>
      <c r="Y2">
        <v>156.75706708266901</v>
      </c>
      <c r="Z2">
        <v>4.9294609057014097E-21</v>
      </c>
      <c r="AB2" t="str">
        <f>IF(F2&lt;0.01,"***",IF(F2&lt;0.05,"**",IF(F2&lt;0.1,"*","")))</f>
        <v/>
      </c>
      <c r="AC2" t="str">
        <f>IF(J2&lt;0.01,"***",IF(J2&lt;0.05,"**",IF(J2&lt;0.1,"*","")))</f>
        <v/>
      </c>
      <c r="AD2" t="str">
        <f>IF(N2&lt;0.01,"***",IF(N2&lt;0.05,"**",IF(N2&lt;0.1,"*","")))</f>
        <v>***</v>
      </c>
      <c r="AE2" t="str">
        <f>IF(R2&lt;0.01,"***",IF(R2&lt;0.05,"**",IF(R2&lt;0.1,"*","")))</f>
        <v>***</v>
      </c>
      <c r="AF2" t="str">
        <f>IF(V2&lt;0.01,"***",IF(V2&lt;0.05,"**",IF(V2&lt;0.1,"*","")))</f>
        <v>***</v>
      </c>
      <c r="AG2" t="str">
        <f>IF(Z2&lt;0.01,"***",IF(Z2&lt;0.05,"**",IF(Z2&lt;0.1,"*","")))</f>
        <v>***</v>
      </c>
    </row>
    <row r="3" spans="1:33" x14ac:dyDescent="0.25">
      <c r="A3">
        <v>1</v>
      </c>
      <c r="B3" t="s">
        <v>11</v>
      </c>
      <c r="C3">
        <v>3.7552568200643503E-2</v>
      </c>
      <c r="D3">
        <v>1.07820653548251E-2</v>
      </c>
      <c r="E3">
        <v>3.4828733609779401</v>
      </c>
      <c r="F3">
        <v>4.8837184723253997E-3</v>
      </c>
      <c r="G3">
        <v>4.43407389023487E-2</v>
      </c>
      <c r="H3">
        <v>1.1262814878279201E-2</v>
      </c>
      <c r="I3">
        <v>3.9369144731182302</v>
      </c>
      <c r="J3">
        <v>2.1831739329799499E-3</v>
      </c>
      <c r="K3">
        <v>5.50257587052502E-2</v>
      </c>
      <c r="L3">
        <v>1.5580211506032299E-2</v>
      </c>
      <c r="M3">
        <v>3.5317722537942</v>
      </c>
      <c r="N3">
        <v>4.4690773606311397E-3</v>
      </c>
      <c r="O3">
        <v>5.3964366136907901E-2</v>
      </c>
      <c r="P3">
        <v>1.44724447097476E-2</v>
      </c>
      <c r="Q3">
        <v>3.7287664398925999</v>
      </c>
      <c r="R3">
        <v>3.1517075240077501E-3</v>
      </c>
      <c r="S3">
        <v>8.9371302317210299E-2</v>
      </c>
      <c r="T3">
        <v>2.0158682729733202E-2</v>
      </c>
      <c r="U3">
        <v>4.4333899945452098</v>
      </c>
      <c r="V3">
        <v>9.2983467833219102E-4</v>
      </c>
      <c r="W3">
        <v>0.16407397592810499</v>
      </c>
      <c r="X3">
        <v>1.65086416510647E-2</v>
      </c>
      <c r="Y3">
        <v>9.9386720843578793</v>
      </c>
      <c r="Z3">
        <v>1.54666947097352E-7</v>
      </c>
      <c r="AB3" t="str">
        <f t="shared" ref="AB3:AB66" si="0">IF(F3&lt;0.01,"***",IF(F3&lt;0.05,"**",IF(F3&lt;0.1,"*","")))</f>
        <v>***</v>
      </c>
      <c r="AC3" t="str">
        <f t="shared" ref="AC3:AC66" si="1">IF(J3&lt;0.01,"***",IF(J3&lt;0.05,"**",IF(J3&lt;0.1,"*","")))</f>
        <v>***</v>
      </c>
      <c r="AD3" t="str">
        <f t="shared" ref="AD3:AD66" si="2">IF(N3&lt;0.01,"***",IF(N3&lt;0.05,"**",IF(N3&lt;0.1,"*","")))</f>
        <v>***</v>
      </c>
      <c r="AE3" t="str">
        <f t="shared" ref="AE3:AE66" si="3">IF(R3&lt;0.01,"***",IF(R3&lt;0.05,"**",IF(R3&lt;0.1,"*","")))</f>
        <v>***</v>
      </c>
      <c r="AF3" t="str">
        <f t="shared" ref="AF3:AF66" si="4">IF(V3&lt;0.01,"***",IF(V3&lt;0.05,"**",IF(V3&lt;0.1,"*","")))</f>
        <v>***</v>
      </c>
      <c r="AG3" t="str">
        <f t="shared" ref="AG3:AG66" si="5">IF(Z3&lt;0.01,"***",IF(Z3&lt;0.05,"**",IF(Z3&lt;0.1,"*","")))</f>
        <v>***</v>
      </c>
    </row>
    <row r="4" spans="1:33" x14ac:dyDescent="0.25">
      <c r="A4">
        <v>3</v>
      </c>
      <c r="B4" t="s">
        <v>16</v>
      </c>
      <c r="C4">
        <v>1.0911348715708701E-4</v>
      </c>
      <c r="D4">
        <v>5.0175077510451799E-5</v>
      </c>
      <c r="E4">
        <v>2.1746550791946002</v>
      </c>
      <c r="F4">
        <v>4.6819578238810798E-2</v>
      </c>
      <c r="G4">
        <v>1.90781366809872E-4</v>
      </c>
      <c r="H4">
        <v>7.7115371685282103E-5</v>
      </c>
      <c r="I4">
        <v>2.4739732512536601</v>
      </c>
      <c r="J4">
        <v>2.6470395321896701E-2</v>
      </c>
      <c r="K4">
        <v>2.8910092797172603E-4</v>
      </c>
      <c r="L4">
        <v>1.3137434745176299E-4</v>
      </c>
      <c r="M4">
        <v>2.2005888788743602</v>
      </c>
      <c r="N4">
        <v>4.4613714566801299E-2</v>
      </c>
      <c r="O4">
        <v>2.6180832500115201E-4</v>
      </c>
      <c r="P4">
        <v>1.5188577966808499E-4</v>
      </c>
      <c r="Q4">
        <v>1.72371847827545</v>
      </c>
      <c r="R4">
        <v>0.1061476395055</v>
      </c>
      <c r="S4">
        <v>1.82301979526972E-3</v>
      </c>
      <c r="T4">
        <v>2.8213581084331402E-4</v>
      </c>
      <c r="U4">
        <v>6.4614973541311604</v>
      </c>
      <c r="V4">
        <v>1.47412082365381E-5</v>
      </c>
      <c r="AB4" t="str">
        <f t="shared" si="0"/>
        <v>**</v>
      </c>
      <c r="AC4" t="str">
        <f t="shared" si="1"/>
        <v>**</v>
      </c>
      <c r="AD4" t="str">
        <f t="shared" si="2"/>
        <v>**</v>
      </c>
      <c r="AE4" t="str">
        <f t="shared" si="3"/>
        <v/>
      </c>
      <c r="AF4" t="str">
        <f t="shared" si="4"/>
        <v>***</v>
      </c>
      <c r="AG4" t="str">
        <f t="shared" si="5"/>
        <v>***</v>
      </c>
    </row>
    <row r="5" spans="1:33" x14ac:dyDescent="0.25">
      <c r="A5">
        <v>5</v>
      </c>
      <c r="B5" t="s">
        <v>197</v>
      </c>
      <c r="C5">
        <v>2.7195614270746099E-2</v>
      </c>
      <c r="D5">
        <v>7.41774069659257E-3</v>
      </c>
      <c r="E5">
        <v>3.6662934690125701</v>
      </c>
      <c r="F5">
        <v>3.2684790752468898E-3</v>
      </c>
      <c r="G5">
        <v>2.8464054037417499E-2</v>
      </c>
      <c r="H5">
        <v>6.22023485220001E-3</v>
      </c>
      <c r="I5">
        <v>4.5760416951701099</v>
      </c>
      <c r="J5">
        <v>6.4757453404928596E-4</v>
      </c>
      <c r="K5">
        <v>2.3701148135411399E-2</v>
      </c>
      <c r="L5">
        <v>1.03669585499196E-2</v>
      </c>
      <c r="M5">
        <v>2.2862200153771401</v>
      </c>
      <c r="N5">
        <v>4.1362351636961003E-2</v>
      </c>
      <c r="O5">
        <v>2.2479270310866301E-2</v>
      </c>
      <c r="P5">
        <v>1.19348407465605E-2</v>
      </c>
      <c r="Q5">
        <v>1.88349981270966</v>
      </c>
      <c r="R5">
        <v>8.42754782804776E-2</v>
      </c>
      <c r="S5">
        <v>8.7457584834201393E-2</v>
      </c>
      <c r="T5">
        <v>1.6201074244941101E-2</v>
      </c>
      <c r="U5">
        <v>5.3982583816323704</v>
      </c>
      <c r="V5">
        <v>1.65049735186991E-4</v>
      </c>
      <c r="AB5" t="str">
        <f t="shared" si="0"/>
        <v>***</v>
      </c>
      <c r="AC5" t="str">
        <f t="shared" si="1"/>
        <v>***</v>
      </c>
      <c r="AD5" t="str">
        <f t="shared" si="2"/>
        <v>**</v>
      </c>
      <c r="AE5" t="str">
        <f t="shared" si="3"/>
        <v>*</v>
      </c>
      <c r="AF5" t="str">
        <f t="shared" si="4"/>
        <v>***</v>
      </c>
      <c r="AG5" t="str">
        <f t="shared" si="5"/>
        <v>***</v>
      </c>
    </row>
    <row r="6" spans="1:33" x14ac:dyDescent="0.25">
      <c r="A6">
        <v>7</v>
      </c>
      <c r="B6" t="s">
        <v>200</v>
      </c>
      <c r="C6">
        <v>3.1398407375033001E-2</v>
      </c>
      <c r="D6">
        <v>1.13137316593185E-2</v>
      </c>
      <c r="E6">
        <v>2.7752476654483802</v>
      </c>
      <c r="F6">
        <v>1.67302020296646E-2</v>
      </c>
      <c r="G6">
        <v>3.6192337288667498E-2</v>
      </c>
      <c r="H6">
        <v>8.1916408919132204E-3</v>
      </c>
      <c r="I6">
        <v>4.4182036012340999</v>
      </c>
      <c r="J6">
        <v>8.3505673556999102E-4</v>
      </c>
      <c r="K6">
        <v>3.096484032993E-2</v>
      </c>
      <c r="L6">
        <v>1.23096967716399E-2</v>
      </c>
      <c r="M6">
        <v>2.5154835983669002</v>
      </c>
      <c r="N6">
        <v>2.71168260367846E-2</v>
      </c>
      <c r="O6">
        <v>3.1585129489263897E-2</v>
      </c>
      <c r="P6">
        <v>1.28288977555899E-2</v>
      </c>
      <c r="Q6">
        <v>2.4620298712335802</v>
      </c>
      <c r="R6">
        <v>2.9917820190458001E-2</v>
      </c>
      <c r="S6">
        <v>0.120190772249605</v>
      </c>
      <c r="T6">
        <v>1.66536525043776E-2</v>
      </c>
      <c r="U6">
        <v>7.2170817913974998</v>
      </c>
      <c r="V6">
        <v>1.05955093952326E-5</v>
      </c>
      <c r="AB6" t="str">
        <f t="shared" si="0"/>
        <v>**</v>
      </c>
      <c r="AC6" t="str">
        <f t="shared" si="1"/>
        <v>***</v>
      </c>
      <c r="AD6" t="str">
        <f t="shared" si="2"/>
        <v>**</v>
      </c>
      <c r="AE6" t="str">
        <f t="shared" si="3"/>
        <v>**</v>
      </c>
      <c r="AF6" t="str">
        <f t="shared" si="4"/>
        <v>***</v>
      </c>
      <c r="AG6" t="str">
        <f t="shared" si="5"/>
        <v>***</v>
      </c>
    </row>
    <row r="7" spans="1:33" x14ac:dyDescent="0.25">
      <c r="A7">
        <v>9</v>
      </c>
      <c r="B7" t="s">
        <v>204</v>
      </c>
      <c r="C7">
        <v>1.14420117737548E-2</v>
      </c>
      <c r="D7">
        <v>1.16378392963604E-2</v>
      </c>
      <c r="E7">
        <v>0.98317320615804904</v>
      </c>
      <c r="F7">
        <v>0.34435316290107698</v>
      </c>
      <c r="G7">
        <v>1.49790158802724E-2</v>
      </c>
      <c r="H7">
        <v>8.8042125968574008E-3</v>
      </c>
      <c r="I7">
        <v>1.70134645381224</v>
      </c>
      <c r="J7">
        <v>0.113886304362094</v>
      </c>
      <c r="K7">
        <v>5.8537470250338902E-3</v>
      </c>
      <c r="L7">
        <v>9.74956229996677E-3</v>
      </c>
      <c r="M7">
        <v>0.60041126410914303</v>
      </c>
      <c r="N7">
        <v>0.559093524746758</v>
      </c>
      <c r="O7">
        <v>8.7329915073046192E-3</v>
      </c>
      <c r="P7">
        <v>9.9465014383300493E-3</v>
      </c>
      <c r="Q7">
        <v>0.87799630467562995</v>
      </c>
      <c r="R7">
        <v>0.39672985919187098</v>
      </c>
      <c r="S7">
        <v>8.9383221803421495E-2</v>
      </c>
      <c r="T7">
        <v>1.2101209735902301E-2</v>
      </c>
      <c r="U7">
        <v>7.3863046549996003</v>
      </c>
      <c r="V7">
        <v>7.2032522639881998E-6</v>
      </c>
      <c r="AB7" t="str">
        <f t="shared" si="0"/>
        <v/>
      </c>
      <c r="AC7" t="str">
        <f t="shared" si="1"/>
        <v/>
      </c>
      <c r="AD7" t="str">
        <f t="shared" si="2"/>
        <v/>
      </c>
      <c r="AE7" t="str">
        <f t="shared" si="3"/>
        <v/>
      </c>
      <c r="AF7" t="str">
        <f t="shared" si="4"/>
        <v>***</v>
      </c>
      <c r="AG7" t="str">
        <f t="shared" si="5"/>
        <v>***</v>
      </c>
    </row>
    <row r="8" spans="1:33" x14ac:dyDescent="0.25">
      <c r="A8">
        <v>11</v>
      </c>
      <c r="B8" t="s">
        <v>206</v>
      </c>
      <c r="C8">
        <v>-8.8748988145230295E-4</v>
      </c>
      <c r="D8">
        <v>1.6889091532897599E-2</v>
      </c>
      <c r="E8">
        <v>-5.25481124738768E-2</v>
      </c>
      <c r="F8">
        <v>0.95901399210458604</v>
      </c>
      <c r="G8">
        <v>-1.1876654464067101E-3</v>
      </c>
      <c r="H8">
        <v>1.5356490155819601E-2</v>
      </c>
      <c r="I8">
        <v>-7.7339641699091299E-2</v>
      </c>
      <c r="J8">
        <v>0.93971246078493298</v>
      </c>
      <c r="K8">
        <v>-1.4229142357908601E-2</v>
      </c>
      <c r="L8">
        <v>1.6589935891660999E-2</v>
      </c>
      <c r="M8">
        <v>-0.85769724794782898</v>
      </c>
      <c r="N8">
        <v>0.40897581119238402</v>
      </c>
      <c r="O8">
        <v>-1.0570583734819399E-2</v>
      </c>
      <c r="P8">
        <v>1.6535408431738001E-2</v>
      </c>
      <c r="Q8">
        <v>-0.63926958795467703</v>
      </c>
      <c r="R8">
        <v>0.53548076893303898</v>
      </c>
      <c r="S8">
        <v>6.1273726087806499E-2</v>
      </c>
      <c r="T8">
        <v>2.4104030669326201E-2</v>
      </c>
      <c r="U8">
        <v>2.5420531083948901</v>
      </c>
      <c r="V8">
        <v>2.7048328527171001E-2</v>
      </c>
      <c r="AB8" t="str">
        <f t="shared" si="0"/>
        <v/>
      </c>
      <c r="AC8" t="str">
        <f t="shared" si="1"/>
        <v/>
      </c>
      <c r="AD8" t="str">
        <f t="shared" si="2"/>
        <v/>
      </c>
      <c r="AE8" t="str">
        <f t="shared" si="3"/>
        <v/>
      </c>
      <c r="AF8" t="str">
        <f t="shared" si="4"/>
        <v>**</v>
      </c>
      <c r="AG8" t="str">
        <f t="shared" si="5"/>
        <v>***</v>
      </c>
    </row>
    <row r="9" spans="1:33" x14ac:dyDescent="0.25">
      <c r="A9">
        <v>13</v>
      </c>
      <c r="B9" t="s">
        <v>207</v>
      </c>
      <c r="C9">
        <v>0.12722607270061501</v>
      </c>
      <c r="D9">
        <v>1.9322699272384999E-2</v>
      </c>
      <c r="E9">
        <v>6.5842805348857096</v>
      </c>
      <c r="F9">
        <v>2.8778862194015901E-5</v>
      </c>
      <c r="G9">
        <v>0.121961278777361</v>
      </c>
      <c r="H9">
        <v>1.76782561212421E-2</v>
      </c>
      <c r="I9">
        <v>6.8989428561798096</v>
      </c>
      <c r="J9">
        <v>1.8428207985133999E-5</v>
      </c>
      <c r="K9">
        <v>0.11035842381328501</v>
      </c>
      <c r="L9">
        <v>1.7122968641153199E-2</v>
      </c>
      <c r="M9">
        <v>6.4450520307588901</v>
      </c>
      <c r="N9">
        <v>3.5074669740712199E-5</v>
      </c>
      <c r="O9">
        <v>0.114568568133121</v>
      </c>
      <c r="P9">
        <v>1.6831921348424799E-2</v>
      </c>
      <c r="Q9">
        <v>6.8066244941100003</v>
      </c>
      <c r="R9">
        <v>2.1108111351701899E-5</v>
      </c>
      <c r="S9">
        <v>0.23628432101250399</v>
      </c>
      <c r="T9">
        <v>2.75524751267241E-2</v>
      </c>
      <c r="U9">
        <v>8.5757929160899202</v>
      </c>
      <c r="V9">
        <v>2.1703265342167198E-6</v>
      </c>
      <c r="AB9" t="str">
        <f t="shared" si="0"/>
        <v>***</v>
      </c>
      <c r="AC9" t="str">
        <f t="shared" si="1"/>
        <v>***</v>
      </c>
      <c r="AD9" t="str">
        <f t="shared" si="2"/>
        <v>***</v>
      </c>
      <c r="AE9" t="str">
        <f t="shared" si="3"/>
        <v>***</v>
      </c>
      <c r="AF9" t="str">
        <f t="shared" si="4"/>
        <v>***</v>
      </c>
      <c r="AG9" t="str">
        <f t="shared" si="5"/>
        <v>***</v>
      </c>
    </row>
    <row r="10" spans="1:33" x14ac:dyDescent="0.25">
      <c r="A10">
        <v>15</v>
      </c>
      <c r="B10" t="s">
        <v>209</v>
      </c>
      <c r="C10">
        <v>0.17236102887063601</v>
      </c>
      <c r="D10">
        <v>2.0323218126290898E-2</v>
      </c>
      <c r="E10">
        <v>8.4809909434403394</v>
      </c>
      <c r="F10">
        <v>2.2284000345616498E-6</v>
      </c>
      <c r="G10">
        <v>0.168578769253626</v>
      </c>
      <c r="H10">
        <v>1.9265536505301301E-2</v>
      </c>
      <c r="I10">
        <v>8.7502763915885797</v>
      </c>
      <c r="J10">
        <v>1.6112535210878801E-6</v>
      </c>
      <c r="K10">
        <v>0.13773285746583899</v>
      </c>
      <c r="L10">
        <v>1.9940516944555599E-2</v>
      </c>
      <c r="M10">
        <v>6.9071858993828199</v>
      </c>
      <c r="N10">
        <v>1.7372468884820299E-5</v>
      </c>
      <c r="O10">
        <v>0.13511896232019399</v>
      </c>
      <c r="P10">
        <v>2.0332121735152899E-2</v>
      </c>
      <c r="Q10">
        <v>6.64559085767136</v>
      </c>
      <c r="R10">
        <v>2.5412065658918101E-5</v>
      </c>
      <c r="S10">
        <v>0.24980120560070601</v>
      </c>
      <c r="T10">
        <v>2.39004824800855E-2</v>
      </c>
      <c r="U10">
        <v>10.4517222950979</v>
      </c>
      <c r="V10">
        <v>2.54225751696932E-7</v>
      </c>
      <c r="AB10" t="str">
        <f t="shared" si="0"/>
        <v>***</v>
      </c>
      <c r="AC10" t="str">
        <f t="shared" si="1"/>
        <v>***</v>
      </c>
      <c r="AD10" t="str">
        <f t="shared" si="2"/>
        <v>***</v>
      </c>
      <c r="AE10" t="str">
        <f t="shared" si="3"/>
        <v>***</v>
      </c>
      <c r="AF10" t="str">
        <f t="shared" si="4"/>
        <v>***</v>
      </c>
      <c r="AG10" t="str">
        <f t="shared" si="5"/>
        <v>***</v>
      </c>
    </row>
    <row r="11" spans="1:33" x14ac:dyDescent="0.25">
      <c r="A11">
        <v>17</v>
      </c>
      <c r="B11" t="s">
        <v>213</v>
      </c>
      <c r="C11">
        <v>0.142999324258757</v>
      </c>
      <c r="D11">
        <v>3.5642789836541497E-2</v>
      </c>
      <c r="E11">
        <v>4.0120126655223798</v>
      </c>
      <c r="F11">
        <v>1.1257234252045199E-3</v>
      </c>
      <c r="G11">
        <v>0.142735698536051</v>
      </c>
      <c r="H11">
        <v>3.2713077103114899E-2</v>
      </c>
      <c r="I11">
        <v>4.3632611535177199</v>
      </c>
      <c r="J11">
        <v>5.5249521685678303E-4</v>
      </c>
      <c r="K11">
        <v>0.113017678324557</v>
      </c>
      <c r="L11">
        <v>5.0085988412663797E-2</v>
      </c>
      <c r="M11">
        <v>2.2564729559371401</v>
      </c>
      <c r="N11">
        <v>3.9335939670960197E-2</v>
      </c>
      <c r="O11">
        <v>1.7848527736432699E-2</v>
      </c>
      <c r="P11">
        <v>4.1770528869615901E-2</v>
      </c>
      <c r="Q11">
        <v>0.42729953915943403</v>
      </c>
      <c r="R11">
        <v>0.67581445848020405</v>
      </c>
      <c r="S11">
        <v>0.19223276795324301</v>
      </c>
      <c r="T11">
        <v>5.0496952256175801E-2</v>
      </c>
      <c r="U11">
        <v>3.8068192111481798</v>
      </c>
      <c r="V11">
        <v>2.00821360625646E-3</v>
      </c>
      <c r="AB11" t="str">
        <f t="shared" si="0"/>
        <v>***</v>
      </c>
      <c r="AC11" t="str">
        <f t="shared" si="1"/>
        <v>***</v>
      </c>
      <c r="AD11" t="str">
        <f t="shared" si="2"/>
        <v>**</v>
      </c>
      <c r="AE11" t="str">
        <f t="shared" si="3"/>
        <v/>
      </c>
      <c r="AF11" t="str">
        <f t="shared" si="4"/>
        <v>***</v>
      </c>
      <c r="AG11" t="str">
        <f t="shared" si="5"/>
        <v>***</v>
      </c>
    </row>
    <row r="12" spans="1:33" x14ac:dyDescent="0.25">
      <c r="A12">
        <v>19</v>
      </c>
      <c r="B12" t="s">
        <v>15</v>
      </c>
      <c r="C12">
        <v>-3.3642711192234998E-2</v>
      </c>
      <c r="D12">
        <v>5.2814450995950996E-3</v>
      </c>
      <c r="E12">
        <v>-6.3699821843862798</v>
      </c>
      <c r="F12">
        <v>9.7069877961896199E-6</v>
      </c>
      <c r="G12">
        <v>-4.6715316789014999E-2</v>
      </c>
      <c r="H12">
        <v>7.8309362329002895E-3</v>
      </c>
      <c r="I12">
        <v>-5.9654829767031998</v>
      </c>
      <c r="J12">
        <v>2.1373983289347199E-5</v>
      </c>
      <c r="K12">
        <v>-7.1704608686101304E-2</v>
      </c>
      <c r="L12">
        <v>9.3731339796887005E-3</v>
      </c>
      <c r="M12">
        <v>-7.6500142685982198</v>
      </c>
      <c r="N12">
        <v>1.2373639370044001E-6</v>
      </c>
      <c r="O12">
        <v>-7.1372965193950505E-2</v>
      </c>
      <c r="P12">
        <v>9.4559895559302807E-3</v>
      </c>
      <c r="Q12">
        <v>-7.5479107471295004</v>
      </c>
      <c r="R12">
        <v>1.42496163713787E-6</v>
      </c>
      <c r="AB12" t="str">
        <f t="shared" si="0"/>
        <v>***</v>
      </c>
      <c r="AC12" t="str">
        <f t="shared" si="1"/>
        <v>***</v>
      </c>
      <c r="AD12" t="str">
        <f t="shared" si="2"/>
        <v>***</v>
      </c>
      <c r="AE12" t="str">
        <f t="shared" si="3"/>
        <v>***</v>
      </c>
      <c r="AF12" t="str">
        <f t="shared" si="4"/>
        <v>***</v>
      </c>
      <c r="AG12" t="str">
        <f t="shared" si="5"/>
        <v>***</v>
      </c>
    </row>
    <row r="13" spans="1:33" x14ac:dyDescent="0.25">
      <c r="A13">
        <v>21</v>
      </c>
      <c r="B13" t="s">
        <v>13</v>
      </c>
      <c r="C13">
        <v>7.0404330599720205E-2</v>
      </c>
      <c r="D13">
        <v>6.2615154334477096E-3</v>
      </c>
      <c r="E13">
        <v>11.243976214389701</v>
      </c>
      <c r="F13">
        <v>9.8741901782248995E-9</v>
      </c>
      <c r="G13">
        <v>7.9756041383238704E-2</v>
      </c>
      <c r="H13">
        <v>6.9738289603143199E-3</v>
      </c>
      <c r="I13">
        <v>11.4364779860681</v>
      </c>
      <c r="J13">
        <v>7.8285467811374907E-9</v>
      </c>
      <c r="K13">
        <v>0.107699837894737</v>
      </c>
      <c r="L13">
        <v>1.61620176635567E-2</v>
      </c>
      <c r="M13">
        <v>6.6637619223487397</v>
      </c>
      <c r="N13">
        <v>7.6290980670773902E-6</v>
      </c>
      <c r="O13">
        <v>0.10538544323445299</v>
      </c>
      <c r="P13">
        <v>1.6551907307263799E-2</v>
      </c>
      <c r="Q13">
        <v>6.3669667355015003</v>
      </c>
      <c r="R13">
        <v>1.29096075959563E-5</v>
      </c>
      <c r="AB13" t="str">
        <f t="shared" si="0"/>
        <v>***</v>
      </c>
      <c r="AC13" t="str">
        <f t="shared" si="1"/>
        <v>***</v>
      </c>
      <c r="AD13" t="str">
        <f t="shared" si="2"/>
        <v>***</v>
      </c>
      <c r="AE13" t="str">
        <f t="shared" si="3"/>
        <v>***</v>
      </c>
      <c r="AF13" t="str">
        <f t="shared" si="4"/>
        <v>***</v>
      </c>
      <c r="AG13" t="str">
        <f t="shared" si="5"/>
        <v>***</v>
      </c>
    </row>
    <row r="14" spans="1:33" x14ac:dyDescent="0.25">
      <c r="A14">
        <v>23</v>
      </c>
      <c r="B14" t="s">
        <v>14</v>
      </c>
      <c r="C14">
        <v>4.2469424062726101E-2</v>
      </c>
      <c r="D14">
        <v>6.6892251161215898E-3</v>
      </c>
      <c r="E14">
        <v>6.34893030589914</v>
      </c>
      <c r="F14">
        <v>1.3090991772292601E-5</v>
      </c>
      <c r="G14">
        <v>4.73727106591426E-2</v>
      </c>
      <c r="H14">
        <v>8.2520725065049899E-3</v>
      </c>
      <c r="I14">
        <v>5.7407046074545898</v>
      </c>
      <c r="J14">
        <v>3.8932083567137001E-5</v>
      </c>
      <c r="K14">
        <v>3.45669116293955E-2</v>
      </c>
      <c r="L14">
        <v>8.5659140984969701E-3</v>
      </c>
      <c r="M14">
        <v>4.0354025538804796</v>
      </c>
      <c r="N14">
        <v>1.0772757736941E-3</v>
      </c>
      <c r="O14">
        <v>3.2453014772145197E-2</v>
      </c>
      <c r="P14">
        <v>1.04112739267454E-2</v>
      </c>
      <c r="Q14">
        <v>3.1171031518800998</v>
      </c>
      <c r="R14">
        <v>7.1860897347748899E-3</v>
      </c>
      <c r="AB14" t="str">
        <f t="shared" si="0"/>
        <v>***</v>
      </c>
      <c r="AC14" t="str">
        <f t="shared" si="1"/>
        <v>***</v>
      </c>
      <c r="AD14" t="str">
        <f t="shared" si="2"/>
        <v>***</v>
      </c>
      <c r="AE14" t="str">
        <f t="shared" si="3"/>
        <v>***</v>
      </c>
      <c r="AF14" t="str">
        <f t="shared" si="4"/>
        <v>***</v>
      </c>
      <c r="AG14" t="str">
        <f t="shared" si="5"/>
        <v>***</v>
      </c>
    </row>
    <row r="15" spans="1:33" x14ac:dyDescent="0.25">
      <c r="A15">
        <v>25</v>
      </c>
      <c r="B15" t="s">
        <v>59</v>
      </c>
      <c r="C15">
        <v>-4.5366932667228403E-2</v>
      </c>
      <c r="D15">
        <v>9.1364650095324806E-3</v>
      </c>
      <c r="E15">
        <v>-4.9654798239685798</v>
      </c>
      <c r="F15">
        <v>1.5127090029962099E-4</v>
      </c>
      <c r="G15">
        <v>-5.2612112298818903E-2</v>
      </c>
      <c r="H15">
        <v>9.9943173853075194E-3</v>
      </c>
      <c r="I15">
        <v>-5.2642026734275102</v>
      </c>
      <c r="J15">
        <v>8.5201965121388406E-5</v>
      </c>
      <c r="K15">
        <v>-4.2694847099039097E-2</v>
      </c>
      <c r="L15">
        <v>2.17957247921696E-2</v>
      </c>
      <c r="M15">
        <v>-1.958863378307</v>
      </c>
      <c r="N15">
        <v>6.8417241427217404E-2</v>
      </c>
      <c r="O15">
        <v>-4.6446197196182301E-2</v>
      </c>
      <c r="P15">
        <v>2.5453646865391099E-2</v>
      </c>
      <c r="Q15">
        <v>-1.8247364490364799</v>
      </c>
      <c r="R15">
        <v>8.7537930997718394E-2</v>
      </c>
      <c r="AB15" t="str">
        <f t="shared" si="0"/>
        <v>***</v>
      </c>
      <c r="AC15" t="str">
        <f t="shared" si="1"/>
        <v>***</v>
      </c>
      <c r="AD15" t="str">
        <f t="shared" si="2"/>
        <v>*</v>
      </c>
      <c r="AE15" t="str">
        <f t="shared" si="3"/>
        <v>*</v>
      </c>
      <c r="AF15" t="str">
        <f t="shared" si="4"/>
        <v>***</v>
      </c>
      <c r="AG15" t="str">
        <f t="shared" si="5"/>
        <v>***</v>
      </c>
    </row>
    <row r="16" spans="1:33" x14ac:dyDescent="0.25">
      <c r="A16">
        <v>27</v>
      </c>
      <c r="B16" t="s">
        <v>60</v>
      </c>
      <c r="C16">
        <v>-7.92977557809392E-2</v>
      </c>
      <c r="D16">
        <v>1.8361793615478701E-2</v>
      </c>
      <c r="E16">
        <v>-4.31862798599873</v>
      </c>
      <c r="F16">
        <v>7.8714531854009204E-4</v>
      </c>
      <c r="G16">
        <v>-9.6143838692866496E-2</v>
      </c>
      <c r="H16">
        <v>2.0563760521199799E-2</v>
      </c>
      <c r="I16">
        <v>-4.6754015927071801</v>
      </c>
      <c r="J16">
        <v>4.0559625035708802E-4</v>
      </c>
      <c r="K16">
        <v>-4.59927177299191E-2</v>
      </c>
      <c r="L16">
        <v>4.0940995138221803E-2</v>
      </c>
      <c r="M16">
        <v>-1.12339032245411</v>
      </c>
      <c r="N16">
        <v>0.28127873796441999</v>
      </c>
      <c r="O16">
        <v>-3.4027054978966201E-2</v>
      </c>
      <c r="P16">
        <v>4.5384370073679202E-2</v>
      </c>
      <c r="Q16">
        <v>-0.74975272155865602</v>
      </c>
      <c r="R16">
        <v>0.466510144715644</v>
      </c>
      <c r="AB16" t="str">
        <f t="shared" si="0"/>
        <v>***</v>
      </c>
      <c r="AC16" t="str">
        <f t="shared" si="1"/>
        <v>***</v>
      </c>
      <c r="AD16" t="str">
        <f t="shared" si="2"/>
        <v/>
      </c>
      <c r="AE16" t="str">
        <f t="shared" si="3"/>
        <v/>
      </c>
      <c r="AF16" t="str">
        <f t="shared" si="4"/>
        <v>***</v>
      </c>
      <c r="AG16" t="str">
        <f t="shared" si="5"/>
        <v>***</v>
      </c>
    </row>
    <row r="17" spans="1:33" x14ac:dyDescent="0.25">
      <c r="A17">
        <v>29</v>
      </c>
      <c r="B17" t="s">
        <v>18</v>
      </c>
      <c r="C17">
        <v>1.7922903457536201E-4</v>
      </c>
      <c r="D17">
        <v>9.6028668701212404E-6</v>
      </c>
      <c r="E17">
        <v>18.664117393215498</v>
      </c>
      <c r="F17">
        <v>5.22005268642877E-11</v>
      </c>
      <c r="G17">
        <v>1.96484673064276E-4</v>
      </c>
      <c r="H17">
        <v>1.1574649965822999E-5</v>
      </c>
      <c r="I17">
        <v>16.975431105428299</v>
      </c>
      <c r="J17">
        <v>2.10311078885969E-10</v>
      </c>
      <c r="K17">
        <v>2.47718024595725E-4</v>
      </c>
      <c r="L17">
        <v>1.6843027846756599E-5</v>
      </c>
      <c r="M17">
        <v>14.707452059662</v>
      </c>
      <c r="N17">
        <v>1.23192458563609E-9</v>
      </c>
      <c r="O17">
        <v>2.5504419197379602E-4</v>
      </c>
      <c r="P17">
        <v>1.60931108884362E-5</v>
      </c>
      <c r="Q17">
        <v>15.8480354570265</v>
      </c>
      <c r="R17">
        <v>3.9581969845292999E-10</v>
      </c>
      <c r="AB17" t="str">
        <f t="shared" si="0"/>
        <v>***</v>
      </c>
      <c r="AC17" t="str">
        <f t="shared" si="1"/>
        <v>***</v>
      </c>
      <c r="AD17" t="str">
        <f t="shared" si="2"/>
        <v>***</v>
      </c>
      <c r="AE17" t="str">
        <f t="shared" si="3"/>
        <v>***</v>
      </c>
      <c r="AF17" t="str">
        <f t="shared" si="4"/>
        <v>***</v>
      </c>
      <c r="AG17" t="str">
        <f t="shared" si="5"/>
        <v>***</v>
      </c>
    </row>
    <row r="18" spans="1:33" x14ac:dyDescent="0.25">
      <c r="A18">
        <v>31</v>
      </c>
      <c r="B18" t="s">
        <v>33</v>
      </c>
      <c r="C18">
        <v>-1.1046170091595199E-3</v>
      </c>
      <c r="D18">
        <v>9.08015711605781E-4</v>
      </c>
      <c r="E18">
        <v>-1.2165175062951901</v>
      </c>
      <c r="F18">
        <v>0.24388845829369901</v>
      </c>
      <c r="G18">
        <v>-1.86355581988971E-3</v>
      </c>
      <c r="H18">
        <v>9.9218957796237705E-4</v>
      </c>
      <c r="I18">
        <v>-1.8782255541494599</v>
      </c>
      <c r="J18">
        <v>8.1248149975289299E-2</v>
      </c>
      <c r="K18">
        <v>4.6509454004016997E-3</v>
      </c>
      <c r="L18">
        <v>1.9740785257487E-3</v>
      </c>
      <c r="M18">
        <v>2.35600830450135</v>
      </c>
      <c r="N18">
        <v>3.4207292950561297E-2</v>
      </c>
      <c r="O18">
        <v>4.3961888687648002E-3</v>
      </c>
      <c r="P18">
        <v>1.8620107215130801E-3</v>
      </c>
      <c r="Q18">
        <v>2.3609900941883</v>
      </c>
      <c r="R18">
        <v>3.4917619617565697E-2</v>
      </c>
      <c r="AB18" t="str">
        <f t="shared" si="0"/>
        <v/>
      </c>
      <c r="AC18" t="str">
        <f t="shared" si="1"/>
        <v>*</v>
      </c>
      <c r="AD18" t="str">
        <f t="shared" si="2"/>
        <v>**</v>
      </c>
      <c r="AE18" t="str">
        <f t="shared" si="3"/>
        <v>**</v>
      </c>
      <c r="AF18" t="str">
        <f t="shared" si="4"/>
        <v>***</v>
      </c>
      <c r="AG18" t="str">
        <f t="shared" si="5"/>
        <v>***</v>
      </c>
    </row>
    <row r="19" spans="1:33" x14ac:dyDescent="0.25">
      <c r="A19">
        <v>33</v>
      </c>
      <c r="B19" t="s">
        <v>34</v>
      </c>
      <c r="C19">
        <v>2.2440493801002499E-2</v>
      </c>
      <c r="D19">
        <v>9.6622840196624003E-3</v>
      </c>
      <c r="E19">
        <v>2.3224833543846302</v>
      </c>
      <c r="F19">
        <v>3.6378945898048402E-2</v>
      </c>
      <c r="G19">
        <v>3.1769330120716602E-2</v>
      </c>
      <c r="H19">
        <v>1.12146592311308E-2</v>
      </c>
      <c r="I19">
        <v>2.8328395420636601</v>
      </c>
      <c r="J19">
        <v>1.3404620547754599E-2</v>
      </c>
      <c r="K19">
        <v>4.0587309204901199E-3</v>
      </c>
      <c r="L19">
        <v>2.14507685317013E-2</v>
      </c>
      <c r="M19">
        <v>0.18921144547766999</v>
      </c>
      <c r="N19">
        <v>0.85271159756798298</v>
      </c>
      <c r="O19">
        <v>3.9066112598015396E-3</v>
      </c>
      <c r="P19">
        <v>2.1550687536872101E-2</v>
      </c>
      <c r="Q19">
        <v>0.181275481495314</v>
      </c>
      <c r="R19">
        <v>0.85886415665955895</v>
      </c>
      <c r="AB19" t="str">
        <f t="shared" si="0"/>
        <v>**</v>
      </c>
      <c r="AC19" t="str">
        <f t="shared" si="1"/>
        <v>**</v>
      </c>
      <c r="AD19" t="str">
        <f t="shared" si="2"/>
        <v/>
      </c>
      <c r="AE19" t="str">
        <f t="shared" si="3"/>
        <v/>
      </c>
      <c r="AF19" t="str">
        <f t="shared" si="4"/>
        <v>***</v>
      </c>
      <c r="AG19" t="str">
        <f t="shared" si="5"/>
        <v>***</v>
      </c>
    </row>
    <row r="20" spans="1:33" x14ac:dyDescent="0.25">
      <c r="A20">
        <v>35</v>
      </c>
      <c r="B20" t="s">
        <v>21</v>
      </c>
      <c r="C20">
        <v>-4.3807773648405497E-2</v>
      </c>
      <c r="D20">
        <v>1.29800222850754E-2</v>
      </c>
      <c r="E20">
        <v>-3.3750152878224502</v>
      </c>
      <c r="F20">
        <v>7.7490776232405001E-3</v>
      </c>
      <c r="G20">
        <v>-5.7283813255026197E-2</v>
      </c>
      <c r="H20">
        <v>1.44158156674186E-2</v>
      </c>
      <c r="I20">
        <v>-3.9736782556462802</v>
      </c>
      <c r="J20">
        <v>2.97377330663679E-3</v>
      </c>
      <c r="K20">
        <v>-2.71397176610855E-2</v>
      </c>
      <c r="L20">
        <v>3.1633496450589098E-2</v>
      </c>
      <c r="M20">
        <v>-0.85794239354720703</v>
      </c>
      <c r="N20">
        <v>0.41238810754201599</v>
      </c>
      <c r="O20">
        <v>-2.8715512969616001E-2</v>
      </c>
      <c r="P20">
        <v>3.2283328732079397E-2</v>
      </c>
      <c r="Q20">
        <v>-0.88948426625789301</v>
      </c>
      <c r="R20">
        <v>0.39609577841285798</v>
      </c>
      <c r="AB20" t="str">
        <f t="shared" si="0"/>
        <v>***</v>
      </c>
      <c r="AC20" t="str">
        <f t="shared" si="1"/>
        <v>***</v>
      </c>
      <c r="AD20" t="str">
        <f t="shared" si="2"/>
        <v/>
      </c>
      <c r="AE20" t="str">
        <f t="shared" si="3"/>
        <v/>
      </c>
      <c r="AF20" t="str">
        <f t="shared" si="4"/>
        <v>***</v>
      </c>
      <c r="AG20" t="str">
        <f t="shared" si="5"/>
        <v>***</v>
      </c>
    </row>
    <row r="21" spans="1:33" x14ac:dyDescent="0.25">
      <c r="A21">
        <v>37</v>
      </c>
      <c r="B21" t="s">
        <v>227</v>
      </c>
      <c r="C21">
        <v>0.11385583145990399</v>
      </c>
      <c r="D21">
        <v>1.03464776840517E-2</v>
      </c>
      <c r="E21">
        <v>11.004308416515901</v>
      </c>
      <c r="F21">
        <v>5.4800531625126397E-8</v>
      </c>
      <c r="G21">
        <v>0.117977415061208</v>
      </c>
      <c r="H21">
        <v>1.15352942101529E-2</v>
      </c>
      <c r="I21">
        <v>10.2275167769339</v>
      </c>
      <c r="J21">
        <v>1.30945377500288E-7</v>
      </c>
      <c r="K21">
        <v>0.1559348096497</v>
      </c>
      <c r="L21">
        <v>2.0930834979458999E-2</v>
      </c>
      <c r="M21">
        <v>7.4500042546191398</v>
      </c>
      <c r="N21">
        <v>4.6504688111822402E-6</v>
      </c>
      <c r="O21">
        <v>0.152314579798843</v>
      </c>
      <c r="P21">
        <v>2.1845874775906899E-2</v>
      </c>
      <c r="Q21">
        <v>6.9722353241183104</v>
      </c>
      <c r="R21">
        <v>9.0259860472462998E-6</v>
      </c>
      <c r="AB21" t="str">
        <f t="shared" si="0"/>
        <v>***</v>
      </c>
      <c r="AC21" t="str">
        <f t="shared" si="1"/>
        <v>***</v>
      </c>
      <c r="AD21" t="str">
        <f t="shared" si="2"/>
        <v>***</v>
      </c>
      <c r="AE21" t="str">
        <f t="shared" si="3"/>
        <v>***</v>
      </c>
      <c r="AF21" t="str">
        <f t="shared" si="4"/>
        <v>***</v>
      </c>
      <c r="AG21" t="str">
        <f t="shared" si="5"/>
        <v>***</v>
      </c>
    </row>
    <row r="22" spans="1:33" x14ac:dyDescent="0.25">
      <c r="A22">
        <v>39</v>
      </c>
      <c r="B22" t="s">
        <v>229</v>
      </c>
      <c r="C22">
        <v>5.9642689271179598E-2</v>
      </c>
      <c r="D22">
        <v>4.4363004773900899E-3</v>
      </c>
      <c r="E22">
        <v>13.444240212121001</v>
      </c>
      <c r="F22">
        <v>1.3277472628058801E-9</v>
      </c>
      <c r="G22">
        <v>6.26879628670481E-2</v>
      </c>
      <c r="H22">
        <v>4.3574418637053599E-3</v>
      </c>
      <c r="I22">
        <v>14.386414053896599</v>
      </c>
      <c r="J22">
        <v>5.2946355880998797E-10</v>
      </c>
      <c r="K22">
        <v>8.0393708860822297E-2</v>
      </c>
      <c r="L22">
        <v>1.1850006664249299E-2</v>
      </c>
      <c r="M22">
        <v>6.7842754133940604</v>
      </c>
      <c r="N22">
        <v>7.2608467979237202E-6</v>
      </c>
      <c r="O22">
        <v>7.7286845592674902E-2</v>
      </c>
      <c r="P22">
        <v>1.36068526258092E-2</v>
      </c>
      <c r="Q22">
        <v>5.6799943174278598</v>
      </c>
      <c r="R22">
        <v>4.8315744522988502E-5</v>
      </c>
      <c r="AB22" t="str">
        <f t="shared" si="0"/>
        <v>***</v>
      </c>
      <c r="AC22" t="str">
        <f t="shared" si="1"/>
        <v>***</v>
      </c>
      <c r="AD22" t="str">
        <f t="shared" si="2"/>
        <v>***</v>
      </c>
      <c r="AE22" t="str">
        <f t="shared" si="3"/>
        <v>***</v>
      </c>
      <c r="AF22" t="str">
        <f t="shared" si="4"/>
        <v>***</v>
      </c>
      <c r="AG22" t="str">
        <f t="shared" si="5"/>
        <v>***</v>
      </c>
    </row>
    <row r="23" spans="1:33" x14ac:dyDescent="0.25">
      <c r="A23">
        <v>41</v>
      </c>
      <c r="B23" t="s">
        <v>233</v>
      </c>
      <c r="C23">
        <v>-6.7860953838397103E-2</v>
      </c>
      <c r="D23">
        <v>9.2851611956170296E-3</v>
      </c>
      <c r="E23">
        <v>-7.3085380435215503</v>
      </c>
      <c r="F23">
        <v>1.6435553400576999E-6</v>
      </c>
      <c r="G23">
        <v>-6.4484910325885395E-2</v>
      </c>
      <c r="H23">
        <v>1.07734906907368E-2</v>
      </c>
      <c r="I23">
        <v>-5.9855168744268301</v>
      </c>
      <c r="J23">
        <v>1.8157244599902299E-5</v>
      </c>
      <c r="K23">
        <v>-6.3143202782666594E-2</v>
      </c>
      <c r="L23">
        <v>1.7499971883322099E-2</v>
      </c>
      <c r="M23">
        <v>-3.60818881331139</v>
      </c>
      <c r="N23">
        <v>2.3215798434512401E-3</v>
      </c>
      <c r="O23">
        <v>-6.4203907384925402E-2</v>
      </c>
      <c r="P23">
        <v>1.8568422047726699E-2</v>
      </c>
      <c r="Q23">
        <v>-3.4576932396248501</v>
      </c>
      <c r="R23">
        <v>3.1818085847261199E-3</v>
      </c>
      <c r="AB23" t="str">
        <f t="shared" si="0"/>
        <v>***</v>
      </c>
      <c r="AC23" t="str">
        <f t="shared" si="1"/>
        <v>***</v>
      </c>
      <c r="AD23" t="str">
        <f t="shared" si="2"/>
        <v>***</v>
      </c>
      <c r="AE23" t="str">
        <f t="shared" si="3"/>
        <v>***</v>
      </c>
      <c r="AF23" t="str">
        <f t="shared" si="4"/>
        <v>***</v>
      </c>
      <c r="AG23" t="str">
        <f t="shared" si="5"/>
        <v>***</v>
      </c>
    </row>
    <row r="24" spans="1:33" x14ac:dyDescent="0.25">
      <c r="A24">
        <v>43</v>
      </c>
      <c r="B24" t="s">
        <v>22</v>
      </c>
      <c r="C24">
        <v>1.9952717454501601E-2</v>
      </c>
      <c r="D24">
        <v>1.33255074585968E-2</v>
      </c>
      <c r="E24">
        <v>1.49733265442206</v>
      </c>
      <c r="F24">
        <v>0.15833957217995201</v>
      </c>
      <c r="G24">
        <v>2.5839851597315899E-2</v>
      </c>
      <c r="H24">
        <v>1.38576690261265E-2</v>
      </c>
      <c r="I24">
        <v>1.8646607556147301</v>
      </c>
      <c r="J24">
        <v>8.5114739675930806E-2</v>
      </c>
      <c r="K24">
        <v>3.8284072431175598E-2</v>
      </c>
      <c r="L24">
        <v>1.8300693796893398E-2</v>
      </c>
      <c r="M24">
        <v>2.09194650520159</v>
      </c>
      <c r="N24">
        <v>5.6844308209439601E-2</v>
      </c>
      <c r="AB24" t="str">
        <f t="shared" si="0"/>
        <v/>
      </c>
      <c r="AC24" t="str">
        <f t="shared" si="1"/>
        <v>*</v>
      </c>
      <c r="AD24" t="str">
        <f t="shared" si="2"/>
        <v>*</v>
      </c>
      <c r="AE24" t="str">
        <f t="shared" si="3"/>
        <v>***</v>
      </c>
      <c r="AF24" t="str">
        <f t="shared" si="4"/>
        <v>***</v>
      </c>
      <c r="AG24" t="str">
        <f t="shared" si="5"/>
        <v>***</v>
      </c>
    </row>
    <row r="25" spans="1:33" x14ac:dyDescent="0.25">
      <c r="A25">
        <v>45</v>
      </c>
      <c r="B25" t="s">
        <v>23</v>
      </c>
      <c r="C25">
        <v>-5.3290126043492703E-2</v>
      </c>
      <c r="D25">
        <v>2.3816710049031398E-2</v>
      </c>
      <c r="E25">
        <v>-2.2375099639616201</v>
      </c>
      <c r="F25">
        <v>8.3862168613505997E-2</v>
      </c>
      <c r="G25">
        <v>-5.2019302870567601E-2</v>
      </c>
      <c r="H25">
        <v>2.62173450922666E-2</v>
      </c>
      <c r="I25">
        <v>-1.98415601150674</v>
      </c>
      <c r="J25">
        <v>0.112960297627794</v>
      </c>
      <c r="K25">
        <v>-7.7260783317997295E-2</v>
      </c>
      <c r="L25">
        <v>3.2632819321744701E-2</v>
      </c>
      <c r="M25">
        <v>-2.3675791710253802</v>
      </c>
      <c r="N25">
        <v>7.2186585423543198E-2</v>
      </c>
      <c r="AB25" t="str">
        <f t="shared" si="0"/>
        <v>*</v>
      </c>
      <c r="AC25" t="str">
        <f t="shared" si="1"/>
        <v/>
      </c>
      <c r="AD25" t="str">
        <f t="shared" si="2"/>
        <v>*</v>
      </c>
      <c r="AE25" t="str">
        <f t="shared" si="3"/>
        <v>***</v>
      </c>
      <c r="AF25" t="str">
        <f t="shared" si="4"/>
        <v>***</v>
      </c>
      <c r="AG25" t="str">
        <f t="shared" si="5"/>
        <v>***</v>
      </c>
    </row>
    <row r="26" spans="1:33" x14ac:dyDescent="0.25">
      <c r="A26">
        <v>47</v>
      </c>
    </row>
    <row r="27" spans="1:33" x14ac:dyDescent="0.25">
      <c r="A27">
        <v>49</v>
      </c>
    </row>
    <row r="28" spans="1:33" x14ac:dyDescent="0.25">
      <c r="A28">
        <v>51</v>
      </c>
    </row>
    <row r="29" spans="1:33" x14ac:dyDescent="0.25">
      <c r="A29">
        <v>53</v>
      </c>
    </row>
    <row r="30" spans="1:33" x14ac:dyDescent="0.25">
      <c r="A30">
        <v>55</v>
      </c>
      <c r="B30" t="s">
        <v>29</v>
      </c>
      <c r="C30">
        <v>-2.8205492981001602E-2</v>
      </c>
      <c r="D30">
        <v>2.0686815008308299E-2</v>
      </c>
      <c r="E30">
        <v>-1.36345266149833</v>
      </c>
      <c r="F30">
        <v>0.192502490728956</v>
      </c>
      <c r="G30">
        <v>-3.1103599941236602E-2</v>
      </c>
      <c r="H30">
        <v>2.5052382879509401E-2</v>
      </c>
      <c r="I30">
        <v>-1.24154257464573</v>
      </c>
      <c r="J30">
        <v>0.23310173137807899</v>
      </c>
      <c r="K30">
        <v>-3.2983653542811499E-2</v>
      </c>
      <c r="L30">
        <v>2.6315078428463302E-2</v>
      </c>
      <c r="M30">
        <v>-1.25341270148506</v>
      </c>
      <c r="N30">
        <v>0.228854196986127</v>
      </c>
      <c r="AB30" t="str">
        <f t="shared" si="0"/>
        <v/>
      </c>
      <c r="AC30" t="str">
        <f t="shared" si="1"/>
        <v/>
      </c>
      <c r="AD30" t="str">
        <f t="shared" si="2"/>
        <v/>
      </c>
      <c r="AE30" t="str">
        <f t="shared" si="3"/>
        <v>***</v>
      </c>
      <c r="AF30" t="str">
        <f t="shared" si="4"/>
        <v>***</v>
      </c>
      <c r="AG30" t="str">
        <f t="shared" si="5"/>
        <v>***</v>
      </c>
    </row>
    <row r="31" spans="1:33" x14ac:dyDescent="0.25">
      <c r="A31">
        <v>57</v>
      </c>
    </row>
    <row r="32" spans="1:33" x14ac:dyDescent="0.25">
      <c r="A32">
        <v>59</v>
      </c>
      <c r="B32" t="s">
        <v>28</v>
      </c>
      <c r="C32">
        <v>7.6118140550148594E-2</v>
      </c>
      <c r="D32">
        <v>1.9213929262954101E-2</v>
      </c>
      <c r="E32">
        <v>3.9616124067298402</v>
      </c>
      <c r="F32">
        <v>2.0567811371345799E-3</v>
      </c>
      <c r="G32">
        <v>9.3267733401650801E-2</v>
      </c>
      <c r="H32">
        <v>2.2789336939590201E-2</v>
      </c>
      <c r="I32">
        <v>4.0926040827288697</v>
      </c>
      <c r="J32">
        <v>1.63086742016552E-3</v>
      </c>
      <c r="K32">
        <v>8.1111220389373503E-2</v>
      </c>
      <c r="L32">
        <v>4.3517287567612098E-2</v>
      </c>
      <c r="M32">
        <v>1.8638850195649801</v>
      </c>
      <c r="N32">
        <v>8.8689683594335905E-2</v>
      </c>
      <c r="AB32" t="str">
        <f t="shared" si="0"/>
        <v>***</v>
      </c>
      <c r="AC32" t="str">
        <f t="shared" si="1"/>
        <v>***</v>
      </c>
      <c r="AD32" t="str">
        <f t="shared" si="2"/>
        <v>*</v>
      </c>
      <c r="AE32" t="str">
        <f t="shared" si="3"/>
        <v>***</v>
      </c>
      <c r="AF32" t="str">
        <f t="shared" si="4"/>
        <v>***</v>
      </c>
      <c r="AG32" t="str">
        <f t="shared" si="5"/>
        <v>***</v>
      </c>
    </row>
    <row r="33" spans="1:33" x14ac:dyDescent="0.25">
      <c r="A33">
        <v>61</v>
      </c>
      <c r="B33" t="s">
        <v>239</v>
      </c>
      <c r="C33">
        <v>1.0780179971983999E-2</v>
      </c>
      <c r="D33">
        <v>9.68389709875416E-2</v>
      </c>
      <c r="E33">
        <v>0.111320678669447</v>
      </c>
      <c r="F33">
        <v>0.91952510352773698</v>
      </c>
      <c r="G33">
        <v>-1.6623105841241801E-2</v>
      </c>
      <c r="H33">
        <v>9.8538085864832203E-2</v>
      </c>
      <c r="I33">
        <v>-0.16869726761329901</v>
      </c>
      <c r="J33">
        <v>0.87874601398541796</v>
      </c>
      <c r="K33">
        <v>-4.7742387705742698E-2</v>
      </c>
      <c r="L33">
        <v>6.2147149445237297E-2</v>
      </c>
      <c r="M33">
        <v>-0.76821524610412395</v>
      </c>
      <c r="N33">
        <v>0.52616240343655696</v>
      </c>
      <c r="AB33" t="str">
        <f t="shared" si="0"/>
        <v/>
      </c>
      <c r="AC33" t="str">
        <f t="shared" si="1"/>
        <v/>
      </c>
      <c r="AD33" t="str">
        <f t="shared" si="2"/>
        <v/>
      </c>
      <c r="AE33" t="str">
        <f t="shared" si="3"/>
        <v>***</v>
      </c>
      <c r="AF33" t="str">
        <f t="shared" si="4"/>
        <v>***</v>
      </c>
      <c r="AG33" t="str">
        <f t="shared" si="5"/>
        <v>***</v>
      </c>
    </row>
    <row r="34" spans="1:33" x14ac:dyDescent="0.25">
      <c r="A34">
        <v>63</v>
      </c>
      <c r="B34" t="s">
        <v>240</v>
      </c>
      <c r="C34">
        <v>0.191965454629453</v>
      </c>
      <c r="D34">
        <v>7.6969163213664302E-2</v>
      </c>
      <c r="E34">
        <v>2.49405666651933</v>
      </c>
      <c r="F34">
        <v>0.241507733398657</v>
      </c>
      <c r="G34">
        <v>0.24304031205288801</v>
      </c>
      <c r="H34">
        <v>0.107375867523591</v>
      </c>
      <c r="I34">
        <v>2.2634537690649199</v>
      </c>
      <c r="J34">
        <v>0.26370686110772801</v>
      </c>
      <c r="K34">
        <v>0.32999310766502898</v>
      </c>
      <c r="L34">
        <v>0.10963976575458199</v>
      </c>
      <c r="M34">
        <v>3.0097939866424701</v>
      </c>
      <c r="N34">
        <v>0.20317478198852701</v>
      </c>
      <c r="AB34" t="str">
        <f>IF(F34&lt;0.01,"***",IF(F34&lt;0.05,"**",IF(F34&lt;0.1,"*","")))</f>
        <v/>
      </c>
      <c r="AC34" t="str">
        <f>IF(J34&lt;0.01,"***",IF(J34&lt;0.05,"**",IF(J34&lt;0.1,"*","")))</f>
        <v/>
      </c>
      <c r="AD34" t="str">
        <f>IF(N34&lt;0.01,"***",IF(N34&lt;0.05,"**",IF(N34&lt;0.1,"*","")))</f>
        <v/>
      </c>
      <c r="AE34" t="str">
        <f>IF(R34&lt;0.01,"***",IF(R34&lt;0.05,"**",IF(R34&lt;0.1,"*","")))</f>
        <v>***</v>
      </c>
      <c r="AF34" t="str">
        <f>IF(V34&lt;0.01,"***",IF(V34&lt;0.05,"**",IF(V34&lt;0.1,"*","")))</f>
        <v>***</v>
      </c>
      <c r="AG34" t="str">
        <f>IF(Z34&lt;0.01,"***",IF(Z34&lt;0.05,"**",IF(Z34&lt;0.1,"*","")))</f>
        <v>***</v>
      </c>
    </row>
    <row r="35" spans="1:33" x14ac:dyDescent="0.25">
      <c r="A35">
        <v>65</v>
      </c>
      <c r="B35" t="s">
        <v>242</v>
      </c>
      <c r="C35">
        <v>-7.6500056981620101E-2</v>
      </c>
      <c r="D35">
        <v>3.57166986681762E-2</v>
      </c>
      <c r="E35">
        <v>-2.1418568858320102</v>
      </c>
      <c r="F35">
        <v>0.123123534632621</v>
      </c>
      <c r="G35">
        <v>-4.1874990445536601E-2</v>
      </c>
      <c r="H35">
        <v>4.2819847628745897E-2</v>
      </c>
      <c r="I35">
        <v>-0.97793413018651099</v>
      </c>
      <c r="J35">
        <v>0.40189352507874698</v>
      </c>
      <c r="K35">
        <v>-4.8660336577262597E-2</v>
      </c>
      <c r="L35">
        <v>5.9999006524295198E-2</v>
      </c>
      <c r="M35">
        <v>-0.81101903841622203</v>
      </c>
      <c r="N35">
        <v>0.47999403422746301</v>
      </c>
    </row>
    <row r="36" spans="1:33" x14ac:dyDescent="0.25">
      <c r="A36">
        <v>67</v>
      </c>
      <c r="B36" t="s">
        <v>244</v>
      </c>
      <c r="C36">
        <v>-2.8433485019860099E-3</v>
      </c>
      <c r="D36">
        <v>3.18405919271025E-2</v>
      </c>
      <c r="E36">
        <v>-8.9299486281401996E-2</v>
      </c>
      <c r="F36">
        <v>0.93089913295650695</v>
      </c>
      <c r="G36">
        <v>1.7856992404804799E-2</v>
      </c>
      <c r="H36">
        <v>2.92478324624947E-2</v>
      </c>
      <c r="I36">
        <v>0.61054071024590695</v>
      </c>
      <c r="J36">
        <v>0.55777687825534406</v>
      </c>
      <c r="K36">
        <v>9.2269695084927095E-3</v>
      </c>
      <c r="L36">
        <v>4.9044363606804101E-2</v>
      </c>
      <c r="M36">
        <v>0.18813516640702499</v>
      </c>
      <c r="N36">
        <v>0.85536505903373405</v>
      </c>
      <c r="AB36" t="str">
        <f t="shared" si="0"/>
        <v/>
      </c>
      <c r="AC36" t="str">
        <f t="shared" si="1"/>
        <v/>
      </c>
      <c r="AD36" t="str">
        <f t="shared" si="2"/>
        <v/>
      </c>
      <c r="AE36" t="str">
        <f t="shared" si="3"/>
        <v>***</v>
      </c>
      <c r="AF36" t="str">
        <f t="shared" si="4"/>
        <v>***</v>
      </c>
      <c r="AG36" t="str">
        <f t="shared" si="5"/>
        <v>***</v>
      </c>
    </row>
    <row r="37" spans="1:33" x14ac:dyDescent="0.25">
      <c r="A37">
        <v>69</v>
      </c>
      <c r="B37" t="s">
        <v>245</v>
      </c>
      <c r="C37">
        <v>-3.6752987949876101E-3</v>
      </c>
      <c r="D37">
        <v>0.14560943248996799</v>
      </c>
      <c r="E37">
        <v>-2.5240801589147099E-2</v>
      </c>
      <c r="F37">
        <v>0.980651636823341</v>
      </c>
      <c r="G37">
        <v>-2.4673217468678899E-2</v>
      </c>
      <c r="H37">
        <v>0.14637244820145301</v>
      </c>
      <c r="I37">
        <v>-0.16856462928543101</v>
      </c>
      <c r="J37">
        <v>0.87149514883341395</v>
      </c>
      <c r="K37">
        <v>-2.8050974684037E-2</v>
      </c>
      <c r="L37">
        <v>0.146136853953895</v>
      </c>
      <c r="M37">
        <v>-0.19195003809844499</v>
      </c>
      <c r="N37">
        <v>0.85390886099206897</v>
      </c>
      <c r="AB37" t="str">
        <f t="shared" si="0"/>
        <v/>
      </c>
      <c r="AC37" t="str">
        <f t="shared" si="1"/>
        <v/>
      </c>
      <c r="AD37" t="str">
        <f t="shared" si="2"/>
        <v/>
      </c>
      <c r="AE37" t="str">
        <f t="shared" si="3"/>
        <v>***</v>
      </c>
      <c r="AF37" t="str">
        <f t="shared" si="4"/>
        <v>***</v>
      </c>
      <c r="AG37" t="str">
        <f t="shared" si="5"/>
        <v>***</v>
      </c>
    </row>
    <row r="38" spans="1:33" x14ac:dyDescent="0.25">
      <c r="A38">
        <v>71</v>
      </c>
      <c r="B38" t="s">
        <v>247</v>
      </c>
      <c r="C38">
        <v>2.4890960314246001E-2</v>
      </c>
      <c r="D38">
        <v>4.3763802986751199E-2</v>
      </c>
      <c r="E38">
        <v>0.56875679478269603</v>
      </c>
      <c r="F38">
        <v>0.59800741879932695</v>
      </c>
      <c r="G38">
        <v>3.0902761920816001E-2</v>
      </c>
      <c r="H38">
        <v>5.2513875398163198E-2</v>
      </c>
      <c r="I38">
        <v>0.58846850830393904</v>
      </c>
      <c r="J38">
        <v>0.58582691131658104</v>
      </c>
      <c r="K38">
        <v>-0.10059626370281601</v>
      </c>
      <c r="L38">
        <v>0.104281647282635</v>
      </c>
      <c r="M38">
        <v>-0.96465932716012304</v>
      </c>
      <c r="N38">
        <v>0.39593447928250403</v>
      </c>
      <c r="AB38" t="str">
        <f t="shared" si="0"/>
        <v/>
      </c>
      <c r="AC38" t="str">
        <f t="shared" si="1"/>
        <v/>
      </c>
      <c r="AD38" t="str">
        <f t="shared" si="2"/>
        <v/>
      </c>
      <c r="AE38" t="str">
        <f t="shared" si="3"/>
        <v>***</v>
      </c>
      <c r="AF38" t="str">
        <f t="shared" si="4"/>
        <v>***</v>
      </c>
      <c r="AG38" t="str">
        <f t="shared" si="5"/>
        <v>***</v>
      </c>
    </row>
    <row r="39" spans="1:33" x14ac:dyDescent="0.25">
      <c r="A39">
        <v>73</v>
      </c>
      <c r="B39" t="s">
        <v>249</v>
      </c>
      <c r="C39">
        <v>0.37257352161895002</v>
      </c>
      <c r="D39">
        <v>0.27445834128344199</v>
      </c>
      <c r="E39">
        <v>1.3574866038929401</v>
      </c>
      <c r="F39">
        <v>0.40274178752494399</v>
      </c>
      <c r="G39">
        <v>0.52161560051122902</v>
      </c>
      <c r="H39">
        <v>0.19488872520368899</v>
      </c>
      <c r="I39">
        <v>2.6764791034784499</v>
      </c>
      <c r="J39">
        <v>0.22614215963431</v>
      </c>
      <c r="K39">
        <v>0.36462323031549199</v>
      </c>
      <c r="L39">
        <v>0.23717813532848001</v>
      </c>
      <c r="M39">
        <v>1.53733913883127</v>
      </c>
      <c r="N39">
        <v>0.36600988394407802</v>
      </c>
      <c r="AB39" t="str">
        <f t="shared" si="0"/>
        <v/>
      </c>
      <c r="AC39" t="str">
        <f t="shared" si="1"/>
        <v/>
      </c>
      <c r="AD39" t="str">
        <f t="shared" si="2"/>
        <v/>
      </c>
      <c r="AE39" t="str">
        <f t="shared" si="3"/>
        <v>***</v>
      </c>
      <c r="AF39" t="str">
        <f t="shared" si="4"/>
        <v>***</v>
      </c>
      <c r="AG39" t="str">
        <f t="shared" si="5"/>
        <v>***</v>
      </c>
    </row>
    <row r="40" spans="1:33" x14ac:dyDescent="0.25">
      <c r="A40">
        <v>75</v>
      </c>
      <c r="B40" t="s">
        <v>166</v>
      </c>
      <c r="C40">
        <v>3.88330972828465E-2</v>
      </c>
      <c r="D40">
        <v>5.096951355656E-2</v>
      </c>
      <c r="E40">
        <v>0.76188871686511395</v>
      </c>
      <c r="F40">
        <v>0.46108717707414199</v>
      </c>
      <c r="G40">
        <v>5.17751302330215E-2</v>
      </c>
      <c r="H40">
        <v>5.4169003566397499E-2</v>
      </c>
      <c r="I40">
        <v>0.95580732197811702</v>
      </c>
      <c r="J40">
        <v>0.35834300250416001</v>
      </c>
      <c r="K40">
        <v>8.9551057816433605E-2</v>
      </c>
      <c r="L40">
        <v>7.52109901650269E-2</v>
      </c>
      <c r="M40">
        <v>1.1906645241598599</v>
      </c>
      <c r="N40">
        <v>0.25722154583664603</v>
      </c>
      <c r="AB40" t="str">
        <f t="shared" si="0"/>
        <v/>
      </c>
      <c r="AC40" t="str">
        <f t="shared" si="1"/>
        <v/>
      </c>
      <c r="AD40" t="str">
        <f t="shared" si="2"/>
        <v/>
      </c>
      <c r="AE40" t="str">
        <f t="shared" si="3"/>
        <v>***</v>
      </c>
      <c r="AF40" t="str">
        <f t="shared" si="4"/>
        <v>***</v>
      </c>
      <c r="AG40" t="str">
        <f t="shared" si="5"/>
        <v>***</v>
      </c>
    </row>
    <row r="41" spans="1:33" x14ac:dyDescent="0.25">
      <c r="A41">
        <v>77</v>
      </c>
      <c r="B41" t="s">
        <v>167</v>
      </c>
      <c r="C41">
        <v>0.10669019010941901</v>
      </c>
      <c r="D41">
        <v>5.2166654616071798E-2</v>
      </c>
      <c r="E41">
        <v>2.0451798355601101</v>
      </c>
      <c r="F41">
        <v>6.4997302599253098E-2</v>
      </c>
      <c r="G41">
        <v>0.120280806216827</v>
      </c>
      <c r="H41">
        <v>5.5376193845293999E-2</v>
      </c>
      <c r="I41">
        <v>2.1720670538112201</v>
      </c>
      <c r="J41">
        <v>5.2094241862297899E-2</v>
      </c>
      <c r="K41">
        <v>0.13857847590898301</v>
      </c>
      <c r="L41">
        <v>7.5210442424044899E-2</v>
      </c>
      <c r="M41">
        <v>1.8425430225188899</v>
      </c>
      <c r="N41">
        <v>9.1958752947492506E-2</v>
      </c>
      <c r="AB41" t="str">
        <f t="shared" si="0"/>
        <v>*</v>
      </c>
      <c r="AC41" t="str">
        <f t="shared" si="1"/>
        <v>*</v>
      </c>
      <c r="AD41" t="str">
        <f t="shared" si="2"/>
        <v>*</v>
      </c>
      <c r="AE41" t="str">
        <f t="shared" si="3"/>
        <v>***</v>
      </c>
      <c r="AF41" t="str">
        <f t="shared" si="4"/>
        <v>***</v>
      </c>
      <c r="AG41" t="str">
        <f t="shared" si="5"/>
        <v>***</v>
      </c>
    </row>
    <row r="42" spans="1:33" x14ac:dyDescent="0.25">
      <c r="A42">
        <v>79</v>
      </c>
      <c r="B42" t="s">
        <v>168</v>
      </c>
      <c r="C42">
        <v>0.107889338689398</v>
      </c>
      <c r="D42">
        <v>5.4887219505979502E-2</v>
      </c>
      <c r="E42">
        <v>1.9656550224345799</v>
      </c>
      <c r="F42">
        <v>7.4174902453347694E-2</v>
      </c>
      <c r="G42">
        <v>0.12094040494491901</v>
      </c>
      <c r="H42">
        <v>5.8235015037982701E-2</v>
      </c>
      <c r="I42">
        <v>2.0767643807774001</v>
      </c>
      <c r="J42">
        <v>6.1167307718360001E-2</v>
      </c>
      <c r="K42">
        <v>0.14600022292385101</v>
      </c>
      <c r="L42">
        <v>8.1567560032441505E-2</v>
      </c>
      <c r="M42">
        <v>1.7899300023904501</v>
      </c>
      <c r="N42">
        <v>0.10006301202432</v>
      </c>
      <c r="AB42" t="str">
        <f t="shared" si="0"/>
        <v>*</v>
      </c>
      <c r="AC42" t="str">
        <f t="shared" si="1"/>
        <v>*</v>
      </c>
      <c r="AD42" t="str">
        <f t="shared" si="2"/>
        <v/>
      </c>
      <c r="AE42" t="str">
        <f t="shared" si="3"/>
        <v>***</v>
      </c>
      <c r="AF42" t="str">
        <f t="shared" si="4"/>
        <v>***</v>
      </c>
      <c r="AG42" t="str">
        <f t="shared" si="5"/>
        <v>***</v>
      </c>
    </row>
    <row r="43" spans="1:33" x14ac:dyDescent="0.25">
      <c r="A43">
        <v>81</v>
      </c>
      <c r="B43" t="s">
        <v>169</v>
      </c>
      <c r="C43">
        <v>0.13717787612285501</v>
      </c>
      <c r="D43">
        <v>5.5531739184167803E-2</v>
      </c>
      <c r="E43">
        <v>2.4702607578687998</v>
      </c>
      <c r="F43">
        <v>3.0513675954344299E-2</v>
      </c>
      <c r="G43">
        <v>0.152831299777654</v>
      </c>
      <c r="H43">
        <v>6.1073354819232803E-2</v>
      </c>
      <c r="I43">
        <v>2.5024218864349299</v>
      </c>
      <c r="J43">
        <v>2.8800238986694201E-2</v>
      </c>
      <c r="K43">
        <v>0.16684244550348101</v>
      </c>
      <c r="L43">
        <v>7.9235331700129794E-2</v>
      </c>
      <c r="M43">
        <v>2.10565718504095</v>
      </c>
      <c r="N43">
        <v>5.8309793333382903E-2</v>
      </c>
      <c r="AB43" t="str">
        <f t="shared" si="0"/>
        <v>**</v>
      </c>
      <c r="AC43" t="str">
        <f t="shared" si="1"/>
        <v>**</v>
      </c>
      <c r="AD43" t="str">
        <f t="shared" si="2"/>
        <v>*</v>
      </c>
      <c r="AE43" t="str">
        <f t="shared" si="3"/>
        <v>***</v>
      </c>
      <c r="AF43" t="str">
        <f t="shared" si="4"/>
        <v>***</v>
      </c>
      <c r="AG43" t="str">
        <f t="shared" si="5"/>
        <v>***</v>
      </c>
    </row>
    <row r="44" spans="1:33" x14ac:dyDescent="0.25">
      <c r="A44">
        <v>83</v>
      </c>
      <c r="B44" t="s">
        <v>170</v>
      </c>
      <c r="C44">
        <v>0.14719406953455599</v>
      </c>
      <c r="D44">
        <v>5.2850276081974401E-2</v>
      </c>
      <c r="E44">
        <v>2.7851144865591202</v>
      </c>
      <c r="F44">
        <v>1.6896999104841399E-2</v>
      </c>
      <c r="G44">
        <v>0.16254659086843001</v>
      </c>
      <c r="H44">
        <v>5.7586650649317499E-2</v>
      </c>
      <c r="I44">
        <v>2.8226435994390799</v>
      </c>
      <c r="J44">
        <v>1.5773249352974601E-2</v>
      </c>
      <c r="K44">
        <v>0.17535684154183301</v>
      </c>
      <c r="L44">
        <v>7.5951600447336703E-2</v>
      </c>
      <c r="M44">
        <v>2.3087971880648102</v>
      </c>
      <c r="N44">
        <v>4.0167805916043298E-2</v>
      </c>
      <c r="AB44" t="str">
        <f t="shared" si="0"/>
        <v>**</v>
      </c>
      <c r="AC44" t="str">
        <f t="shared" si="1"/>
        <v>**</v>
      </c>
      <c r="AD44" t="str">
        <f t="shared" si="2"/>
        <v>**</v>
      </c>
      <c r="AE44" t="str">
        <f t="shared" si="3"/>
        <v>***</v>
      </c>
      <c r="AF44" t="str">
        <f t="shared" si="4"/>
        <v>***</v>
      </c>
      <c r="AG44" t="str">
        <f t="shared" si="5"/>
        <v>***</v>
      </c>
    </row>
    <row r="45" spans="1:33" x14ac:dyDescent="0.25">
      <c r="A45">
        <v>85</v>
      </c>
      <c r="B45" t="s">
        <v>50</v>
      </c>
      <c r="C45">
        <v>1.5815774065013801E-4</v>
      </c>
      <c r="D45">
        <v>1.3687203509557799E-4</v>
      </c>
      <c r="E45">
        <v>1.15551537273261</v>
      </c>
      <c r="F45">
        <v>0.294631113254126</v>
      </c>
      <c r="G45">
        <v>2.9320861813114999E-4</v>
      </c>
      <c r="H45">
        <v>1.1528874446793899E-4</v>
      </c>
      <c r="I45">
        <v>2.5432544996852702</v>
      </c>
      <c r="J45">
        <v>4.7979526272621302E-2</v>
      </c>
      <c r="K45">
        <v>2.2575099340579901E-4</v>
      </c>
      <c r="L45">
        <v>2.5324953566416899E-4</v>
      </c>
      <c r="M45">
        <v>0.89141720561795701</v>
      </c>
      <c r="N45">
        <v>0.41190706026374102</v>
      </c>
      <c r="AB45" t="str">
        <f t="shared" si="0"/>
        <v/>
      </c>
      <c r="AC45" t="str">
        <f t="shared" si="1"/>
        <v>**</v>
      </c>
      <c r="AD45" t="str">
        <f t="shared" si="2"/>
        <v/>
      </c>
      <c r="AE45" t="str">
        <f t="shared" si="3"/>
        <v>***</v>
      </c>
      <c r="AF45" t="str">
        <f t="shared" si="4"/>
        <v>***</v>
      </c>
      <c r="AG45" t="str">
        <f t="shared" si="5"/>
        <v>***</v>
      </c>
    </row>
    <row r="46" spans="1:33" x14ac:dyDescent="0.25">
      <c r="A46">
        <v>87</v>
      </c>
      <c r="B46" t="s">
        <v>52</v>
      </c>
      <c r="C46">
        <v>-6.8224735878457702E-3</v>
      </c>
      <c r="D46">
        <v>5.6729981599001004E-3</v>
      </c>
      <c r="E46">
        <v>-1.2026222106100399</v>
      </c>
      <c r="F46">
        <v>0.248879226438427</v>
      </c>
      <c r="G46">
        <v>-6.8042482847794801E-3</v>
      </c>
      <c r="H46">
        <v>6.5246004454001102E-3</v>
      </c>
      <c r="I46">
        <v>-1.04286053095811</v>
      </c>
      <c r="J46">
        <v>0.31451062088378201</v>
      </c>
      <c r="K46">
        <v>-2.1088730673789399E-2</v>
      </c>
      <c r="L46">
        <v>1.15525626816338E-2</v>
      </c>
      <c r="M46">
        <v>-1.8254590998511599</v>
      </c>
      <c r="N46">
        <v>8.9021736448579497E-2</v>
      </c>
      <c r="AB46" t="str">
        <f t="shared" si="0"/>
        <v/>
      </c>
      <c r="AC46" t="str">
        <f t="shared" si="1"/>
        <v/>
      </c>
      <c r="AD46" t="str">
        <f t="shared" si="2"/>
        <v>*</v>
      </c>
      <c r="AE46" t="str">
        <f t="shared" si="3"/>
        <v>***</v>
      </c>
      <c r="AF46" t="str">
        <f t="shared" si="4"/>
        <v>***</v>
      </c>
      <c r="AG46" t="str">
        <f t="shared" si="5"/>
        <v>***</v>
      </c>
    </row>
    <row r="47" spans="1:33" x14ac:dyDescent="0.25">
      <c r="A47">
        <v>89</v>
      </c>
      <c r="B47" t="s">
        <v>51</v>
      </c>
      <c r="C47">
        <v>-7.0987373620163205E-2</v>
      </c>
      <c r="D47">
        <v>1.7376713889657801E-2</v>
      </c>
      <c r="E47">
        <v>-4.0852012682566698</v>
      </c>
      <c r="F47">
        <v>8.8663266954239304E-4</v>
      </c>
      <c r="G47">
        <v>-7.83992823357023E-2</v>
      </c>
      <c r="H47">
        <v>1.7164077433033002E-2</v>
      </c>
      <c r="I47">
        <v>-4.5676374184154698</v>
      </c>
      <c r="J47">
        <v>3.2733177659846402E-4</v>
      </c>
      <c r="K47">
        <v>-9.3038146136276104E-2</v>
      </c>
      <c r="L47">
        <v>2.3300809535544899E-2</v>
      </c>
      <c r="M47">
        <v>-3.99291475235434</v>
      </c>
      <c r="N47">
        <v>1.07456659476831E-3</v>
      </c>
      <c r="AB47" t="str">
        <f t="shared" si="0"/>
        <v>***</v>
      </c>
      <c r="AC47" t="str">
        <f t="shared" si="1"/>
        <v>***</v>
      </c>
      <c r="AD47" t="str">
        <f t="shared" si="2"/>
        <v>***</v>
      </c>
      <c r="AE47" t="str">
        <f t="shared" si="3"/>
        <v>***</v>
      </c>
      <c r="AF47" t="str">
        <f t="shared" si="4"/>
        <v>***</v>
      </c>
      <c r="AG47" t="str">
        <f t="shared" si="5"/>
        <v>***</v>
      </c>
    </row>
    <row r="48" spans="1:33" x14ac:dyDescent="0.25">
      <c r="A48">
        <v>91</v>
      </c>
      <c r="B48" t="s">
        <v>164</v>
      </c>
      <c r="C48">
        <v>2.07988254258819E-3</v>
      </c>
      <c r="D48">
        <v>9.4530364528396093E-3</v>
      </c>
      <c r="E48">
        <v>0.22002269355085499</v>
      </c>
      <c r="F48">
        <v>0.83082167178869903</v>
      </c>
      <c r="G48">
        <v>4.4611288187484201E-4</v>
      </c>
      <c r="H48">
        <v>1.08359969307101E-2</v>
      </c>
      <c r="I48">
        <v>4.1169528260987201E-2</v>
      </c>
      <c r="J48">
        <v>0.96807852450181198</v>
      </c>
      <c r="AB48" t="str">
        <f t="shared" si="0"/>
        <v/>
      </c>
      <c r="AC48" t="str">
        <f t="shared" si="1"/>
        <v/>
      </c>
      <c r="AD48" t="str">
        <f t="shared" si="2"/>
        <v>***</v>
      </c>
      <c r="AE48" t="str">
        <f t="shared" si="3"/>
        <v>***</v>
      </c>
      <c r="AF48" t="str">
        <f t="shared" si="4"/>
        <v>***</v>
      </c>
      <c r="AG48" t="str">
        <f t="shared" si="5"/>
        <v>***</v>
      </c>
    </row>
    <row r="49" spans="1:33" x14ac:dyDescent="0.25">
      <c r="A49">
        <v>93</v>
      </c>
      <c r="B49" t="s">
        <v>39</v>
      </c>
      <c r="C49">
        <v>-6.5200563941611805E-2</v>
      </c>
      <c r="D49">
        <v>3.1857956652159701E-2</v>
      </c>
      <c r="E49">
        <v>-2.0466021927740798</v>
      </c>
      <c r="F49">
        <v>6.2033814161181602E-2</v>
      </c>
      <c r="G49">
        <v>-8.62691599894327E-2</v>
      </c>
      <c r="H49">
        <v>4.0840552102384603E-2</v>
      </c>
      <c r="I49">
        <v>-2.11234068954704</v>
      </c>
      <c r="J49">
        <v>5.4917360049354297E-2</v>
      </c>
      <c r="AB49" t="str">
        <f t="shared" si="0"/>
        <v>*</v>
      </c>
      <c r="AC49" t="str">
        <f t="shared" si="1"/>
        <v>*</v>
      </c>
      <c r="AD49" t="str">
        <f t="shared" si="2"/>
        <v>***</v>
      </c>
      <c r="AE49" t="str">
        <f t="shared" si="3"/>
        <v>***</v>
      </c>
      <c r="AF49" t="str">
        <f t="shared" si="4"/>
        <v>***</v>
      </c>
      <c r="AG49" t="str">
        <f t="shared" si="5"/>
        <v>***</v>
      </c>
    </row>
    <row r="50" spans="1:33" x14ac:dyDescent="0.25">
      <c r="A50">
        <v>95</v>
      </c>
      <c r="B50" t="s">
        <v>40</v>
      </c>
      <c r="C50">
        <v>1.7196122333921299E-5</v>
      </c>
      <c r="D50">
        <v>8.7285604481090098E-3</v>
      </c>
      <c r="E50">
        <v>1.97009832676896E-3</v>
      </c>
      <c r="F50">
        <v>0.99846682509601603</v>
      </c>
      <c r="G50">
        <v>1.32531227698466E-3</v>
      </c>
      <c r="H50">
        <v>9.9039765652371905E-3</v>
      </c>
      <c r="I50">
        <v>0.133816176588754</v>
      </c>
      <c r="J50">
        <v>0.89658022772919099</v>
      </c>
      <c r="AB50" t="str">
        <f t="shared" si="0"/>
        <v/>
      </c>
      <c r="AC50" t="str">
        <f t="shared" si="1"/>
        <v/>
      </c>
      <c r="AD50" t="str">
        <f t="shared" si="2"/>
        <v>***</v>
      </c>
      <c r="AE50" t="str">
        <f t="shared" si="3"/>
        <v>***</v>
      </c>
      <c r="AF50" t="str">
        <f t="shared" si="4"/>
        <v>***</v>
      </c>
      <c r="AG50" t="str">
        <f t="shared" si="5"/>
        <v>***</v>
      </c>
    </row>
    <row r="51" spans="1:33" x14ac:dyDescent="0.25">
      <c r="A51">
        <v>97</v>
      </c>
      <c r="B51" t="s">
        <v>41</v>
      </c>
      <c r="C51">
        <v>-5.5605211938194801E-3</v>
      </c>
      <c r="D51">
        <v>7.2963387903783299E-3</v>
      </c>
      <c r="E51">
        <v>-0.76209745100544501</v>
      </c>
      <c r="F51">
        <v>0.45984979282151001</v>
      </c>
      <c r="G51">
        <v>-7.6330217273003704E-3</v>
      </c>
      <c r="H51">
        <v>9.5379457773279094E-3</v>
      </c>
      <c r="I51">
        <v>-0.80027942132407304</v>
      </c>
      <c r="J51">
        <v>0.43956277013473899</v>
      </c>
      <c r="AB51" t="str">
        <f t="shared" si="0"/>
        <v/>
      </c>
      <c r="AC51" t="str">
        <f t="shared" si="1"/>
        <v/>
      </c>
      <c r="AD51" t="str">
        <f t="shared" si="2"/>
        <v>***</v>
      </c>
      <c r="AE51" t="str">
        <f t="shared" si="3"/>
        <v>***</v>
      </c>
      <c r="AF51" t="str">
        <f t="shared" si="4"/>
        <v>***</v>
      </c>
      <c r="AG51" t="str">
        <f t="shared" si="5"/>
        <v>***</v>
      </c>
    </row>
    <row r="52" spans="1:33" x14ac:dyDescent="0.25">
      <c r="A52">
        <v>99</v>
      </c>
      <c r="B52" t="s">
        <v>173</v>
      </c>
      <c r="C52">
        <v>2.3960961486351601E-2</v>
      </c>
      <c r="D52">
        <v>1.31278539620267E-2</v>
      </c>
      <c r="E52">
        <v>1.8252001854728499</v>
      </c>
      <c r="F52">
        <v>0.106741149314423</v>
      </c>
      <c r="G52">
        <v>3.9055620589385102E-2</v>
      </c>
      <c r="H52">
        <v>1.5729771197904301E-2</v>
      </c>
      <c r="I52">
        <v>2.4829109144695298</v>
      </c>
      <c r="J52">
        <v>3.8899076641449599E-2</v>
      </c>
      <c r="AB52" t="str">
        <f t="shared" si="0"/>
        <v/>
      </c>
      <c r="AC52" t="str">
        <f t="shared" si="1"/>
        <v>**</v>
      </c>
      <c r="AD52" t="str">
        <f t="shared" si="2"/>
        <v>***</v>
      </c>
      <c r="AE52" t="str">
        <f t="shared" si="3"/>
        <v>***</v>
      </c>
      <c r="AF52" t="str">
        <f t="shared" si="4"/>
        <v>***</v>
      </c>
      <c r="AG52" t="str">
        <f t="shared" si="5"/>
        <v>***</v>
      </c>
    </row>
    <row r="53" spans="1:33" x14ac:dyDescent="0.25">
      <c r="A53">
        <v>101</v>
      </c>
      <c r="B53" t="s">
        <v>174</v>
      </c>
      <c r="C53">
        <v>-7.3234257418967798E-3</v>
      </c>
      <c r="D53">
        <v>1.12570021185252E-2</v>
      </c>
      <c r="E53">
        <v>-0.650566257764569</v>
      </c>
      <c r="F53">
        <v>0.52856585600502803</v>
      </c>
      <c r="G53">
        <v>-5.4717686946543203E-3</v>
      </c>
      <c r="H53">
        <v>1.43747720984594E-2</v>
      </c>
      <c r="I53">
        <v>-0.38065081360425401</v>
      </c>
      <c r="J53">
        <v>0.710520691907082</v>
      </c>
      <c r="AB53" t="str">
        <f t="shared" si="0"/>
        <v/>
      </c>
      <c r="AC53" t="str">
        <f t="shared" si="1"/>
        <v/>
      </c>
      <c r="AD53" t="str">
        <f t="shared" si="2"/>
        <v>***</v>
      </c>
      <c r="AE53" t="str">
        <f t="shared" si="3"/>
        <v>***</v>
      </c>
      <c r="AF53" t="str">
        <f t="shared" si="4"/>
        <v>***</v>
      </c>
      <c r="AG53" t="str">
        <f t="shared" si="5"/>
        <v>***</v>
      </c>
    </row>
    <row r="54" spans="1:33" x14ac:dyDescent="0.25">
      <c r="A54">
        <v>103</v>
      </c>
      <c r="B54" t="s">
        <v>175</v>
      </c>
      <c r="C54">
        <v>1.3278769011844899E-2</v>
      </c>
      <c r="D54">
        <v>7.6645294109430502E-3</v>
      </c>
      <c r="E54">
        <v>1.7324963216771201</v>
      </c>
      <c r="F54">
        <v>0.107216143237251</v>
      </c>
      <c r="G54">
        <v>1.3484750765181E-2</v>
      </c>
      <c r="H54">
        <v>1.0750702036387399E-2</v>
      </c>
      <c r="I54">
        <v>1.25431350618219</v>
      </c>
      <c r="J54">
        <v>0.231952528303808</v>
      </c>
      <c r="AB54" t="str">
        <f t="shared" si="0"/>
        <v/>
      </c>
      <c r="AC54" t="str">
        <f t="shared" si="1"/>
        <v/>
      </c>
      <c r="AD54" t="str">
        <f t="shared" si="2"/>
        <v>***</v>
      </c>
      <c r="AE54" t="str">
        <f t="shared" si="3"/>
        <v>***</v>
      </c>
      <c r="AF54" t="str">
        <f t="shared" si="4"/>
        <v>***</v>
      </c>
      <c r="AG54" t="str">
        <f t="shared" si="5"/>
        <v>***</v>
      </c>
    </row>
    <row r="55" spans="1:33" x14ac:dyDescent="0.25">
      <c r="A55">
        <v>105</v>
      </c>
      <c r="B55" t="s">
        <v>53</v>
      </c>
      <c r="C55">
        <v>2.9597173579141501E-6</v>
      </c>
      <c r="D55">
        <v>5.9428111465298298E-6</v>
      </c>
      <c r="E55">
        <v>0.49803321777142601</v>
      </c>
      <c r="F55">
        <v>0.62893388912466397</v>
      </c>
      <c r="G55">
        <v>5.6788492114668097E-6</v>
      </c>
      <c r="H55">
        <v>7.3388133695884199E-6</v>
      </c>
      <c r="I55">
        <v>0.773810277694158</v>
      </c>
      <c r="J55">
        <v>0.46077864960380099</v>
      </c>
      <c r="AB55" t="str">
        <f t="shared" si="0"/>
        <v/>
      </c>
      <c r="AC55" t="str">
        <f t="shared" si="1"/>
        <v/>
      </c>
      <c r="AD55" t="str">
        <f t="shared" si="2"/>
        <v>***</v>
      </c>
      <c r="AE55" t="str">
        <f t="shared" si="3"/>
        <v>***</v>
      </c>
      <c r="AF55" t="str">
        <f t="shared" si="4"/>
        <v>***</v>
      </c>
      <c r="AG55" t="str">
        <f t="shared" si="5"/>
        <v>***</v>
      </c>
    </row>
    <row r="56" spans="1:33" x14ac:dyDescent="0.25">
      <c r="A56">
        <v>107</v>
      </c>
      <c r="B56" t="s">
        <v>54</v>
      </c>
      <c r="C56">
        <v>1.2934878655597899E-5</v>
      </c>
      <c r="D56">
        <v>2.9914207430749199E-6</v>
      </c>
      <c r="E56">
        <v>4.3239917639609597</v>
      </c>
      <c r="F56">
        <v>7.8079625913036999E-4</v>
      </c>
      <c r="G56">
        <v>1.5920155853503799E-5</v>
      </c>
      <c r="H56">
        <v>3.6013173970962302E-6</v>
      </c>
      <c r="I56">
        <v>4.4206478069220898</v>
      </c>
      <c r="J56">
        <v>8.1538939936037801E-4</v>
      </c>
      <c r="AB56" t="str">
        <f t="shared" si="0"/>
        <v>***</v>
      </c>
      <c r="AC56" t="str">
        <f t="shared" si="1"/>
        <v>***</v>
      </c>
      <c r="AD56" t="str">
        <f t="shared" si="2"/>
        <v>***</v>
      </c>
      <c r="AE56" t="str">
        <f t="shared" si="3"/>
        <v>***</v>
      </c>
      <c r="AF56" t="str">
        <f t="shared" si="4"/>
        <v>***</v>
      </c>
      <c r="AG56" t="str">
        <f t="shared" si="5"/>
        <v>***</v>
      </c>
    </row>
    <row r="57" spans="1:33" x14ac:dyDescent="0.25">
      <c r="A57">
        <v>109</v>
      </c>
      <c r="B57" t="s">
        <v>43</v>
      </c>
      <c r="C57">
        <v>-0.24763211461243301</v>
      </c>
      <c r="D57">
        <v>0.23376284317166399</v>
      </c>
      <c r="E57">
        <v>-1.0593305217056399</v>
      </c>
      <c r="F57">
        <v>0.34695241168521801</v>
      </c>
      <c r="AB57" t="str">
        <f t="shared" si="0"/>
        <v/>
      </c>
      <c r="AC57" t="str">
        <f t="shared" si="1"/>
        <v>***</v>
      </c>
      <c r="AD57" t="str">
        <f t="shared" si="2"/>
        <v>***</v>
      </c>
      <c r="AE57" t="str">
        <f t="shared" si="3"/>
        <v>***</v>
      </c>
      <c r="AF57" t="str">
        <f t="shared" si="4"/>
        <v>***</v>
      </c>
      <c r="AG57" t="str">
        <f t="shared" si="5"/>
        <v>***</v>
      </c>
    </row>
    <row r="58" spans="1:33" x14ac:dyDescent="0.25">
      <c r="A58">
        <v>111</v>
      </c>
      <c r="B58" t="s">
        <v>44</v>
      </c>
      <c r="C58">
        <v>-0.17440524411665401</v>
      </c>
      <c r="D58">
        <v>6.2833074444764006E-2</v>
      </c>
      <c r="E58">
        <v>-2.7756917142415398</v>
      </c>
      <c r="F58">
        <v>1.78504322357621E-2</v>
      </c>
      <c r="AB58" t="str">
        <f t="shared" si="0"/>
        <v>**</v>
      </c>
      <c r="AC58" t="str">
        <f t="shared" si="1"/>
        <v>***</v>
      </c>
      <c r="AD58" t="str">
        <f t="shared" si="2"/>
        <v>***</v>
      </c>
      <c r="AE58" t="str">
        <f t="shared" si="3"/>
        <v>***</v>
      </c>
      <c r="AF58" t="str">
        <f t="shared" si="4"/>
        <v>***</v>
      </c>
      <c r="AG58" t="str">
        <f t="shared" si="5"/>
        <v>***</v>
      </c>
    </row>
    <row r="59" spans="1:33" x14ac:dyDescent="0.25">
      <c r="A59">
        <v>113</v>
      </c>
      <c r="B59" t="s">
        <v>45</v>
      </c>
      <c r="C59">
        <v>-0.62672333950867698</v>
      </c>
      <c r="D59">
        <v>0.157968281869037</v>
      </c>
      <c r="E59">
        <v>-3.9673998608673902</v>
      </c>
      <c r="F59">
        <v>1.5147608970725499E-3</v>
      </c>
      <c r="AB59" t="str">
        <f t="shared" si="0"/>
        <v>***</v>
      </c>
      <c r="AC59" t="str">
        <f t="shared" si="1"/>
        <v>***</v>
      </c>
      <c r="AD59" t="str">
        <f t="shared" si="2"/>
        <v>***</v>
      </c>
      <c r="AE59" t="str">
        <f t="shared" si="3"/>
        <v>***</v>
      </c>
      <c r="AF59" t="str">
        <f t="shared" si="4"/>
        <v>***</v>
      </c>
      <c r="AG59" t="str">
        <f t="shared" si="5"/>
        <v>***</v>
      </c>
    </row>
    <row r="60" spans="1:33" x14ac:dyDescent="0.25">
      <c r="A60">
        <v>115</v>
      </c>
      <c r="B60" t="s">
        <v>48</v>
      </c>
      <c r="C60">
        <v>8.5921957164373897E-2</v>
      </c>
      <c r="D60">
        <v>5.1485362233959199E-2</v>
      </c>
      <c r="E60">
        <v>1.6688618558014301</v>
      </c>
      <c r="F60">
        <v>0.11464783498006099</v>
      </c>
      <c r="AB60" t="str">
        <f t="shared" si="0"/>
        <v/>
      </c>
      <c r="AC60" t="str">
        <f t="shared" si="1"/>
        <v>***</v>
      </c>
      <c r="AD60" t="str">
        <f t="shared" si="2"/>
        <v>***</v>
      </c>
      <c r="AE60" t="str">
        <f t="shared" si="3"/>
        <v>***</v>
      </c>
      <c r="AF60" t="str">
        <f t="shared" si="4"/>
        <v>***</v>
      </c>
      <c r="AG60" t="str">
        <f t="shared" si="5"/>
        <v>***</v>
      </c>
    </row>
    <row r="61" spans="1:33" x14ac:dyDescent="0.25">
      <c r="A61">
        <v>117</v>
      </c>
      <c r="B61" t="s">
        <v>46</v>
      </c>
      <c r="C61">
        <v>-0.75287404460568297</v>
      </c>
      <c r="D61">
        <v>0.11407284409973199</v>
      </c>
      <c r="E61">
        <v>-6.59994103370878</v>
      </c>
      <c r="F61">
        <v>1.4855039689786E-5</v>
      </c>
      <c r="AB61" t="str">
        <f t="shared" si="0"/>
        <v>***</v>
      </c>
      <c r="AC61" t="str">
        <f t="shared" si="1"/>
        <v>***</v>
      </c>
      <c r="AD61" t="str">
        <f t="shared" si="2"/>
        <v>***</v>
      </c>
      <c r="AE61" t="str">
        <f t="shared" si="3"/>
        <v>***</v>
      </c>
      <c r="AF61" t="str">
        <f t="shared" si="4"/>
        <v>***</v>
      </c>
      <c r="AG61" t="str">
        <f t="shared" si="5"/>
        <v>***</v>
      </c>
    </row>
    <row r="62" spans="1:33" x14ac:dyDescent="0.25">
      <c r="AB62" t="str">
        <f t="shared" si="0"/>
        <v>***</v>
      </c>
      <c r="AC62" t="str">
        <f t="shared" si="1"/>
        <v>***</v>
      </c>
      <c r="AD62" t="str">
        <f t="shared" si="2"/>
        <v>***</v>
      </c>
      <c r="AE62" t="str">
        <f t="shared" si="3"/>
        <v>***</v>
      </c>
      <c r="AF62" t="str">
        <f t="shared" si="4"/>
        <v>***</v>
      </c>
      <c r="AG62" t="str">
        <f t="shared" si="5"/>
        <v>***</v>
      </c>
    </row>
    <row r="63" spans="1:33" x14ac:dyDescent="0.25">
      <c r="AB63" t="str">
        <f t="shared" si="0"/>
        <v>***</v>
      </c>
      <c r="AC63" t="str">
        <f t="shared" si="1"/>
        <v>***</v>
      </c>
      <c r="AD63" t="str">
        <f t="shared" si="2"/>
        <v>***</v>
      </c>
      <c r="AE63" t="str">
        <f t="shared" si="3"/>
        <v>***</v>
      </c>
      <c r="AF63" t="str">
        <f t="shared" si="4"/>
        <v>***</v>
      </c>
      <c r="AG63" t="str">
        <f t="shared" si="5"/>
        <v>***</v>
      </c>
    </row>
    <row r="64" spans="1:33" x14ac:dyDescent="0.25">
      <c r="AB64" t="str">
        <f t="shared" si="0"/>
        <v>***</v>
      </c>
      <c r="AC64" t="str">
        <f t="shared" si="1"/>
        <v>***</v>
      </c>
      <c r="AD64" t="str">
        <f t="shared" si="2"/>
        <v>***</v>
      </c>
      <c r="AE64" t="str">
        <f t="shared" si="3"/>
        <v>***</v>
      </c>
      <c r="AF64" t="str">
        <f t="shared" si="4"/>
        <v>***</v>
      </c>
      <c r="AG64" t="str">
        <f t="shared" si="5"/>
        <v>***</v>
      </c>
    </row>
    <row r="65" spans="28:33" x14ac:dyDescent="0.25">
      <c r="AB65" t="str">
        <f t="shared" si="0"/>
        <v>***</v>
      </c>
      <c r="AC65" t="str">
        <f t="shared" si="1"/>
        <v>***</v>
      </c>
      <c r="AD65" t="str">
        <f t="shared" si="2"/>
        <v>***</v>
      </c>
      <c r="AE65" t="str">
        <f t="shared" si="3"/>
        <v>***</v>
      </c>
      <c r="AF65" t="str">
        <f t="shared" si="4"/>
        <v>***</v>
      </c>
      <c r="AG65" t="str">
        <f t="shared" si="5"/>
        <v>***</v>
      </c>
    </row>
    <row r="66" spans="28:33" x14ac:dyDescent="0.25">
      <c r="AB66" t="str">
        <f t="shared" si="0"/>
        <v>***</v>
      </c>
      <c r="AC66" t="str">
        <f t="shared" si="1"/>
        <v>***</v>
      </c>
      <c r="AD66" t="str">
        <f t="shared" si="2"/>
        <v>***</v>
      </c>
      <c r="AE66" t="str">
        <f t="shared" si="3"/>
        <v>***</v>
      </c>
      <c r="AF66" t="str">
        <f t="shared" si="4"/>
        <v>***</v>
      </c>
      <c r="AG66" t="str">
        <f t="shared" si="5"/>
        <v>***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8912-95E2-479A-9706-D8CFD2413081}">
  <sheetPr codeName="Sheet22"/>
  <dimension ref="A1:K134"/>
  <sheetViews>
    <sheetView tabSelected="1" topLeftCell="C1" workbookViewId="0">
      <selection activeCell="K7" sqref="K7"/>
    </sheetView>
  </sheetViews>
  <sheetFormatPr defaultRowHeight="15" x14ac:dyDescent="0.25"/>
  <cols>
    <col min="2" max="2" width="27.5703125" bestFit="1" customWidth="1"/>
    <col min="3" max="3" width="26.42578125" bestFit="1" customWidth="1"/>
    <col min="4" max="7" width="12.7109375" style="3" customWidth="1"/>
    <col min="8" max="9" width="12.7109375" customWidth="1"/>
    <col min="11" max="11" width="12.7109375" bestFit="1" customWidth="1"/>
  </cols>
  <sheetData>
    <row r="1" spans="1:11" ht="15.75" thickBot="1" x14ac:dyDescent="0.3">
      <c r="B1" t="s">
        <v>195</v>
      </c>
      <c r="D1" s="3">
        <v>3</v>
      </c>
      <c r="E1" s="3">
        <v>3</v>
      </c>
      <c r="F1" s="3">
        <v>3</v>
      </c>
      <c r="G1" s="3">
        <v>3</v>
      </c>
      <c r="H1" s="3">
        <v>3</v>
      </c>
      <c r="I1" s="3">
        <v>3</v>
      </c>
    </row>
    <row r="2" spans="1:11" ht="29.25" thickTop="1" x14ac:dyDescent="0.45">
      <c r="C2" s="47" t="s">
        <v>319</v>
      </c>
      <c r="D2" s="47"/>
      <c r="E2" s="47"/>
      <c r="F2" s="47"/>
      <c r="G2" s="47"/>
      <c r="H2" s="47"/>
      <c r="I2" s="47"/>
    </row>
    <row r="3" spans="1:11" ht="21" x14ac:dyDescent="0.35">
      <c r="C3" s="48" t="s">
        <v>474</v>
      </c>
      <c r="D3" s="48"/>
      <c r="E3" s="48"/>
      <c r="F3" s="48"/>
      <c r="G3" s="48"/>
      <c r="H3" s="48"/>
      <c r="I3" s="48"/>
    </row>
    <row r="4" spans="1:11" ht="21" x14ac:dyDescent="0.35">
      <c r="C4" s="17"/>
      <c r="D4" s="48" t="s">
        <v>478</v>
      </c>
      <c r="E4" s="48"/>
      <c r="F4" s="48"/>
      <c r="G4" s="48" t="s">
        <v>537</v>
      </c>
      <c r="H4" s="48"/>
      <c r="I4" s="48"/>
    </row>
    <row r="5" spans="1:11" x14ac:dyDescent="0.25">
      <c r="C5" s="19" t="s">
        <v>407</v>
      </c>
      <c r="D5" s="20" t="s">
        <v>475</v>
      </c>
      <c r="E5" s="20" t="s">
        <v>476</v>
      </c>
      <c r="F5" s="20" t="s">
        <v>477</v>
      </c>
      <c r="G5" s="20" t="s">
        <v>475</v>
      </c>
      <c r="H5" s="20" t="s">
        <v>476</v>
      </c>
      <c r="I5" s="20" t="s">
        <v>477</v>
      </c>
    </row>
    <row r="6" spans="1:11" x14ac:dyDescent="0.25">
      <c r="A6">
        <v>1</v>
      </c>
      <c r="B6" t="s">
        <v>11</v>
      </c>
      <c r="C6" t="s">
        <v>11</v>
      </c>
      <c r="D6" s="3" t="str">
        <f>_xlfn.CONCAT(FIXED(VLOOKUP($A6,Reg1_ct_Robust!$A:$AG,D$1,0),4),VLOOKUP($A6,Reg1_ct_Robust!$A:$AG,D$1+25,0))</f>
        <v>0.0129</v>
      </c>
      <c r="E6" s="3" t="str">
        <f>_xlfn.CONCAT(FIXED(VLOOKUP($A6,Reg2_ct_last_rob!$A:$AG,E$1,0),4),VLOOKUP($A6,Reg2_ct_last_rob!$A:$AG,E$1+25,0))</f>
        <v>0.0046</v>
      </c>
      <c r="F6" s="3" t="str">
        <f>_xlfn.CONCAT(FIXED(VLOOKUP($A6,Reg2_ct_first_rob!$A:$AG,F$1,0),4),VLOOKUP($A6,Reg2_ct_first_rob!$A:$AG,F$1+25,0))</f>
        <v>0.0066</v>
      </c>
      <c r="G6" s="3" t="str">
        <f>_xlfn.CONCAT(FIXED(VLOOKUP($A6,Reg1_sf_Robust!$A:$AG,G$1,0),4),VLOOKUP($A6,Reg1_sf_Robust!$A:$AG,G$1+25,0))</f>
        <v>0.0377***</v>
      </c>
      <c r="H6" s="3" t="str">
        <f>_xlfn.CONCAT(FIXED(VLOOKUP($A6,Reg2_sf_last_rob!$A:$AG,H$1,0),4),VLOOKUP($A6,Reg2_sf_last_rob!$A:$AG,H$1+25,0))</f>
        <v>0.0376***</v>
      </c>
      <c r="I6" s="3" t="str">
        <f>_xlfn.CONCAT(FIXED(VLOOKUP($A6,Reg2_sf_first_rob!$A:$AG,I$1,0),4),VLOOKUP($A6,Reg2_sf_first_rob!$A:$AG,I$1+25,0))</f>
        <v>0.0399***</v>
      </c>
      <c r="K6">
        <f>EXP(0.0129)-1</f>
        <v>1.2983563938328668E-2</v>
      </c>
    </row>
    <row r="7" spans="1:11" x14ac:dyDescent="0.25">
      <c r="A7">
        <v>2</v>
      </c>
      <c r="D7" s="3" t="str">
        <f>_xlfn.CONCAT("(",FIXED(ABS(VLOOKUP($A6,Reg1_ct_Robust!$A:$AG,D$1+1,0)),4),")")</f>
        <v>(0.0086)</v>
      </c>
      <c r="E7" s="3" t="str">
        <f>_xlfn.CONCAT("(",FIXED(ABS(VLOOKUP($A6,Reg2_ct_last_rob!$A:$AG,E$1+1,0)),4),")")</f>
        <v>(0.0086)</v>
      </c>
      <c r="F7" s="3" t="str">
        <f>_xlfn.CONCAT("(",FIXED(ABS(VLOOKUP($A6,Reg2_ct_first_rob!$A:$AG,F$1+1,0)),4),")")</f>
        <v>(0.0109)</v>
      </c>
      <c r="G7" s="3" t="str">
        <f>_xlfn.CONCAT("(",FIXED(ABS(VLOOKUP($A6,Reg1_sf_Robust!$A:$AG,G$1+1,0)),4),")")</f>
        <v>(0.0095)</v>
      </c>
      <c r="H7" s="3" t="str">
        <f>_xlfn.CONCAT("(",FIXED(ABS(VLOOKUP($A6,Reg2_sf_last_rob!$A:$AG,H$1+1,0)),4),")")</f>
        <v>(0.0108)</v>
      </c>
      <c r="I7" s="3" t="str">
        <f>_xlfn.CONCAT("(",FIXED(ABS(VLOOKUP($A6,Reg2_sf_first_rob!$A:$AG,I$1+1,0)),4),")")</f>
        <v>(0.0100)</v>
      </c>
      <c r="K7" s="26">
        <f>K6*'Full Sample-Townhouse'!C14</f>
        <v>8526.4116051683359</v>
      </c>
    </row>
    <row r="8" spans="1:11" x14ac:dyDescent="0.25">
      <c r="A8">
        <v>3</v>
      </c>
      <c r="B8" t="s">
        <v>16</v>
      </c>
      <c r="C8" t="s">
        <v>16</v>
      </c>
      <c r="D8" s="3" t="str">
        <f>_xlfn.CONCAT(FIXED(VLOOKUP($A8,Reg1_ct_Robust!$A:$AG,D$1,0),5),VLOOKUP($A8,Reg1_ct_Robust!$A:$AG,D$1+25,0))</f>
        <v>-0.00002</v>
      </c>
      <c r="E8" s="3" t="str">
        <f>_xlfn.CONCAT(FIXED(VLOOKUP($A8,Reg2_ct_last_rob!$A:$AG,E$1,0),5),VLOOKUP($A8,Reg2_ct_last_rob!$A:$AG,E$1+25,0))</f>
        <v>-0.00001</v>
      </c>
      <c r="F8" s="3" t="str">
        <f>_xlfn.CONCAT(FIXED(VLOOKUP($A8,Reg2_ct_first_rob!$A:$AG,F$1,0),5),VLOOKUP($A8,Reg2_ct_first_rob!$A:$AG,F$1+25,0))</f>
        <v>0.00000</v>
      </c>
      <c r="G8" s="3" t="str">
        <f>_xlfn.CONCAT(FIXED(VLOOKUP($A8,Reg1_sf_Robust!$A:$AG,G$1,0),5),VLOOKUP($A8,Reg1_sf_Robust!$A:$AG,G$1+25,0))</f>
        <v>0.00009*</v>
      </c>
      <c r="H8" s="3" t="str">
        <f>_xlfn.CONCAT(FIXED(VLOOKUP($A8,Reg2_sf_last_rob!$A:$AG,H$1,0),5),VLOOKUP($A8,Reg2_sf_last_rob!$A:$AG,H$1+25,0))</f>
        <v>0.00011**</v>
      </c>
      <c r="I8" s="3" t="str">
        <f>_xlfn.CONCAT(FIXED(VLOOKUP($A8,Reg2_sf_first_rob!$A:$AG,I$1,0),5),VLOOKUP($A8,Reg2_sf_first_rob!$A:$AG,I$1+25,0))</f>
        <v>0.00009*</v>
      </c>
    </row>
    <row r="9" spans="1:11" x14ac:dyDescent="0.25">
      <c r="A9">
        <v>4</v>
      </c>
      <c r="D9" s="3" t="str">
        <f>_xlfn.CONCAT("(",FIXED(ABS(VLOOKUP($A8,Reg1_ct_Robust!$A:$AG,D$1+1,0)),4),")")</f>
        <v>(0.0001)</v>
      </c>
      <c r="E9" s="3" t="str">
        <f>_xlfn.CONCAT("(",FIXED(ABS(VLOOKUP($A8,Reg2_ct_last_rob!$A:$AG,E$1+1,0)),4),")")</f>
        <v>(0.0001)</v>
      </c>
      <c r="F9" s="3" t="str">
        <f>_xlfn.CONCAT("(",FIXED(ABS(VLOOKUP($A8,Reg2_ct_first_rob!$A:$AG,F$1+1,0)),4),")")</f>
        <v>(0.0001)</v>
      </c>
      <c r="G9" s="3" t="str">
        <f>_xlfn.CONCAT("(",FIXED(ABS(VLOOKUP($A8,Reg1_sf_Robust!$A:$AG,G$1+1,0)),4),")")</f>
        <v>(0.0000)</v>
      </c>
      <c r="H9" s="3" t="str">
        <f>_xlfn.CONCAT("(",FIXED(ABS(VLOOKUP($A8,Reg2_sf_last_rob!$A:$AG,H$1+1,0)),4),")")</f>
        <v>(0.0001)</v>
      </c>
      <c r="I9" s="3" t="str">
        <f>_xlfn.CONCAT("(",FIXED(ABS(VLOOKUP($A8,Reg2_sf_first_rob!$A:$AG,I$1+1,0)),4),")")</f>
        <v>(0.0000)</v>
      </c>
    </row>
    <row r="10" spans="1:11" hidden="1" x14ac:dyDescent="0.25">
      <c r="A10">
        <v>5</v>
      </c>
      <c r="B10" t="s">
        <v>197</v>
      </c>
      <c r="D10" s="3" t="str">
        <f>_xlfn.CONCAT(FIXED(VLOOKUP($A10,Reg1_ct_Robust!$A:$AG,D$1,0),4),VLOOKUP($A10,Reg1_ct_Robust!$A:$AG,D$1+25,0))</f>
        <v>0.0413**</v>
      </c>
      <c r="E10" s="3" t="str">
        <f>_xlfn.CONCAT(FIXED(VLOOKUP($A10,Reg2_ct_last_rob!$A:$AG,E$1,0),4),VLOOKUP($A10,Reg2_ct_last_rob!$A:$AG,E$1+25,0))</f>
        <v>0.0396**</v>
      </c>
      <c r="F10" s="3" t="str">
        <f>_xlfn.CONCAT(FIXED(VLOOKUP($A10,Reg2_ct_first_rob!$A:$AG,F$1,0),4),VLOOKUP($A10,Reg2_ct_first_rob!$A:$AG,F$1+25,0))</f>
        <v>0.0421**</v>
      </c>
      <c r="G10" s="3" t="str">
        <f>_xlfn.CONCAT(FIXED(VLOOKUP($A10,Reg1_sf_Robust!$A:$AG,G$1,0),4),VLOOKUP($A10,Reg1_sf_Robust!$A:$AG,G$1+25,0))</f>
        <v>0.0262***</v>
      </c>
      <c r="H10" s="3" t="str">
        <f>_xlfn.CONCAT(FIXED(VLOOKUP($A10,Reg2_sf_last_rob!$A:$AG,H$1,0),4),VLOOKUP($A10,Reg2_sf_last_rob!$A:$AG,H$1+25,0))</f>
        <v>0.0272***</v>
      </c>
      <c r="I10" s="3" t="str">
        <f>_xlfn.CONCAT(FIXED(VLOOKUP($A10,Reg2_sf_first_rob!$A:$AG,I$1,0),4),VLOOKUP($A10,Reg2_sf_first_rob!$A:$AG,I$1+25,0))</f>
        <v>0.0299***</v>
      </c>
    </row>
    <row r="11" spans="1:11" hidden="1" x14ac:dyDescent="0.25">
      <c r="A11">
        <v>6</v>
      </c>
      <c r="D11" s="3" t="str">
        <f>_xlfn.CONCAT("(",FIXED(ABS(VLOOKUP($A10,Reg1_ct_Robust!$A:$AG,D$1+1,0)),4),")")</f>
        <v>(0.0142)</v>
      </c>
      <c r="E11" s="3" t="str">
        <f>_xlfn.CONCAT("(",FIXED(ABS(VLOOKUP($A10,Reg2_ct_last_rob!$A:$AG,E$1+1,0)),4),")")</f>
        <v>(0.0172)</v>
      </c>
      <c r="F11" s="3" t="str">
        <f>_xlfn.CONCAT("(",FIXED(ABS(VLOOKUP($A10,Reg2_ct_first_rob!$A:$AG,F$1+1,0)),4),")")</f>
        <v>(0.0142)</v>
      </c>
      <c r="G11" s="3" t="str">
        <f>_xlfn.CONCAT("(",FIXED(ABS(VLOOKUP($A10,Reg1_sf_Robust!$A:$AG,G$1+1,0)),4),")")</f>
        <v>(0.0075)</v>
      </c>
      <c r="H11" s="3" t="str">
        <f>_xlfn.CONCAT("(",FIXED(ABS(VLOOKUP($A10,Reg2_sf_last_rob!$A:$AG,H$1+1,0)),4),")")</f>
        <v>(0.0074)</v>
      </c>
      <c r="I11" s="3" t="str">
        <f>_xlfn.CONCAT("(",FIXED(ABS(VLOOKUP($A10,Reg2_sf_first_rob!$A:$AG,I$1+1,0)),4),")")</f>
        <v>(0.0084)</v>
      </c>
    </row>
    <row r="12" spans="1:11" hidden="1" x14ac:dyDescent="0.25">
      <c r="A12">
        <v>7</v>
      </c>
      <c r="B12" t="s">
        <v>200</v>
      </c>
      <c r="D12" s="3" t="str">
        <f>_xlfn.CONCAT(FIXED(VLOOKUP($A12,Reg1_ct_Robust!$A:$AG,D$1,0),4),VLOOKUP($A12,Reg1_ct_Robust!$A:$AG,D$1+25,0))</f>
        <v>0.0541**</v>
      </c>
      <c r="E12" s="3" t="str">
        <f>_xlfn.CONCAT(FIXED(VLOOKUP($A12,Reg2_ct_last_rob!$A:$AG,E$1,0),4),VLOOKUP($A12,Reg2_ct_last_rob!$A:$AG,E$1+25,0))</f>
        <v>0.0486*</v>
      </c>
      <c r="F12" s="3" t="str">
        <f>_xlfn.CONCAT(FIXED(VLOOKUP($A12,Reg2_ct_first_rob!$A:$AG,F$1,0),4),VLOOKUP($A12,Reg2_ct_first_rob!$A:$AG,F$1+25,0))</f>
        <v>0.0554**</v>
      </c>
      <c r="G12" s="3" t="str">
        <f>_xlfn.CONCAT(FIXED(VLOOKUP($A12,Reg1_sf_Robust!$A:$AG,G$1,0),4),VLOOKUP($A12,Reg1_sf_Robust!$A:$AG,G$1+25,0))</f>
        <v>0.0307**</v>
      </c>
      <c r="H12" s="3" t="str">
        <f>_xlfn.CONCAT(FIXED(VLOOKUP($A12,Reg2_sf_last_rob!$A:$AG,H$1,0),4),VLOOKUP($A12,Reg2_sf_last_rob!$A:$AG,H$1+25,0))</f>
        <v>0.0314**</v>
      </c>
      <c r="I12" s="3" t="str">
        <f>_xlfn.CONCAT(FIXED(VLOOKUP($A12,Reg2_sf_first_rob!$A:$AG,I$1,0),4),VLOOKUP($A12,Reg2_sf_first_rob!$A:$AG,I$1+25,0))</f>
        <v>0.0362***</v>
      </c>
    </row>
    <row r="13" spans="1:11" hidden="1" x14ac:dyDescent="0.25">
      <c r="A13">
        <v>8</v>
      </c>
      <c r="D13" s="3" t="str">
        <f>_xlfn.CONCAT("(",FIXED(ABS(VLOOKUP($A12,Reg1_ct_Robust!$A:$AG,D$1+1,0)),4),")")</f>
        <v>(0.0212)</v>
      </c>
      <c r="E13" s="3" t="str">
        <f>_xlfn.CONCAT("(",FIXED(ABS(VLOOKUP($A12,Reg2_ct_last_rob!$A:$AG,E$1+1,0)),4),")")</f>
        <v>(0.0249)</v>
      </c>
      <c r="F13" s="3" t="str">
        <f>_xlfn.CONCAT("(",FIXED(ABS(VLOOKUP($A12,Reg2_ct_first_rob!$A:$AG,F$1+1,0)),4),")")</f>
        <v>(0.0207)</v>
      </c>
      <c r="G13" s="3" t="str">
        <f>_xlfn.CONCAT("(",FIXED(ABS(VLOOKUP($A12,Reg1_sf_Robust!$A:$AG,G$1+1,0)),4),")")</f>
        <v>(0.0109)</v>
      </c>
      <c r="H13" s="3" t="str">
        <f>_xlfn.CONCAT("(",FIXED(ABS(VLOOKUP($A12,Reg2_sf_last_rob!$A:$AG,H$1+1,0)),4),")")</f>
        <v>(0.0113)</v>
      </c>
      <c r="I13" s="3" t="str">
        <f>_xlfn.CONCAT("(",FIXED(ABS(VLOOKUP($A12,Reg2_sf_first_rob!$A:$AG,I$1+1,0)),4),")")</f>
        <v>(0.0115)</v>
      </c>
    </row>
    <row r="14" spans="1:11" hidden="1" x14ac:dyDescent="0.25">
      <c r="A14">
        <v>9</v>
      </c>
      <c r="B14" t="s">
        <v>204</v>
      </c>
      <c r="D14" s="3" t="str">
        <f>_xlfn.CONCAT(FIXED(VLOOKUP($A14,Reg1_ct_Robust!$A:$AG,D$1,0),4),VLOOKUP($A14,Reg1_ct_Robust!$A:$AG,D$1+25,0))</f>
        <v>0.0507**</v>
      </c>
      <c r="E14" s="3" t="str">
        <f>_xlfn.CONCAT(FIXED(VLOOKUP($A14,Reg2_ct_last_rob!$A:$AG,E$1,0),4),VLOOKUP($A14,Reg2_ct_last_rob!$A:$AG,E$1+25,0))</f>
        <v>0.0414</v>
      </c>
      <c r="F14" s="3" t="str">
        <f>_xlfn.CONCAT(FIXED(VLOOKUP($A14,Reg2_ct_first_rob!$A:$AG,F$1,0),4),VLOOKUP($A14,Reg2_ct_first_rob!$A:$AG,F$1+25,0))</f>
        <v>0.0520**</v>
      </c>
      <c r="G14" s="3" t="str">
        <f>_xlfn.CONCAT(FIXED(VLOOKUP($A14,Reg1_sf_Robust!$A:$AG,G$1,0),4),VLOOKUP($A14,Reg1_sf_Robust!$A:$AG,G$1+25,0))</f>
        <v>0.0116</v>
      </c>
      <c r="H14" s="3" t="str">
        <f>_xlfn.CONCAT(FIXED(VLOOKUP($A14,Reg2_sf_last_rob!$A:$AG,H$1,0),4),VLOOKUP($A14,Reg2_sf_last_rob!$A:$AG,H$1+25,0))</f>
        <v>0.0114</v>
      </c>
      <c r="I14" s="3" t="str">
        <f>_xlfn.CONCAT(FIXED(VLOOKUP($A14,Reg2_sf_first_rob!$A:$AG,I$1,0),4),VLOOKUP($A14,Reg2_sf_first_rob!$A:$AG,I$1+25,0))</f>
        <v>0.0116</v>
      </c>
    </row>
    <row r="15" spans="1:11" hidden="1" x14ac:dyDescent="0.25">
      <c r="A15">
        <v>10</v>
      </c>
      <c r="D15" s="3" t="str">
        <f>_xlfn.CONCAT("(",FIXED(ABS(VLOOKUP($A14,Reg1_ct_Robust!$A:$AG,D$1+1,0)),4),")")</f>
        <v>(0.0209)</v>
      </c>
      <c r="E15" s="3" t="str">
        <f>_xlfn.CONCAT("(",FIXED(ABS(VLOOKUP($A14,Reg2_ct_last_rob!$A:$AG,E$1+1,0)),4),")")</f>
        <v>(0.0247)</v>
      </c>
      <c r="F15" s="3" t="str">
        <f>_xlfn.CONCAT("(",FIXED(ABS(VLOOKUP($A14,Reg2_ct_first_rob!$A:$AG,F$1+1,0)),4),")")</f>
        <v>(0.0204)</v>
      </c>
      <c r="G15" s="3" t="str">
        <f>_xlfn.CONCAT("(",FIXED(ABS(VLOOKUP($A14,Reg1_sf_Robust!$A:$AG,G$1+1,0)),4),")")</f>
        <v>(0.0120)</v>
      </c>
      <c r="H15" s="3" t="str">
        <f>_xlfn.CONCAT("(",FIXED(ABS(VLOOKUP($A14,Reg2_sf_last_rob!$A:$AG,H$1+1,0)),4),")")</f>
        <v>(0.0116)</v>
      </c>
      <c r="I15" s="3" t="str">
        <f>_xlfn.CONCAT("(",FIXED(ABS(VLOOKUP($A14,Reg2_sf_first_rob!$A:$AG,I$1+1,0)),4),")")</f>
        <v>(0.0121)</v>
      </c>
    </row>
    <row r="16" spans="1:11" hidden="1" x14ac:dyDescent="0.25">
      <c r="A16">
        <v>11</v>
      </c>
      <c r="B16" t="s">
        <v>206</v>
      </c>
      <c r="D16" s="3" t="str">
        <f>_xlfn.CONCAT(FIXED(VLOOKUP($A16,Reg1_ct_Robust!$A:$AG,D$1,0),4),VLOOKUP($A16,Reg1_ct_Robust!$A:$AG,D$1+25,0))</f>
        <v>0.0180</v>
      </c>
      <c r="E16" s="3" t="str">
        <f>_xlfn.CONCAT(FIXED(VLOOKUP($A16,Reg2_ct_last_rob!$A:$AG,E$1,0),4),VLOOKUP($A16,Reg2_ct_last_rob!$A:$AG,E$1+25,0))</f>
        <v>0.0133</v>
      </c>
      <c r="F16" s="3" t="str">
        <f>_xlfn.CONCAT(FIXED(VLOOKUP($A16,Reg2_ct_first_rob!$A:$AG,F$1,0),4),VLOOKUP($A16,Reg2_ct_first_rob!$A:$AG,F$1+25,0))</f>
        <v>0.0199</v>
      </c>
      <c r="G16" s="3" t="str">
        <f>_xlfn.CONCAT(FIXED(VLOOKUP($A16,Reg1_sf_Robust!$A:$AG,G$1,0),4),VLOOKUP($A16,Reg1_sf_Robust!$A:$AG,G$1+25,0))</f>
        <v>0.0004</v>
      </c>
      <c r="H16" s="3" t="str">
        <f>_xlfn.CONCAT(FIXED(VLOOKUP($A16,Reg2_sf_last_rob!$A:$AG,H$1,0),4),VLOOKUP($A16,Reg2_sf_last_rob!$A:$AG,H$1+25,0))</f>
        <v>-0.0009</v>
      </c>
      <c r="I16" s="3" t="str">
        <f>_xlfn.CONCAT(FIXED(VLOOKUP($A16,Reg2_sf_first_rob!$A:$AG,I$1,0),4),VLOOKUP($A16,Reg2_sf_first_rob!$A:$AG,I$1+25,0))</f>
        <v>-0.0027</v>
      </c>
    </row>
    <row r="17" spans="1:9" hidden="1" x14ac:dyDescent="0.25">
      <c r="A17">
        <v>12</v>
      </c>
      <c r="D17" s="3" t="str">
        <f>_xlfn.CONCAT("(",FIXED(ABS(VLOOKUP($A16,Reg1_ct_Robust!$A:$AG,D$1+1,0)),4),")")</f>
        <v>(0.0308)</v>
      </c>
      <c r="E17" s="3" t="str">
        <f>_xlfn.CONCAT("(",FIXED(ABS(VLOOKUP($A16,Reg2_ct_last_rob!$A:$AG,E$1+1,0)),4),")")</f>
        <v>(0.0334)</v>
      </c>
      <c r="F17" s="3" t="str">
        <f>_xlfn.CONCAT("(",FIXED(ABS(VLOOKUP($A16,Reg2_ct_first_rob!$A:$AG,F$1+1,0)),4),")")</f>
        <v>(0.0320)</v>
      </c>
      <c r="G17" s="3" t="str">
        <f>_xlfn.CONCAT("(",FIXED(ABS(VLOOKUP($A16,Reg1_sf_Robust!$A:$AG,G$1+1,0)),4),")")</f>
        <v>(0.0158)</v>
      </c>
      <c r="H17" s="3" t="str">
        <f>_xlfn.CONCAT("(",FIXED(ABS(VLOOKUP($A16,Reg2_sf_last_rob!$A:$AG,H$1+1,0)),4),")")</f>
        <v>(0.0169)</v>
      </c>
      <c r="I17" s="3" t="str">
        <f>_xlfn.CONCAT("(",FIXED(ABS(VLOOKUP($A16,Reg2_sf_first_rob!$A:$AG,I$1+1,0)),4),")")</f>
        <v>(0.0171)</v>
      </c>
    </row>
    <row r="18" spans="1:9" hidden="1" x14ac:dyDescent="0.25">
      <c r="A18">
        <v>13</v>
      </c>
      <c r="B18" t="s">
        <v>207</v>
      </c>
      <c r="D18" s="3" t="str">
        <f>_xlfn.CONCAT(FIXED(VLOOKUP($A18,Reg1_ct_Robust!$A:$AG,D$1,0),4),VLOOKUP($A18,Reg1_ct_Robust!$A:$AG,D$1+25,0))</f>
        <v>0.0503</v>
      </c>
      <c r="E18" s="3" t="str">
        <f>_xlfn.CONCAT(FIXED(VLOOKUP($A18,Reg2_ct_last_rob!$A:$AG,E$1,0),4),VLOOKUP($A18,Reg2_ct_last_rob!$A:$AG,E$1+25,0))</f>
        <v>0.0452</v>
      </c>
      <c r="F18" s="3" t="str">
        <f>_xlfn.CONCAT(FIXED(VLOOKUP($A18,Reg2_ct_first_rob!$A:$AG,F$1,0),4),VLOOKUP($A18,Reg2_ct_first_rob!$A:$AG,F$1+25,0))</f>
        <v>0.0475</v>
      </c>
      <c r="G18" s="3" t="str">
        <f>_xlfn.CONCAT(FIXED(VLOOKUP($A18,Reg1_sf_Robust!$A:$AG,G$1,0),4),VLOOKUP($A18,Reg1_sf_Robust!$A:$AG,G$1+25,0))</f>
        <v>0.1299***</v>
      </c>
      <c r="H18" s="3" t="str">
        <f>_xlfn.CONCAT(FIXED(VLOOKUP($A18,Reg2_sf_last_rob!$A:$AG,H$1,0),4),VLOOKUP($A18,Reg2_sf_last_rob!$A:$AG,H$1+25,0))</f>
        <v>0.1272***</v>
      </c>
      <c r="I18" s="3" t="str">
        <f>_xlfn.CONCAT(FIXED(VLOOKUP($A18,Reg2_sf_first_rob!$A:$AG,I$1,0),4),VLOOKUP($A18,Reg2_sf_first_rob!$A:$AG,I$1+25,0))</f>
        <v>0.1250***</v>
      </c>
    </row>
    <row r="19" spans="1:9" hidden="1" x14ac:dyDescent="0.25">
      <c r="A19">
        <v>14</v>
      </c>
      <c r="D19" s="3" t="str">
        <f>_xlfn.CONCAT("(",FIXED(ABS(VLOOKUP($A18,Reg1_ct_Robust!$A:$AG,D$1+1,0)),4),")")</f>
        <v>(0.0403)</v>
      </c>
      <c r="E19" s="3" t="str">
        <f>_xlfn.CONCAT("(",FIXED(ABS(VLOOKUP($A18,Reg2_ct_last_rob!$A:$AG,E$1+1,0)),4),")")</f>
        <v>(0.0428)</v>
      </c>
      <c r="F19" s="3" t="str">
        <f>_xlfn.CONCAT("(",FIXED(ABS(VLOOKUP($A18,Reg2_ct_first_rob!$A:$AG,F$1+1,0)),4),")")</f>
        <v>(0.0389)</v>
      </c>
      <c r="G19" s="3" t="str">
        <f>_xlfn.CONCAT("(",FIXED(ABS(VLOOKUP($A18,Reg1_sf_Robust!$A:$AG,G$1+1,0)),4),")")</f>
        <v>(0.0164)</v>
      </c>
      <c r="H19" s="3" t="str">
        <f>_xlfn.CONCAT("(",FIXED(ABS(VLOOKUP($A18,Reg2_sf_last_rob!$A:$AG,H$1+1,0)),4),")")</f>
        <v>(0.0193)</v>
      </c>
      <c r="I19" s="3" t="str">
        <f>_xlfn.CONCAT("(",FIXED(ABS(VLOOKUP($A18,Reg2_sf_first_rob!$A:$AG,I$1+1,0)),4),")")</f>
        <v>(0.0175)</v>
      </c>
    </row>
    <row r="20" spans="1:9" hidden="1" x14ac:dyDescent="0.25">
      <c r="A20">
        <v>15</v>
      </c>
      <c r="B20" t="s">
        <v>209</v>
      </c>
      <c r="D20" s="3" t="str">
        <f>_xlfn.CONCAT(FIXED(VLOOKUP($A20,Reg1_ct_Robust!$A:$AG,D$1,0),4),VLOOKUP($A20,Reg1_ct_Robust!$A:$AG,D$1+25,0))</f>
        <v>0.0948**</v>
      </c>
      <c r="E20" s="3" t="str">
        <f>_xlfn.CONCAT(FIXED(VLOOKUP($A20,Reg2_ct_last_rob!$A:$AG,E$1,0),4),VLOOKUP($A20,Reg2_ct_last_rob!$A:$AG,E$1+25,0))</f>
        <v>0.0889*</v>
      </c>
      <c r="F20" s="3" t="str">
        <f>_xlfn.CONCAT(FIXED(VLOOKUP($A20,Reg2_ct_first_rob!$A:$AG,F$1,0),4),VLOOKUP($A20,Reg2_ct_first_rob!$A:$AG,F$1+25,0))</f>
        <v>0.0899**</v>
      </c>
      <c r="G20" s="3" t="str">
        <f>_xlfn.CONCAT(FIXED(VLOOKUP($A20,Reg1_sf_Robust!$A:$AG,G$1,0),4),VLOOKUP($A20,Reg1_sf_Robust!$A:$AG,G$1+25,0))</f>
        <v>0.1729***</v>
      </c>
      <c r="H20" s="3" t="str">
        <f>_xlfn.CONCAT(FIXED(VLOOKUP($A20,Reg2_sf_last_rob!$A:$AG,H$1,0),4),VLOOKUP($A20,Reg2_sf_last_rob!$A:$AG,H$1+25,0))</f>
        <v>0.1724***</v>
      </c>
      <c r="I20" s="3" t="str">
        <f>_xlfn.CONCAT(FIXED(VLOOKUP($A20,Reg2_sf_first_rob!$A:$AG,I$1,0),4),VLOOKUP($A20,Reg2_sf_first_rob!$A:$AG,I$1+25,0))</f>
        <v>0.1673***</v>
      </c>
    </row>
    <row r="21" spans="1:9" hidden="1" x14ac:dyDescent="0.25">
      <c r="A21">
        <v>16</v>
      </c>
      <c r="D21" s="3" t="str">
        <f>_xlfn.CONCAT("(",FIXED(ABS(VLOOKUP($A20,Reg1_ct_Robust!$A:$AG,D$1+1,0)),4),")")</f>
        <v>(0.0415)</v>
      </c>
      <c r="E21" s="3" t="str">
        <f>_xlfn.CONCAT("(",FIXED(ABS(VLOOKUP($A20,Reg2_ct_last_rob!$A:$AG,E$1+1,0)),4),")")</f>
        <v>(0.0433)</v>
      </c>
      <c r="F21" s="3" t="str">
        <f>_xlfn.CONCAT("(",FIXED(ABS(VLOOKUP($A20,Reg2_ct_first_rob!$A:$AG,F$1+1,0)),4),")")</f>
        <v>(0.0387)</v>
      </c>
      <c r="G21" s="3" t="str">
        <f>_xlfn.CONCAT("(",FIXED(ABS(VLOOKUP($A20,Reg1_sf_Robust!$A:$AG,G$1+1,0)),4),")")</f>
        <v>(0.0174)</v>
      </c>
      <c r="H21" s="3" t="str">
        <f>_xlfn.CONCAT("(",FIXED(ABS(VLOOKUP($A20,Reg2_sf_last_rob!$A:$AG,H$1+1,0)),4),")")</f>
        <v>(0.0203)</v>
      </c>
      <c r="I21" s="3" t="str">
        <f>_xlfn.CONCAT("(",FIXED(ABS(VLOOKUP($A20,Reg2_sf_first_rob!$A:$AG,I$1+1,0)),4),")")</f>
        <v>(0.0182)</v>
      </c>
    </row>
    <row r="22" spans="1:9" hidden="1" x14ac:dyDescent="0.25">
      <c r="A22">
        <v>17</v>
      </c>
      <c r="B22" t="s">
        <v>213</v>
      </c>
      <c r="D22" s="3" t="str">
        <f>_xlfn.CONCAT(FIXED(VLOOKUP($A22,Reg1_ct_Robust!$A:$AG,D$1,0),4),VLOOKUP($A22,Reg1_ct_Robust!$A:$AG,D$1+25,0))</f>
        <v>0.0569</v>
      </c>
      <c r="E22" s="3" t="str">
        <f>_xlfn.CONCAT(FIXED(VLOOKUP($A22,Reg2_ct_last_rob!$A:$AG,E$1,0),4),VLOOKUP($A22,Reg2_ct_last_rob!$A:$AG,E$1+25,0))</f>
        <v>0.0407</v>
      </c>
      <c r="F22" s="3" t="str">
        <f>_xlfn.CONCAT(FIXED(VLOOKUP($A22,Reg2_ct_first_rob!$A:$AG,F$1,0),4),VLOOKUP($A22,Reg2_ct_first_rob!$A:$AG,F$1+25,0))</f>
        <v>0.0636</v>
      </c>
      <c r="G22" s="3" t="str">
        <f>_xlfn.CONCAT(FIXED(VLOOKUP($A22,Reg1_sf_Robust!$A:$AG,G$1,0),4),VLOOKUP($A22,Reg1_sf_Robust!$A:$AG,G$1+25,0))</f>
        <v>0.1391***</v>
      </c>
      <c r="H22" s="3" t="str">
        <f>_xlfn.CONCAT(FIXED(VLOOKUP($A22,Reg2_sf_last_rob!$A:$AG,H$1,0),4),VLOOKUP($A22,Reg2_sf_last_rob!$A:$AG,H$1+25,0))</f>
        <v>0.1430***</v>
      </c>
      <c r="I22" s="3" t="str">
        <f>_xlfn.CONCAT(FIXED(VLOOKUP($A22,Reg2_sf_first_rob!$A:$AG,I$1,0),4),VLOOKUP($A22,Reg2_sf_first_rob!$A:$AG,I$1+25,0))</f>
        <v>0.1323***</v>
      </c>
    </row>
    <row r="23" spans="1:9" hidden="1" x14ac:dyDescent="0.25">
      <c r="A23">
        <v>18</v>
      </c>
      <c r="D23" s="3" t="str">
        <f>_xlfn.CONCAT("(",FIXED(ABS(VLOOKUP($A22,Reg1_ct_Robust!$A:$AG,D$1+1,0)),4),")")</f>
        <v>(0.0851)</v>
      </c>
      <c r="E23" s="3" t="str">
        <f>_xlfn.CONCAT("(",FIXED(ABS(VLOOKUP($A22,Reg2_ct_last_rob!$A:$AG,E$1+1,0)),4),")")</f>
        <v>(0.0868)</v>
      </c>
      <c r="F23" s="3" t="str">
        <f>_xlfn.CONCAT("(",FIXED(ABS(VLOOKUP($A22,Reg2_ct_first_rob!$A:$AG,F$1+1,0)),4),")")</f>
        <v>(0.1029)</v>
      </c>
      <c r="G23" s="3" t="str">
        <f>_xlfn.CONCAT("(",FIXED(ABS(VLOOKUP($A22,Reg1_sf_Robust!$A:$AG,G$1+1,0)),4),")")</f>
        <v>(0.0289)</v>
      </c>
      <c r="H23" s="3" t="str">
        <f>_xlfn.CONCAT("(",FIXED(ABS(VLOOKUP($A22,Reg2_sf_last_rob!$A:$AG,H$1+1,0)),4),")")</f>
        <v>(0.0356)</v>
      </c>
      <c r="I23" s="3" t="str">
        <f>_xlfn.CONCAT("(",FIXED(ABS(VLOOKUP($A22,Reg2_sf_first_rob!$A:$AG,I$1+1,0)),4),")")</f>
        <v>(0.0289)</v>
      </c>
    </row>
    <row r="24" spans="1:9" x14ac:dyDescent="0.25">
      <c r="A24">
        <v>19</v>
      </c>
      <c r="B24" t="s">
        <v>15</v>
      </c>
      <c r="C24" t="s">
        <v>366</v>
      </c>
      <c r="D24" s="3" t="str">
        <f>_xlfn.CONCAT(FIXED(VLOOKUP($A24,Reg1_ct_Robust!$A:$AG,D$1,0),4),VLOOKUP($A24,Reg1_ct_Robust!$A:$AG,D$1+25,0))</f>
        <v>0.0597*</v>
      </c>
      <c r="E24" s="3" t="str">
        <f>_xlfn.CONCAT(FIXED(VLOOKUP($A24,Reg2_ct_last_rob!$A:$AG,E$1,0),4),VLOOKUP($A24,Reg2_ct_last_rob!$A:$AG,E$1+25,0))</f>
        <v>0.0598*</v>
      </c>
      <c r="F24" s="3" t="str">
        <f>_xlfn.CONCAT(FIXED(VLOOKUP($A24,Reg2_ct_first_rob!$A:$AG,F$1,0),4),VLOOKUP($A24,Reg2_ct_first_rob!$A:$AG,F$1+25,0))</f>
        <v>0.0583*</v>
      </c>
      <c r="G24" s="3" t="str">
        <f>_xlfn.CONCAT(FIXED(VLOOKUP($A24,Reg1_sf_Robust!$A:$AG,G$1,0),4),VLOOKUP($A24,Reg1_sf_Robust!$A:$AG,G$1+25,0))</f>
        <v>-0.0319***</v>
      </c>
      <c r="H24" s="3" t="str">
        <f>_xlfn.CONCAT(FIXED(VLOOKUP($A24,Reg2_sf_last_rob!$A:$AG,H$1,0),4),VLOOKUP($A24,Reg2_sf_last_rob!$A:$AG,H$1+25,0))</f>
        <v>-0.0336***</v>
      </c>
      <c r="I24" s="3" t="str">
        <f>_xlfn.CONCAT(FIXED(VLOOKUP($A24,Reg2_sf_first_rob!$A:$AG,I$1,0),4),VLOOKUP($A24,Reg2_sf_first_rob!$A:$AG,I$1+25,0))</f>
        <v>-0.0319***</v>
      </c>
    </row>
    <row r="25" spans="1:9" x14ac:dyDescent="0.25">
      <c r="A25">
        <v>20</v>
      </c>
      <c r="D25" s="3" t="str">
        <f>_xlfn.CONCAT("(",FIXED(ABS(VLOOKUP($A24,Reg1_ct_Robust!$A:$AG,D$1+1,0)),4),")")</f>
        <v>(0.0298)</v>
      </c>
      <c r="E25" s="3" t="str">
        <f>_xlfn.CONCAT("(",FIXED(ABS(VLOOKUP($A24,Reg2_ct_last_rob!$A:$AG,E$1+1,0)),4),")")</f>
        <v>(0.0303)</v>
      </c>
      <c r="F25" s="3" t="str">
        <f>_xlfn.CONCAT("(",FIXED(ABS(VLOOKUP($A24,Reg2_ct_first_rob!$A:$AG,F$1+1,0)),4),")")</f>
        <v>(0.0305)</v>
      </c>
      <c r="G25" s="3" t="str">
        <f>_xlfn.CONCAT("(",FIXED(ABS(VLOOKUP($A24,Reg1_sf_Robust!$A:$AG,G$1+1,0)),4),")")</f>
        <v>(0.0055)</v>
      </c>
      <c r="H25" s="3" t="str">
        <f>_xlfn.CONCAT("(",FIXED(ABS(VLOOKUP($A24,Reg2_sf_last_rob!$A:$AG,H$1+1,0)),4),")")</f>
        <v>(0.0053)</v>
      </c>
      <c r="I25" s="3" t="str">
        <f>_xlfn.CONCAT("(",FIXED(ABS(VLOOKUP($A24,Reg2_sf_first_rob!$A:$AG,I$1+1,0)),4),")")</f>
        <v>(0.0053)</v>
      </c>
    </row>
    <row r="26" spans="1:9" x14ac:dyDescent="0.25">
      <c r="A26">
        <v>21</v>
      </c>
      <c r="B26" t="s">
        <v>13</v>
      </c>
      <c r="C26" t="s">
        <v>367</v>
      </c>
      <c r="D26" s="3" t="str">
        <f>_xlfn.CONCAT(FIXED(VLOOKUP($A26,Reg1_ct_Robust!$A:$AG,D$1,0),4),VLOOKUP($A26,Reg1_ct_Robust!$A:$AG,D$1+25,0))</f>
        <v>0.0607*</v>
      </c>
      <c r="E26" s="3" t="str">
        <f>_xlfn.CONCAT(FIXED(VLOOKUP($A26,Reg2_ct_last_rob!$A:$AG,E$1,0),4),VLOOKUP($A26,Reg2_ct_last_rob!$A:$AG,E$1+25,0))</f>
        <v>0.0636*</v>
      </c>
      <c r="F26" s="3" t="str">
        <f>_xlfn.CONCAT(FIXED(VLOOKUP($A26,Reg2_ct_first_rob!$A:$AG,F$1,0),4),VLOOKUP($A26,Reg2_ct_first_rob!$A:$AG,F$1+25,0))</f>
        <v>0.0612*</v>
      </c>
      <c r="G26" s="3" t="str">
        <f>_xlfn.CONCAT(FIXED(VLOOKUP($A26,Reg1_sf_Robust!$A:$AG,G$1,0),4),VLOOKUP($A26,Reg1_sf_Robust!$A:$AG,G$1+25,0))</f>
        <v>0.0649***</v>
      </c>
      <c r="H26" s="3" t="str">
        <f>_xlfn.CONCAT(FIXED(VLOOKUP($A26,Reg2_sf_last_rob!$A:$AG,H$1,0),4),VLOOKUP($A26,Reg2_sf_last_rob!$A:$AG,H$1+25,0))</f>
        <v>0.0704***</v>
      </c>
      <c r="I26" s="3" t="str">
        <f>_xlfn.CONCAT(FIXED(VLOOKUP($A26,Reg2_sf_first_rob!$A:$AG,I$1,0),4),VLOOKUP($A26,Reg2_sf_first_rob!$A:$AG,I$1+25,0))</f>
        <v>0.0656***</v>
      </c>
    </row>
    <row r="27" spans="1:9" x14ac:dyDescent="0.25">
      <c r="A27">
        <v>22</v>
      </c>
      <c r="D27" s="3" t="str">
        <f>_xlfn.CONCAT("(",FIXED(ABS(VLOOKUP($A26,Reg1_ct_Robust!$A:$AG,D$1+1,0)),4),")")</f>
        <v>(0.0299)</v>
      </c>
      <c r="E27" s="3" t="str">
        <f>_xlfn.CONCAT("(",FIXED(ABS(VLOOKUP($A26,Reg2_ct_last_rob!$A:$AG,E$1+1,0)),4),")")</f>
        <v>(0.0300)</v>
      </c>
      <c r="F27" s="3" t="str">
        <f>_xlfn.CONCAT("(",FIXED(ABS(VLOOKUP($A26,Reg2_ct_first_rob!$A:$AG,F$1+1,0)),4),")")</f>
        <v>(0.0308)</v>
      </c>
      <c r="G27" s="3" t="str">
        <f>_xlfn.CONCAT("(",FIXED(ABS(VLOOKUP($A26,Reg1_sf_Robust!$A:$AG,G$1+1,0)),4),")")</f>
        <v>(0.0065)</v>
      </c>
      <c r="H27" s="3" t="str">
        <f>_xlfn.CONCAT("(",FIXED(ABS(VLOOKUP($A26,Reg2_sf_last_rob!$A:$AG,H$1+1,0)),4),")")</f>
        <v>(0.0063)</v>
      </c>
      <c r="I27" s="3" t="str">
        <f>_xlfn.CONCAT("(",FIXED(ABS(VLOOKUP($A26,Reg2_sf_first_rob!$A:$AG,I$1+1,0)),4),")")</f>
        <v>(0.0063)</v>
      </c>
    </row>
    <row r="28" spans="1:9" x14ac:dyDescent="0.25">
      <c r="A28">
        <v>23</v>
      </c>
      <c r="B28" t="s">
        <v>14</v>
      </c>
      <c r="C28" t="s">
        <v>368</v>
      </c>
      <c r="D28" s="3" t="str">
        <f>_xlfn.CONCAT(FIXED(VLOOKUP($A28,Reg1_ct_Robust!$A:$AG,D$1,0),4),VLOOKUP($A28,Reg1_ct_Robust!$A:$AG,D$1+25,0))</f>
        <v>0.0291</v>
      </c>
      <c r="E28" s="3" t="str">
        <f>_xlfn.CONCAT(FIXED(VLOOKUP($A28,Reg2_ct_last_rob!$A:$AG,E$1,0),4),VLOOKUP($A28,Reg2_ct_last_rob!$A:$AG,E$1+25,0))</f>
        <v>0.0273</v>
      </c>
      <c r="F28" s="3" t="str">
        <f>_xlfn.CONCAT(FIXED(VLOOKUP($A28,Reg2_ct_first_rob!$A:$AG,F$1,0),4),VLOOKUP($A28,Reg2_ct_first_rob!$A:$AG,F$1+25,0))</f>
        <v>0.0244</v>
      </c>
      <c r="G28" s="3" t="str">
        <f>_xlfn.CONCAT(FIXED(VLOOKUP($A28,Reg1_sf_Robust!$A:$AG,G$1,0),4),VLOOKUP($A28,Reg1_sf_Robust!$A:$AG,G$1+25,0))</f>
        <v>0.0394***</v>
      </c>
      <c r="H28" s="3" t="str">
        <f>_xlfn.CONCAT(FIXED(VLOOKUP($A28,Reg2_sf_last_rob!$A:$AG,H$1,0),4),VLOOKUP($A28,Reg2_sf_last_rob!$A:$AG,H$1+25,0))</f>
        <v>0.0425***</v>
      </c>
      <c r="I28" s="3" t="str">
        <f>_xlfn.CONCAT(FIXED(VLOOKUP($A28,Reg2_sf_first_rob!$A:$AG,I$1,0),4),VLOOKUP($A28,Reg2_sf_first_rob!$A:$AG,I$1+25,0))</f>
        <v>0.0397***</v>
      </c>
    </row>
    <row r="29" spans="1:9" x14ac:dyDescent="0.25">
      <c r="A29">
        <v>24</v>
      </c>
      <c r="D29" s="3" t="str">
        <f>_xlfn.CONCAT("(",FIXED(ABS(VLOOKUP($A28,Reg1_ct_Robust!$A:$AG,D$1+1,0)),4),")")</f>
        <v>(0.0239)</v>
      </c>
      <c r="E29" s="3" t="str">
        <f>_xlfn.CONCAT("(",FIXED(ABS(VLOOKUP($A28,Reg2_ct_last_rob!$A:$AG,E$1+1,0)),4),")")</f>
        <v>(0.0255)</v>
      </c>
      <c r="F29" s="3" t="str">
        <f>_xlfn.CONCAT("(",FIXED(ABS(VLOOKUP($A28,Reg2_ct_first_rob!$A:$AG,F$1+1,0)),4),")")</f>
        <v>(0.0248)</v>
      </c>
      <c r="G29" s="3" t="str">
        <f>_xlfn.CONCAT("(",FIXED(ABS(VLOOKUP($A28,Reg1_sf_Robust!$A:$AG,G$1+1,0)),4),")")</f>
        <v>(0.0075)</v>
      </c>
      <c r="H29" s="3" t="str">
        <f>_xlfn.CONCAT("(",FIXED(ABS(VLOOKUP($A28,Reg2_sf_last_rob!$A:$AG,H$1+1,0)),4),")")</f>
        <v>(0.0067)</v>
      </c>
      <c r="I29" s="3" t="str">
        <f>_xlfn.CONCAT("(",FIXED(ABS(VLOOKUP($A28,Reg2_sf_first_rob!$A:$AG,I$1+1,0)),4),")")</f>
        <v>(0.0067)</v>
      </c>
    </row>
    <row r="30" spans="1:9" x14ac:dyDescent="0.25">
      <c r="A30">
        <v>25</v>
      </c>
      <c r="B30" t="s">
        <v>59</v>
      </c>
      <c r="C30" t="s">
        <v>369</v>
      </c>
      <c r="D30" s="3" t="str">
        <f>_xlfn.CONCAT(FIXED(VLOOKUP($A30,Reg1_ct_Robust!$A:$AG,D$1,0),4),VLOOKUP($A30,Reg1_ct_Robust!$A:$AG,D$1+25,0))</f>
        <v>-0.0331</v>
      </c>
      <c r="E30" s="3" t="str">
        <f>_xlfn.CONCAT(FIXED(VLOOKUP($A30,Reg2_ct_last_rob!$A:$AG,E$1,0),4),VLOOKUP($A30,Reg2_ct_last_rob!$A:$AG,E$1+25,0))</f>
        <v>-0.0313</v>
      </c>
      <c r="F30" s="3" t="str">
        <f>_xlfn.CONCAT(FIXED(VLOOKUP($A30,Reg2_ct_first_rob!$A:$AG,F$1,0),4),VLOOKUP($A30,Reg2_ct_first_rob!$A:$AG,F$1+25,0))</f>
        <v>-0.0338</v>
      </c>
      <c r="G30" s="3" t="str">
        <f>_xlfn.CONCAT(FIXED(VLOOKUP($A30,Reg1_sf_Robust!$A:$AG,G$1,0),4),VLOOKUP($A30,Reg1_sf_Robust!$A:$AG,G$1+25,0))</f>
        <v>-0.0446***</v>
      </c>
      <c r="H30" s="3" t="str">
        <f>_xlfn.CONCAT(FIXED(VLOOKUP($A30,Reg2_sf_last_rob!$A:$AG,H$1,0),4),VLOOKUP($A30,Reg2_sf_last_rob!$A:$AG,H$1+25,0))</f>
        <v>-0.0454***</v>
      </c>
      <c r="I30" s="3" t="str">
        <f>_xlfn.CONCAT(FIXED(VLOOKUP($A30,Reg2_sf_first_rob!$A:$AG,I$1,0),4),VLOOKUP($A30,Reg2_sf_first_rob!$A:$AG,I$1+25,0))</f>
        <v>-0.0440***</v>
      </c>
    </row>
    <row r="31" spans="1:9" x14ac:dyDescent="0.25">
      <c r="A31">
        <v>26</v>
      </c>
      <c r="D31" s="3" t="str">
        <f>_xlfn.CONCAT("(",FIXED(ABS(VLOOKUP($A30,Reg1_ct_Robust!$A:$AG,D$1+1,0)),4),")")</f>
        <v>(0.0220)</v>
      </c>
      <c r="E31" s="3" t="str">
        <f>_xlfn.CONCAT("(",FIXED(ABS(VLOOKUP($A30,Reg2_ct_last_rob!$A:$AG,E$1+1,0)),4),")")</f>
        <v>(0.0228)</v>
      </c>
      <c r="F31" s="3" t="str">
        <f>_xlfn.CONCAT("(",FIXED(ABS(VLOOKUP($A30,Reg2_ct_first_rob!$A:$AG,F$1+1,0)),4),")")</f>
        <v>(0.0233)</v>
      </c>
      <c r="G31" s="3" t="str">
        <f>_xlfn.CONCAT("(",FIXED(ABS(VLOOKUP($A30,Reg1_sf_Robust!$A:$AG,G$1+1,0)),4),")")</f>
        <v>(0.0092)</v>
      </c>
      <c r="H31" s="3" t="str">
        <f>_xlfn.CONCAT("(",FIXED(ABS(VLOOKUP($A30,Reg2_sf_last_rob!$A:$AG,H$1+1,0)),4),")")</f>
        <v>(0.0091)</v>
      </c>
      <c r="I31" s="3" t="str">
        <f>_xlfn.CONCAT("(",FIXED(ABS(VLOOKUP($A30,Reg2_sf_first_rob!$A:$AG,I$1+1,0)),4),")")</f>
        <v>(0.0090)</v>
      </c>
    </row>
    <row r="32" spans="1:9" x14ac:dyDescent="0.25">
      <c r="A32">
        <v>27</v>
      </c>
      <c r="B32" t="s">
        <v>60</v>
      </c>
      <c r="C32" t="s">
        <v>370</v>
      </c>
      <c r="D32" s="3" t="str">
        <f>_xlfn.CONCAT(FIXED(VLOOKUP($A32,Reg1_ct_Robust!$A:$AG,D$1,0),4),VLOOKUP($A32,Reg1_ct_Robust!$A:$AG,D$1+25,0))</f>
        <v>-0.0098</v>
      </c>
      <c r="E32" s="3" t="str">
        <f>_xlfn.CONCAT(FIXED(VLOOKUP($A32,Reg2_ct_last_rob!$A:$AG,E$1,0),4),VLOOKUP($A32,Reg2_ct_last_rob!$A:$AG,E$1+25,0))</f>
        <v>-0.0064</v>
      </c>
      <c r="F32" s="3" t="str">
        <f>_xlfn.CONCAT(FIXED(VLOOKUP($A32,Reg2_ct_first_rob!$A:$AG,F$1,0),4),VLOOKUP($A32,Reg2_ct_first_rob!$A:$AG,F$1+25,0))</f>
        <v>-0.0080</v>
      </c>
      <c r="G32" s="3" t="str">
        <f>_xlfn.CONCAT(FIXED(VLOOKUP($A32,Reg1_sf_Robust!$A:$AG,G$1,0),4),VLOOKUP($A32,Reg1_sf_Robust!$A:$AG,G$1+25,0))</f>
        <v>-0.0792***</v>
      </c>
      <c r="H32" s="3" t="str">
        <f>_xlfn.CONCAT(FIXED(VLOOKUP($A32,Reg2_sf_last_rob!$A:$AG,H$1,0),4),VLOOKUP($A32,Reg2_sf_last_rob!$A:$AG,H$1+25,0))</f>
        <v>-0.0793***</v>
      </c>
      <c r="I32" s="3" t="str">
        <f>_xlfn.CONCAT(FIXED(VLOOKUP($A32,Reg2_sf_first_rob!$A:$AG,I$1,0),4),VLOOKUP($A32,Reg2_sf_first_rob!$A:$AG,I$1+25,0))</f>
        <v>-0.0731***</v>
      </c>
    </row>
    <row r="33" spans="1:9" x14ac:dyDescent="0.25">
      <c r="A33">
        <v>28</v>
      </c>
      <c r="D33" s="3" t="str">
        <f>_xlfn.CONCAT("(",FIXED(ABS(VLOOKUP($A32,Reg1_ct_Robust!$A:$AG,D$1+1,0)),4),")")</f>
        <v>(0.0104)</v>
      </c>
      <c r="E33" s="3" t="str">
        <f>_xlfn.CONCAT("(",FIXED(ABS(VLOOKUP($A32,Reg2_ct_last_rob!$A:$AG,E$1+1,0)),4),")")</f>
        <v>(0.0111)</v>
      </c>
      <c r="F33" s="3" t="str">
        <f>_xlfn.CONCAT("(",FIXED(ABS(VLOOKUP($A32,Reg2_ct_first_rob!$A:$AG,F$1+1,0)),4),")")</f>
        <v>(0.0102)</v>
      </c>
      <c r="G33" s="3" t="str">
        <f>_xlfn.CONCAT("(",FIXED(ABS(VLOOKUP($A32,Reg1_sf_Robust!$A:$AG,G$1+1,0)),4),")")</f>
        <v>(0.0146)</v>
      </c>
      <c r="H33" s="3" t="str">
        <f>_xlfn.CONCAT("(",FIXED(ABS(VLOOKUP($A32,Reg2_sf_last_rob!$A:$AG,H$1+1,0)),4),")")</f>
        <v>(0.0184)</v>
      </c>
      <c r="I33" s="3" t="str">
        <f>_xlfn.CONCAT("(",FIXED(ABS(VLOOKUP($A32,Reg2_sf_first_rob!$A:$AG,I$1+1,0)),4),")")</f>
        <v>(0.0148)</v>
      </c>
    </row>
    <row r="34" spans="1:9" x14ac:dyDescent="0.25">
      <c r="A34">
        <v>29</v>
      </c>
      <c r="B34" t="s">
        <v>18</v>
      </c>
      <c r="C34" t="s">
        <v>371</v>
      </c>
      <c r="D34" s="3" t="str">
        <f>_xlfn.CONCAT(FIXED(VLOOKUP($A34,Reg1_ct_Robust!$A:$AG,D$1,0),4),VLOOKUP($A34,Reg1_ct_Robust!$A:$AG,D$1+25,0))</f>
        <v>0.0005***</v>
      </c>
      <c r="E34" s="3" t="str">
        <f>_xlfn.CONCAT(FIXED(VLOOKUP($A34,Reg2_ct_last_rob!$A:$AG,E$1,0),4),VLOOKUP($A34,Reg2_ct_last_rob!$A:$AG,E$1+25,0))</f>
        <v>0.0005***</v>
      </c>
      <c r="F34" s="3" t="str">
        <f>_xlfn.CONCAT(FIXED(VLOOKUP($A34,Reg2_ct_first_rob!$A:$AG,F$1,0),4),VLOOKUP($A34,Reg2_ct_first_rob!$A:$AG,F$1+25,0))</f>
        <v>0.0005***</v>
      </c>
      <c r="G34" s="3" t="str">
        <f>_xlfn.CONCAT(FIXED(VLOOKUP($A34,Reg1_sf_Robust!$A:$AG,G$1,0),4),VLOOKUP($A34,Reg1_sf_Robust!$A:$AG,G$1+25,0))</f>
        <v>0.0002***</v>
      </c>
      <c r="H34" s="3" t="str">
        <f>_xlfn.CONCAT(FIXED(VLOOKUP($A34,Reg2_sf_last_rob!$A:$AG,H$1,0),4),VLOOKUP($A34,Reg2_sf_last_rob!$A:$AG,H$1+25,0))</f>
        <v>0.0002***</v>
      </c>
      <c r="I34" s="3" t="str">
        <f>_xlfn.CONCAT(FIXED(VLOOKUP($A34,Reg2_sf_first_rob!$A:$AG,I$1,0),4),VLOOKUP($A34,Reg2_sf_first_rob!$A:$AG,I$1+25,0))</f>
        <v>0.0002***</v>
      </c>
    </row>
    <row r="35" spans="1:9" x14ac:dyDescent="0.25">
      <c r="A35">
        <v>30</v>
      </c>
      <c r="D35" s="3" t="str">
        <f>_xlfn.CONCAT("(",FIXED(ABS(VLOOKUP($A34,Reg1_ct_Robust!$A:$AG,D$1+1,0)),4),")")</f>
        <v>(0.0001)</v>
      </c>
      <c r="E35" s="3" t="str">
        <f>_xlfn.CONCAT("(",FIXED(ABS(VLOOKUP($A34,Reg2_ct_last_rob!$A:$AG,E$1+1,0)),4),")")</f>
        <v>(0.0001)</v>
      </c>
      <c r="F35" s="3" t="str">
        <f>_xlfn.CONCAT("(",FIXED(ABS(VLOOKUP($A34,Reg2_ct_first_rob!$A:$AG,F$1+1,0)),4),")")</f>
        <v>(0.0001)</v>
      </c>
      <c r="G35" s="3" t="str">
        <f>_xlfn.CONCAT("(",FIXED(ABS(VLOOKUP($A34,Reg1_sf_Robust!$A:$AG,G$1+1,0)),4),")")</f>
        <v>(0.0000)</v>
      </c>
      <c r="H35" s="3" t="str">
        <f>_xlfn.CONCAT("(",FIXED(ABS(VLOOKUP($A34,Reg2_sf_last_rob!$A:$AG,H$1+1,0)),4),")")</f>
        <v>(0.0000)</v>
      </c>
      <c r="I35" s="3" t="str">
        <f>_xlfn.CONCAT("(",FIXED(ABS(VLOOKUP($A34,Reg2_sf_first_rob!$A:$AG,I$1+1,0)),4),")")</f>
        <v>(0.0000)</v>
      </c>
    </row>
    <row r="36" spans="1:9" x14ac:dyDescent="0.25">
      <c r="A36">
        <v>31</v>
      </c>
      <c r="B36" t="s">
        <v>33</v>
      </c>
      <c r="C36" t="s">
        <v>33</v>
      </c>
      <c r="D36" s="3" t="str">
        <f>_xlfn.CONCAT(FIXED(VLOOKUP($A36,Reg1_ct_Robust!$A:$AG,D$1,0),4),VLOOKUP($A36,Reg1_ct_Robust!$A:$AG,D$1+25,0))</f>
        <v>-0.0215**</v>
      </c>
      <c r="E36" s="3" t="str">
        <f>_xlfn.CONCAT(FIXED(VLOOKUP($A36,Reg2_ct_last_rob!$A:$AG,E$1,0),4),VLOOKUP($A36,Reg2_ct_last_rob!$A:$AG,E$1+25,0))</f>
        <v>-0.0225**</v>
      </c>
      <c r="F36" s="3" t="str">
        <f>_xlfn.CONCAT(FIXED(VLOOKUP($A36,Reg2_ct_first_rob!$A:$AG,F$1,0),4),VLOOKUP($A36,Reg2_ct_first_rob!$A:$AG,F$1+25,0))</f>
        <v>-0.0224**</v>
      </c>
      <c r="G36" s="3" t="str">
        <f>_xlfn.CONCAT(FIXED(VLOOKUP($A36,Reg1_sf_Robust!$A:$AG,G$1,0),4),VLOOKUP($A36,Reg1_sf_Robust!$A:$AG,G$1+25,0))</f>
        <v>-0.0011</v>
      </c>
      <c r="H36" s="3" t="str">
        <f>_xlfn.CONCAT(FIXED(VLOOKUP($A36,Reg2_sf_last_rob!$A:$AG,H$1,0),4),VLOOKUP($A36,Reg2_sf_last_rob!$A:$AG,H$1+25,0))</f>
        <v>-0.0011</v>
      </c>
      <c r="I36" s="3" t="str">
        <f>_xlfn.CONCAT(FIXED(VLOOKUP($A36,Reg2_sf_first_rob!$A:$AG,I$1,0),4),VLOOKUP($A36,Reg2_sf_first_rob!$A:$AG,I$1+25,0))</f>
        <v>-0.0010</v>
      </c>
    </row>
    <row r="37" spans="1:9" x14ac:dyDescent="0.25">
      <c r="A37">
        <v>32</v>
      </c>
      <c r="D37" s="3" t="str">
        <f>_xlfn.CONCAT("(",FIXED(ABS(VLOOKUP($A36,Reg1_ct_Robust!$A:$AG,D$1+1,0)),4),")")</f>
        <v>(0.0067)</v>
      </c>
      <c r="E37" s="3" t="str">
        <f>_xlfn.CONCAT("(",FIXED(ABS(VLOOKUP($A36,Reg2_ct_last_rob!$A:$AG,E$1+1,0)),4),")")</f>
        <v>(0.0069)</v>
      </c>
      <c r="F37" s="3" t="str">
        <f>_xlfn.CONCAT("(",FIXED(ABS(VLOOKUP($A36,Reg2_ct_first_rob!$A:$AG,F$1+1,0)),4),")")</f>
        <v>(0.0067)</v>
      </c>
      <c r="G37" s="3" t="str">
        <f>_xlfn.CONCAT("(",FIXED(ABS(VLOOKUP($A36,Reg1_sf_Robust!$A:$AG,G$1+1,0)),4),")")</f>
        <v>(0.0009)</v>
      </c>
      <c r="H37" s="3" t="str">
        <f>_xlfn.CONCAT("(",FIXED(ABS(VLOOKUP($A36,Reg2_sf_last_rob!$A:$AG,H$1+1,0)),4),")")</f>
        <v>(0.0009)</v>
      </c>
      <c r="I37" s="3" t="str">
        <f>_xlfn.CONCAT("(",FIXED(ABS(VLOOKUP($A36,Reg2_sf_first_rob!$A:$AG,I$1+1,0)),4),")")</f>
        <v>(0.0008)</v>
      </c>
    </row>
    <row r="38" spans="1:9" x14ac:dyDescent="0.25">
      <c r="A38">
        <v>33</v>
      </c>
      <c r="B38" t="s">
        <v>34</v>
      </c>
      <c r="C38" t="s">
        <v>34</v>
      </c>
      <c r="D38" s="3" t="str">
        <f>_xlfn.CONCAT(FIXED(VLOOKUP($A38,Reg1_ct_Robust!$A:$AG,D$1,0),4),VLOOKUP($A38,Reg1_ct_Robust!$A:$AG,D$1+25,0))</f>
        <v>0.2081*</v>
      </c>
      <c r="E38" s="3" t="str">
        <f>_xlfn.CONCAT(FIXED(VLOOKUP($A38,Reg2_ct_last_rob!$A:$AG,E$1,0),4),VLOOKUP($A38,Reg2_ct_last_rob!$A:$AG,E$1+25,0))</f>
        <v>0.2208**</v>
      </c>
      <c r="F38" s="3" t="str">
        <f>_xlfn.CONCAT(FIXED(VLOOKUP($A38,Reg2_ct_first_rob!$A:$AG,F$1,0),4),VLOOKUP($A38,Reg2_ct_first_rob!$A:$AG,F$1+25,0))</f>
        <v>0.2229**</v>
      </c>
      <c r="G38" s="3" t="str">
        <f>_xlfn.CONCAT(FIXED(VLOOKUP($A38,Reg1_sf_Robust!$A:$AG,G$1,0),4),VLOOKUP($A38,Reg1_sf_Robust!$A:$AG,G$1+25,0))</f>
        <v>0.0217**</v>
      </c>
      <c r="H38" s="3" t="str">
        <f>_xlfn.CONCAT(FIXED(VLOOKUP($A38,Reg2_sf_last_rob!$A:$AG,H$1,0),4),VLOOKUP($A38,Reg2_sf_last_rob!$A:$AG,H$1+25,0))</f>
        <v>0.0224**</v>
      </c>
      <c r="I38" s="3" t="str">
        <f>_xlfn.CONCAT(FIXED(VLOOKUP($A38,Reg2_sf_first_rob!$A:$AG,I$1,0),4),VLOOKUP($A38,Reg2_sf_first_rob!$A:$AG,I$1+25,0))</f>
        <v>0.0207**</v>
      </c>
    </row>
    <row r="39" spans="1:9" x14ac:dyDescent="0.25">
      <c r="A39">
        <v>34</v>
      </c>
      <c r="D39" s="3" t="str">
        <f>_xlfn.CONCAT("(",FIXED(ABS(VLOOKUP($A38,Reg1_ct_Robust!$A:$AG,D$1+1,0)),4),")")</f>
        <v>(0.0905)</v>
      </c>
      <c r="E39" s="3" t="str">
        <f>_xlfn.CONCAT("(",FIXED(ABS(VLOOKUP($A38,Reg2_ct_last_rob!$A:$AG,E$1+1,0)),4),")")</f>
        <v>(0.0933)</v>
      </c>
      <c r="F39" s="3" t="str">
        <f>_xlfn.CONCAT("(",FIXED(ABS(VLOOKUP($A38,Reg2_ct_first_rob!$A:$AG,F$1+1,0)),4),")")</f>
        <v>(0.0911)</v>
      </c>
      <c r="G39" s="3" t="str">
        <f>_xlfn.CONCAT("(",FIXED(ABS(VLOOKUP($A38,Reg1_sf_Robust!$A:$AG,G$1+1,0)),4),")")</f>
        <v>(0.0096)</v>
      </c>
      <c r="H39" s="3" t="str">
        <f>_xlfn.CONCAT("(",FIXED(ABS(VLOOKUP($A38,Reg2_sf_last_rob!$A:$AG,H$1+1,0)),4),")")</f>
        <v>(0.0097)</v>
      </c>
      <c r="I39" s="3" t="str">
        <f>_xlfn.CONCAT("(",FIXED(ABS(VLOOKUP($A38,Reg2_sf_first_rob!$A:$AG,I$1+1,0)),4),")")</f>
        <v>(0.0091)</v>
      </c>
    </row>
    <row r="40" spans="1:9" x14ac:dyDescent="0.25">
      <c r="A40">
        <v>35</v>
      </c>
      <c r="B40" t="s">
        <v>21</v>
      </c>
      <c r="C40" t="s">
        <v>21</v>
      </c>
      <c r="D40" s="3" t="str">
        <f>_xlfn.CONCAT(FIXED(VLOOKUP($A40,Reg1_ct_Robust!$A:$AG,D$1,0),4),VLOOKUP($A40,Reg1_ct_Robust!$A:$AG,D$1+25,0))</f>
        <v>-0.0049</v>
      </c>
      <c r="E40" s="3" t="str">
        <f>_xlfn.CONCAT(FIXED(VLOOKUP($A40,Reg2_ct_last_rob!$A:$AG,E$1,0),4),VLOOKUP($A40,Reg2_ct_last_rob!$A:$AG,E$1+25,0))</f>
        <v>-0.0112</v>
      </c>
      <c r="F40" s="3" t="str">
        <f>_xlfn.CONCAT(FIXED(VLOOKUP($A40,Reg2_ct_first_rob!$A:$AG,F$1,0),4),VLOOKUP($A40,Reg2_ct_first_rob!$A:$AG,F$1+25,0))</f>
        <v>-0.0066</v>
      </c>
      <c r="G40" s="3" t="str">
        <f>_xlfn.CONCAT(FIXED(VLOOKUP($A40,Reg1_sf_Robust!$A:$AG,G$1,0),4),VLOOKUP($A40,Reg1_sf_Robust!$A:$AG,G$1+25,0))</f>
        <v>-0.0456**</v>
      </c>
      <c r="H40" s="3" t="str">
        <f>_xlfn.CONCAT(FIXED(VLOOKUP($A40,Reg2_sf_last_rob!$A:$AG,H$1,0),4),VLOOKUP($A40,Reg2_sf_last_rob!$A:$AG,H$1+25,0))</f>
        <v>-0.0438***</v>
      </c>
      <c r="I40" s="3" t="str">
        <f>_xlfn.CONCAT(FIXED(VLOOKUP($A40,Reg2_sf_first_rob!$A:$AG,I$1,0),4),VLOOKUP($A40,Reg2_sf_first_rob!$A:$AG,I$1+25,0))</f>
        <v>-0.0418**</v>
      </c>
    </row>
    <row r="41" spans="1:9" x14ac:dyDescent="0.25">
      <c r="A41">
        <v>36</v>
      </c>
      <c r="D41" s="3" t="str">
        <f>_xlfn.CONCAT("(",FIXED(ABS(VLOOKUP($A40,Reg1_ct_Robust!$A:$AG,D$1+1,0)),4),")")</f>
        <v>(0.0972)</v>
      </c>
      <c r="E41" s="3" t="str">
        <f>_xlfn.CONCAT("(",FIXED(ABS(VLOOKUP($A40,Reg2_ct_last_rob!$A:$AG,E$1+1,0)),4),")")</f>
        <v>(0.1158)</v>
      </c>
      <c r="F41" s="3" t="str">
        <f>_xlfn.CONCAT("(",FIXED(ABS(VLOOKUP($A40,Reg2_ct_first_rob!$A:$AG,F$1+1,0)),4),")")</f>
        <v>(0.1327)</v>
      </c>
      <c r="G41" s="3" t="str">
        <f>_xlfn.CONCAT("(",FIXED(ABS(VLOOKUP($A40,Reg1_sf_Robust!$A:$AG,G$1+1,0)),4),")")</f>
        <v>(0.0145)</v>
      </c>
      <c r="H41" s="3" t="str">
        <f>_xlfn.CONCAT("(",FIXED(ABS(VLOOKUP($A40,Reg2_sf_last_rob!$A:$AG,H$1+1,0)),4),")")</f>
        <v>(0.0130)</v>
      </c>
      <c r="I41" s="3" t="str">
        <f>_xlfn.CONCAT("(",FIXED(ABS(VLOOKUP($A40,Reg2_sf_first_rob!$A:$AG,I$1+1,0)),4),")")</f>
        <v>(0.0138)</v>
      </c>
    </row>
    <row r="42" spans="1:9" x14ac:dyDescent="0.25">
      <c r="A42">
        <v>37</v>
      </c>
      <c r="B42" t="s">
        <v>227</v>
      </c>
      <c r="C42" t="s">
        <v>372</v>
      </c>
      <c r="D42" s="3" t="str">
        <f>_xlfn.CONCAT(FIXED(VLOOKUP($A42,Reg1_ct_Robust!$A:$AG,D$1,0),4),VLOOKUP($A42,Reg1_ct_Robust!$A:$AG,D$1+25,0))</f>
        <v>0.0983***</v>
      </c>
      <c r="E42" s="3" t="str">
        <f>_xlfn.CONCAT(FIXED(VLOOKUP($A42,Reg2_ct_last_rob!$A:$AG,E$1,0),4),VLOOKUP($A42,Reg2_ct_last_rob!$A:$AG,E$1+25,0))</f>
        <v>0.0973***</v>
      </c>
      <c r="F42" s="3" t="str">
        <f>_xlfn.CONCAT(FIXED(VLOOKUP($A42,Reg2_ct_first_rob!$A:$AG,F$1,0),4),VLOOKUP($A42,Reg2_ct_first_rob!$A:$AG,F$1+25,0))</f>
        <v>0.0998***</v>
      </c>
      <c r="G42" s="3" t="str">
        <f>_xlfn.CONCAT(FIXED(VLOOKUP($A42,Reg1_sf_Robust!$A:$AG,G$1,0),4),VLOOKUP($A42,Reg1_sf_Robust!$A:$AG,G$1+25,0))</f>
        <v>0.1153***</v>
      </c>
      <c r="H42" s="3" t="str">
        <f>_xlfn.CONCAT(FIXED(VLOOKUP($A42,Reg2_sf_last_rob!$A:$AG,H$1,0),4),VLOOKUP($A42,Reg2_sf_last_rob!$A:$AG,H$1+25,0))</f>
        <v>0.1139***</v>
      </c>
      <c r="I42" s="3" t="str">
        <f>_xlfn.CONCAT(FIXED(VLOOKUP($A42,Reg2_sf_first_rob!$A:$AG,I$1,0),4),VLOOKUP($A42,Reg2_sf_first_rob!$A:$AG,I$1+25,0))</f>
        <v>0.1158***</v>
      </c>
    </row>
    <row r="43" spans="1:9" x14ac:dyDescent="0.25">
      <c r="A43">
        <v>38</v>
      </c>
      <c r="D43" s="3" t="str">
        <f>_xlfn.CONCAT("(",FIXED(ABS(VLOOKUP($A42,Reg1_ct_Robust!$A:$AG,D$1+1,0)),4),")")</f>
        <v>(0.0123)</v>
      </c>
      <c r="E43" s="3" t="str">
        <f>_xlfn.CONCAT("(",FIXED(ABS(VLOOKUP($A42,Reg2_ct_last_rob!$A:$AG,E$1+1,0)),4),")")</f>
        <v>(0.0129)</v>
      </c>
      <c r="F43" s="3" t="str">
        <f>_xlfn.CONCAT("(",FIXED(ABS(VLOOKUP($A42,Reg2_ct_first_rob!$A:$AG,F$1+1,0)),4),")")</f>
        <v>(0.0131)</v>
      </c>
      <c r="G43" s="3" t="str">
        <f>_xlfn.CONCAT("(",FIXED(ABS(VLOOKUP($A42,Reg1_sf_Robust!$A:$AG,G$1+1,0)),4),")")</f>
        <v>(0.0109)</v>
      </c>
      <c r="H43" s="3" t="str">
        <f>_xlfn.CONCAT("(",FIXED(ABS(VLOOKUP($A42,Reg2_sf_last_rob!$A:$AG,H$1+1,0)),4),")")</f>
        <v>(0.0103)</v>
      </c>
      <c r="I43" s="3" t="str">
        <f>_xlfn.CONCAT("(",FIXED(ABS(VLOOKUP($A42,Reg2_sf_first_rob!$A:$AG,I$1+1,0)),4),")")</f>
        <v>(0.0102)</v>
      </c>
    </row>
    <row r="44" spans="1:9" x14ac:dyDescent="0.25">
      <c r="A44">
        <v>39</v>
      </c>
      <c r="B44" t="s">
        <v>229</v>
      </c>
      <c r="C44" t="s">
        <v>373</v>
      </c>
      <c r="D44" s="3" t="str">
        <f>_xlfn.CONCAT(FIXED(VLOOKUP($A44,Reg1_ct_Robust!$A:$AG,D$1,0),4),VLOOKUP($A44,Reg1_ct_Robust!$A:$AG,D$1+25,0))</f>
        <v>0.0548***</v>
      </c>
      <c r="E44" s="3" t="str">
        <f>_xlfn.CONCAT(FIXED(VLOOKUP($A44,Reg2_ct_last_rob!$A:$AG,E$1,0),4),VLOOKUP($A44,Reg2_ct_last_rob!$A:$AG,E$1+25,0))</f>
        <v>0.0536***</v>
      </c>
      <c r="F44" s="3" t="str">
        <f>_xlfn.CONCAT(FIXED(VLOOKUP($A44,Reg2_ct_first_rob!$A:$AG,F$1,0),4),VLOOKUP($A44,Reg2_ct_first_rob!$A:$AG,F$1+25,0))</f>
        <v>0.0570***</v>
      </c>
      <c r="G44" s="3" t="str">
        <f>_xlfn.CONCAT(FIXED(VLOOKUP($A44,Reg1_sf_Robust!$A:$AG,G$1,0),4),VLOOKUP($A44,Reg1_sf_Robust!$A:$AG,G$1+25,0))</f>
        <v>0.0591***</v>
      </c>
      <c r="H44" s="3" t="str">
        <f>_xlfn.CONCAT(FIXED(VLOOKUP($A44,Reg2_sf_last_rob!$A:$AG,H$1,0),4),VLOOKUP($A44,Reg2_sf_last_rob!$A:$AG,H$1+25,0))</f>
        <v>0.0596***</v>
      </c>
      <c r="I44" s="3" t="str">
        <f>_xlfn.CONCAT(FIXED(VLOOKUP($A44,Reg2_sf_first_rob!$A:$AG,I$1,0),4),VLOOKUP($A44,Reg2_sf_first_rob!$A:$AG,I$1+25,0))</f>
        <v>0.0577***</v>
      </c>
    </row>
    <row r="45" spans="1:9" x14ac:dyDescent="0.25">
      <c r="A45">
        <v>40</v>
      </c>
      <c r="D45" s="3" t="str">
        <f>_xlfn.CONCAT("(",FIXED(ABS(VLOOKUP($A44,Reg1_ct_Robust!$A:$AG,D$1+1,0)),4),")")</f>
        <v>(0.0056)</v>
      </c>
      <c r="E45" s="3" t="str">
        <f>_xlfn.CONCAT("(",FIXED(ABS(VLOOKUP($A44,Reg2_ct_last_rob!$A:$AG,E$1+1,0)),4),")")</f>
        <v>(0.0058)</v>
      </c>
      <c r="F45" s="3" t="str">
        <f>_xlfn.CONCAT("(",FIXED(ABS(VLOOKUP($A44,Reg2_ct_first_rob!$A:$AG,F$1+1,0)),4),")")</f>
        <v>(0.0062)</v>
      </c>
      <c r="G45" s="3" t="str">
        <f>_xlfn.CONCAT("(",FIXED(ABS(VLOOKUP($A44,Reg1_sf_Robust!$A:$AG,G$1+1,0)),4),")")</f>
        <v>(0.0047)</v>
      </c>
      <c r="H45" s="3" t="str">
        <f>_xlfn.CONCAT("(",FIXED(ABS(VLOOKUP($A44,Reg2_sf_last_rob!$A:$AG,H$1+1,0)),4),")")</f>
        <v>(0.0044)</v>
      </c>
      <c r="I45" s="3" t="str">
        <f>_xlfn.CONCAT("(",FIXED(ABS(VLOOKUP($A44,Reg2_sf_first_rob!$A:$AG,I$1+1,0)),4),")")</f>
        <v>(0.0039)</v>
      </c>
    </row>
    <row r="46" spans="1:9" x14ac:dyDescent="0.25">
      <c r="A46">
        <v>41</v>
      </c>
      <c r="B46" t="s">
        <v>233</v>
      </c>
      <c r="C46" t="s">
        <v>374</v>
      </c>
      <c r="D46" s="3" t="str">
        <f>_xlfn.CONCAT(FIXED(VLOOKUP($A46,Reg1_ct_Robust!$A:$AG,D$1,0),4),VLOOKUP($A46,Reg1_ct_Robust!$A:$AG,D$1+25,0))</f>
        <v>-0.0945***</v>
      </c>
      <c r="E46" s="3" t="str">
        <f>_xlfn.CONCAT(FIXED(VLOOKUP($A46,Reg2_ct_last_rob!$A:$AG,E$1,0),4),VLOOKUP($A46,Reg2_ct_last_rob!$A:$AG,E$1+25,0))</f>
        <v>-0.0752***</v>
      </c>
      <c r="F46" s="3" t="str">
        <f>_xlfn.CONCAT(FIXED(VLOOKUP($A46,Reg2_ct_first_rob!$A:$AG,F$1,0),4),VLOOKUP($A46,Reg2_ct_first_rob!$A:$AG,F$1+25,0))</f>
        <v>-0.0926***</v>
      </c>
      <c r="G46" s="3" t="str">
        <f>_xlfn.CONCAT(FIXED(VLOOKUP($A46,Reg1_sf_Robust!$A:$AG,G$1,0),4),VLOOKUP($A46,Reg1_sf_Robust!$A:$AG,G$1+25,0))</f>
        <v>-0.0688***</v>
      </c>
      <c r="H46" s="3" t="str">
        <f>_xlfn.CONCAT(FIXED(VLOOKUP($A46,Reg2_sf_last_rob!$A:$AG,H$1,0),4),VLOOKUP($A46,Reg2_sf_last_rob!$A:$AG,H$1+25,0))</f>
        <v>-0.0679***</v>
      </c>
      <c r="I46" s="3" t="str">
        <f>_xlfn.CONCAT(FIXED(VLOOKUP($A46,Reg2_sf_first_rob!$A:$AG,I$1,0),4),VLOOKUP($A46,Reg2_sf_first_rob!$A:$AG,I$1+25,0))</f>
        <v>-0.0514***</v>
      </c>
    </row>
    <row r="47" spans="1:9" x14ac:dyDescent="0.25">
      <c r="A47">
        <v>42</v>
      </c>
      <c r="D47" s="3" t="str">
        <f>_xlfn.CONCAT("(",FIXED(ABS(VLOOKUP($A46,Reg1_ct_Robust!$A:$AG,D$1+1,0)),4),")")</f>
        <v>(0.0116)</v>
      </c>
      <c r="E47" s="3" t="str">
        <f>_xlfn.CONCAT("(",FIXED(ABS(VLOOKUP($A46,Reg2_ct_last_rob!$A:$AG,E$1+1,0)),4),")")</f>
        <v>(0.0124)</v>
      </c>
      <c r="F47" s="3" t="str">
        <f>_xlfn.CONCAT("(",FIXED(ABS(VLOOKUP($A46,Reg2_ct_first_rob!$A:$AG,F$1+1,0)),4),")")</f>
        <v>(0.0112)</v>
      </c>
      <c r="G47" s="3" t="str">
        <f>_xlfn.CONCAT("(",FIXED(ABS(VLOOKUP($A46,Reg1_sf_Robust!$A:$AG,G$1+1,0)),4),")")</f>
        <v>(0.0092)</v>
      </c>
      <c r="H47" s="3" t="str">
        <f>_xlfn.CONCAT("(",FIXED(ABS(VLOOKUP($A46,Reg2_sf_last_rob!$A:$AG,H$1+1,0)),4),")")</f>
        <v>(0.0093)</v>
      </c>
      <c r="I47" s="3" t="str">
        <f>_xlfn.CONCAT("(",FIXED(ABS(VLOOKUP($A46,Reg2_sf_first_rob!$A:$AG,I$1+1,0)),4),")")</f>
        <v>(0.0104)</v>
      </c>
    </row>
    <row r="48" spans="1:9" x14ac:dyDescent="0.25">
      <c r="A48">
        <v>43</v>
      </c>
      <c r="B48" t="s">
        <v>22</v>
      </c>
      <c r="C48" t="s">
        <v>375</v>
      </c>
      <c r="D48" s="3" t="str">
        <f>_xlfn.CONCAT(FIXED(VLOOKUP($A48,Reg1_ct_Robust!$A:$AG,D$1,0),4),VLOOKUP($A48,Reg1_ct_Robust!$A:$AG,D$1+25,0))</f>
        <v>-0.0199</v>
      </c>
      <c r="E48" s="3" t="str">
        <f>_xlfn.CONCAT(FIXED(VLOOKUP($A48,Reg2_ct_last_rob!$A:$AG,E$1,0),4),VLOOKUP($A48,Reg2_ct_last_rob!$A:$AG,E$1+25,0))</f>
        <v>-0.0256</v>
      </c>
      <c r="F48" s="3" t="str">
        <f>_xlfn.CONCAT(FIXED(VLOOKUP($A48,Reg2_ct_first_rob!$A:$AG,F$1,0),4),VLOOKUP($A48,Reg2_ct_first_rob!$A:$AG,F$1+25,0))</f>
        <v>-0.0240</v>
      </c>
      <c r="G48" s="3" t="str">
        <f>_xlfn.CONCAT(FIXED(VLOOKUP($A48,Reg1_sf_Robust!$A:$AG,G$1,0),4),VLOOKUP($A48,Reg1_sf_Robust!$A:$AG,G$1+25,0))</f>
        <v>0.0175</v>
      </c>
      <c r="H48" s="3" t="str">
        <f>_xlfn.CONCAT(FIXED(VLOOKUP($A48,Reg2_sf_last_rob!$A:$AG,H$1,0),4),VLOOKUP($A48,Reg2_sf_last_rob!$A:$AG,H$1+25,0))</f>
        <v>0.0200</v>
      </c>
      <c r="I48" s="3" t="str">
        <f>_xlfn.CONCAT(FIXED(VLOOKUP($A48,Reg2_sf_first_rob!$A:$AG,I$1,0),4),VLOOKUP($A48,Reg2_sf_first_rob!$A:$AG,I$1+25,0))</f>
        <v>0.0176</v>
      </c>
    </row>
    <row r="49" spans="1:9" x14ac:dyDescent="0.25">
      <c r="A49">
        <v>44</v>
      </c>
      <c r="D49" s="3" t="str">
        <f>_xlfn.CONCAT("(",FIXED(ABS(VLOOKUP($A48,Reg1_ct_Robust!$A:$AG,D$1+1,0)),4),")")</f>
        <v>(0.0205)</v>
      </c>
      <c r="E49" s="3" t="str">
        <f>_xlfn.CONCAT("(",FIXED(ABS(VLOOKUP($A48,Reg2_ct_last_rob!$A:$AG,E$1+1,0)),4),")")</f>
        <v>(0.0211)</v>
      </c>
      <c r="F49" s="3" t="str">
        <f>_xlfn.CONCAT("(",FIXED(ABS(VLOOKUP($A48,Reg2_ct_first_rob!$A:$AG,F$1+1,0)),4),")")</f>
        <v>(0.0209)</v>
      </c>
      <c r="G49" s="3" t="str">
        <f>_xlfn.CONCAT("(",FIXED(ABS(VLOOKUP($A48,Reg1_sf_Robust!$A:$AG,G$1+1,0)),4),")")</f>
        <v>(0.0140)</v>
      </c>
      <c r="H49" s="3" t="str">
        <f>_xlfn.CONCAT("(",FIXED(ABS(VLOOKUP($A48,Reg2_sf_last_rob!$A:$AG,H$1+1,0)),4),")")</f>
        <v>(0.0133)</v>
      </c>
      <c r="I49" s="3" t="str">
        <f>_xlfn.CONCAT("(",FIXED(ABS(VLOOKUP($A48,Reg2_sf_first_rob!$A:$AG,I$1+1,0)),4),")")</f>
        <v>(0.0140)</v>
      </c>
    </row>
    <row r="50" spans="1:9" x14ac:dyDescent="0.25">
      <c r="A50">
        <v>45</v>
      </c>
      <c r="B50" t="s">
        <v>23</v>
      </c>
      <c r="C50" t="s">
        <v>23</v>
      </c>
      <c r="D50" s="3" t="str">
        <f>_xlfn.CONCAT(FIXED(VLOOKUP($A50,Reg1_ct_Robust!$A:$AG,D$1,0),4),VLOOKUP($A50,Reg1_ct_Robust!$A:$AG,D$1+25,0))</f>
        <v>0.0114</v>
      </c>
      <c r="E50" s="3" t="str">
        <f>_xlfn.CONCAT(FIXED(VLOOKUP($A50,Reg2_ct_last_rob!$A:$AG,E$1,0),4),VLOOKUP($A50,Reg2_ct_last_rob!$A:$AG,E$1+25,0))</f>
        <v>0.0153</v>
      </c>
      <c r="F50" s="3" t="str">
        <f>_xlfn.CONCAT(FIXED(VLOOKUP($A50,Reg2_ct_first_rob!$A:$AG,F$1,0),4),VLOOKUP($A50,Reg2_ct_first_rob!$A:$AG,F$1+25,0))</f>
        <v>0.0178</v>
      </c>
      <c r="G50" s="3" t="str">
        <f>_xlfn.CONCAT(FIXED(VLOOKUP($A50,Reg1_sf_Robust!$A:$AG,G$1,0),4),VLOOKUP($A50,Reg1_sf_Robust!$A:$AG,G$1+25,0))</f>
        <v>-0.0493*</v>
      </c>
      <c r="H50" s="3" t="str">
        <f>_xlfn.CONCAT(FIXED(VLOOKUP($A50,Reg2_sf_last_rob!$A:$AG,H$1,0),4),VLOOKUP($A50,Reg2_sf_last_rob!$A:$AG,H$1+25,0))</f>
        <v>-0.0533*</v>
      </c>
      <c r="I50" s="3" t="str">
        <f>_xlfn.CONCAT(FIXED(VLOOKUP($A50,Reg2_sf_first_rob!$A:$AG,I$1,0),4),VLOOKUP($A50,Reg2_sf_first_rob!$A:$AG,I$1+25,0))</f>
        <v>-0.0510*</v>
      </c>
    </row>
    <row r="51" spans="1:9" x14ac:dyDescent="0.25">
      <c r="A51">
        <v>46</v>
      </c>
      <c r="D51" s="3" t="str">
        <f>_xlfn.CONCAT("(",FIXED(ABS(VLOOKUP($A50,Reg1_ct_Robust!$A:$AG,D$1+1,0)),4),")")</f>
        <v>(0.0506)</v>
      </c>
      <c r="E51" s="3" t="str">
        <f>_xlfn.CONCAT("(",FIXED(ABS(VLOOKUP($A50,Reg2_ct_last_rob!$A:$AG,E$1+1,0)),4),")")</f>
        <v>(0.0547)</v>
      </c>
      <c r="F51" s="3" t="str">
        <f>_xlfn.CONCAT("(",FIXED(ABS(VLOOKUP($A50,Reg2_ct_first_rob!$A:$AG,F$1+1,0)),4),")")</f>
        <v>(0.0507)</v>
      </c>
      <c r="G51" s="3" t="str">
        <f>_xlfn.CONCAT("(",FIXED(ABS(VLOOKUP($A50,Reg1_sf_Robust!$A:$AG,G$1+1,0)),4),")")</f>
        <v>(0.0225)</v>
      </c>
      <c r="H51" s="3" t="str">
        <f>_xlfn.CONCAT("(",FIXED(ABS(VLOOKUP($A50,Reg2_sf_last_rob!$A:$AG,H$1+1,0)),4),")")</f>
        <v>(0.0238)</v>
      </c>
      <c r="I51" s="3" t="str">
        <f>_xlfn.CONCAT("(",FIXED(ABS(VLOOKUP($A50,Reg2_sf_first_rob!$A:$AG,I$1+1,0)),4),")")</f>
        <v>(0.0236)</v>
      </c>
    </row>
    <row r="52" spans="1:9" x14ac:dyDescent="0.25">
      <c r="A52">
        <v>47</v>
      </c>
      <c r="B52" t="s">
        <v>24</v>
      </c>
      <c r="C52" t="s">
        <v>376</v>
      </c>
      <c r="D52" s="3" t="str">
        <f>_xlfn.CONCAT(FIXED(VLOOKUP($A52,Reg1_ct_Robust!$A:$AG,D$1,0),4),VLOOKUP($A52,Reg1_ct_Robust!$A:$AG,D$1+25,0))</f>
        <v>-0.0255**</v>
      </c>
      <c r="E52" s="3" t="str">
        <f>_xlfn.CONCAT(FIXED(VLOOKUP($A52,Reg2_ct_last_rob!$A:$AG,E$1,0),4),VLOOKUP($A52,Reg2_ct_last_rob!$A:$AG,E$1+25,0))</f>
        <v>-0.0278**</v>
      </c>
      <c r="F52" s="3" t="str">
        <f>_xlfn.CONCAT(FIXED(VLOOKUP($A52,Reg2_ct_first_rob!$A:$AG,F$1,0),4),VLOOKUP($A52,Reg2_ct_first_rob!$A:$AG,F$1+25,0))</f>
        <v>-0.0255**</v>
      </c>
      <c r="G52" s="49" t="s">
        <v>321</v>
      </c>
      <c r="H52" s="49" t="s">
        <v>321</v>
      </c>
      <c r="I52" s="49" t="s">
        <v>321</v>
      </c>
    </row>
    <row r="53" spans="1:9" x14ac:dyDescent="0.25">
      <c r="A53">
        <v>48</v>
      </c>
      <c r="D53" s="3" t="str">
        <f>_xlfn.CONCAT("(",FIXED(ABS(VLOOKUP($A52,Reg1_ct_Robust!$A:$AG,D$1+1,0)),4),")")</f>
        <v>(0.0087)</v>
      </c>
      <c r="E53" s="3" t="str">
        <f>_xlfn.CONCAT("(",FIXED(ABS(VLOOKUP($A52,Reg2_ct_last_rob!$A:$AG,E$1+1,0)),4),")")</f>
        <v>(0.0093)</v>
      </c>
      <c r="F53" s="3" t="str">
        <f>_xlfn.CONCAT("(",FIXED(ABS(VLOOKUP($A52,Reg2_ct_first_rob!$A:$AG,F$1+1,0)),4),")")</f>
        <v>(0.0093)</v>
      </c>
      <c r="G53" s="49"/>
      <c r="H53" s="49"/>
      <c r="I53" s="49"/>
    </row>
    <row r="54" spans="1:9" x14ac:dyDescent="0.25">
      <c r="A54">
        <v>49</v>
      </c>
      <c r="B54" t="s">
        <v>25</v>
      </c>
      <c r="C54" t="s">
        <v>377</v>
      </c>
      <c r="D54" s="3" t="str">
        <f>_xlfn.CONCAT(FIXED(VLOOKUP($A54,Reg1_ct_Robust!$A:$AG,D$1,0),4),VLOOKUP($A54,Reg1_ct_Robust!$A:$AG,D$1+25,0))</f>
        <v>0.0637**</v>
      </c>
      <c r="E54" s="3" t="str">
        <f>_xlfn.CONCAT(FIXED(VLOOKUP($A54,Reg2_ct_last_rob!$A:$AG,E$1,0),4),VLOOKUP($A54,Reg2_ct_last_rob!$A:$AG,E$1+25,0))</f>
        <v>0.0603**</v>
      </c>
      <c r="F54" s="3" t="str">
        <f>_xlfn.CONCAT(FIXED(VLOOKUP($A54,Reg2_ct_first_rob!$A:$AG,F$1,0),4),VLOOKUP($A54,Reg2_ct_first_rob!$A:$AG,F$1+25,0))</f>
        <v>0.0621**</v>
      </c>
      <c r="G54" s="49" t="s">
        <v>321</v>
      </c>
      <c r="H54" s="49" t="s">
        <v>321</v>
      </c>
      <c r="I54" s="49" t="s">
        <v>321</v>
      </c>
    </row>
    <row r="55" spans="1:9" x14ac:dyDescent="0.25">
      <c r="A55">
        <v>50</v>
      </c>
      <c r="D55" s="3" t="str">
        <f>_xlfn.CONCAT("(",FIXED(ABS(VLOOKUP($A54,Reg1_ct_Robust!$A:$AG,D$1+1,0)),4),")")</f>
        <v>(0.0234)</v>
      </c>
      <c r="E55" s="3" t="str">
        <f>_xlfn.CONCAT("(",FIXED(ABS(VLOOKUP($A54,Reg2_ct_last_rob!$A:$AG,E$1+1,0)),4),")")</f>
        <v>(0.0226)</v>
      </c>
      <c r="F55" s="3" t="str">
        <f>_xlfn.CONCAT("(",FIXED(ABS(VLOOKUP($A54,Reg2_ct_first_rob!$A:$AG,F$1+1,0)),4),")")</f>
        <v>(0.0222)</v>
      </c>
      <c r="G55" s="49"/>
      <c r="H55" s="49"/>
      <c r="I55" s="49"/>
    </row>
    <row r="56" spans="1:9" x14ac:dyDescent="0.25">
      <c r="A56">
        <v>51</v>
      </c>
      <c r="B56" t="s">
        <v>26</v>
      </c>
      <c r="C56" t="s">
        <v>26</v>
      </c>
      <c r="D56" s="3" t="str">
        <f>_xlfn.CONCAT(FIXED(VLOOKUP($A56,Reg1_ct_Robust!$A:$AG,D$1,0),4),VLOOKUP($A56,Reg1_ct_Robust!$A:$AG,D$1+25,0))</f>
        <v>0.0185</v>
      </c>
      <c r="E56" s="3" t="str">
        <f>_xlfn.CONCAT(FIXED(VLOOKUP($A56,Reg2_ct_last_rob!$A:$AG,E$1,0),4),VLOOKUP($A56,Reg2_ct_last_rob!$A:$AG,E$1+25,0))</f>
        <v>0.0184</v>
      </c>
      <c r="F56" s="3" t="str">
        <f>_xlfn.CONCAT(FIXED(VLOOKUP($A56,Reg2_ct_first_rob!$A:$AG,F$1,0),4),VLOOKUP($A56,Reg2_ct_first_rob!$A:$AG,F$1+25,0))</f>
        <v>0.0172</v>
      </c>
      <c r="G56" s="49" t="s">
        <v>321</v>
      </c>
      <c r="H56" s="49" t="s">
        <v>321</v>
      </c>
      <c r="I56" s="49" t="s">
        <v>321</v>
      </c>
    </row>
    <row r="57" spans="1:9" x14ac:dyDescent="0.25">
      <c r="A57">
        <v>52</v>
      </c>
      <c r="D57" s="3" t="str">
        <f>_xlfn.CONCAT("(",FIXED(ABS(VLOOKUP($A56,Reg1_ct_Robust!$A:$AG,D$1+1,0)),4),")")</f>
        <v>(0.0249)</v>
      </c>
      <c r="E57" s="3" t="str">
        <f>_xlfn.CONCAT("(",FIXED(ABS(VLOOKUP($A56,Reg2_ct_last_rob!$A:$AG,E$1+1,0)),4),")")</f>
        <v>(0.0242)</v>
      </c>
      <c r="F57" s="3" t="str">
        <f>_xlfn.CONCAT("(",FIXED(ABS(VLOOKUP($A56,Reg2_ct_first_rob!$A:$AG,F$1+1,0)),4),")")</f>
        <v>(0.0266)</v>
      </c>
      <c r="G57" s="49"/>
      <c r="H57" s="49"/>
      <c r="I57" s="49"/>
    </row>
    <row r="58" spans="1:9" x14ac:dyDescent="0.25">
      <c r="A58">
        <v>53</v>
      </c>
      <c r="B58" t="s">
        <v>27</v>
      </c>
      <c r="C58" t="s">
        <v>378</v>
      </c>
      <c r="D58" s="3" t="str">
        <f>_xlfn.CONCAT(FIXED(VLOOKUP($A58,Reg1_ct_Robust!$A:$AG,D$1,0),4),VLOOKUP($A58,Reg1_ct_Robust!$A:$AG,D$1+25,0))</f>
        <v>0.0060</v>
      </c>
      <c r="E58" s="3" t="str">
        <f>_xlfn.CONCAT(FIXED(VLOOKUP($A58,Reg2_ct_last_rob!$A:$AG,E$1,0),4),VLOOKUP($A58,Reg2_ct_last_rob!$A:$AG,E$1+25,0))</f>
        <v>0.0102</v>
      </c>
      <c r="F58" s="3" t="str">
        <f>_xlfn.CONCAT(FIXED(VLOOKUP($A58,Reg2_ct_first_rob!$A:$AG,F$1,0),4),VLOOKUP($A58,Reg2_ct_first_rob!$A:$AG,F$1+25,0))</f>
        <v>0.0107</v>
      </c>
      <c r="G58" s="49" t="s">
        <v>321</v>
      </c>
      <c r="H58" s="49" t="s">
        <v>321</v>
      </c>
      <c r="I58" s="49" t="s">
        <v>321</v>
      </c>
    </row>
    <row r="59" spans="1:9" x14ac:dyDescent="0.25">
      <c r="A59">
        <v>54</v>
      </c>
      <c r="D59" s="3" t="str">
        <f>_xlfn.CONCAT("(",FIXED(ABS(VLOOKUP($A58,Reg1_ct_Robust!$A:$AG,D$1+1,0)),4),")")</f>
        <v>(0.1178)</v>
      </c>
      <c r="E59" s="3" t="str">
        <f>_xlfn.CONCAT("(",FIXED(ABS(VLOOKUP($A58,Reg2_ct_last_rob!$A:$AG,E$1+1,0)),4),")")</f>
        <v>(0.1153)</v>
      </c>
      <c r="F59" s="3" t="str">
        <f>_xlfn.CONCAT("(",FIXED(ABS(VLOOKUP($A58,Reg2_ct_first_rob!$A:$AG,F$1+1,0)),4),")")</f>
        <v>(0.1189)</v>
      </c>
      <c r="G59" s="49"/>
      <c r="H59" s="49"/>
      <c r="I59" s="49"/>
    </row>
    <row r="60" spans="1:9" x14ac:dyDescent="0.25">
      <c r="A60">
        <v>55</v>
      </c>
      <c r="B60" t="s">
        <v>29</v>
      </c>
      <c r="C60" t="s">
        <v>29</v>
      </c>
      <c r="D60" s="49" t="s">
        <v>321</v>
      </c>
      <c r="E60" s="49" t="s">
        <v>321</v>
      </c>
      <c r="F60" s="49" t="s">
        <v>321</v>
      </c>
      <c r="G60" s="3" t="str">
        <f>_xlfn.CONCAT(FIXED(VLOOKUP($A60,Reg1_sf_Robust!$A:$AG,G$1,0),4),VLOOKUP($A60,Reg1_sf_Robust!$A:$AG,G$1+25,0))</f>
        <v>-0.0313</v>
      </c>
      <c r="H60" s="3" t="str">
        <f>_xlfn.CONCAT(FIXED(VLOOKUP($A60,Reg2_sf_last_rob!$A:$AG,H$1,0),4),VLOOKUP($A60,Reg2_sf_last_rob!$A:$AG,H$1+25,0))</f>
        <v>-0.0282</v>
      </c>
      <c r="I60" s="3" t="str">
        <f>_xlfn.CONCAT(FIXED(VLOOKUP($A60,Reg2_sf_first_rob!$A:$AG,I$1,0),4),VLOOKUP($A60,Reg2_sf_first_rob!$A:$AG,I$1+25,0))</f>
        <v>-0.0323*</v>
      </c>
    </row>
    <row r="61" spans="1:9" x14ac:dyDescent="0.25">
      <c r="A61">
        <v>56</v>
      </c>
      <c r="D61" s="49"/>
      <c r="E61" s="49"/>
      <c r="F61" s="49"/>
      <c r="G61" s="3" t="str">
        <f>_xlfn.CONCAT("(",FIXED(ABS(VLOOKUP($A60,Reg1_sf_Robust!$A:$AG,G$1+1,0)),4),")")</f>
        <v>(0.0186)</v>
      </c>
      <c r="H61" s="3" t="str">
        <f>_xlfn.CONCAT("(",FIXED(ABS(VLOOKUP($A60,Reg2_sf_last_rob!$A:$AG,H$1+1,0)),4),")")</f>
        <v>(0.0207)</v>
      </c>
      <c r="I61" s="3" t="str">
        <f>_xlfn.CONCAT("(",FIXED(ABS(VLOOKUP($A60,Reg2_sf_first_rob!$A:$AG,I$1+1,0)),4),")")</f>
        <v>(0.0178)</v>
      </c>
    </row>
    <row r="62" spans="1:9" x14ac:dyDescent="0.25">
      <c r="A62">
        <v>57</v>
      </c>
      <c r="B62" t="s">
        <v>31</v>
      </c>
      <c r="C62" t="s">
        <v>379</v>
      </c>
      <c r="D62" s="3" t="str">
        <f>_xlfn.CONCAT(FIXED(VLOOKUP($A62,Reg1_ct_Robust!$A:$AG,D$1,0),4),VLOOKUP($A62,Reg1_ct_Robust!$A:$AG,D$1+25,0))</f>
        <v>0.0029</v>
      </c>
      <c r="E62" s="3" t="str">
        <f>_xlfn.CONCAT(FIXED(VLOOKUP($A62,Reg2_ct_last_rob!$A:$AG,E$1,0),4),VLOOKUP($A62,Reg2_ct_last_rob!$A:$AG,E$1+25,0))</f>
        <v>0.0031</v>
      </c>
      <c r="F62" s="3" t="str">
        <f>_xlfn.CONCAT(FIXED(VLOOKUP($A62,Reg2_ct_first_rob!$A:$AG,F$1,0),4),VLOOKUP($A62,Reg2_ct_first_rob!$A:$AG,F$1+25,0))</f>
        <v>-0.0029</v>
      </c>
      <c r="G62" s="49" t="s">
        <v>321</v>
      </c>
      <c r="H62" s="49" t="s">
        <v>321</v>
      </c>
      <c r="I62" s="49" t="s">
        <v>321</v>
      </c>
    </row>
    <row r="63" spans="1:9" x14ac:dyDescent="0.25">
      <c r="A63">
        <v>58</v>
      </c>
      <c r="D63" s="3" t="str">
        <f>_xlfn.CONCAT("(",FIXED(ABS(VLOOKUP($A62,Reg1_ct_Robust!$A:$AG,D$1+1,0)),4),")")</f>
        <v>(0.0133)</v>
      </c>
      <c r="E63" s="3" t="str">
        <f>_xlfn.CONCAT("(",FIXED(ABS(VLOOKUP($A62,Reg2_ct_last_rob!$A:$AG,E$1+1,0)),4),")")</f>
        <v>(0.0129)</v>
      </c>
      <c r="F63" s="3" t="str">
        <f>_xlfn.CONCAT("(",FIXED(ABS(VLOOKUP($A62,Reg2_ct_first_rob!$A:$AG,F$1+1,0)),4),")")</f>
        <v>(0.0124)</v>
      </c>
      <c r="G63" s="49"/>
      <c r="H63" s="49"/>
      <c r="I63" s="49"/>
    </row>
    <row r="64" spans="1:9" x14ac:dyDescent="0.25">
      <c r="A64">
        <v>59</v>
      </c>
      <c r="B64" t="s">
        <v>28</v>
      </c>
      <c r="C64" t="s">
        <v>438</v>
      </c>
      <c r="D64" s="3" t="str">
        <f>_xlfn.CONCAT(FIXED(VLOOKUP($A64,Reg1_ct_Robust!$A:$AG,D$1,0),4),VLOOKUP($A64,Reg1_ct_Robust!$A:$AG,D$1+25,0))</f>
        <v>-0.0306</v>
      </c>
      <c r="E64" s="3" t="str">
        <f>_xlfn.CONCAT(FIXED(VLOOKUP($A64,Reg2_ct_last_rob!$A:$AG,E$1,0),4),VLOOKUP($A64,Reg2_ct_last_rob!$A:$AG,E$1+25,0))</f>
        <v>-0.0145</v>
      </c>
      <c r="F64" s="3" t="str">
        <f>_xlfn.CONCAT(FIXED(VLOOKUP($A64,Reg2_ct_first_rob!$A:$AG,F$1,0),4),VLOOKUP($A64,Reg2_ct_first_rob!$A:$AG,F$1+25,0))</f>
        <v>-0.0372</v>
      </c>
      <c r="G64" s="3" t="str">
        <f>_xlfn.CONCAT(FIXED(VLOOKUP($A64,Reg1_sf_Robust!$A:$AG,G$1,0),4),VLOOKUP($A64,Reg1_sf_Robust!$A:$AG,G$1+25,0))</f>
        <v>0.0768***</v>
      </c>
      <c r="H64" s="3" t="str">
        <f>_xlfn.CONCAT(FIXED(VLOOKUP($A64,Reg2_sf_last_rob!$A:$AG,H$1,0),4),VLOOKUP($A64,Reg2_sf_last_rob!$A:$AG,H$1+25,0))</f>
        <v>0.0761***</v>
      </c>
      <c r="I64" s="3" t="str">
        <f>_xlfn.CONCAT(FIXED(VLOOKUP($A64,Reg2_sf_first_rob!$A:$AG,I$1,0),4),VLOOKUP($A64,Reg2_sf_first_rob!$A:$AG,I$1+25,0))</f>
        <v>0.0745***</v>
      </c>
    </row>
    <row r="65" spans="1:9" x14ac:dyDescent="0.25">
      <c r="A65">
        <v>60</v>
      </c>
      <c r="D65" s="3" t="str">
        <f>_xlfn.CONCAT("(",FIXED(ABS(VLOOKUP($A64,Reg1_ct_Robust!$A:$AG,D$1+1,0)),4),")")</f>
        <v>(0.0646)</v>
      </c>
      <c r="E65" s="3" t="str">
        <f>_xlfn.CONCAT("(",FIXED(ABS(VLOOKUP($A64,Reg2_ct_last_rob!$A:$AG,E$1+1,0)),4),")")</f>
        <v>(0.0715)</v>
      </c>
      <c r="F65" s="3" t="str">
        <f>_xlfn.CONCAT("(",FIXED(ABS(VLOOKUP($A64,Reg2_ct_first_rob!$A:$AG,F$1+1,0)),4),")")</f>
        <v>(0.0758)</v>
      </c>
      <c r="G65" s="3" t="str">
        <f>_xlfn.CONCAT("(",FIXED(ABS(VLOOKUP($A64,Reg1_sf_Robust!$A:$AG,G$1+1,0)),4),")")</f>
        <v>(0.0179)</v>
      </c>
      <c r="H65" s="3" t="str">
        <f>_xlfn.CONCAT("(",FIXED(ABS(VLOOKUP($A64,Reg2_sf_last_rob!$A:$AG,H$1+1,0)),4),")")</f>
        <v>(0.0192)</v>
      </c>
      <c r="I65" s="3" t="str">
        <f>_xlfn.CONCAT("(",FIXED(ABS(VLOOKUP($A64,Reg2_sf_first_rob!$A:$AG,I$1+1,0)),4),")")</f>
        <v>(0.0170)</v>
      </c>
    </row>
    <row r="66" spans="1:9" x14ac:dyDescent="0.25">
      <c r="A66">
        <v>61</v>
      </c>
      <c r="B66" t="s">
        <v>239</v>
      </c>
      <c r="C66" t="s">
        <v>380</v>
      </c>
      <c r="D66" s="3" t="str">
        <f>_xlfn.CONCAT(FIXED(VLOOKUP($A66,Reg1_ct_Robust!$A:$AG,D$1,0),4),VLOOKUP($A66,Reg1_ct_Robust!$A:$AG,D$1+25,0))</f>
        <v>-0.1169</v>
      </c>
      <c r="E66" s="3" t="str">
        <f>_xlfn.CONCAT(FIXED(VLOOKUP($A66,Reg2_ct_last_rob!$A:$AG,E$1,0),4),VLOOKUP($A66,Reg2_ct_last_rob!$A:$AG,E$1+25,0))</f>
        <v>-0.1123</v>
      </c>
      <c r="F66" s="3" t="str">
        <f>_xlfn.CONCAT(FIXED(VLOOKUP($A66,Reg2_ct_first_rob!$A:$AG,F$1,0),4),VLOOKUP($A66,Reg2_ct_first_rob!$A:$AG,F$1+25,0))</f>
        <v>-0.0960</v>
      </c>
      <c r="G66" s="3" t="str">
        <f>_xlfn.CONCAT(FIXED(VLOOKUP($A66,Reg1_sf_Robust!$A:$AG,G$1,0),4),VLOOKUP($A66,Reg1_sf_Robust!$A:$AG,G$1+25,0))</f>
        <v>0.0093</v>
      </c>
      <c r="H66" s="3" t="str">
        <f>_xlfn.CONCAT(FIXED(VLOOKUP($A66,Reg2_sf_last_rob!$A:$AG,H$1,0),4),VLOOKUP($A66,Reg2_sf_last_rob!$A:$AG,H$1+25,0))</f>
        <v>0.0108</v>
      </c>
      <c r="I66" s="3" t="str">
        <f>_xlfn.CONCAT(FIXED(VLOOKUP($A66,Reg2_sf_first_rob!$A:$AG,I$1,0),4),VLOOKUP($A66,Reg2_sf_first_rob!$A:$AG,I$1+25,0))</f>
        <v>0.0076</v>
      </c>
    </row>
    <row r="67" spans="1:9" x14ac:dyDescent="0.25">
      <c r="A67">
        <v>62</v>
      </c>
      <c r="D67" s="3" t="str">
        <f>_xlfn.CONCAT("(",FIXED(ABS(VLOOKUP($A66,Reg1_ct_Robust!$A:$AG,D$1+1,0)),4),")")</f>
        <v>(0.1177)</v>
      </c>
      <c r="E67" s="3" t="str">
        <f>_xlfn.CONCAT("(",FIXED(ABS(VLOOKUP($A66,Reg2_ct_last_rob!$A:$AG,E$1+1,0)),4),")")</f>
        <v>(0.1277)</v>
      </c>
      <c r="F67" s="3" t="str">
        <f>_xlfn.CONCAT("(",FIXED(ABS(VLOOKUP($A66,Reg2_ct_first_rob!$A:$AG,F$1+1,0)),4),")")</f>
        <v>(0.1499)</v>
      </c>
      <c r="G67" s="3" t="str">
        <f>_xlfn.CONCAT("(",FIXED(ABS(VLOOKUP($A66,Reg1_sf_Robust!$A:$AG,G$1+1,0)),4),")")</f>
        <v>(0.0906)</v>
      </c>
      <c r="H67" s="3" t="str">
        <f>_xlfn.CONCAT("(",FIXED(ABS(VLOOKUP($A66,Reg2_sf_last_rob!$A:$AG,H$1+1,0)),4),")")</f>
        <v>(0.0968)</v>
      </c>
      <c r="I67" s="3" t="str">
        <f>_xlfn.CONCAT("(",FIXED(ABS(VLOOKUP($A66,Reg2_sf_first_rob!$A:$AG,I$1+1,0)),4),")")</f>
        <v>(0.0921)</v>
      </c>
    </row>
    <row r="68" spans="1:9" x14ac:dyDescent="0.25">
      <c r="A68">
        <v>65</v>
      </c>
      <c r="B68" t="s">
        <v>240</v>
      </c>
      <c r="C68" t="s">
        <v>381</v>
      </c>
      <c r="D68" s="3" t="str">
        <f>_xlfn.CONCAT(FIXED(VLOOKUP($A68,Reg1_ct_Robust!$A:$AG,D$1,0),4),VLOOKUP($A68,Reg1_ct_Robust!$A:$AG,D$1+25,0))</f>
        <v>0.0164</v>
      </c>
      <c r="E68" s="3" t="str">
        <f>_xlfn.CONCAT(FIXED(VLOOKUP($A68,Reg2_ct_last_rob!$A:$AG,E$1,0),4),VLOOKUP($A68,Reg2_ct_last_rob!$A:$AG,E$1+25,0))</f>
        <v>0.0185</v>
      </c>
      <c r="F68" s="3" t="str">
        <f>_xlfn.CONCAT(FIXED(VLOOKUP($A68,Reg2_ct_first_rob!$A:$AG,F$1,0),4),VLOOKUP($A68,Reg2_ct_first_rob!$A:$AG,F$1+25,0))</f>
        <v>0.0195</v>
      </c>
      <c r="G68" s="3" t="str">
        <f>_xlfn.CONCAT(FIXED(VLOOKUP($A68,Reg1_sf_Robust!$A:$AG,G$1,0),4),VLOOKUP($A68,Reg1_sf_Robust!$A:$AG,G$1+25,0))</f>
        <v>-0.0815</v>
      </c>
      <c r="H68" s="3" t="str">
        <f>_xlfn.CONCAT(FIXED(VLOOKUP($A68,Reg2_sf_last_rob!$A:$AG,H$1,0),4),VLOOKUP($A68,Reg2_sf_last_rob!$A:$AG,H$1+25,0))</f>
        <v>-0.0765</v>
      </c>
      <c r="I68" s="3" t="str">
        <f>_xlfn.CONCAT(FIXED(VLOOKUP($A68,Reg2_sf_first_rob!$A:$AG,I$1,0),4),VLOOKUP($A68,Reg2_sf_first_rob!$A:$AG,I$1+25,0))</f>
        <v>-0.0796</v>
      </c>
    </row>
    <row r="69" spans="1:9" x14ac:dyDescent="0.25">
      <c r="A69">
        <v>66</v>
      </c>
      <c r="D69" s="3" t="str">
        <f>_xlfn.CONCAT("(",FIXED(ABS(VLOOKUP($A68,Reg1_ct_Robust!$A:$AG,D$1+1,0)),4),")")</f>
        <v>(0.0273)</v>
      </c>
      <c r="E69" s="3" t="str">
        <f>_xlfn.CONCAT("(",FIXED(ABS(VLOOKUP($A68,Reg2_ct_last_rob!$A:$AG,E$1+1,0)),4),")")</f>
        <v>(0.0264)</v>
      </c>
      <c r="F69" s="3" t="str">
        <f>_xlfn.CONCAT("(",FIXED(ABS(VLOOKUP($A68,Reg2_ct_first_rob!$A:$AG,F$1+1,0)),4),")")</f>
        <v>(0.0269)</v>
      </c>
      <c r="G69" s="3" t="str">
        <f>_xlfn.CONCAT("(",FIXED(ABS(VLOOKUP($A68,Reg1_sf_Robust!$A:$AG,G$1+1,0)),4),")")</f>
        <v>(0.0342)</v>
      </c>
      <c r="H69" s="3" t="str">
        <f>_xlfn.CONCAT("(",FIXED(ABS(VLOOKUP($A68,Reg2_sf_last_rob!$A:$AG,H$1+1,0)),4),")")</f>
        <v>(0.0357)</v>
      </c>
      <c r="I69" s="3" t="str">
        <f>_xlfn.CONCAT("(",FIXED(ABS(VLOOKUP($A68,Reg2_sf_first_rob!$A:$AG,I$1+1,0)),4),")")</f>
        <v>(0.0379)</v>
      </c>
    </row>
    <row r="70" spans="1:9" x14ac:dyDescent="0.25">
      <c r="A70">
        <v>63</v>
      </c>
      <c r="B70" t="s">
        <v>244</v>
      </c>
      <c r="C70" t="s">
        <v>382</v>
      </c>
      <c r="D70" s="3" t="str">
        <f>_xlfn.CONCAT(FIXED(VLOOKUP($A70,Reg1_ct_Robust!$A:$AG,D$1,0),4),VLOOKUP($A70,Reg1_ct_Robust!$A:$AG,D$1+25,0))</f>
        <v>0.0658</v>
      </c>
      <c r="E70" s="3" t="str">
        <f>_xlfn.CONCAT(FIXED(VLOOKUP($A70,Reg2_ct_last_rob!$A:$AG,E$1,0),4),VLOOKUP($A70,Reg2_ct_last_rob!$A:$AG,E$1+25,0))</f>
        <v>0.0693</v>
      </c>
      <c r="F70" s="3" t="str">
        <f>_xlfn.CONCAT(FIXED(VLOOKUP($A70,Reg2_ct_first_rob!$A:$AG,F$1,0),4),VLOOKUP($A70,Reg2_ct_first_rob!$A:$AG,F$1+25,0))</f>
        <v>0.0800</v>
      </c>
      <c r="G70" s="3" t="str">
        <f>_xlfn.CONCAT(FIXED(VLOOKUP($A70,Reg1_sf_Robust!$A:$AG,G$1,0),4),VLOOKUP($A70,Reg1_sf_Robust!$A:$AG,G$1+25,0))</f>
        <v>0.1916</v>
      </c>
      <c r="H70" s="3" t="str">
        <f>_xlfn.CONCAT(FIXED(VLOOKUP($A70,Reg2_sf_last_rob!$A:$AG,H$1,0),4),VLOOKUP($A70,Reg2_sf_last_rob!$A:$AG,H$1+25,0))</f>
        <v>0.1920</v>
      </c>
      <c r="I70" s="3" t="str">
        <f>_xlfn.CONCAT(FIXED(VLOOKUP($A70,Reg2_sf_first_rob!$A:$AG,I$1,0),4),VLOOKUP($A70,Reg2_sf_first_rob!$A:$AG,I$1+25,0))</f>
        <v>0.1839</v>
      </c>
    </row>
    <row r="71" spans="1:9" x14ac:dyDescent="0.25">
      <c r="A71">
        <v>64</v>
      </c>
      <c r="D71" s="3" t="str">
        <f>_xlfn.CONCAT("(",FIXED(ABS(VLOOKUP($A70,Reg1_ct_Robust!$A:$AG,D$1+1,0)),4),")")</f>
        <v>(0.0546)</v>
      </c>
      <c r="E71" s="3" t="str">
        <f>_xlfn.CONCAT("(",FIXED(ABS(VLOOKUP($A70,Reg2_ct_last_rob!$A:$AG,E$1+1,0)),4),")")</f>
        <v>(0.0518)</v>
      </c>
      <c r="F71" s="3" t="str">
        <f>_xlfn.CONCAT("(",FIXED(ABS(VLOOKUP($A70,Reg2_ct_first_rob!$A:$AG,F$1+1,0)),4),")")</f>
        <v>(0.0528)</v>
      </c>
      <c r="G71" s="3" t="str">
        <f>_xlfn.CONCAT("(",FIXED(ABS(VLOOKUP($A70,Reg1_sf_Robust!$A:$AG,G$1+1,0)),4),")")</f>
        <v>(0.0761)</v>
      </c>
      <c r="H71" s="3" t="str">
        <f>_xlfn.CONCAT("(",FIXED(ABS(VLOOKUP($A70,Reg2_sf_last_rob!$A:$AG,H$1+1,0)),4),")")</f>
        <v>(0.0770)</v>
      </c>
      <c r="I71" s="3" t="str">
        <f>_xlfn.CONCAT("(",FIXED(ABS(VLOOKUP($A70,Reg2_sf_first_rob!$A:$AG,I$1+1,0)),4),")")</f>
        <v>(0.0745)</v>
      </c>
    </row>
    <row r="72" spans="1:9" x14ac:dyDescent="0.25">
      <c r="A72">
        <v>67</v>
      </c>
      <c r="B72" t="s">
        <v>242</v>
      </c>
      <c r="C72" t="s">
        <v>383</v>
      </c>
      <c r="D72" s="3" t="str">
        <f>_xlfn.CONCAT(FIXED(VLOOKUP($A72,Reg1_ct_Robust!$A:$AG,D$1,0),4),VLOOKUP($A72,Reg1_ct_Robust!$A:$AG,D$1+25,0))</f>
        <v>0.0249</v>
      </c>
      <c r="E72" s="3" t="str">
        <f>_xlfn.CONCAT(FIXED(VLOOKUP($A72,Reg2_ct_last_rob!$A:$AG,E$1,0),4),VLOOKUP($A72,Reg2_ct_last_rob!$A:$AG,E$1+25,0))</f>
        <v>0.0260</v>
      </c>
      <c r="F72" s="3" t="str">
        <f>_xlfn.CONCAT(FIXED(VLOOKUP($A72,Reg2_ct_first_rob!$A:$AG,F$1,0),4),VLOOKUP($A72,Reg2_ct_first_rob!$A:$AG,F$1+25,0))</f>
        <v>0.0334</v>
      </c>
      <c r="G72" s="3" t="str">
        <f>_xlfn.CONCAT(FIXED(VLOOKUP($A72,Reg1_sf_Robust!$A:$AG,G$1,0),4),VLOOKUP($A72,Reg1_sf_Robust!$A:$AG,G$1+25,0))</f>
        <v>-0.0057</v>
      </c>
      <c r="H72" s="3" t="str">
        <f>_xlfn.CONCAT(FIXED(VLOOKUP($A72,Reg2_sf_last_rob!$A:$AG,H$1,0),4),VLOOKUP($A72,Reg2_sf_last_rob!$A:$AG,H$1+25,0))</f>
        <v>-0.0028</v>
      </c>
      <c r="I72" s="3" t="str">
        <f>_xlfn.CONCAT(FIXED(VLOOKUP($A72,Reg2_sf_first_rob!$A:$AG,I$1,0),4),VLOOKUP($A72,Reg2_sf_first_rob!$A:$AG,I$1+25,0))</f>
        <v>-0.0046</v>
      </c>
    </row>
    <row r="73" spans="1:9" x14ac:dyDescent="0.25">
      <c r="A73">
        <v>68</v>
      </c>
      <c r="D73" s="3" t="str">
        <f>_xlfn.CONCAT("(",FIXED(ABS(VLOOKUP($A72,Reg1_ct_Robust!$A:$AG,D$1+1,0)),4),")")</f>
        <v>(0.0561)</v>
      </c>
      <c r="E73" s="3" t="str">
        <f>_xlfn.CONCAT("(",FIXED(ABS(VLOOKUP($A72,Reg2_ct_last_rob!$A:$AG,E$1+1,0)),4),")")</f>
        <v>(0.0552)</v>
      </c>
      <c r="F73" s="3" t="str">
        <f>_xlfn.CONCAT("(",FIXED(ABS(VLOOKUP($A72,Reg2_ct_first_rob!$A:$AG,F$1+1,0)),4),")")</f>
        <v>(0.0563)</v>
      </c>
      <c r="G73" s="3" t="str">
        <f>_xlfn.CONCAT("(",FIXED(ABS(VLOOKUP($A72,Reg1_sf_Robust!$A:$AG,G$1+1,0)),4),")")</f>
        <v>(0.0314)</v>
      </c>
      <c r="H73" s="3" t="str">
        <f>_xlfn.CONCAT("(",FIXED(ABS(VLOOKUP($A72,Reg2_sf_last_rob!$A:$AG,H$1+1,0)),4),")")</f>
        <v>(0.0318)</v>
      </c>
      <c r="I73" s="3" t="str">
        <f>_xlfn.CONCAT("(",FIXED(ABS(VLOOKUP($A72,Reg2_sf_first_rob!$A:$AG,I$1+1,0)),4),")")</f>
        <v>(0.0310)</v>
      </c>
    </row>
    <row r="74" spans="1:9" x14ac:dyDescent="0.25">
      <c r="A74">
        <v>69</v>
      </c>
      <c r="B74" t="s">
        <v>245</v>
      </c>
      <c r="C74" t="s">
        <v>384</v>
      </c>
      <c r="D74" s="3" t="str">
        <f>_xlfn.CONCAT(FIXED(VLOOKUP($A74,Reg1_ct_Robust!$A:$AG,D$1,0),4),VLOOKUP($A74,Reg1_ct_Robust!$A:$AG,D$1+25,0))</f>
        <v>0.0618</v>
      </c>
      <c r="E74" s="3" t="str">
        <f>_xlfn.CONCAT(FIXED(VLOOKUP($A74,Reg2_ct_last_rob!$A:$AG,E$1,0),4),VLOOKUP($A74,Reg2_ct_last_rob!$A:$AG,E$1+25,0))</f>
        <v>0.0608</v>
      </c>
      <c r="F74" s="3" t="str">
        <f>_xlfn.CONCAT(FIXED(VLOOKUP($A74,Reg2_ct_first_rob!$A:$AG,F$1,0),4),VLOOKUP($A74,Reg2_ct_first_rob!$A:$AG,F$1+25,0))</f>
        <v>0.0687</v>
      </c>
      <c r="G74" s="3" t="str">
        <f>_xlfn.CONCAT(FIXED(VLOOKUP($A74,Reg1_sf_Robust!$A:$AG,G$1,0),4),VLOOKUP($A74,Reg1_sf_Robust!$A:$AG,G$1+25,0))</f>
        <v>-0.0010</v>
      </c>
      <c r="H74" s="3" t="str">
        <f>_xlfn.CONCAT(FIXED(VLOOKUP($A74,Reg2_sf_last_rob!$A:$AG,H$1,0),4),VLOOKUP($A74,Reg2_sf_last_rob!$A:$AG,H$1+25,0))</f>
        <v>-0.0037</v>
      </c>
      <c r="I74" s="3" t="str">
        <f>_xlfn.CONCAT(FIXED(VLOOKUP($A74,Reg2_sf_first_rob!$A:$AG,I$1,0),4),VLOOKUP($A74,Reg2_sf_first_rob!$A:$AG,I$1+25,0))</f>
        <v>-0.0017</v>
      </c>
    </row>
    <row r="75" spans="1:9" x14ac:dyDescent="0.25">
      <c r="A75">
        <v>70</v>
      </c>
      <c r="D75" s="3" t="str">
        <f>_xlfn.CONCAT("(",FIXED(ABS(VLOOKUP($A74,Reg1_ct_Robust!$A:$AG,D$1+1,0)),4),")")</f>
        <v>(0.0614)</v>
      </c>
      <c r="E75" s="3" t="str">
        <f>_xlfn.CONCAT("(",FIXED(ABS(VLOOKUP($A74,Reg2_ct_last_rob!$A:$AG,E$1+1,0)),4),")")</f>
        <v>(0.0614)</v>
      </c>
      <c r="F75" s="3" t="str">
        <f>_xlfn.CONCAT("(",FIXED(ABS(VLOOKUP($A74,Reg2_ct_first_rob!$A:$AG,F$1+1,0)),4),")")</f>
        <v>(0.0594)</v>
      </c>
      <c r="G75" s="3" t="str">
        <f>_xlfn.CONCAT("(",FIXED(ABS(VLOOKUP($A74,Reg1_sf_Robust!$A:$AG,G$1+1,0)),4),")")</f>
        <v>(0.1451)</v>
      </c>
      <c r="H75" s="3" t="str">
        <f>_xlfn.CONCAT("(",FIXED(ABS(VLOOKUP($A74,Reg2_sf_last_rob!$A:$AG,H$1+1,0)),4),")")</f>
        <v>(0.1456)</v>
      </c>
      <c r="I75" s="3" t="str">
        <f>_xlfn.CONCAT("(",FIXED(ABS(VLOOKUP($A74,Reg2_sf_first_rob!$A:$AG,I$1+1,0)),4),")")</f>
        <v>(0.1436)</v>
      </c>
    </row>
    <row r="76" spans="1:9" x14ac:dyDescent="0.25">
      <c r="A76">
        <v>71</v>
      </c>
      <c r="B76" t="s">
        <v>247</v>
      </c>
      <c r="C76" t="s">
        <v>385</v>
      </c>
      <c r="D76" s="3" t="str">
        <f>_xlfn.CONCAT(FIXED(VLOOKUP($A76,Reg1_ct_Robust!$A:$AG,D$1,0),4),VLOOKUP($A76,Reg1_ct_Robust!$A:$AG,D$1+25,0))</f>
        <v>0.0474</v>
      </c>
      <c r="E76" s="3" t="str">
        <f>_xlfn.CONCAT(FIXED(VLOOKUP($A76,Reg2_ct_last_rob!$A:$AG,E$1,0),4),VLOOKUP($A76,Reg2_ct_last_rob!$A:$AG,E$1+25,0))</f>
        <v>0.0473</v>
      </c>
      <c r="F76" s="3" t="str">
        <f>_xlfn.CONCAT(FIXED(VLOOKUP($A76,Reg2_ct_first_rob!$A:$AG,F$1,0),4),VLOOKUP($A76,Reg2_ct_first_rob!$A:$AG,F$1+25,0))</f>
        <v>0.0548</v>
      </c>
      <c r="G76" s="3" t="str">
        <f>_xlfn.CONCAT(FIXED(VLOOKUP($A76,Reg1_sf_Robust!$A:$AG,G$1,0),4),VLOOKUP($A76,Reg1_sf_Robust!$A:$AG,G$1+25,0))</f>
        <v>0.0294</v>
      </c>
      <c r="H76" s="3" t="str">
        <f>_xlfn.CONCAT(FIXED(VLOOKUP($A76,Reg2_sf_last_rob!$A:$AG,H$1,0),4),VLOOKUP($A76,Reg2_sf_last_rob!$A:$AG,H$1+25,0))</f>
        <v>0.0249</v>
      </c>
      <c r="I76" s="3" t="str">
        <f>_xlfn.CONCAT(FIXED(VLOOKUP($A76,Reg2_sf_first_rob!$A:$AG,I$1,0),4),VLOOKUP($A76,Reg2_sf_first_rob!$A:$AG,I$1+25,0))</f>
        <v>0.0283</v>
      </c>
    </row>
    <row r="77" spans="1:9" x14ac:dyDescent="0.25">
      <c r="A77">
        <v>72</v>
      </c>
      <c r="D77" s="3" t="str">
        <f>_xlfn.CONCAT("(",FIXED(ABS(VLOOKUP($A76,Reg1_ct_Robust!$A:$AG,D$1+1,0)),4),")")</f>
        <v>(0.1046)</v>
      </c>
      <c r="E77" s="3" t="str">
        <f>_xlfn.CONCAT("(",FIXED(ABS(VLOOKUP($A76,Reg2_ct_last_rob!$A:$AG,E$1+1,0)),4),")")</f>
        <v>(0.1048)</v>
      </c>
      <c r="F77" s="3" t="str">
        <f>_xlfn.CONCAT("(",FIXED(ABS(VLOOKUP($A76,Reg2_ct_first_rob!$A:$AG,F$1+1,0)),4),")")</f>
        <v>(0.1014)</v>
      </c>
      <c r="G77" s="3" t="str">
        <f>_xlfn.CONCAT("(",FIXED(ABS(VLOOKUP($A76,Reg1_sf_Robust!$A:$AG,G$1+1,0)),4),")")</f>
        <v>(0.0445)</v>
      </c>
      <c r="H77" s="3" t="str">
        <f>_xlfn.CONCAT("(",FIXED(ABS(VLOOKUP($A76,Reg2_sf_last_rob!$A:$AG,H$1+1,0)),4),")")</f>
        <v>(0.0438)</v>
      </c>
      <c r="I77" s="3" t="str">
        <f>_xlfn.CONCAT("(",FIXED(ABS(VLOOKUP($A76,Reg2_sf_first_rob!$A:$AG,I$1+1,0)),4),")")</f>
        <v>(0.0429)</v>
      </c>
    </row>
    <row r="78" spans="1:9" x14ac:dyDescent="0.25">
      <c r="A78">
        <v>73</v>
      </c>
      <c r="B78" t="s">
        <v>249</v>
      </c>
      <c r="C78" t="s">
        <v>386</v>
      </c>
      <c r="D78" s="3" t="str">
        <f>_xlfn.CONCAT(FIXED(VLOOKUP($A78,Reg1_ct_Robust!$A:$AG,D$1,0),4),VLOOKUP($A78,Reg1_ct_Robust!$A:$AG,D$1+25,0))</f>
        <v>0.2594</v>
      </c>
      <c r="E78" s="3" t="str">
        <f>_xlfn.CONCAT(FIXED(VLOOKUP($A78,Reg2_ct_last_rob!$A:$AG,E$1,0),4),VLOOKUP($A78,Reg2_ct_last_rob!$A:$AG,E$1+25,0))</f>
        <v>0.2586</v>
      </c>
      <c r="F78" s="3" t="str">
        <f>_xlfn.CONCAT(FIXED(VLOOKUP($A78,Reg2_ct_first_rob!$A:$AG,F$1,0),4),VLOOKUP($A78,Reg2_ct_first_rob!$A:$AG,F$1+25,0))</f>
        <v>0.2672</v>
      </c>
      <c r="G78" s="3" t="str">
        <f>_xlfn.CONCAT(FIXED(VLOOKUP($A78,Reg1_sf_Robust!$A:$AG,G$1,0),4),VLOOKUP($A78,Reg1_sf_Robust!$A:$AG,G$1+25,0))</f>
        <v>0.3625</v>
      </c>
      <c r="H78" s="3" t="str">
        <f>_xlfn.CONCAT(FIXED(VLOOKUP($A78,Reg2_sf_last_rob!$A:$AG,H$1,0),4),VLOOKUP($A78,Reg2_sf_last_rob!$A:$AG,H$1+25,0))</f>
        <v>0.3726</v>
      </c>
      <c r="I78" s="3" t="str">
        <f>_xlfn.CONCAT(FIXED(VLOOKUP($A78,Reg2_sf_first_rob!$A:$AG,I$1,0),4),VLOOKUP($A78,Reg2_sf_first_rob!$A:$AG,I$1+25,0))</f>
        <v>0.3674</v>
      </c>
    </row>
    <row r="79" spans="1:9" x14ac:dyDescent="0.25">
      <c r="A79">
        <v>74</v>
      </c>
      <c r="D79" s="3" t="str">
        <f>_xlfn.CONCAT("(",FIXED(ABS(VLOOKUP($A78,Reg1_ct_Robust!$A:$AG,D$1+1,0)),4),")")</f>
        <v>(0.1388)</v>
      </c>
      <c r="E79" s="3" t="str">
        <f>_xlfn.CONCAT("(",FIXED(ABS(VLOOKUP($A78,Reg2_ct_last_rob!$A:$AG,E$1+1,0)),4),")")</f>
        <v>(0.1398)</v>
      </c>
      <c r="F79" s="3" t="str">
        <f>_xlfn.CONCAT("(",FIXED(ABS(VLOOKUP($A78,Reg2_ct_first_rob!$A:$AG,F$1+1,0)),4),")")</f>
        <v>(0.1384)</v>
      </c>
      <c r="G79" s="3" t="str">
        <f>_xlfn.CONCAT("(",FIXED(ABS(VLOOKUP($A78,Reg1_sf_Robust!$A:$AG,G$1+1,0)),4),")")</f>
        <v>(0.2737)</v>
      </c>
      <c r="H79" s="3" t="str">
        <f>_xlfn.CONCAT("(",FIXED(ABS(VLOOKUP($A78,Reg2_sf_last_rob!$A:$AG,H$1+1,0)),4),")")</f>
        <v>(0.2745)</v>
      </c>
      <c r="I79" s="3" t="str">
        <f>_xlfn.CONCAT("(",FIXED(ABS(VLOOKUP($A78,Reg2_sf_first_rob!$A:$AG,I$1+1,0)),4),")")</f>
        <v>(0.2764)</v>
      </c>
    </row>
    <row r="80" spans="1:9" x14ac:dyDescent="0.25">
      <c r="A80">
        <v>75</v>
      </c>
      <c r="B80" t="s">
        <v>166</v>
      </c>
      <c r="C80" t="s">
        <v>387</v>
      </c>
      <c r="D80" s="3" t="str">
        <f>_xlfn.CONCAT(FIXED(VLOOKUP($A80,Reg1_ct_Robust!$A:$AG,D$1,0),4),VLOOKUP($A80,Reg1_ct_Robust!$A:$AG,D$1+25,0))</f>
        <v>0.2727***</v>
      </c>
      <c r="E80" s="3" t="str">
        <f>_xlfn.CONCAT(FIXED(VLOOKUP($A80,Reg2_ct_last_rob!$A:$AG,E$1,0),4),VLOOKUP($A80,Reg2_ct_last_rob!$A:$AG,E$1+25,0))</f>
        <v>0.2673***</v>
      </c>
      <c r="F80" s="3" t="str">
        <f>_xlfn.CONCAT(FIXED(VLOOKUP($A80,Reg2_ct_first_rob!$A:$AG,F$1,0),4),VLOOKUP($A80,Reg2_ct_first_rob!$A:$AG,F$1+25,0))</f>
        <v>0.2738***</v>
      </c>
      <c r="G80" s="3" t="str">
        <f>_xlfn.CONCAT(FIXED(VLOOKUP($A80,Reg1_sf_Robust!$A:$AG,G$1,0),4),VLOOKUP($A80,Reg1_sf_Robust!$A:$AG,G$1+25,0))</f>
        <v>0.0411</v>
      </c>
      <c r="H80" s="3" t="str">
        <f>_xlfn.CONCAT(FIXED(VLOOKUP($A80,Reg2_sf_last_rob!$A:$AG,H$1,0),4),VLOOKUP($A80,Reg2_sf_last_rob!$A:$AG,H$1+25,0))</f>
        <v>0.0388</v>
      </c>
      <c r="I80" s="3" t="str">
        <f>_xlfn.CONCAT(FIXED(VLOOKUP($A80,Reg2_sf_first_rob!$A:$AG,I$1,0),4),VLOOKUP($A80,Reg2_sf_first_rob!$A:$AG,I$1+25,0))</f>
        <v>0.0345</v>
      </c>
    </row>
    <row r="81" spans="1:9" x14ac:dyDescent="0.25">
      <c r="A81">
        <v>76</v>
      </c>
      <c r="D81" s="3" t="str">
        <f>_xlfn.CONCAT("(",FIXED(ABS(VLOOKUP($A80,Reg1_ct_Robust!$A:$AG,D$1+1,0)),4),")")</f>
        <v>(0.0228)</v>
      </c>
      <c r="E81" s="3" t="str">
        <f>_xlfn.CONCAT("(",FIXED(ABS(VLOOKUP($A80,Reg2_ct_last_rob!$A:$AG,E$1+1,0)),4),")")</f>
        <v>(0.0234)</v>
      </c>
      <c r="F81" s="3" t="str">
        <f>_xlfn.CONCAT("(",FIXED(ABS(VLOOKUP($A80,Reg2_ct_first_rob!$A:$AG,F$1+1,0)),4),")")</f>
        <v>(0.0237)</v>
      </c>
      <c r="G81" s="3" t="str">
        <f>_xlfn.CONCAT("(",FIXED(ABS(VLOOKUP($A80,Reg1_sf_Robust!$A:$AG,G$1+1,0)),4),")")</f>
        <v>(0.0537)</v>
      </c>
      <c r="H81" s="3" t="str">
        <f>_xlfn.CONCAT("(",FIXED(ABS(VLOOKUP($A80,Reg2_sf_last_rob!$A:$AG,H$1+1,0)),4),")")</f>
        <v>(0.0510)</v>
      </c>
      <c r="I81" s="3" t="str">
        <f>_xlfn.CONCAT("(",FIXED(ABS(VLOOKUP($A80,Reg2_sf_first_rob!$A:$AG,I$1+1,0)),4),")")</f>
        <v>(0.0501)</v>
      </c>
    </row>
    <row r="82" spans="1:9" x14ac:dyDescent="0.25">
      <c r="A82">
        <v>77</v>
      </c>
      <c r="B82" t="s">
        <v>167</v>
      </c>
      <c r="C82" t="s">
        <v>388</v>
      </c>
      <c r="D82" s="3" t="str">
        <f>_xlfn.CONCAT(FIXED(VLOOKUP($A82,Reg1_ct_Robust!$A:$AG,D$1,0),4),VLOOKUP($A82,Reg1_ct_Robust!$A:$AG,D$1+25,0))</f>
        <v>0.3188***</v>
      </c>
      <c r="E82" s="3" t="str">
        <f>_xlfn.CONCAT(FIXED(VLOOKUP($A82,Reg2_ct_last_rob!$A:$AG,E$1,0),4),VLOOKUP($A82,Reg2_ct_last_rob!$A:$AG,E$1+25,0))</f>
        <v>0.3132***</v>
      </c>
      <c r="F82" s="3" t="str">
        <f>_xlfn.CONCAT(FIXED(VLOOKUP($A82,Reg2_ct_first_rob!$A:$AG,F$1,0),4),VLOOKUP($A82,Reg2_ct_first_rob!$A:$AG,F$1+25,0))</f>
        <v>0.3164***</v>
      </c>
      <c r="G82" s="3" t="str">
        <f>_xlfn.CONCAT(FIXED(VLOOKUP($A82,Reg1_sf_Robust!$A:$AG,G$1,0),4),VLOOKUP($A82,Reg1_sf_Robust!$A:$AG,G$1+25,0))</f>
        <v>0.1095*</v>
      </c>
      <c r="H82" s="3" t="str">
        <f>_xlfn.CONCAT(FIXED(VLOOKUP($A82,Reg2_sf_last_rob!$A:$AG,H$1,0),4),VLOOKUP($A82,Reg2_sf_last_rob!$A:$AG,H$1+25,0))</f>
        <v>0.1067*</v>
      </c>
      <c r="I82" s="3" t="str">
        <f>_xlfn.CONCAT(FIXED(VLOOKUP($A82,Reg2_sf_first_rob!$A:$AG,I$1,0),4),VLOOKUP($A82,Reg2_sf_first_rob!$A:$AG,I$1+25,0))</f>
        <v>0.0990*</v>
      </c>
    </row>
    <row r="83" spans="1:9" x14ac:dyDescent="0.25">
      <c r="A83">
        <v>78</v>
      </c>
      <c r="D83" s="3" t="str">
        <f>_xlfn.CONCAT("(",FIXED(ABS(VLOOKUP($A82,Reg1_ct_Robust!$A:$AG,D$1+1,0)),4),")")</f>
        <v>(0.0384)</v>
      </c>
      <c r="E83" s="3" t="str">
        <f>_xlfn.CONCAT("(",FIXED(ABS(VLOOKUP($A82,Reg2_ct_last_rob!$A:$AG,E$1+1,0)),4),")")</f>
        <v>(0.0397)</v>
      </c>
      <c r="F83" s="3" t="str">
        <f>_xlfn.CONCAT("(",FIXED(ABS(VLOOKUP($A82,Reg2_ct_first_rob!$A:$AG,F$1+1,0)),4),")")</f>
        <v>(0.0404)</v>
      </c>
      <c r="G83" s="3" t="str">
        <f>_xlfn.CONCAT("(",FIXED(ABS(VLOOKUP($A82,Reg1_sf_Robust!$A:$AG,G$1+1,0)),4),")")</f>
        <v>(0.0550)</v>
      </c>
      <c r="H83" s="3" t="str">
        <f>_xlfn.CONCAT("(",FIXED(ABS(VLOOKUP($A82,Reg2_sf_last_rob!$A:$AG,H$1+1,0)),4),")")</f>
        <v>(0.0522)</v>
      </c>
      <c r="I83" s="3" t="str">
        <f>_xlfn.CONCAT("(",FIXED(ABS(VLOOKUP($A82,Reg2_sf_first_rob!$A:$AG,I$1+1,0)),4),")")</f>
        <v>(0.0521)</v>
      </c>
    </row>
    <row r="84" spans="1:9" x14ac:dyDescent="0.25">
      <c r="A84">
        <v>79</v>
      </c>
      <c r="B84" t="s">
        <v>168</v>
      </c>
      <c r="C84" t="s">
        <v>389</v>
      </c>
      <c r="D84" s="3" t="str">
        <f>_xlfn.CONCAT(FIXED(VLOOKUP($A84,Reg1_ct_Robust!$A:$AG,D$1,0),4),VLOOKUP($A84,Reg1_ct_Robust!$A:$AG,D$1+25,0))</f>
        <v>0.3783**</v>
      </c>
      <c r="E84" s="3" t="str">
        <f>_xlfn.CONCAT(FIXED(VLOOKUP($A84,Reg2_ct_last_rob!$A:$AG,E$1,0),4),VLOOKUP($A84,Reg2_ct_last_rob!$A:$AG,E$1+25,0))</f>
        <v>0.3724**</v>
      </c>
      <c r="F84" s="3" t="str">
        <f>_xlfn.CONCAT(FIXED(VLOOKUP($A84,Reg2_ct_first_rob!$A:$AG,F$1,0),4),VLOOKUP($A84,Reg2_ct_first_rob!$A:$AG,F$1+25,0))</f>
        <v>0.3876**</v>
      </c>
      <c r="G84" s="3" t="str">
        <f>_xlfn.CONCAT(FIXED(VLOOKUP($A84,Reg1_sf_Robust!$A:$AG,G$1,0),4),VLOOKUP($A84,Reg1_sf_Robust!$A:$AG,G$1+25,0))</f>
        <v>0.1096*</v>
      </c>
      <c r="H84" s="3" t="str">
        <f>_xlfn.CONCAT(FIXED(VLOOKUP($A84,Reg2_sf_last_rob!$A:$AG,H$1,0),4),VLOOKUP($A84,Reg2_sf_last_rob!$A:$AG,H$1+25,0))</f>
        <v>0.1079*</v>
      </c>
      <c r="I84" s="3" t="str">
        <f>_xlfn.CONCAT(FIXED(VLOOKUP($A84,Reg2_sf_first_rob!$A:$AG,I$1,0),4),VLOOKUP($A84,Reg2_sf_first_rob!$A:$AG,I$1+25,0))</f>
        <v>0.0970</v>
      </c>
    </row>
    <row r="85" spans="1:9" x14ac:dyDescent="0.25">
      <c r="A85">
        <v>80</v>
      </c>
      <c r="D85" s="3" t="str">
        <f>_xlfn.CONCAT("(",FIXED(ABS(VLOOKUP($A84,Reg1_ct_Robust!$A:$AG,D$1+1,0)),4),")")</f>
        <v>(0.1143)</v>
      </c>
      <c r="E85" s="3" t="str">
        <f>_xlfn.CONCAT("(",FIXED(ABS(VLOOKUP($A84,Reg2_ct_last_rob!$A:$AG,E$1+1,0)),4),")")</f>
        <v>(0.1183)</v>
      </c>
      <c r="F85" s="3" t="str">
        <f>_xlfn.CONCAT("(",FIXED(ABS(VLOOKUP($A84,Reg2_ct_first_rob!$A:$AG,F$1+1,0)),4),")")</f>
        <v>(0.1174)</v>
      </c>
      <c r="G85" s="3" t="str">
        <f>_xlfn.CONCAT("(",FIXED(ABS(VLOOKUP($A84,Reg1_sf_Robust!$A:$AG,G$1+1,0)),4),")")</f>
        <v>(0.0587)</v>
      </c>
      <c r="H85" s="3" t="str">
        <f>_xlfn.CONCAT("(",FIXED(ABS(VLOOKUP($A84,Reg2_sf_last_rob!$A:$AG,H$1+1,0)),4),")")</f>
        <v>(0.0549)</v>
      </c>
      <c r="I85" s="3" t="str">
        <f>_xlfn.CONCAT("(",FIXED(ABS(VLOOKUP($A84,Reg2_sf_first_rob!$A:$AG,I$1+1,0)),4),")")</f>
        <v>(0.0545)</v>
      </c>
    </row>
    <row r="86" spans="1:9" x14ac:dyDescent="0.25">
      <c r="A86">
        <v>81</v>
      </c>
      <c r="B86" t="s">
        <v>169</v>
      </c>
      <c r="C86" t="s">
        <v>390</v>
      </c>
      <c r="D86" s="3" t="str">
        <f>_xlfn.CONCAT(FIXED(VLOOKUP($A86,Reg1_ct_Robust!$A:$AG,D$1,0),4),VLOOKUP($A86,Reg1_ct_Robust!$A:$AG,D$1+25,0))</f>
        <v>0.2814***</v>
      </c>
      <c r="E86" s="3" t="str">
        <f>_xlfn.CONCAT(FIXED(VLOOKUP($A86,Reg2_ct_last_rob!$A:$AG,E$1,0),4),VLOOKUP($A86,Reg2_ct_last_rob!$A:$AG,E$1+25,0))</f>
        <v>0.2724***</v>
      </c>
      <c r="F86" s="3" t="str">
        <f>_xlfn.CONCAT(FIXED(VLOOKUP($A86,Reg2_ct_first_rob!$A:$AG,F$1,0),4),VLOOKUP($A86,Reg2_ct_first_rob!$A:$AG,F$1+25,0))</f>
        <v>0.2845***</v>
      </c>
      <c r="G86" s="3" t="str">
        <f>_xlfn.CONCAT(FIXED(VLOOKUP($A86,Reg1_sf_Robust!$A:$AG,G$1,0),4),VLOOKUP($A86,Reg1_sf_Robust!$A:$AG,G$1+25,0))</f>
        <v>0.1386**</v>
      </c>
      <c r="H86" s="3" t="str">
        <f>_xlfn.CONCAT(FIXED(VLOOKUP($A86,Reg2_sf_last_rob!$A:$AG,H$1,0),4),VLOOKUP($A86,Reg2_sf_last_rob!$A:$AG,H$1+25,0))</f>
        <v>0.1372**</v>
      </c>
      <c r="I86" s="3" t="str">
        <f>_xlfn.CONCAT(FIXED(VLOOKUP($A86,Reg2_sf_first_rob!$A:$AG,I$1,0),4),VLOOKUP($A86,Reg2_sf_first_rob!$A:$AG,I$1+25,0))</f>
        <v>0.1264**</v>
      </c>
    </row>
    <row r="87" spans="1:9" x14ac:dyDescent="0.25">
      <c r="A87">
        <v>82</v>
      </c>
      <c r="D87" s="3" t="str">
        <f>_xlfn.CONCAT("(",FIXED(ABS(VLOOKUP($A86,Reg1_ct_Robust!$A:$AG,D$1+1,0)),4),")")</f>
        <v>(0.0699)</v>
      </c>
      <c r="E87" s="3" t="str">
        <f>_xlfn.CONCAT("(",FIXED(ABS(VLOOKUP($A86,Reg2_ct_last_rob!$A:$AG,E$1+1,0)),4),")")</f>
        <v>(0.0715)</v>
      </c>
      <c r="F87" s="3" t="str">
        <f>_xlfn.CONCAT("(",FIXED(ABS(VLOOKUP($A86,Reg2_ct_first_rob!$A:$AG,F$1+1,0)),4),")")</f>
        <v>(0.0718)</v>
      </c>
      <c r="G87" s="3" t="str">
        <f>_xlfn.CONCAT("(",FIXED(ABS(VLOOKUP($A86,Reg1_sf_Robust!$A:$AG,G$1+1,0)),4),")")</f>
        <v>(0.0583)</v>
      </c>
      <c r="H87" s="3" t="str">
        <f>_xlfn.CONCAT("(",FIXED(ABS(VLOOKUP($A86,Reg2_sf_last_rob!$A:$AG,H$1+1,0)),4),")")</f>
        <v>(0.0555)</v>
      </c>
      <c r="I87" s="3" t="str">
        <f>_xlfn.CONCAT("(",FIXED(ABS(VLOOKUP($A86,Reg2_sf_first_rob!$A:$AG,I$1+1,0)),4),")")</f>
        <v>(0.0546)</v>
      </c>
    </row>
    <row r="88" spans="1:9" x14ac:dyDescent="0.25">
      <c r="A88">
        <v>83</v>
      </c>
      <c r="B88" t="s">
        <v>170</v>
      </c>
      <c r="C88" t="s">
        <v>391</v>
      </c>
      <c r="D88" s="3" t="str">
        <f>_xlfn.CONCAT(FIXED(VLOOKUP($A88,Reg1_ct_Robust!$A:$AG,D$1,0),4),VLOOKUP($A88,Reg1_ct_Robust!$A:$AG,D$1+25,0))</f>
        <v>0.0451</v>
      </c>
      <c r="E88" s="3" t="str">
        <f>_xlfn.CONCAT(FIXED(VLOOKUP($A88,Reg2_ct_last_rob!$A:$AG,E$1,0),4),VLOOKUP($A88,Reg2_ct_last_rob!$A:$AG,E$1+25,0))</f>
        <v>0.0640</v>
      </c>
      <c r="F88" s="3" t="str">
        <f>_xlfn.CONCAT(FIXED(VLOOKUP($A88,Reg2_ct_first_rob!$A:$AG,F$1,0),4),VLOOKUP($A88,Reg2_ct_first_rob!$A:$AG,F$1+25,0))</f>
        <v>0.0579</v>
      </c>
      <c r="G88" s="3" t="str">
        <f>_xlfn.CONCAT(FIXED(VLOOKUP($A88,Reg1_sf_Robust!$A:$AG,G$1,0),4),VLOOKUP($A88,Reg1_sf_Robust!$A:$AG,G$1+25,0))</f>
        <v>0.1412**</v>
      </c>
      <c r="H88" s="3" t="str">
        <f>_xlfn.CONCAT(FIXED(VLOOKUP($A88,Reg2_sf_last_rob!$A:$AG,H$1,0),4),VLOOKUP($A88,Reg2_sf_last_rob!$A:$AG,H$1+25,0))</f>
        <v>0.1472**</v>
      </c>
      <c r="I88" s="3" t="str">
        <f>_xlfn.CONCAT(FIXED(VLOOKUP($A88,Reg2_sf_first_rob!$A:$AG,I$1,0),4),VLOOKUP($A88,Reg2_sf_first_rob!$A:$AG,I$1+25,0))</f>
        <v>0.1305**</v>
      </c>
    </row>
    <row r="89" spans="1:9" x14ac:dyDescent="0.25">
      <c r="A89">
        <v>84</v>
      </c>
      <c r="D89" s="3" t="str">
        <f>_xlfn.CONCAT("(",FIXED(ABS(VLOOKUP($A88,Reg1_ct_Robust!$A:$AG,D$1+1,0)),4),")")</f>
        <v>(0.2122)</v>
      </c>
      <c r="E89" s="3" t="str">
        <f>_xlfn.CONCAT("(",FIXED(ABS(VLOOKUP($A88,Reg2_ct_last_rob!$A:$AG,E$1+1,0)),4),")")</f>
        <v>(0.1950)</v>
      </c>
      <c r="F89" s="3" t="str">
        <f>_xlfn.CONCAT("(",FIXED(ABS(VLOOKUP($A88,Reg2_ct_first_rob!$A:$AG,F$1+1,0)),4),")")</f>
        <v>(0.1965)</v>
      </c>
      <c r="G89" s="3" t="str">
        <f>_xlfn.CONCAT("(",FIXED(ABS(VLOOKUP($A88,Reg1_sf_Robust!$A:$AG,G$1+1,0)),4),")")</f>
        <v>(0.0561)</v>
      </c>
      <c r="H89" s="3" t="str">
        <f>_xlfn.CONCAT("(",FIXED(ABS(VLOOKUP($A88,Reg2_sf_last_rob!$A:$AG,H$1+1,0)),4),")")</f>
        <v>(0.0529)</v>
      </c>
      <c r="I89" s="3" t="str">
        <f>_xlfn.CONCAT("(",FIXED(ABS(VLOOKUP($A88,Reg2_sf_first_rob!$A:$AG,I$1+1,0)),4),")")</f>
        <v>(0.0527)</v>
      </c>
    </row>
    <row r="90" spans="1:9" x14ac:dyDescent="0.25">
      <c r="A90">
        <v>85</v>
      </c>
      <c r="B90" t="s">
        <v>50</v>
      </c>
      <c r="C90" t="s">
        <v>392</v>
      </c>
      <c r="D90" s="3" t="str">
        <f>_xlfn.CONCAT(FIXED(VLOOKUP($A90,Reg1_ct_Robust!$A:$AG,D$1,0),4),VLOOKUP($A90,Reg1_ct_Robust!$A:$AG,D$1+25,0))</f>
        <v>0.0001</v>
      </c>
      <c r="E90" s="3" t="str">
        <f>_xlfn.CONCAT(FIXED(VLOOKUP($A90,Reg2_ct_last_rob!$A:$AG,E$1,0),4),VLOOKUP($A90,Reg2_ct_last_rob!$A:$AG,E$1+25,0))</f>
        <v>0.0001</v>
      </c>
      <c r="F90" s="3" t="str">
        <f>_xlfn.CONCAT(FIXED(VLOOKUP($A90,Reg2_ct_first_rob!$A:$AG,F$1,0),4),VLOOKUP($A90,Reg2_ct_first_rob!$A:$AG,F$1+25,0))</f>
        <v>0.0001</v>
      </c>
      <c r="G90" s="3" t="str">
        <f>_xlfn.CONCAT(FIXED(VLOOKUP($A90,Reg1_sf_Robust!$A:$AG,G$1,0),4),VLOOKUP($A90,Reg1_sf_Robust!$A:$AG,G$1+25,0))</f>
        <v>0.0002</v>
      </c>
      <c r="H90" s="3" t="str">
        <f>_xlfn.CONCAT(FIXED(VLOOKUP($A90,Reg2_sf_last_rob!$A:$AG,H$1,0),4),VLOOKUP($A90,Reg2_sf_last_rob!$A:$AG,H$1+25,0))</f>
        <v>0.0002</v>
      </c>
      <c r="I90" s="3" t="str">
        <f>_xlfn.CONCAT(FIXED(VLOOKUP($A90,Reg2_sf_first_rob!$A:$AG,I$1,0),4),VLOOKUP($A90,Reg2_sf_first_rob!$A:$AG,I$1+25,0))</f>
        <v>0.0002</v>
      </c>
    </row>
    <row r="91" spans="1:9" x14ac:dyDescent="0.25">
      <c r="A91">
        <v>86</v>
      </c>
      <c r="D91" s="3" t="str">
        <f>_xlfn.CONCAT("(",FIXED(ABS(VLOOKUP($A90,Reg1_ct_Robust!$A:$AG,D$1+1,0)),4),")")</f>
        <v>(0.0001)</v>
      </c>
      <c r="E91" s="3" t="str">
        <f>_xlfn.CONCAT("(",FIXED(ABS(VLOOKUP($A90,Reg2_ct_last_rob!$A:$AG,E$1+1,0)),4),")")</f>
        <v>(0.0001)</v>
      </c>
      <c r="F91" s="3" t="str">
        <f>_xlfn.CONCAT("(",FIXED(ABS(VLOOKUP($A90,Reg2_ct_first_rob!$A:$AG,F$1+1,0)),4),")")</f>
        <v>(0.0001)</v>
      </c>
      <c r="G91" s="3" t="str">
        <f>_xlfn.CONCAT("(",FIXED(ABS(VLOOKUP($A90,Reg1_sf_Robust!$A:$AG,G$1+1,0)),4),")")</f>
        <v>(0.0001)</v>
      </c>
      <c r="H91" s="3" t="str">
        <f>_xlfn.CONCAT("(",FIXED(ABS(VLOOKUP($A90,Reg2_sf_last_rob!$A:$AG,H$1+1,0)),4),")")</f>
        <v>(0.0001)</v>
      </c>
      <c r="I91" s="3" t="str">
        <f>_xlfn.CONCAT("(",FIXED(ABS(VLOOKUP($A90,Reg2_sf_first_rob!$A:$AG,I$1+1,0)),4),")")</f>
        <v>(0.0001)</v>
      </c>
    </row>
    <row r="92" spans="1:9" x14ac:dyDescent="0.25">
      <c r="A92">
        <v>87</v>
      </c>
      <c r="B92" t="s">
        <v>52</v>
      </c>
      <c r="C92" t="s">
        <v>393</v>
      </c>
      <c r="D92" s="3" t="str">
        <f>_xlfn.CONCAT(FIXED(VLOOKUP($A92,Reg1_ct_Robust!$A:$AG,D$1,0),4),VLOOKUP($A92,Reg1_ct_Robust!$A:$AG,D$1+25,0))</f>
        <v>0.0099**</v>
      </c>
      <c r="E92" s="3" t="str">
        <f>_xlfn.CONCAT(FIXED(VLOOKUP($A92,Reg2_ct_last_rob!$A:$AG,E$1,0),4),VLOOKUP($A92,Reg2_ct_last_rob!$A:$AG,E$1+25,0))</f>
        <v>0.0108**</v>
      </c>
      <c r="F92" s="3" t="str">
        <f>_xlfn.CONCAT(FIXED(VLOOKUP($A92,Reg2_ct_first_rob!$A:$AG,F$1,0),4),VLOOKUP($A92,Reg2_ct_first_rob!$A:$AG,F$1+25,0))</f>
        <v>0.0090**</v>
      </c>
      <c r="G92" s="3" t="str">
        <f>_xlfn.CONCAT(FIXED(VLOOKUP($A92,Reg1_sf_Robust!$A:$AG,G$1,0),4),VLOOKUP($A92,Reg1_sf_Robust!$A:$AG,G$1+25,0))</f>
        <v>-0.0050</v>
      </c>
      <c r="H92" s="3" t="str">
        <f>_xlfn.CONCAT(FIXED(VLOOKUP($A92,Reg2_sf_last_rob!$A:$AG,H$1,0),4),VLOOKUP($A92,Reg2_sf_last_rob!$A:$AG,H$1+25,0))</f>
        <v>-0.0068</v>
      </c>
      <c r="I92" s="3" t="str">
        <f>_xlfn.CONCAT(FIXED(VLOOKUP($A92,Reg2_sf_first_rob!$A:$AG,I$1,0),4),VLOOKUP($A92,Reg2_sf_first_rob!$A:$AG,I$1+25,0))</f>
        <v>-0.0064</v>
      </c>
    </row>
    <row r="93" spans="1:9" x14ac:dyDescent="0.25">
      <c r="A93">
        <v>88</v>
      </c>
      <c r="D93" s="3" t="str">
        <f>_xlfn.CONCAT("(",FIXED(ABS(VLOOKUP($A92,Reg1_ct_Robust!$A:$AG,D$1+1,0)),4),")")</f>
        <v>(0.0035)</v>
      </c>
      <c r="E93" s="3" t="str">
        <f>_xlfn.CONCAT("(",FIXED(ABS(VLOOKUP($A92,Reg2_ct_last_rob!$A:$AG,E$1+1,0)),4),")")</f>
        <v>(0.0036)</v>
      </c>
      <c r="F93" s="3" t="str">
        <f>_xlfn.CONCAT("(",FIXED(ABS(VLOOKUP($A92,Reg2_ct_first_rob!$A:$AG,F$1+1,0)),4),")")</f>
        <v>(0.0038)</v>
      </c>
      <c r="G93" s="3" t="str">
        <f>_xlfn.CONCAT("(",FIXED(ABS(VLOOKUP($A92,Reg1_sf_Robust!$A:$AG,G$1+1,0)),4),")")</f>
        <v>(0.0054)</v>
      </c>
      <c r="H93" s="3" t="str">
        <f>_xlfn.CONCAT("(",FIXED(ABS(VLOOKUP($A92,Reg2_sf_last_rob!$A:$AG,H$1+1,0)),4),")")</f>
        <v>(0.0057)</v>
      </c>
      <c r="I93" s="3" t="str">
        <f>_xlfn.CONCAT("(",FIXED(ABS(VLOOKUP($A92,Reg2_sf_first_rob!$A:$AG,I$1+1,0)),4),")")</f>
        <v>(0.0055)</v>
      </c>
    </row>
    <row r="94" spans="1:9" x14ac:dyDescent="0.25">
      <c r="A94">
        <v>89</v>
      </c>
      <c r="B94" t="s">
        <v>51</v>
      </c>
      <c r="C94" t="s">
        <v>394</v>
      </c>
      <c r="D94" s="3" t="str">
        <f>_xlfn.CONCAT(FIXED(VLOOKUP($A94,Reg1_ct_Robust!$A:$AG,D$1,0),4),VLOOKUP($A94,Reg1_ct_Robust!$A:$AG,D$1+25,0))</f>
        <v>0.0058</v>
      </c>
      <c r="E94" s="3" t="str">
        <f>_xlfn.CONCAT(FIXED(VLOOKUP($A94,Reg2_ct_last_rob!$A:$AG,E$1,0),4),VLOOKUP($A94,Reg2_ct_last_rob!$A:$AG,E$1+25,0))</f>
        <v>0.0056</v>
      </c>
      <c r="F94" s="3" t="str">
        <f>_xlfn.CONCAT(FIXED(VLOOKUP($A94,Reg2_ct_first_rob!$A:$AG,F$1,0),4),VLOOKUP($A94,Reg2_ct_first_rob!$A:$AG,F$1+25,0))</f>
        <v>0.0054</v>
      </c>
      <c r="G94" s="3" t="str">
        <f>_xlfn.CONCAT(FIXED(VLOOKUP($A94,Reg1_sf_Robust!$A:$AG,G$1,0),4),VLOOKUP($A94,Reg1_sf_Robust!$A:$AG,G$1+25,0))</f>
        <v>-0.0534***</v>
      </c>
      <c r="H94" s="3" t="str">
        <f>_xlfn.CONCAT(FIXED(VLOOKUP($A94,Reg2_sf_last_rob!$A:$AG,H$1,0),4),VLOOKUP($A94,Reg2_sf_last_rob!$A:$AG,H$1+25,0))</f>
        <v>-0.0710***</v>
      </c>
      <c r="I94" s="3" t="str">
        <f>_xlfn.CONCAT(FIXED(VLOOKUP($A94,Reg2_sf_first_rob!$A:$AG,I$1,0),4),VLOOKUP($A94,Reg2_sf_first_rob!$A:$AG,I$1+25,0))</f>
        <v>-0.0522***</v>
      </c>
    </row>
    <row r="95" spans="1:9" x14ac:dyDescent="0.25">
      <c r="A95">
        <v>90</v>
      </c>
      <c r="D95" s="3" t="str">
        <f>_xlfn.CONCAT("(",FIXED(ABS(VLOOKUP($A94,Reg1_ct_Robust!$A:$AG,D$1+1,0)),4),")")</f>
        <v>(0.0029)</v>
      </c>
      <c r="E95" s="3" t="str">
        <f>_xlfn.CONCAT("(",FIXED(ABS(VLOOKUP($A94,Reg2_ct_last_rob!$A:$AG,E$1+1,0)),4),")")</f>
        <v>(0.0031)</v>
      </c>
      <c r="F95" s="3" t="str">
        <f>_xlfn.CONCAT("(",FIXED(ABS(VLOOKUP($A94,Reg2_ct_first_rob!$A:$AG,F$1+1,0)),4),")")</f>
        <v>(0.0030)</v>
      </c>
      <c r="G95" s="3" t="str">
        <f>_xlfn.CONCAT("(",FIXED(ABS(VLOOKUP($A94,Reg1_sf_Robust!$A:$AG,G$1+1,0)),4),")")</f>
        <v>(0.0129)</v>
      </c>
      <c r="H95" s="3" t="str">
        <f>_xlfn.CONCAT("(",FIXED(ABS(VLOOKUP($A94,Reg2_sf_last_rob!$A:$AG,H$1+1,0)),4),")")</f>
        <v>(0.0174)</v>
      </c>
      <c r="I95" s="3" t="str">
        <f>_xlfn.CONCAT("(",FIXED(ABS(VLOOKUP($A94,Reg2_sf_first_rob!$A:$AG,I$1+1,0)),4),")")</f>
        <v>(0.0128)</v>
      </c>
    </row>
    <row r="96" spans="1:9" x14ac:dyDescent="0.25">
      <c r="A96">
        <v>91</v>
      </c>
      <c r="B96" t="s">
        <v>164</v>
      </c>
      <c r="C96" t="s">
        <v>395</v>
      </c>
      <c r="D96" s="3" t="str">
        <f>_xlfn.CONCAT(FIXED(VLOOKUP($A96,Reg1_ct_Robust!$A:$AG,D$1,0),4),VLOOKUP($A96,Reg1_ct_Robust!$A:$AG,D$1+25,0))</f>
        <v>-0.0056</v>
      </c>
      <c r="E96" s="3" t="str">
        <f>_xlfn.CONCAT(FIXED(VLOOKUP($A96,Reg2_ct_last_rob!$A:$AG,E$1,0),4),VLOOKUP($A96,Reg2_ct_last_rob!$A:$AG,E$1+25,0))</f>
        <v>-0.0064</v>
      </c>
      <c r="F96" s="3" t="str">
        <f>_xlfn.CONCAT(FIXED(VLOOKUP($A96,Reg2_ct_first_rob!$A:$AG,F$1,0),4),VLOOKUP($A96,Reg2_ct_first_rob!$A:$AG,F$1+25,0))</f>
        <v>-0.0065</v>
      </c>
      <c r="G96" s="3" t="str">
        <f>_xlfn.CONCAT(FIXED(VLOOKUP($A96,Reg1_sf_Robust!$A:$AG,G$1,0),4),VLOOKUP($A96,Reg1_sf_Robust!$A:$AG,G$1+25,0))</f>
        <v>0.0021</v>
      </c>
      <c r="H96" s="3" t="str">
        <f>_xlfn.CONCAT(FIXED(VLOOKUP($A96,Reg2_sf_last_rob!$A:$AG,H$1,0),4),VLOOKUP($A96,Reg2_sf_last_rob!$A:$AG,H$1+25,0))</f>
        <v>0.0021</v>
      </c>
      <c r="I96" s="3" t="str">
        <f>_xlfn.CONCAT(FIXED(VLOOKUP($A96,Reg2_sf_first_rob!$A:$AG,I$1,0),4),VLOOKUP($A96,Reg2_sf_first_rob!$A:$AG,I$1+25,0))</f>
        <v>0.0018</v>
      </c>
    </row>
    <row r="97" spans="1:9" x14ac:dyDescent="0.25">
      <c r="A97">
        <v>92</v>
      </c>
      <c r="D97" s="3" t="str">
        <f>_xlfn.CONCAT("(",FIXED(ABS(VLOOKUP($A96,Reg1_ct_Robust!$A:$AG,D$1+1,0)),4),")")</f>
        <v>(0.0111)</v>
      </c>
      <c r="E97" s="3" t="str">
        <f>_xlfn.CONCAT("(",FIXED(ABS(VLOOKUP($A96,Reg2_ct_last_rob!$A:$AG,E$1+1,0)),4),")")</f>
        <v>(0.0110)</v>
      </c>
      <c r="F97" s="3" t="str">
        <f>_xlfn.CONCAT("(",FIXED(ABS(VLOOKUP($A96,Reg2_ct_first_rob!$A:$AG,F$1+1,0)),4),")")</f>
        <v>(0.0116)</v>
      </c>
      <c r="G97" s="3" t="str">
        <f>_xlfn.CONCAT("(",FIXED(ABS(VLOOKUP($A96,Reg1_sf_Robust!$A:$AG,G$1+1,0)),4),")")</f>
        <v>(0.0094)</v>
      </c>
      <c r="H97" s="3" t="str">
        <f>_xlfn.CONCAT("(",FIXED(ABS(VLOOKUP($A96,Reg2_sf_last_rob!$A:$AG,H$1+1,0)),4),")")</f>
        <v>(0.0095)</v>
      </c>
      <c r="I97" s="3" t="str">
        <f>_xlfn.CONCAT("(",FIXED(ABS(VLOOKUP($A96,Reg2_sf_first_rob!$A:$AG,I$1+1,0)),4),")")</f>
        <v>(0.0092)</v>
      </c>
    </row>
    <row r="98" spans="1:9" x14ac:dyDescent="0.25">
      <c r="A98">
        <v>93</v>
      </c>
      <c r="B98" t="s">
        <v>39</v>
      </c>
      <c r="C98" t="s">
        <v>396</v>
      </c>
      <c r="D98" s="3" t="str">
        <f>_xlfn.CONCAT(FIXED(VLOOKUP($A98,Reg1_ct_Robust!$A:$AG,D$1,0),4),VLOOKUP($A98,Reg1_ct_Robust!$A:$AG,D$1+25,0))</f>
        <v>-0.0615</v>
      </c>
      <c r="E98" s="3" t="str">
        <f>_xlfn.CONCAT(FIXED(VLOOKUP($A98,Reg2_ct_last_rob!$A:$AG,E$1,0),4),VLOOKUP($A98,Reg2_ct_last_rob!$A:$AG,E$1+25,0))</f>
        <v>-0.0621</v>
      </c>
      <c r="F98" s="3" t="str">
        <f>_xlfn.CONCAT(FIXED(VLOOKUP($A98,Reg2_ct_first_rob!$A:$AG,F$1,0),4),VLOOKUP($A98,Reg2_ct_first_rob!$A:$AG,F$1+25,0))</f>
        <v>-0.0669</v>
      </c>
      <c r="G98" s="3" t="str">
        <f>_xlfn.CONCAT(FIXED(VLOOKUP($A98,Reg1_sf_Robust!$A:$AG,G$1,0),4),VLOOKUP($A98,Reg1_sf_Robust!$A:$AG,G$1+25,0))</f>
        <v>-0.0621*</v>
      </c>
      <c r="H98" s="3" t="str">
        <f>_xlfn.CONCAT(FIXED(VLOOKUP($A98,Reg2_sf_last_rob!$A:$AG,H$1,0),4),VLOOKUP($A98,Reg2_sf_last_rob!$A:$AG,H$1+25,0))</f>
        <v>-0.0652*</v>
      </c>
      <c r="I98" s="3" t="str">
        <f>_xlfn.CONCAT(FIXED(VLOOKUP($A98,Reg2_sf_first_rob!$A:$AG,I$1,0),4),VLOOKUP($A98,Reg2_sf_first_rob!$A:$AG,I$1+25,0))</f>
        <v>-0.0630*</v>
      </c>
    </row>
    <row r="99" spans="1:9" x14ac:dyDescent="0.25">
      <c r="A99">
        <v>94</v>
      </c>
      <c r="D99" s="3" t="str">
        <f>_xlfn.CONCAT("(",FIXED(ABS(VLOOKUP($A98,Reg1_ct_Robust!$A:$AG,D$1+1,0)),4),")")</f>
        <v>(0.0640)</v>
      </c>
      <c r="E99" s="3" t="str">
        <f>_xlfn.CONCAT("(",FIXED(ABS(VLOOKUP($A98,Reg2_ct_last_rob!$A:$AG,E$1+1,0)),4),")")</f>
        <v>(0.0653)</v>
      </c>
      <c r="F99" s="3" t="str">
        <f>_xlfn.CONCAT("(",FIXED(ABS(VLOOKUP($A98,Reg2_ct_first_rob!$A:$AG,F$1+1,0)),4),")")</f>
        <v>(0.0653)</v>
      </c>
      <c r="G99" s="3" t="str">
        <f>_xlfn.CONCAT("(",FIXED(ABS(VLOOKUP($A98,Reg1_sf_Robust!$A:$AG,G$1+1,0)),4),")")</f>
        <v>(0.0303)</v>
      </c>
      <c r="H99" s="3" t="str">
        <f>_xlfn.CONCAT("(",FIXED(ABS(VLOOKUP($A98,Reg2_sf_last_rob!$A:$AG,H$1+1,0)),4),")")</f>
        <v>(0.0319)</v>
      </c>
      <c r="I99" s="3" t="str">
        <f>_xlfn.CONCAT("(",FIXED(ABS(VLOOKUP($A98,Reg2_sf_first_rob!$A:$AG,I$1+1,0)),4),")")</f>
        <v>(0.0311)</v>
      </c>
    </row>
    <row r="100" spans="1:9" x14ac:dyDescent="0.25">
      <c r="A100">
        <v>95</v>
      </c>
      <c r="B100" t="s">
        <v>40</v>
      </c>
      <c r="C100" t="s">
        <v>397</v>
      </c>
      <c r="D100" s="3" t="str">
        <f>_xlfn.CONCAT(FIXED(VLOOKUP($A100,Reg1_ct_Robust!$A:$AG,D$1,0),4),VLOOKUP($A100,Reg1_ct_Robust!$A:$AG,D$1+25,0))</f>
        <v>-0.0245**</v>
      </c>
      <c r="E100" s="3" t="str">
        <f>_xlfn.CONCAT(FIXED(VLOOKUP($A100,Reg2_ct_last_rob!$A:$AG,E$1,0),4),VLOOKUP($A100,Reg2_ct_last_rob!$A:$AG,E$1+25,0))</f>
        <v>-0.0254**</v>
      </c>
      <c r="F100" s="3" t="str">
        <f>_xlfn.CONCAT(FIXED(VLOOKUP($A100,Reg2_ct_first_rob!$A:$AG,F$1,0),4),VLOOKUP($A100,Reg2_ct_first_rob!$A:$AG,F$1+25,0))</f>
        <v>-0.0257**</v>
      </c>
      <c r="G100" s="3" t="str">
        <f>_xlfn.CONCAT(FIXED(VLOOKUP($A100,Reg1_sf_Robust!$A:$AG,G$1,0),4),VLOOKUP($A100,Reg1_sf_Robust!$A:$AG,G$1+25,0))</f>
        <v>0.0001</v>
      </c>
      <c r="H100" s="3" t="str">
        <f>_xlfn.CONCAT(FIXED(VLOOKUP($A100,Reg2_sf_last_rob!$A:$AG,H$1,0),4),VLOOKUP($A100,Reg2_sf_last_rob!$A:$AG,H$1+25,0))</f>
        <v>0.0000</v>
      </c>
      <c r="I100" s="3" t="str">
        <f>_xlfn.CONCAT(FIXED(VLOOKUP($A100,Reg2_sf_first_rob!$A:$AG,I$1,0),4),VLOOKUP($A100,Reg2_sf_first_rob!$A:$AG,I$1+25,0))</f>
        <v>0.0004</v>
      </c>
    </row>
    <row r="101" spans="1:9" x14ac:dyDescent="0.25">
      <c r="A101">
        <v>96</v>
      </c>
      <c r="D101" s="3" t="str">
        <f>_xlfn.CONCAT("(",FIXED(ABS(VLOOKUP($A100,Reg1_ct_Robust!$A:$AG,D$1+1,0)),4),")")</f>
        <v>(0.0103)</v>
      </c>
      <c r="E101" s="3" t="str">
        <f>_xlfn.CONCAT("(",FIXED(ABS(VLOOKUP($A100,Reg2_ct_last_rob!$A:$AG,E$1+1,0)),4),")")</f>
        <v>(0.0107)</v>
      </c>
      <c r="F101" s="3" t="str">
        <f>_xlfn.CONCAT("(",FIXED(ABS(VLOOKUP($A100,Reg2_ct_first_rob!$A:$AG,F$1+1,0)),4),")")</f>
        <v>(0.0106)</v>
      </c>
      <c r="G101" s="3" t="str">
        <f>_xlfn.CONCAT("(",FIXED(ABS(VLOOKUP($A100,Reg1_sf_Robust!$A:$AG,G$1+1,0)),4),")")</f>
        <v>(0.0086)</v>
      </c>
      <c r="H101" s="3" t="str">
        <f>_xlfn.CONCAT("(",FIXED(ABS(VLOOKUP($A100,Reg2_sf_last_rob!$A:$AG,H$1+1,0)),4),")")</f>
        <v>(0.0087)</v>
      </c>
      <c r="I101" s="3" t="str">
        <f>_xlfn.CONCAT("(",FIXED(ABS(VLOOKUP($A100,Reg2_sf_first_rob!$A:$AG,I$1+1,0)),4),")")</f>
        <v>(0.0084)</v>
      </c>
    </row>
    <row r="102" spans="1:9" x14ac:dyDescent="0.25">
      <c r="A102">
        <v>97</v>
      </c>
      <c r="B102" t="s">
        <v>41</v>
      </c>
      <c r="C102" t="s">
        <v>398</v>
      </c>
      <c r="D102" s="3" t="str">
        <f>_xlfn.CONCAT(FIXED(VLOOKUP($A102,Reg1_ct_Robust!$A:$AG,D$1,0),4),VLOOKUP($A102,Reg1_ct_Robust!$A:$AG,D$1+25,0))</f>
        <v>-0.0032</v>
      </c>
      <c r="E102" s="3" t="str">
        <f>_xlfn.CONCAT(FIXED(VLOOKUP($A102,Reg2_ct_last_rob!$A:$AG,E$1,0),4),VLOOKUP($A102,Reg2_ct_last_rob!$A:$AG,E$1+25,0))</f>
        <v>-0.0022</v>
      </c>
      <c r="F102" s="3" t="str">
        <f>_xlfn.CONCAT(FIXED(VLOOKUP($A102,Reg2_ct_first_rob!$A:$AG,F$1,0),4),VLOOKUP($A102,Reg2_ct_first_rob!$A:$AG,F$1+25,0))</f>
        <v>-0.0031</v>
      </c>
      <c r="G102" s="3" t="str">
        <f>_xlfn.CONCAT(FIXED(VLOOKUP($A102,Reg1_sf_Robust!$A:$AG,G$1,0),4),VLOOKUP($A102,Reg1_sf_Robust!$A:$AG,G$1+25,0))</f>
        <v>-0.0051</v>
      </c>
      <c r="H102" s="3" t="str">
        <f>_xlfn.CONCAT(FIXED(VLOOKUP($A102,Reg2_sf_last_rob!$A:$AG,H$1,0),4),VLOOKUP($A102,Reg2_sf_last_rob!$A:$AG,H$1+25,0))</f>
        <v>-0.0056</v>
      </c>
      <c r="I102" s="3" t="str">
        <f>_xlfn.CONCAT(FIXED(VLOOKUP($A102,Reg2_sf_first_rob!$A:$AG,I$1,0),4),VLOOKUP($A102,Reg2_sf_first_rob!$A:$AG,I$1+25,0))</f>
        <v>-0.0051</v>
      </c>
    </row>
    <row r="103" spans="1:9" x14ac:dyDescent="0.25">
      <c r="A103">
        <v>98</v>
      </c>
      <c r="D103" s="3" t="str">
        <f>_xlfn.CONCAT("(",FIXED(ABS(VLOOKUP($A102,Reg1_ct_Robust!$A:$AG,D$1+1,0)),4),")")</f>
        <v>(0.0066)</v>
      </c>
      <c r="E103" s="3" t="str">
        <f>_xlfn.CONCAT("(",FIXED(ABS(VLOOKUP($A102,Reg2_ct_last_rob!$A:$AG,E$1+1,0)),4),")")</f>
        <v>(0.0066)</v>
      </c>
      <c r="F103" s="3" t="str">
        <f>_xlfn.CONCAT("(",FIXED(ABS(VLOOKUP($A102,Reg2_ct_first_rob!$A:$AG,F$1+1,0)),4),")")</f>
        <v>(0.0066)</v>
      </c>
      <c r="G103" s="3" t="str">
        <f>_xlfn.CONCAT("(",FIXED(ABS(VLOOKUP($A102,Reg1_sf_Robust!$A:$AG,G$1+1,0)),4),")")</f>
        <v>(0.0073)</v>
      </c>
      <c r="H103" s="3" t="str">
        <f>_xlfn.CONCAT("(",FIXED(ABS(VLOOKUP($A102,Reg2_sf_last_rob!$A:$AG,H$1+1,0)),4),")")</f>
        <v>(0.0073)</v>
      </c>
      <c r="I103" s="3" t="str">
        <f>_xlfn.CONCAT("(",FIXED(ABS(VLOOKUP($A102,Reg2_sf_first_rob!$A:$AG,I$1+1,0)),4),")")</f>
        <v>(0.0071)</v>
      </c>
    </row>
    <row r="104" spans="1:9" x14ac:dyDescent="0.25">
      <c r="A104">
        <v>99</v>
      </c>
      <c r="B104" t="s">
        <v>173</v>
      </c>
      <c r="C104" t="s">
        <v>399</v>
      </c>
      <c r="D104" s="3" t="str">
        <f>_xlfn.CONCAT(FIXED(VLOOKUP($A104,Reg1_ct_Robust!$A:$AG,D$1,0),4),VLOOKUP($A104,Reg1_ct_Robust!$A:$AG,D$1+25,0))</f>
        <v>-0.0022</v>
      </c>
      <c r="E104" s="3" t="str">
        <f>_xlfn.CONCAT(FIXED(VLOOKUP($A104,Reg2_ct_last_rob!$A:$AG,E$1,0),4),VLOOKUP($A104,Reg2_ct_last_rob!$A:$AG,E$1+25,0))</f>
        <v>-0.0022</v>
      </c>
      <c r="F104" s="3" t="str">
        <f>_xlfn.CONCAT(FIXED(VLOOKUP($A104,Reg2_ct_first_rob!$A:$AG,F$1,0),4),VLOOKUP($A104,Reg2_ct_first_rob!$A:$AG,F$1+25,0))</f>
        <v>-0.0022</v>
      </c>
      <c r="G104" s="3" t="str">
        <f>_xlfn.CONCAT(FIXED(VLOOKUP($A104,Reg1_sf_Robust!$A:$AG,G$1,0),4),VLOOKUP($A104,Reg1_sf_Robust!$A:$AG,G$1+25,0))</f>
        <v>0.0241</v>
      </c>
      <c r="H104" s="3" t="str">
        <f>_xlfn.CONCAT(FIXED(VLOOKUP($A104,Reg2_sf_last_rob!$A:$AG,H$1,0),4),VLOOKUP($A104,Reg2_sf_last_rob!$A:$AG,H$1+25,0))</f>
        <v>0.0240</v>
      </c>
      <c r="I104" s="3" t="str">
        <f>_xlfn.CONCAT(FIXED(VLOOKUP($A104,Reg2_sf_first_rob!$A:$AG,I$1,0),4),VLOOKUP($A104,Reg2_sf_first_rob!$A:$AG,I$1+25,0))</f>
        <v>0.0232</v>
      </c>
    </row>
    <row r="105" spans="1:9" x14ac:dyDescent="0.25">
      <c r="A105">
        <v>100</v>
      </c>
      <c r="D105" s="3" t="str">
        <f>_xlfn.CONCAT("(",FIXED(ABS(VLOOKUP($A104,Reg1_ct_Robust!$A:$AG,D$1+1,0)),4),")")</f>
        <v>(0.0009)</v>
      </c>
      <c r="E105" s="3" t="str">
        <f>_xlfn.CONCAT("(",FIXED(ABS(VLOOKUP($A104,Reg2_ct_last_rob!$A:$AG,E$1+1,0)),4),")")</f>
        <v>(0.0009)</v>
      </c>
      <c r="F105" s="3" t="str">
        <f>_xlfn.CONCAT("(",FIXED(ABS(VLOOKUP($A104,Reg2_ct_first_rob!$A:$AG,F$1+1,0)),4),")")</f>
        <v>(0.0010)</v>
      </c>
      <c r="G105" s="3" t="str">
        <f>_xlfn.CONCAT("(",FIXED(ABS(VLOOKUP($A104,Reg1_sf_Robust!$A:$AG,G$1+1,0)),4),")")</f>
        <v>(0.0131)</v>
      </c>
      <c r="H105" s="3" t="str">
        <f>_xlfn.CONCAT("(",FIXED(ABS(VLOOKUP($A104,Reg2_sf_last_rob!$A:$AG,H$1+1,0)),4),")")</f>
        <v>(0.0131)</v>
      </c>
      <c r="I105" s="3" t="str">
        <f>_xlfn.CONCAT("(",FIXED(ABS(VLOOKUP($A104,Reg2_sf_first_rob!$A:$AG,I$1+1,0)),4),")")</f>
        <v>(0.0127)</v>
      </c>
    </row>
    <row r="106" spans="1:9" x14ac:dyDescent="0.25">
      <c r="A106">
        <v>101</v>
      </c>
      <c r="B106" t="s">
        <v>174</v>
      </c>
      <c r="C106" t="s">
        <v>400</v>
      </c>
      <c r="D106" s="3" t="str">
        <f>_xlfn.CONCAT(FIXED(VLOOKUP($A106,Reg1_ct_Robust!$A:$AG,D$1,0),4),VLOOKUP($A106,Reg1_ct_Robust!$A:$AG,D$1+25,0))</f>
        <v>0.0357**</v>
      </c>
      <c r="E106" s="3" t="str">
        <f>_xlfn.CONCAT(FIXED(VLOOKUP($A106,Reg2_ct_last_rob!$A:$AG,E$1,0),4),VLOOKUP($A106,Reg2_ct_last_rob!$A:$AG,E$1+25,0))</f>
        <v>0.0352*</v>
      </c>
      <c r="F106" s="3" t="str">
        <f>_xlfn.CONCAT(FIXED(VLOOKUP($A106,Reg2_ct_first_rob!$A:$AG,F$1,0),4),VLOOKUP($A106,Reg2_ct_first_rob!$A:$AG,F$1+25,0))</f>
        <v>0.0379**</v>
      </c>
      <c r="G106" s="3" t="str">
        <f>_xlfn.CONCAT(FIXED(VLOOKUP($A106,Reg1_sf_Robust!$A:$AG,G$1,0),4),VLOOKUP($A106,Reg1_sf_Robust!$A:$AG,G$1+25,0))</f>
        <v>-0.0075</v>
      </c>
      <c r="H106" s="3" t="str">
        <f>_xlfn.CONCAT(FIXED(VLOOKUP($A106,Reg2_sf_last_rob!$A:$AG,H$1,0),4),VLOOKUP($A106,Reg2_sf_last_rob!$A:$AG,H$1+25,0))</f>
        <v>-0.0073</v>
      </c>
      <c r="I106" s="3" t="str">
        <f>_xlfn.CONCAT(FIXED(VLOOKUP($A106,Reg2_sf_first_rob!$A:$AG,I$1,0),4),VLOOKUP($A106,Reg2_sf_first_rob!$A:$AG,I$1+25,0))</f>
        <v>-0.0077</v>
      </c>
    </row>
    <row r="107" spans="1:9" x14ac:dyDescent="0.25">
      <c r="A107">
        <v>102</v>
      </c>
      <c r="D107" s="3" t="str">
        <f>_xlfn.CONCAT("(",FIXED(ABS(VLOOKUP($A106,Reg1_ct_Robust!$A:$AG,D$1+1,0)),4),")")</f>
        <v>(0.0153)</v>
      </c>
      <c r="E107" s="3" t="str">
        <f>_xlfn.CONCAT("(",FIXED(ABS(VLOOKUP($A106,Reg2_ct_last_rob!$A:$AG,E$1+1,0)),4),")")</f>
        <v>(0.0160)</v>
      </c>
      <c r="F107" s="3" t="str">
        <f>_xlfn.CONCAT("(",FIXED(ABS(VLOOKUP($A106,Reg2_ct_first_rob!$A:$AG,F$1+1,0)),4),")")</f>
        <v>(0.0162)</v>
      </c>
      <c r="G107" s="3" t="str">
        <f>_xlfn.CONCAT("(",FIXED(ABS(VLOOKUP($A106,Reg1_sf_Robust!$A:$AG,G$1+1,0)),4),")")</f>
        <v>(0.0110)</v>
      </c>
      <c r="H107" s="3" t="str">
        <f>_xlfn.CONCAT("(",FIXED(ABS(VLOOKUP($A106,Reg2_sf_last_rob!$A:$AG,H$1+1,0)),4),")")</f>
        <v>(0.0113)</v>
      </c>
      <c r="I107" s="3" t="str">
        <f>_xlfn.CONCAT("(",FIXED(ABS(VLOOKUP($A106,Reg2_sf_first_rob!$A:$AG,I$1+1,0)),4),")")</f>
        <v>(0.0112)</v>
      </c>
    </row>
    <row r="108" spans="1:9" x14ac:dyDescent="0.25">
      <c r="A108">
        <v>103</v>
      </c>
      <c r="B108" t="s">
        <v>175</v>
      </c>
      <c r="C108" t="s">
        <v>401</v>
      </c>
      <c r="D108" s="3" t="str">
        <f>_xlfn.CONCAT(FIXED(VLOOKUP($A108,Reg1_ct_Robust!$A:$AG,D$1,0),4),VLOOKUP($A108,Reg1_ct_Robust!$A:$AG,D$1+25,0))</f>
        <v>0.0255</v>
      </c>
      <c r="E108" s="3" t="str">
        <f>_xlfn.CONCAT(FIXED(VLOOKUP($A108,Reg2_ct_last_rob!$A:$AG,E$1,0),4),VLOOKUP($A108,Reg2_ct_last_rob!$A:$AG,E$1+25,0))</f>
        <v>0.0270</v>
      </c>
      <c r="F108" s="3" t="str">
        <f>_xlfn.CONCAT(FIXED(VLOOKUP($A108,Reg2_ct_first_rob!$A:$AG,F$1,0),4),VLOOKUP($A108,Reg2_ct_first_rob!$A:$AG,F$1+25,0))</f>
        <v>0.0255</v>
      </c>
      <c r="G108" s="3" t="str">
        <f>_xlfn.CONCAT(FIXED(VLOOKUP($A108,Reg1_sf_Robust!$A:$AG,G$1,0),4),VLOOKUP($A108,Reg1_sf_Robust!$A:$AG,G$1+25,0))</f>
        <v>0.0131</v>
      </c>
      <c r="H108" s="3" t="str">
        <f>_xlfn.CONCAT(FIXED(VLOOKUP($A108,Reg2_sf_last_rob!$A:$AG,H$1,0),4),VLOOKUP($A108,Reg2_sf_last_rob!$A:$AG,H$1+25,0))</f>
        <v>0.0133</v>
      </c>
      <c r="I108" s="3" t="str">
        <f>_xlfn.CONCAT(FIXED(VLOOKUP($A108,Reg2_sf_first_rob!$A:$AG,I$1,0),4),VLOOKUP($A108,Reg2_sf_first_rob!$A:$AG,I$1+25,0))</f>
        <v>0.0137*</v>
      </c>
    </row>
    <row r="109" spans="1:9" x14ac:dyDescent="0.25">
      <c r="A109">
        <v>104</v>
      </c>
      <c r="D109" s="3" t="str">
        <f>_xlfn.CONCAT("(",FIXED(ABS(VLOOKUP($A108,Reg1_ct_Robust!$A:$AG,D$1+1,0)),4),")")</f>
        <v>(0.0236)</v>
      </c>
      <c r="E109" s="3" t="str">
        <f>_xlfn.CONCAT("(",FIXED(ABS(VLOOKUP($A108,Reg2_ct_last_rob!$A:$AG,E$1+1,0)),4),")")</f>
        <v>(0.0247)</v>
      </c>
      <c r="F109" s="3" t="str">
        <f>_xlfn.CONCAT("(",FIXED(ABS(VLOOKUP($A108,Reg2_ct_first_rob!$A:$AG,F$1+1,0)),4),")")</f>
        <v>(0.0237)</v>
      </c>
      <c r="G109" s="3" t="str">
        <f>_xlfn.CONCAT("(",FIXED(ABS(VLOOKUP($A108,Reg1_sf_Robust!$A:$AG,G$1+1,0)),4),")")</f>
        <v>(0.0074)</v>
      </c>
      <c r="H109" s="3" t="str">
        <f>_xlfn.CONCAT("(",FIXED(ABS(VLOOKUP($A108,Reg2_sf_last_rob!$A:$AG,H$1+1,0)),4),")")</f>
        <v>(0.0077)</v>
      </c>
      <c r="I109" s="3" t="str">
        <f>_xlfn.CONCAT("(",FIXED(ABS(VLOOKUP($A108,Reg2_sf_first_rob!$A:$AG,I$1+1,0)),4),")")</f>
        <v>(0.0076)</v>
      </c>
    </row>
    <row r="110" spans="1:9" hidden="1" x14ac:dyDescent="0.25">
      <c r="A110">
        <v>105</v>
      </c>
      <c r="B110" t="s">
        <v>53</v>
      </c>
      <c r="D110" s="3" t="str">
        <f>_xlfn.CONCAT(FIXED(VLOOKUP($A110,Reg1_ct_Robust!$A:$AG,D$1,0),4),VLOOKUP($A110,Reg1_ct_Robust!$A:$AG,D$1+25,0))</f>
        <v>0.0000</v>
      </c>
      <c r="E110" s="3" t="str">
        <f>_xlfn.CONCAT(FIXED(VLOOKUP($A110,Reg2_ct_last_rob!$A:$AG,E$1,0),4),VLOOKUP($A110,Reg2_ct_last_rob!$A:$AG,E$1+25,0))</f>
        <v>0.0000</v>
      </c>
      <c r="F110" s="3" t="str">
        <f>_xlfn.CONCAT(FIXED(VLOOKUP($A110,Reg2_ct_first_rob!$A:$AG,F$1,0),4),VLOOKUP($A110,Reg2_ct_first_rob!$A:$AG,F$1+25,0))</f>
        <v>0.0000</v>
      </c>
      <c r="G110" s="3" t="str">
        <f>_xlfn.CONCAT(FIXED(VLOOKUP($A110,Reg1_sf_Robust!$A:$AG,G$1,0),4),VLOOKUP($A110,Reg1_sf_Robust!$A:$AG,G$1+25,0))</f>
        <v>0.0000</v>
      </c>
      <c r="H110" s="3" t="str">
        <f>_xlfn.CONCAT(FIXED(VLOOKUP($A110,Reg2_sf_last_rob!$A:$AG,H$1,0),4),VLOOKUP($A110,Reg2_sf_last_rob!$A:$AG,H$1+25,0))</f>
        <v>0.0000</v>
      </c>
      <c r="I110" s="3" t="str">
        <f>_xlfn.CONCAT(FIXED(VLOOKUP($A110,Reg2_sf_first_rob!$A:$AG,I$1,0),4),VLOOKUP($A110,Reg2_sf_first_rob!$A:$AG,I$1+25,0))</f>
        <v>0.0000</v>
      </c>
    </row>
    <row r="111" spans="1:9" hidden="1" x14ac:dyDescent="0.25">
      <c r="A111">
        <v>106</v>
      </c>
      <c r="D111" s="3" t="str">
        <f>_xlfn.CONCAT("(",FIXED(ABS(VLOOKUP($A110,Reg1_ct_Robust!$A:$AG,D$1+1,0)),4),")")</f>
        <v>(0.0000)</v>
      </c>
      <c r="E111" s="3" t="str">
        <f>_xlfn.CONCAT("(",FIXED(ABS(VLOOKUP($A110,Reg2_ct_last_rob!$A:$AG,E$1+1,0)),4),")")</f>
        <v>(0.0000)</v>
      </c>
      <c r="F111" s="3" t="str">
        <f>_xlfn.CONCAT("(",FIXED(ABS(VLOOKUP($A110,Reg2_ct_first_rob!$A:$AG,F$1+1,0)),4),")")</f>
        <v>(0.0000)</v>
      </c>
      <c r="G111" s="3" t="str">
        <f>_xlfn.CONCAT("(",FIXED(ABS(VLOOKUP($A110,Reg1_sf_Robust!$A:$AG,G$1+1,0)),4),")")</f>
        <v>(0.0000)</v>
      </c>
      <c r="H111" s="3" t="str">
        <f>_xlfn.CONCAT("(",FIXED(ABS(VLOOKUP($A110,Reg2_sf_last_rob!$A:$AG,H$1+1,0)),4),")")</f>
        <v>(0.0000)</v>
      </c>
      <c r="I111" s="3" t="str">
        <f>_xlfn.CONCAT("(",FIXED(ABS(VLOOKUP($A110,Reg2_sf_first_rob!$A:$AG,I$1+1,0)),4),")")</f>
        <v>(0.0000)</v>
      </c>
    </row>
    <row r="112" spans="1:9" hidden="1" x14ac:dyDescent="0.25">
      <c r="A112">
        <v>107</v>
      </c>
      <c r="B112" t="s">
        <v>54</v>
      </c>
      <c r="D112" s="3" t="str">
        <f>_xlfn.CONCAT(FIXED(VLOOKUP($A112,Reg1_ct_Robust!$A:$AG,D$1,0),4),VLOOKUP($A112,Reg1_ct_Robust!$A:$AG,D$1+25,0))</f>
        <v>0.0000***</v>
      </c>
      <c r="E112" s="3" t="str">
        <f>_xlfn.CONCAT(FIXED(VLOOKUP($A112,Reg2_ct_last_rob!$A:$AG,E$1,0),4),VLOOKUP($A112,Reg2_ct_last_rob!$A:$AG,E$1+25,0))</f>
        <v>0.0000**</v>
      </c>
      <c r="F112" s="3" t="str">
        <f>_xlfn.CONCAT(FIXED(VLOOKUP($A112,Reg2_ct_first_rob!$A:$AG,F$1,0),4),VLOOKUP($A112,Reg2_ct_first_rob!$A:$AG,F$1+25,0))</f>
        <v>0.0000***</v>
      </c>
      <c r="G112" s="3" t="str">
        <f>_xlfn.CONCAT(FIXED(VLOOKUP($A112,Reg1_sf_Robust!$A:$AG,G$1,0),4),VLOOKUP($A112,Reg1_sf_Robust!$A:$AG,G$1+25,0))</f>
        <v>0.0000***</v>
      </c>
      <c r="H112" s="3" t="str">
        <f>_xlfn.CONCAT(FIXED(VLOOKUP($A112,Reg2_sf_last_rob!$A:$AG,H$1,0),4),VLOOKUP($A112,Reg2_sf_last_rob!$A:$AG,H$1+25,0))</f>
        <v>0.0000***</v>
      </c>
      <c r="I112" s="3" t="str">
        <f>_xlfn.CONCAT(FIXED(VLOOKUP($A112,Reg2_sf_first_rob!$A:$AG,I$1,0),4),VLOOKUP($A112,Reg2_sf_first_rob!$A:$AG,I$1+25,0))</f>
        <v>0.0000***</v>
      </c>
    </row>
    <row r="113" spans="1:9" hidden="1" x14ac:dyDescent="0.25">
      <c r="A113">
        <v>108</v>
      </c>
      <c r="D113" s="3" t="str">
        <f>_xlfn.CONCAT("(",FIXED(ABS(VLOOKUP($A112,Reg1_ct_Robust!$A:$AG,D$1+1,0)),4),")")</f>
        <v>(0.0000)</v>
      </c>
      <c r="E113" s="3" t="str">
        <f>_xlfn.CONCAT("(",FIXED(ABS(VLOOKUP($A112,Reg2_ct_last_rob!$A:$AG,E$1+1,0)),4),")")</f>
        <v>(0.0000)</v>
      </c>
      <c r="F113" s="3" t="str">
        <f>_xlfn.CONCAT("(",FIXED(ABS(VLOOKUP($A112,Reg2_ct_first_rob!$A:$AG,F$1+1,0)),4),")")</f>
        <v>(0.0000)</v>
      </c>
      <c r="G113" s="3" t="str">
        <f>_xlfn.CONCAT("(",FIXED(ABS(VLOOKUP($A112,Reg1_sf_Robust!$A:$AG,G$1+1,0)),4),")")</f>
        <v>(0.0000)</v>
      </c>
      <c r="H113" s="3" t="str">
        <f>_xlfn.CONCAT("(",FIXED(ABS(VLOOKUP($A112,Reg2_sf_last_rob!$A:$AG,H$1+1,0)),4),")")</f>
        <v>(0.0000)</v>
      </c>
      <c r="I113" s="3" t="str">
        <f>_xlfn.CONCAT("(",FIXED(ABS(VLOOKUP($A112,Reg2_sf_first_rob!$A:$AG,I$1+1,0)),4),")")</f>
        <v>(0.0000)</v>
      </c>
    </row>
    <row r="114" spans="1:9" x14ac:dyDescent="0.25">
      <c r="A114">
        <v>109</v>
      </c>
      <c r="B114" t="s">
        <v>43</v>
      </c>
      <c r="C114" t="s">
        <v>402</v>
      </c>
      <c r="D114" s="3" t="str">
        <f>_xlfn.CONCAT(FIXED(VLOOKUP($A114,Reg1_ct_Robust!$A:$AG,D$1,0),4),VLOOKUP($A114,Reg1_ct_Robust!$A:$AG,D$1+25,0))</f>
        <v>-0.3591*</v>
      </c>
      <c r="E114" s="3" t="str">
        <f>_xlfn.CONCAT(FIXED(VLOOKUP($A114,Reg2_ct_last_rob!$A:$AG,E$1,0),4),VLOOKUP($A114,Reg2_ct_last_rob!$A:$AG,E$1+25,0))</f>
        <v>-0.3830**</v>
      </c>
      <c r="F114" s="3" t="str">
        <f>_xlfn.CONCAT(FIXED(VLOOKUP($A114,Reg2_ct_first_rob!$A:$AG,F$1,0),4),VLOOKUP($A114,Reg2_ct_first_rob!$A:$AG,F$1+25,0))</f>
        <v>-0.3934*</v>
      </c>
      <c r="G114" s="3" t="str">
        <f>_xlfn.CONCAT(FIXED(VLOOKUP($A114,Reg1_sf_Robust!$A:$AG,G$1,0),4),VLOOKUP($A114,Reg1_sf_Robust!$A:$AG,G$1+25,0))</f>
        <v>-0.2495</v>
      </c>
      <c r="H114" s="3" t="str">
        <f>_xlfn.CONCAT(FIXED(VLOOKUP($A114,Reg2_sf_last_rob!$A:$AG,H$1,0),4),VLOOKUP($A114,Reg2_sf_last_rob!$A:$AG,H$1+25,0))</f>
        <v>-0.2476</v>
      </c>
      <c r="I114" s="3" t="str">
        <f>_xlfn.CONCAT(FIXED(VLOOKUP($A114,Reg2_sf_first_rob!$A:$AG,I$1,0),4),VLOOKUP($A114,Reg2_sf_first_rob!$A:$AG,I$1+25,0))</f>
        <v>-0.2976</v>
      </c>
    </row>
    <row r="115" spans="1:9" x14ac:dyDescent="0.25">
      <c r="A115">
        <v>110</v>
      </c>
      <c r="D115" s="3" t="str">
        <f>_xlfn.CONCAT("(",FIXED(ABS(VLOOKUP($A114,Reg1_ct_Robust!$A:$AG,D$1+1,0)),4),")")</f>
        <v>(0.1477)</v>
      </c>
      <c r="E115" s="3" t="str">
        <f>_xlfn.CONCAT("(",FIXED(ABS(VLOOKUP($A114,Reg2_ct_last_rob!$A:$AG,E$1+1,0)),4),")")</f>
        <v>(0.1423)</v>
      </c>
      <c r="F115" s="3" t="str">
        <f>_xlfn.CONCAT("(",FIXED(ABS(VLOOKUP($A114,Reg2_ct_first_rob!$A:$AG,F$1+1,0)),4),")")</f>
        <v>(0.1581)</v>
      </c>
      <c r="G115" s="3" t="str">
        <f>_xlfn.CONCAT("(",FIXED(ABS(VLOOKUP($A114,Reg1_sf_Robust!$A:$AG,G$1+1,0)),4),")")</f>
        <v>(0.2224)</v>
      </c>
      <c r="H115" s="3" t="str">
        <f>_xlfn.CONCAT("(",FIXED(ABS(VLOOKUP($A114,Reg2_sf_last_rob!$A:$AG,H$1+1,0)),4),")")</f>
        <v>(0.2338)</v>
      </c>
      <c r="I115" s="3" t="str">
        <f>_xlfn.CONCAT("(",FIXED(ABS(VLOOKUP($A114,Reg2_sf_first_rob!$A:$AG,I$1+1,0)),4),")")</f>
        <v>(0.2357)</v>
      </c>
    </row>
    <row r="116" spans="1:9" x14ac:dyDescent="0.25">
      <c r="A116">
        <v>111</v>
      </c>
      <c r="B116" t="s">
        <v>44</v>
      </c>
      <c r="C116" t="s">
        <v>403</v>
      </c>
      <c r="D116" s="3" t="str">
        <f>_xlfn.CONCAT(FIXED(VLOOKUP($A116,Reg1_ct_Robust!$A:$AG,D$1,0),4),VLOOKUP($A116,Reg1_ct_Robust!$A:$AG,D$1+25,0))</f>
        <v>-0.0928*</v>
      </c>
      <c r="E116" s="3" t="str">
        <f>_xlfn.CONCAT(FIXED(VLOOKUP($A116,Reg2_ct_last_rob!$A:$AG,E$1,0),4),VLOOKUP($A116,Reg2_ct_last_rob!$A:$AG,E$1+25,0))</f>
        <v>-0.1126**</v>
      </c>
      <c r="F116" s="3" t="str">
        <f>_xlfn.CONCAT(FIXED(VLOOKUP($A116,Reg2_ct_first_rob!$A:$AG,F$1,0),4),VLOOKUP($A116,Reg2_ct_first_rob!$A:$AG,F$1+25,0))</f>
        <v>-0.0947*</v>
      </c>
      <c r="G116" s="3" t="str">
        <f>_xlfn.CONCAT(FIXED(VLOOKUP($A116,Reg1_sf_Robust!$A:$AG,G$1,0),4),VLOOKUP($A116,Reg1_sf_Robust!$A:$AG,G$1+25,0))</f>
        <v>-0.1817**</v>
      </c>
      <c r="H116" s="3" t="str">
        <f>_xlfn.CONCAT(FIXED(VLOOKUP($A116,Reg2_sf_last_rob!$A:$AG,H$1,0),4),VLOOKUP($A116,Reg2_sf_last_rob!$A:$AG,H$1+25,0))</f>
        <v>-0.1744**</v>
      </c>
      <c r="I116" s="3" t="str">
        <f>_xlfn.CONCAT(FIXED(VLOOKUP($A116,Reg2_sf_first_rob!$A:$AG,I$1,0),4),VLOOKUP($A116,Reg2_sf_first_rob!$A:$AG,I$1+25,0))</f>
        <v>-0.2002***</v>
      </c>
    </row>
    <row r="117" spans="1:9" x14ac:dyDescent="0.25">
      <c r="A117">
        <v>112</v>
      </c>
      <c r="D117" s="3" t="str">
        <f>_xlfn.CONCAT("(",FIXED(ABS(VLOOKUP($A116,Reg1_ct_Robust!$A:$AG,D$1+1,0)),4),")")</f>
        <v>(0.0433)</v>
      </c>
      <c r="E117" s="3" t="str">
        <f>_xlfn.CONCAT("(",FIXED(ABS(VLOOKUP($A116,Reg2_ct_last_rob!$A:$AG,E$1+1,0)),4),")")</f>
        <v>(0.0408)</v>
      </c>
      <c r="F117" s="3" t="str">
        <f>_xlfn.CONCAT("(",FIXED(ABS(VLOOKUP($A116,Reg2_ct_first_rob!$A:$AG,F$1+1,0)),4),")")</f>
        <v>(0.0442)</v>
      </c>
      <c r="G117" s="3" t="str">
        <f>_xlfn.CONCAT("(",FIXED(ABS(VLOOKUP($A116,Reg1_sf_Robust!$A:$AG,G$1+1,0)),4),")")</f>
        <v>(0.0611)</v>
      </c>
      <c r="H117" s="3" t="str">
        <f>_xlfn.CONCAT("(",FIXED(ABS(VLOOKUP($A116,Reg2_sf_last_rob!$A:$AG,H$1+1,0)),4),")")</f>
        <v>(0.0628)</v>
      </c>
      <c r="I117" s="3" t="str">
        <f>_xlfn.CONCAT("(",FIXED(ABS(VLOOKUP($A116,Reg2_sf_first_rob!$A:$AG,I$1+1,0)),4),")")</f>
        <v>(0.0615)</v>
      </c>
    </row>
    <row r="118" spans="1:9" x14ac:dyDescent="0.25">
      <c r="A118">
        <v>113</v>
      </c>
      <c r="B118" t="s">
        <v>45</v>
      </c>
      <c r="C118" t="s">
        <v>404</v>
      </c>
      <c r="D118" s="3" t="str">
        <f>_xlfn.CONCAT(FIXED(VLOOKUP($A118,Reg1_ct_Robust!$A:$AG,D$1,0),4),VLOOKUP($A118,Reg1_ct_Robust!$A:$AG,D$1+25,0))</f>
        <v>-0.1670</v>
      </c>
      <c r="E118" s="3" t="str">
        <f>_xlfn.CONCAT(FIXED(VLOOKUP($A118,Reg2_ct_last_rob!$A:$AG,E$1,0),4),VLOOKUP($A118,Reg2_ct_last_rob!$A:$AG,E$1+25,0))</f>
        <v>-0.1783</v>
      </c>
      <c r="F118" s="3" t="str">
        <f>_xlfn.CONCAT(FIXED(VLOOKUP($A118,Reg2_ct_first_rob!$A:$AG,F$1,0),4),VLOOKUP($A118,Reg2_ct_first_rob!$A:$AG,F$1+25,0))</f>
        <v>-0.1594</v>
      </c>
      <c r="G118" s="3" t="str">
        <f>_xlfn.CONCAT(FIXED(VLOOKUP($A118,Reg1_sf_Robust!$A:$AG,G$1,0),4),VLOOKUP($A118,Reg1_sf_Robust!$A:$AG,G$1+25,0))</f>
        <v>-0.6221***</v>
      </c>
      <c r="H118" s="3" t="str">
        <f>_xlfn.CONCAT(FIXED(VLOOKUP($A118,Reg2_sf_last_rob!$A:$AG,H$1,0),4),VLOOKUP($A118,Reg2_sf_last_rob!$A:$AG,H$1+25,0))</f>
        <v>-0.6267***</v>
      </c>
      <c r="I118" s="3" t="str">
        <f>_xlfn.CONCAT(FIXED(VLOOKUP($A118,Reg2_sf_first_rob!$A:$AG,I$1,0),4),VLOOKUP($A118,Reg2_sf_first_rob!$A:$AG,I$1+25,0))</f>
        <v>-0.6420***</v>
      </c>
    </row>
    <row r="119" spans="1:9" x14ac:dyDescent="0.25">
      <c r="A119">
        <v>114</v>
      </c>
      <c r="D119" s="3" t="str">
        <f>_xlfn.CONCAT("(",FIXED(ABS(VLOOKUP($A118,Reg1_ct_Robust!$A:$AG,D$1+1,0)),4),")")</f>
        <v>(0.1074)</v>
      </c>
      <c r="E119" s="3" t="str">
        <f>_xlfn.CONCAT("(",FIXED(ABS(VLOOKUP($A118,Reg2_ct_last_rob!$A:$AG,E$1+1,0)),4),")")</f>
        <v>(0.1094)</v>
      </c>
      <c r="F119" s="3" t="str">
        <f>_xlfn.CONCAT("(",FIXED(ABS(VLOOKUP($A118,Reg2_ct_first_rob!$A:$AG,F$1+1,0)),4),")")</f>
        <v>(0.0991)</v>
      </c>
      <c r="G119" s="3" t="str">
        <f>_xlfn.CONCAT("(",FIXED(ABS(VLOOKUP($A118,Reg1_sf_Robust!$A:$AG,G$1+1,0)),4),")")</f>
        <v>(0.1554)</v>
      </c>
      <c r="H119" s="3" t="str">
        <f>_xlfn.CONCAT("(",FIXED(ABS(VLOOKUP($A118,Reg2_sf_last_rob!$A:$AG,H$1+1,0)),4),")")</f>
        <v>(0.1580)</v>
      </c>
      <c r="I119" s="3" t="str">
        <f>_xlfn.CONCAT("(",FIXED(ABS(VLOOKUP($A118,Reg2_sf_first_rob!$A:$AG,I$1+1,0)),4),")")</f>
        <v>(0.1501)</v>
      </c>
    </row>
    <row r="120" spans="1:9" x14ac:dyDescent="0.25">
      <c r="A120">
        <v>115</v>
      </c>
      <c r="B120" t="s">
        <v>48</v>
      </c>
      <c r="C120" t="s">
        <v>405</v>
      </c>
      <c r="D120" s="3" t="str">
        <f>_xlfn.CONCAT(FIXED(VLOOKUP($A120,Reg1_ct_Robust!$A:$AG,D$1,0),4),VLOOKUP($A120,Reg1_ct_Robust!$A:$AG,D$1+25,0))</f>
        <v>0.2709**</v>
      </c>
      <c r="E120" s="3" t="str">
        <f>_xlfn.CONCAT(FIXED(VLOOKUP($A120,Reg2_ct_last_rob!$A:$AG,E$1,0),4),VLOOKUP($A120,Reg2_ct_last_rob!$A:$AG,E$1+25,0))</f>
        <v>0.2710**</v>
      </c>
      <c r="F120" s="3" t="str">
        <f>_xlfn.CONCAT(FIXED(VLOOKUP($A120,Reg2_ct_first_rob!$A:$AG,F$1,0),4),VLOOKUP($A120,Reg2_ct_first_rob!$A:$AG,F$1+25,0))</f>
        <v>0.2835**</v>
      </c>
      <c r="G120" s="3" t="str">
        <f>_xlfn.CONCAT(FIXED(VLOOKUP($A120,Reg1_sf_Robust!$A:$AG,G$1,0),4),VLOOKUP($A120,Reg1_sf_Robust!$A:$AG,G$1+25,0))</f>
        <v>0.0839</v>
      </c>
      <c r="H120" s="3" t="str">
        <f>_xlfn.CONCAT(FIXED(VLOOKUP($A120,Reg2_sf_last_rob!$A:$AG,H$1,0),4),VLOOKUP($A120,Reg2_sf_last_rob!$A:$AG,H$1+25,0))</f>
        <v>0.0859</v>
      </c>
      <c r="I120" s="3" t="str">
        <f>_xlfn.CONCAT(FIXED(VLOOKUP($A120,Reg2_sf_first_rob!$A:$AG,I$1,0),4),VLOOKUP($A120,Reg2_sf_first_rob!$A:$AG,I$1+25,0))</f>
        <v>0.0859*</v>
      </c>
    </row>
    <row r="121" spans="1:9" x14ac:dyDescent="0.25">
      <c r="A121">
        <v>116</v>
      </c>
      <c r="D121" s="3" t="str">
        <f>_xlfn.CONCAT("(",FIXED(ABS(VLOOKUP($A120,Reg1_ct_Robust!$A:$AG,D$1+1,0)),4),")")</f>
        <v>(0.0969)</v>
      </c>
      <c r="E121" s="3" t="str">
        <f>_xlfn.CONCAT("(",FIXED(ABS(VLOOKUP($A120,Reg2_ct_last_rob!$A:$AG,E$1+1,0)),4),")")</f>
        <v>(0.0991)</v>
      </c>
      <c r="F121" s="3" t="str">
        <f>_xlfn.CONCAT("(",FIXED(ABS(VLOOKUP($A120,Reg2_ct_first_rob!$A:$AG,F$1+1,0)),4),")")</f>
        <v>(0.1001)</v>
      </c>
      <c r="G121" s="3" t="str">
        <f>_xlfn.CONCAT("(",FIXED(ABS(VLOOKUP($A120,Reg1_sf_Robust!$A:$AG,G$1+1,0)),4),")")</f>
        <v>(0.0496)</v>
      </c>
      <c r="H121" s="3" t="str">
        <f>_xlfn.CONCAT("(",FIXED(ABS(VLOOKUP($A120,Reg2_sf_last_rob!$A:$AG,H$1+1,0)),4),")")</f>
        <v>(0.0515)</v>
      </c>
      <c r="I121" s="3" t="str">
        <f>_xlfn.CONCAT("(",FIXED(ABS(VLOOKUP($A120,Reg2_sf_first_rob!$A:$AG,I$1+1,0)),4),")")</f>
        <v>(0.0469)</v>
      </c>
    </row>
    <row r="122" spans="1:9" x14ac:dyDescent="0.25">
      <c r="A122">
        <v>117</v>
      </c>
      <c r="B122" t="s">
        <v>46</v>
      </c>
      <c r="C122" t="s">
        <v>406</v>
      </c>
      <c r="D122" s="3" t="str">
        <f>_xlfn.CONCAT(FIXED(VLOOKUP($A122,Reg1_ct_Robust!$A:$AG,D$1,0),4),VLOOKUP($A122,Reg1_ct_Robust!$A:$AG,D$1+25,0))</f>
        <v>-0.5477***</v>
      </c>
      <c r="E122" s="3" t="str">
        <f>_xlfn.CONCAT(FIXED(VLOOKUP($A122,Reg2_ct_last_rob!$A:$AG,E$1,0),4),VLOOKUP($A122,Reg2_ct_last_rob!$A:$AG,E$1+25,0))</f>
        <v>-0.5436***</v>
      </c>
      <c r="F122" s="3" t="str">
        <f>_xlfn.CONCAT(FIXED(VLOOKUP($A122,Reg2_ct_first_rob!$A:$AG,F$1,0),4),VLOOKUP($A122,Reg2_ct_first_rob!$A:$AG,F$1+25,0))</f>
        <v>-0.5530***</v>
      </c>
      <c r="G122" s="3" t="str">
        <f>_xlfn.CONCAT(FIXED(VLOOKUP($A122,Reg1_sf_Robust!$A:$AG,G$1,0),4),VLOOKUP($A122,Reg1_sf_Robust!$A:$AG,G$1+25,0))</f>
        <v>-0.7463***</v>
      </c>
      <c r="H122" s="3" t="str">
        <f>_xlfn.CONCAT(FIXED(VLOOKUP($A122,Reg2_sf_last_rob!$A:$AG,H$1,0),4),VLOOKUP($A122,Reg2_sf_last_rob!$A:$AG,H$1+25,0))</f>
        <v>-0.7529***</v>
      </c>
      <c r="I122" s="3" t="str">
        <f>_xlfn.CONCAT(FIXED(VLOOKUP($A122,Reg2_sf_first_rob!$A:$AG,I$1,0),4),VLOOKUP($A122,Reg2_sf_first_rob!$A:$AG,I$1+25,0))</f>
        <v>-0.7228***</v>
      </c>
    </row>
    <row r="123" spans="1:9" x14ac:dyDescent="0.25">
      <c r="A123">
        <v>118</v>
      </c>
      <c r="D123" s="3" t="str">
        <f>_xlfn.CONCAT("(",FIXED(ABS(VLOOKUP($A122,Reg1_ct_Robust!$A:$AG,D$1+1,0)),4),")")</f>
        <v>(0.0996)</v>
      </c>
      <c r="E123" s="3" t="str">
        <f>_xlfn.CONCAT("(",FIXED(ABS(VLOOKUP($A122,Reg2_ct_last_rob!$A:$AG,E$1+1,0)),4),")")</f>
        <v>(0.1050)</v>
      </c>
      <c r="F123" s="3" t="str">
        <f>_xlfn.CONCAT("(",FIXED(ABS(VLOOKUP($A122,Reg2_ct_first_rob!$A:$AG,F$1+1,0)),4),")")</f>
        <v>(0.1015)</v>
      </c>
      <c r="G123" s="3" t="str">
        <f>_xlfn.CONCAT("(",FIXED(ABS(VLOOKUP($A122,Reg1_sf_Robust!$A:$AG,G$1+1,0)),4),")")</f>
        <v>(0.1131)</v>
      </c>
      <c r="H123" s="3" t="str">
        <f>_xlfn.CONCAT("(",FIXED(ABS(VLOOKUP($A122,Reg2_sf_last_rob!$A:$AG,H$1+1,0)),4),")")</f>
        <v>(0.1141)</v>
      </c>
      <c r="I123" s="3" t="str">
        <f>_xlfn.CONCAT("(",FIXED(ABS(VLOOKUP($A122,Reg2_sf_first_rob!$A:$AG,I$1+1,0)),4),")")</f>
        <v>(0.1109)</v>
      </c>
    </row>
    <row r="124" spans="1:9" x14ac:dyDescent="0.25">
      <c r="A124">
        <v>119</v>
      </c>
      <c r="B124" t="s">
        <v>264</v>
      </c>
      <c r="C124" s="25" t="s">
        <v>264</v>
      </c>
      <c r="D124" s="3" t="str">
        <f>_xlfn.CONCAT(FIXED(VLOOKUP($A124,Reg1_ct_Robust!$A:$AG,D$1,0),4),VLOOKUP($A124,Reg1_ct_Robust!$A:$AG,D$1+25,0))</f>
        <v>2.2691</v>
      </c>
      <c r="E124" s="3" t="str">
        <f>_xlfn.CONCAT(FIXED(VLOOKUP($A124,Reg2_ct_last_rob!$A:$AG,E$1,0),4),VLOOKUP($A124,Reg2_ct_last_rob!$A:$AG,E$1+25,0))</f>
        <v>3.8261</v>
      </c>
      <c r="F124" s="3" t="str">
        <f>_xlfn.CONCAT(FIXED(VLOOKUP($A124,Reg2_ct_first_rob!$A:$AG,F$1,0),4),VLOOKUP($A124,Reg2_ct_first_rob!$A:$AG,F$1+25,0))</f>
        <v>1.5708</v>
      </c>
      <c r="G124" s="3" t="str">
        <f>_xlfn.CONCAT(FIXED(VLOOKUP($A124,Reg1_sf_Robust!$A:$AG,G$1,0),4),VLOOKUP($A124,Reg1_sf_Robust!$A:$AG,G$1+25,0))</f>
        <v>0.1515</v>
      </c>
      <c r="H124" s="3" t="str">
        <f>_xlfn.CONCAT(FIXED(VLOOKUP($A124,Reg2_sf_last_rob!$A:$AG,H$1,0),4),VLOOKUP($A124,Reg2_sf_last_rob!$A:$AG,H$1+25,0))</f>
        <v>-0.8822</v>
      </c>
      <c r="I124" s="3" t="str">
        <f>_xlfn.CONCAT(FIXED(VLOOKUP($A124,Reg2_sf_first_rob!$A:$AG,I$1,0),4),VLOOKUP($A124,Reg2_sf_first_rob!$A:$AG,I$1+25,0))</f>
        <v>0.4830</v>
      </c>
    </row>
    <row r="125" spans="1:9" x14ac:dyDescent="0.25">
      <c r="A125">
        <v>120</v>
      </c>
      <c r="C125" s="16"/>
      <c r="D125" s="3" t="str">
        <f>_xlfn.CONCAT("(",FIXED(ABS(VLOOKUP($A124,Reg1_ct_Robust!$A:$AG,D$1+1,0)),4),")")</f>
        <v>(13.9807)</v>
      </c>
      <c r="E125" s="3" t="str">
        <f>_xlfn.CONCAT("(",FIXED(ABS(VLOOKUP($A124,Reg2_ct_last_rob!$A:$AG,E$1+1,0)),4),")")</f>
        <v>(14.0898)</v>
      </c>
      <c r="F125" s="3" t="str">
        <f>_xlfn.CONCAT("(",FIXED(ABS(VLOOKUP($A124,Reg2_ct_first_rob!$A:$AG,F$1+1,0)),4),")")</f>
        <v>(14.1194)</v>
      </c>
      <c r="G125" s="3" t="str">
        <f>_xlfn.CONCAT("(",FIXED(ABS(VLOOKUP($A124,Reg1_sf_Robust!$A:$AG,G$1+1,0)),4),")")</f>
        <v>(15.3986)</v>
      </c>
      <c r="H125" s="3" t="str">
        <f>_xlfn.CONCAT("(",FIXED(ABS(VLOOKUP($A124,Reg2_sf_last_rob!$A:$AG,H$1+1,0)),4),")")</f>
        <v>(15.6296)</v>
      </c>
      <c r="I125" s="3" t="str">
        <f>_xlfn.CONCAT("(",FIXED(ABS(VLOOKUP($A124,Reg2_sf_first_rob!$A:$AG,I$1+1,0)),4),")")</f>
        <v>(15.2820)</v>
      </c>
    </row>
    <row r="126" spans="1:9" x14ac:dyDescent="0.25">
      <c r="A126">
        <v>120</v>
      </c>
      <c r="B126" t="s">
        <v>364</v>
      </c>
      <c r="C126" t="s">
        <v>364</v>
      </c>
      <c r="D126" s="3" t="s">
        <v>317</v>
      </c>
      <c r="E126" s="3" t="s">
        <v>317</v>
      </c>
      <c r="F126" s="3" t="s">
        <v>317</v>
      </c>
      <c r="G126" s="3" t="s">
        <v>317</v>
      </c>
      <c r="H126" s="3" t="s">
        <v>317</v>
      </c>
      <c r="I126" s="3" t="s">
        <v>317</v>
      </c>
    </row>
    <row r="127" spans="1:9" x14ac:dyDescent="0.25">
      <c r="A127">
        <v>121</v>
      </c>
      <c r="B127" t="s">
        <v>365</v>
      </c>
      <c r="C127" s="18" t="s">
        <v>365</v>
      </c>
      <c r="D127" s="16" t="s">
        <v>317</v>
      </c>
      <c r="E127" s="16" t="s">
        <v>316</v>
      </c>
      <c r="F127" s="16" t="s">
        <v>316</v>
      </c>
      <c r="G127" s="16" t="s">
        <v>317</v>
      </c>
      <c r="H127" s="16" t="s">
        <v>317</v>
      </c>
      <c r="I127" s="16" t="s">
        <v>317</v>
      </c>
    </row>
    <row r="128" spans="1:9" x14ac:dyDescent="0.25">
      <c r="A128">
        <v>123</v>
      </c>
      <c r="B128" t="s">
        <v>187</v>
      </c>
      <c r="C128" t="s">
        <v>187</v>
      </c>
      <c r="D128" s="3">
        <v>27394</v>
      </c>
      <c r="E128" s="3">
        <v>23328</v>
      </c>
      <c r="F128" s="3">
        <v>23328</v>
      </c>
      <c r="G128" s="3">
        <v>22962</v>
      </c>
      <c r="H128" s="3">
        <v>19915</v>
      </c>
      <c r="I128" s="3">
        <v>19906</v>
      </c>
    </row>
    <row r="129" spans="1:9" ht="17.25" x14ac:dyDescent="0.25">
      <c r="A129">
        <v>124</v>
      </c>
      <c r="C129" t="s">
        <v>277</v>
      </c>
      <c r="D129" s="3">
        <v>0.81200000000000006</v>
      </c>
      <c r="E129" s="3">
        <v>0.81200000000000006</v>
      </c>
      <c r="F129" s="3">
        <v>0.81399999999999995</v>
      </c>
      <c r="G129" s="3">
        <v>0.79500000000000004</v>
      </c>
      <c r="H129" s="3">
        <v>0.79110000000000003</v>
      </c>
      <c r="I129" s="3">
        <v>0.79159999999999997</v>
      </c>
    </row>
    <row r="130" spans="1:9" ht="17.25" x14ac:dyDescent="0.25">
      <c r="A130">
        <v>125</v>
      </c>
      <c r="C130" t="s">
        <v>278</v>
      </c>
      <c r="D130" s="3">
        <v>0.81100000000000005</v>
      </c>
      <c r="E130" s="3">
        <v>0.81200000000000006</v>
      </c>
      <c r="F130" s="3">
        <v>0.81299999999999994</v>
      </c>
      <c r="G130" s="3">
        <v>0.79400000000000004</v>
      </c>
      <c r="H130" s="3">
        <v>0.79049999999999998</v>
      </c>
      <c r="I130" s="3">
        <v>0.79100000000000004</v>
      </c>
    </row>
    <row r="131" spans="1:9" x14ac:dyDescent="0.25">
      <c r="A131">
        <v>126</v>
      </c>
      <c r="C131" t="s">
        <v>535</v>
      </c>
    </row>
    <row r="132" spans="1:9" x14ac:dyDescent="0.25">
      <c r="A132">
        <v>127</v>
      </c>
      <c r="C132" t="s">
        <v>536</v>
      </c>
    </row>
    <row r="133" spans="1:9" x14ac:dyDescent="0.25">
      <c r="A133">
        <v>128</v>
      </c>
      <c r="B133" t="s">
        <v>192</v>
      </c>
    </row>
    <row r="134" spans="1:9" x14ac:dyDescent="0.25">
      <c r="B134" t="s">
        <v>269</v>
      </c>
    </row>
  </sheetData>
  <mergeCells count="22">
    <mergeCell ref="C2:I2"/>
    <mergeCell ref="C3:I3"/>
    <mergeCell ref="D4:F4"/>
    <mergeCell ref="D60:D61"/>
    <mergeCell ref="E60:E61"/>
    <mergeCell ref="F60:F61"/>
    <mergeCell ref="H52:H53"/>
    <mergeCell ref="H54:H55"/>
    <mergeCell ref="H56:H57"/>
    <mergeCell ref="H58:H59"/>
    <mergeCell ref="I52:I53"/>
    <mergeCell ref="I54:I55"/>
    <mergeCell ref="I56:I57"/>
    <mergeCell ref="I58:I59"/>
    <mergeCell ref="H62:H63"/>
    <mergeCell ref="I62:I63"/>
    <mergeCell ref="G4:I4"/>
    <mergeCell ref="G62:G63"/>
    <mergeCell ref="G58:G59"/>
    <mergeCell ref="G56:G57"/>
    <mergeCell ref="G54:G55"/>
    <mergeCell ref="G52:G5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</vt:i4>
      </vt:variant>
    </vt:vector>
  </HeadingPairs>
  <TitlesOfParts>
    <vt:vector size="29" baseType="lpstr">
      <vt:lpstr>Full Sample-No Sub</vt:lpstr>
      <vt:lpstr>Full Sample-Townhouse</vt:lpstr>
      <vt:lpstr>Full Sample-Single Family</vt:lpstr>
      <vt:lpstr>Small Sample 1-No Sub</vt:lpstr>
      <vt:lpstr>Small Sample 1-Townhouse</vt:lpstr>
      <vt:lpstr>Small Sample 1-Single Family</vt:lpstr>
      <vt:lpstr>Small Sample 2-No Sub</vt:lpstr>
      <vt:lpstr>Small Sample 2-Townhouse</vt:lpstr>
      <vt:lpstr>Small Sample 2-Single Family</vt:lpstr>
      <vt:lpstr>Table One</vt:lpstr>
      <vt:lpstr>Table Two (a)</vt:lpstr>
      <vt:lpstr>Table One Townhouse</vt:lpstr>
      <vt:lpstr>Table One Single Family</vt:lpstr>
      <vt:lpstr>Reg1</vt:lpstr>
      <vt:lpstr>Reg1_Robust</vt:lpstr>
      <vt:lpstr>Table 3</vt:lpstr>
      <vt:lpstr>Reg1_ct</vt:lpstr>
      <vt:lpstr>Reg1_ct_Robust</vt:lpstr>
      <vt:lpstr>Reg2_ct_last_rob</vt:lpstr>
      <vt:lpstr>Reg2_ct_first_rob</vt:lpstr>
      <vt:lpstr>Reg1_sf</vt:lpstr>
      <vt:lpstr>Reg1_sf_Robust</vt:lpstr>
      <vt:lpstr>Reg2_sf_first_rob</vt:lpstr>
      <vt:lpstr>Reg2_sf_last_rob</vt:lpstr>
      <vt:lpstr>Table Four</vt:lpstr>
      <vt:lpstr>'Table One'!Print_Area</vt:lpstr>
      <vt:lpstr>'Table One Single Family'!Print_Area</vt:lpstr>
      <vt:lpstr>'Table One Townhouse'!Print_Area</vt:lpstr>
      <vt:lpstr>'Table Two (a)'!Print_Area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Groves</dc:creator>
  <cp:lastModifiedBy>Jeremy Groves</cp:lastModifiedBy>
  <cp:lastPrinted>2023-07-11T16:13:57Z</cp:lastPrinted>
  <dcterms:created xsi:type="dcterms:W3CDTF">2023-06-29T19:59:47Z</dcterms:created>
  <dcterms:modified xsi:type="dcterms:W3CDTF">2023-07-31T20:38:07Z</dcterms:modified>
</cp:coreProperties>
</file>