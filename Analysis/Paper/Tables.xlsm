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Projects\PY_Housing_Covid\Analysis\Paper\"/>
    </mc:Choice>
  </mc:AlternateContent>
  <xr:revisionPtr revIDLastSave="0" documentId="13_ncr:1_{B0D719E9-352B-402A-9F1B-20424DB61F59}" xr6:coauthVersionLast="47" xr6:coauthVersionMax="47" xr10:uidLastSave="{00000000-0000-0000-0000-000000000000}"/>
  <bookViews>
    <workbookView xWindow="-120" yWindow="-120" windowWidth="29040" windowHeight="15990" firstSheet="9" activeTab="15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Sheet5" sheetId="6" r:id="rId17"/>
    <sheet name="Table Two (2)" sheetId="7" r:id="rId18"/>
    <sheet name="Sheet7" sheetId="8" r:id="rId19"/>
    <sheet name="Table Two (3)" sheetId="9" r:id="rId20"/>
    <sheet name="Sheet10" sheetId="11" r:id="rId21"/>
    <sheet name="Table Two (4)" sheetId="12" r:id="rId22"/>
    <sheet name="Table Three" sheetId="13" r:id="rId23"/>
    <sheet name="mod6a" sheetId="14" r:id="rId24"/>
    <sheet name="impacts6a" sheetId="15" r:id="rId25"/>
    <sheet name="mod6b" sheetId="16" r:id="rId26"/>
    <sheet name="impacts6b" sheetId="17" r:id="rId27"/>
    <sheet name="Table 4" sheetId="18" r:id="rId28"/>
  </sheets>
  <definedNames>
    <definedName name="_xlnm.Print_Area" localSheetId="9">'Table One'!$A$2:$Z$76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9" l="1"/>
  <c r="I8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89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33" i="29"/>
  <c r="J7" i="29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101" i="29"/>
  <c r="J102" i="29"/>
  <c r="J103" i="29"/>
  <c r="J104" i="29"/>
  <c r="J105" i="29"/>
  <c r="J106" i="29"/>
  <c r="J107" i="29"/>
  <c r="J108" i="29"/>
  <c r="J109" i="29"/>
  <c r="J110" i="29"/>
  <c r="J111" i="29"/>
  <c r="J112" i="29"/>
  <c r="J113" i="29"/>
  <c r="J114" i="29"/>
  <c r="J115" i="29"/>
  <c r="J116" i="29"/>
  <c r="J117" i="29"/>
  <c r="J118" i="29"/>
  <c r="J119" i="29"/>
  <c r="J120" i="29"/>
  <c r="J121" i="29"/>
  <c r="J122" i="29"/>
  <c r="I122" i="29"/>
  <c r="I5" i="29"/>
  <c r="J5" i="29"/>
  <c r="AB3" i="30"/>
  <c r="AC3" i="30"/>
  <c r="AD3" i="30"/>
  <c r="AE3" i="30"/>
  <c r="AF3" i="30"/>
  <c r="AG3" i="30"/>
  <c r="AB4" i="30"/>
  <c r="AC4" i="30"/>
  <c r="AD4" i="30"/>
  <c r="AE4" i="30"/>
  <c r="AF4" i="30"/>
  <c r="AG4" i="30"/>
  <c r="AB5" i="30"/>
  <c r="AC5" i="30"/>
  <c r="AD5" i="30"/>
  <c r="AE5" i="30"/>
  <c r="AF5" i="30"/>
  <c r="AG5" i="30"/>
  <c r="AB6" i="30"/>
  <c r="AC6" i="30"/>
  <c r="AD6" i="30"/>
  <c r="AE6" i="30"/>
  <c r="AF6" i="30"/>
  <c r="AG6" i="30"/>
  <c r="AB7" i="30"/>
  <c r="AC7" i="30"/>
  <c r="AD7" i="30"/>
  <c r="AE7" i="30"/>
  <c r="AF7" i="30"/>
  <c r="AG7" i="30"/>
  <c r="AB8" i="30"/>
  <c r="AC8" i="30"/>
  <c r="AD8" i="30"/>
  <c r="AE8" i="30"/>
  <c r="AF8" i="30"/>
  <c r="AG8" i="30"/>
  <c r="AB9" i="30"/>
  <c r="AC9" i="30"/>
  <c r="AD9" i="30"/>
  <c r="AE9" i="30"/>
  <c r="AF9" i="30"/>
  <c r="AG9" i="30"/>
  <c r="AB10" i="30"/>
  <c r="AC10" i="30"/>
  <c r="AD10" i="30"/>
  <c r="AE10" i="30"/>
  <c r="AF10" i="30"/>
  <c r="AG10" i="30"/>
  <c r="AB11" i="30"/>
  <c r="AC11" i="30"/>
  <c r="AD11" i="30"/>
  <c r="AE11" i="30"/>
  <c r="AF11" i="30"/>
  <c r="AG11" i="30"/>
  <c r="AB12" i="30"/>
  <c r="AC12" i="30"/>
  <c r="AD12" i="30"/>
  <c r="AE12" i="30"/>
  <c r="AF12" i="30"/>
  <c r="AG12" i="30"/>
  <c r="AB13" i="30"/>
  <c r="AC13" i="30"/>
  <c r="AD13" i="30"/>
  <c r="AE13" i="30"/>
  <c r="AF13" i="30"/>
  <c r="AG13" i="30"/>
  <c r="AB14" i="30"/>
  <c r="AC14" i="30"/>
  <c r="AD14" i="30"/>
  <c r="AE14" i="30"/>
  <c r="AF14" i="30"/>
  <c r="AG14" i="30"/>
  <c r="AB15" i="30"/>
  <c r="AC15" i="30"/>
  <c r="AD15" i="30"/>
  <c r="AE15" i="30"/>
  <c r="AF15" i="30"/>
  <c r="AG15" i="30"/>
  <c r="AB16" i="30"/>
  <c r="AC16" i="30"/>
  <c r="AD16" i="30"/>
  <c r="AE16" i="30"/>
  <c r="AF16" i="30"/>
  <c r="AG16" i="30"/>
  <c r="AB17" i="30"/>
  <c r="AC17" i="30"/>
  <c r="AD17" i="30"/>
  <c r="AE17" i="30"/>
  <c r="AF17" i="30"/>
  <c r="AG17" i="30"/>
  <c r="AB18" i="30"/>
  <c r="AC18" i="30"/>
  <c r="AD18" i="30"/>
  <c r="AE18" i="30"/>
  <c r="AF18" i="30"/>
  <c r="AG18" i="30"/>
  <c r="AB19" i="30"/>
  <c r="AC19" i="30"/>
  <c r="AD19" i="30"/>
  <c r="AE19" i="30"/>
  <c r="AF19" i="30"/>
  <c r="AG19" i="30"/>
  <c r="AB20" i="30"/>
  <c r="AC20" i="30"/>
  <c r="AD20" i="30"/>
  <c r="AE20" i="30"/>
  <c r="AF20" i="30"/>
  <c r="AG20" i="30"/>
  <c r="AB21" i="30"/>
  <c r="AC21" i="30"/>
  <c r="AD21" i="30"/>
  <c r="AE21" i="30"/>
  <c r="AF21" i="30"/>
  <c r="AG21" i="30"/>
  <c r="AB22" i="30"/>
  <c r="AC22" i="30"/>
  <c r="AD22" i="30"/>
  <c r="AE22" i="30"/>
  <c r="AF22" i="30"/>
  <c r="AG22" i="30"/>
  <c r="AB23" i="30"/>
  <c r="AC23" i="30"/>
  <c r="AD23" i="30"/>
  <c r="AE23" i="30"/>
  <c r="AF23" i="30"/>
  <c r="AG23" i="30"/>
  <c r="AB24" i="30"/>
  <c r="AC24" i="30"/>
  <c r="AD24" i="30"/>
  <c r="AE24" i="30"/>
  <c r="AF24" i="30"/>
  <c r="AG24" i="30"/>
  <c r="AB25" i="30"/>
  <c r="AC25" i="30"/>
  <c r="AD25" i="30"/>
  <c r="AE25" i="30"/>
  <c r="AF25" i="30"/>
  <c r="AG25" i="30"/>
  <c r="AB26" i="30"/>
  <c r="AC26" i="30"/>
  <c r="AD26" i="30"/>
  <c r="AE26" i="30"/>
  <c r="AF26" i="30"/>
  <c r="AG26" i="30"/>
  <c r="AB27" i="30"/>
  <c r="AC27" i="30"/>
  <c r="AD27" i="30"/>
  <c r="AE27" i="30"/>
  <c r="AF27" i="30"/>
  <c r="AG27" i="30"/>
  <c r="AB28" i="30"/>
  <c r="AC28" i="30"/>
  <c r="AD28" i="30"/>
  <c r="AE28" i="30"/>
  <c r="AF28" i="30"/>
  <c r="AG28" i="30"/>
  <c r="AB29" i="30"/>
  <c r="AC29" i="30"/>
  <c r="AD29" i="30"/>
  <c r="AE29" i="30"/>
  <c r="AF29" i="30"/>
  <c r="AG29" i="30"/>
  <c r="AB30" i="30"/>
  <c r="AC30" i="30"/>
  <c r="AD30" i="30"/>
  <c r="AE30" i="30"/>
  <c r="AF30" i="30"/>
  <c r="AG30" i="30"/>
  <c r="AB31" i="30"/>
  <c r="AC31" i="30"/>
  <c r="AD31" i="30"/>
  <c r="AE31" i="30"/>
  <c r="AF31" i="30"/>
  <c r="AG31" i="30"/>
  <c r="AB32" i="30"/>
  <c r="AC32" i="30"/>
  <c r="AD32" i="30"/>
  <c r="AE32" i="30"/>
  <c r="AF32" i="30"/>
  <c r="AG32" i="30"/>
  <c r="AB33" i="30"/>
  <c r="AC33" i="30"/>
  <c r="AD33" i="30"/>
  <c r="AE33" i="30"/>
  <c r="AF33" i="30"/>
  <c r="AG33" i="30"/>
  <c r="AB34" i="30"/>
  <c r="AC34" i="30"/>
  <c r="AD34" i="30"/>
  <c r="AE34" i="30"/>
  <c r="AF34" i="30"/>
  <c r="AG34" i="30"/>
  <c r="AB35" i="30"/>
  <c r="AC35" i="30"/>
  <c r="AD35" i="30"/>
  <c r="AE35" i="30"/>
  <c r="AF35" i="30"/>
  <c r="AG35" i="30"/>
  <c r="AB36" i="30"/>
  <c r="AC36" i="30"/>
  <c r="AD36" i="30"/>
  <c r="AE36" i="30"/>
  <c r="AF36" i="30"/>
  <c r="AG36" i="30"/>
  <c r="AB37" i="30"/>
  <c r="AC37" i="30"/>
  <c r="AD37" i="30"/>
  <c r="AE37" i="30"/>
  <c r="AF37" i="30"/>
  <c r="AG37" i="30"/>
  <c r="AB38" i="30"/>
  <c r="AC38" i="30"/>
  <c r="AD38" i="30"/>
  <c r="AE38" i="30"/>
  <c r="AF38" i="30"/>
  <c r="AG38" i="30"/>
  <c r="AB39" i="30"/>
  <c r="AC39" i="30"/>
  <c r="AD39" i="30"/>
  <c r="AE39" i="30"/>
  <c r="AF39" i="30"/>
  <c r="AG39" i="30"/>
  <c r="AB40" i="30"/>
  <c r="AC40" i="30"/>
  <c r="AD40" i="30"/>
  <c r="AE40" i="30"/>
  <c r="AF40" i="30"/>
  <c r="AG40" i="30"/>
  <c r="AB41" i="30"/>
  <c r="AC41" i="30"/>
  <c r="AD41" i="30"/>
  <c r="AE41" i="30"/>
  <c r="AF41" i="30"/>
  <c r="AG41" i="30"/>
  <c r="AB42" i="30"/>
  <c r="AC42" i="30"/>
  <c r="AD42" i="30"/>
  <c r="AE42" i="30"/>
  <c r="AF42" i="30"/>
  <c r="AG42" i="30"/>
  <c r="AB43" i="30"/>
  <c r="AC43" i="30"/>
  <c r="AD43" i="30"/>
  <c r="AE43" i="30"/>
  <c r="AF43" i="30"/>
  <c r="AG43" i="30"/>
  <c r="AB44" i="30"/>
  <c r="AC44" i="30"/>
  <c r="AD44" i="30"/>
  <c r="AE44" i="30"/>
  <c r="AF44" i="30"/>
  <c r="AG44" i="30"/>
  <c r="AB45" i="30"/>
  <c r="AC45" i="30"/>
  <c r="AD45" i="30"/>
  <c r="AE45" i="30"/>
  <c r="AF45" i="30"/>
  <c r="AG45" i="30"/>
  <c r="AB46" i="30"/>
  <c r="AC46" i="30"/>
  <c r="AD46" i="30"/>
  <c r="AE46" i="30"/>
  <c r="AF46" i="30"/>
  <c r="AG46" i="30"/>
  <c r="AB47" i="30"/>
  <c r="AC47" i="30"/>
  <c r="AD47" i="30"/>
  <c r="AE47" i="30"/>
  <c r="AF47" i="30"/>
  <c r="AG47" i="30"/>
  <c r="AB48" i="30"/>
  <c r="AC48" i="30"/>
  <c r="AD48" i="30"/>
  <c r="AE48" i="30"/>
  <c r="AF48" i="30"/>
  <c r="AG48" i="30"/>
  <c r="AB49" i="30"/>
  <c r="AC49" i="30"/>
  <c r="AD49" i="30"/>
  <c r="AE49" i="30"/>
  <c r="AF49" i="30"/>
  <c r="AG49" i="30"/>
  <c r="AB50" i="30"/>
  <c r="AC50" i="30"/>
  <c r="AD50" i="30"/>
  <c r="AE50" i="30"/>
  <c r="AF50" i="30"/>
  <c r="AG50" i="30"/>
  <c r="AB51" i="30"/>
  <c r="AC51" i="30"/>
  <c r="AD51" i="30"/>
  <c r="AE51" i="30"/>
  <c r="AF51" i="30"/>
  <c r="AG51" i="30"/>
  <c r="AB52" i="30"/>
  <c r="AC52" i="30"/>
  <c r="AD52" i="30"/>
  <c r="AE52" i="30"/>
  <c r="AF52" i="30"/>
  <c r="AG52" i="30"/>
  <c r="AB53" i="30"/>
  <c r="AC53" i="30"/>
  <c r="AD53" i="30"/>
  <c r="AE53" i="30"/>
  <c r="AF53" i="30"/>
  <c r="AG53" i="30"/>
  <c r="AB54" i="30"/>
  <c r="AC54" i="30"/>
  <c r="AD54" i="30"/>
  <c r="AE54" i="30"/>
  <c r="AF54" i="30"/>
  <c r="AG54" i="30"/>
  <c r="AB55" i="30"/>
  <c r="AC55" i="30"/>
  <c r="AD55" i="30"/>
  <c r="AE55" i="30"/>
  <c r="AF55" i="30"/>
  <c r="AG55" i="30"/>
  <c r="AB56" i="30"/>
  <c r="AC56" i="30"/>
  <c r="AD56" i="30"/>
  <c r="AE56" i="30"/>
  <c r="AF56" i="30"/>
  <c r="AG56" i="30"/>
  <c r="AB57" i="30"/>
  <c r="AC57" i="30"/>
  <c r="AD57" i="30"/>
  <c r="AE57" i="30"/>
  <c r="AF57" i="30"/>
  <c r="AG57" i="30"/>
  <c r="AB58" i="30"/>
  <c r="AC58" i="30"/>
  <c r="AD58" i="30"/>
  <c r="AE58" i="30"/>
  <c r="AF58" i="30"/>
  <c r="AG58" i="30"/>
  <c r="AB59" i="30"/>
  <c r="AC59" i="30"/>
  <c r="AD59" i="30"/>
  <c r="AE59" i="30"/>
  <c r="AF59" i="30"/>
  <c r="AG59" i="30"/>
  <c r="AB60" i="30"/>
  <c r="AC60" i="30"/>
  <c r="AD60" i="30"/>
  <c r="AE60" i="30"/>
  <c r="AF60" i="30"/>
  <c r="AG60" i="30"/>
  <c r="AG2" i="30"/>
  <c r="AF2" i="30"/>
  <c r="AE2" i="30"/>
  <c r="AD2" i="30"/>
  <c r="AC2" i="30"/>
  <c r="AB2" i="30"/>
  <c r="D126" i="29"/>
  <c r="E126" i="29"/>
  <c r="F126" i="29"/>
  <c r="G126" i="29"/>
  <c r="H126" i="29"/>
  <c r="I126" i="29"/>
  <c r="D127" i="29"/>
  <c r="E127" i="29"/>
  <c r="F127" i="29"/>
  <c r="G127" i="29"/>
  <c r="H127" i="29"/>
  <c r="I127" i="29"/>
  <c r="E125" i="29"/>
  <c r="F125" i="29"/>
  <c r="G125" i="29"/>
  <c r="H125" i="29"/>
  <c r="I125" i="29"/>
  <c r="D125" i="29"/>
  <c r="D121" i="29"/>
  <c r="E121" i="29"/>
  <c r="D122" i="29"/>
  <c r="E122" i="29"/>
  <c r="I121" i="29"/>
  <c r="H121" i="29"/>
  <c r="H122" i="29"/>
  <c r="H5" i="29"/>
  <c r="F121" i="29"/>
  <c r="G121" i="29"/>
  <c r="F122" i="29"/>
  <c r="G122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A191" i="4" s="1"/>
  <c r="A192" i="4" s="1"/>
  <c r="A14" i="4"/>
  <c r="A15" i="4" s="1"/>
  <c r="A12" i="4"/>
  <c r="A11" i="4"/>
  <c r="Z92" i="28"/>
  <c r="Y92" i="28"/>
  <c r="X92" i="28"/>
  <c r="W92" i="28"/>
  <c r="V92" i="28"/>
  <c r="U92" i="28"/>
  <c r="T92" i="28"/>
  <c r="S92" i="28"/>
  <c r="R92" i="28"/>
  <c r="Q92" i="28"/>
  <c r="P92" i="28"/>
  <c r="O92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85" i="28"/>
  <c r="Y85" i="28"/>
  <c r="X85" i="28"/>
  <c r="W85" i="28"/>
  <c r="V85" i="28"/>
  <c r="U85" i="28"/>
  <c r="T85" i="28"/>
  <c r="S85" i="28"/>
  <c r="R85" i="28"/>
  <c r="Q85" i="28"/>
  <c r="P85" i="28"/>
  <c r="O85" i="28"/>
  <c r="Z84" i="28"/>
  <c r="Y84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W76" i="28"/>
  <c r="S76" i="28"/>
  <c r="O76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Z68" i="28"/>
  <c r="Y68" i="28"/>
  <c r="X68" i="28"/>
  <c r="W68" i="28"/>
  <c r="V68" i="28"/>
  <c r="U68" i="28"/>
  <c r="T68" i="28"/>
  <c r="S68" i="28"/>
  <c r="R68" i="28"/>
  <c r="Q68" i="28"/>
  <c r="P68" i="28"/>
  <c r="O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I76" i="28"/>
  <c r="AE76" i="28"/>
  <c r="AA76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J72" i="28"/>
  <c r="AI72" i="28"/>
  <c r="AH72" i="28"/>
  <c r="AG72" i="28"/>
  <c r="AF72" i="28"/>
  <c r="AE72" i="28"/>
  <c r="AD72" i="28"/>
  <c r="AC72" i="28"/>
  <c r="AB72" i="28"/>
  <c r="AA72" i="28"/>
  <c r="AJ71" i="28"/>
  <c r="AI71" i="28"/>
  <c r="AH71" i="28"/>
  <c r="AG71" i="28"/>
  <c r="AF71" i="28"/>
  <c r="AE71" i="28"/>
  <c r="AD71" i="28"/>
  <c r="AC71" i="28"/>
  <c r="AB71" i="28"/>
  <c r="AA71" i="28"/>
  <c r="AJ70" i="28"/>
  <c r="AI70" i="28"/>
  <c r="AH70" i="28"/>
  <c r="AG70" i="28"/>
  <c r="AF70" i="28"/>
  <c r="AE70" i="28"/>
  <c r="AD70" i="28"/>
  <c r="AC70" i="28"/>
  <c r="AB70" i="28"/>
  <c r="AA70" i="28"/>
  <c r="AJ69" i="28"/>
  <c r="AI69" i="28"/>
  <c r="AH69" i="28"/>
  <c r="AG69" i="28"/>
  <c r="AF69" i="28"/>
  <c r="AE69" i="28"/>
  <c r="AD69" i="28"/>
  <c r="AC69" i="28"/>
  <c r="AB69" i="28"/>
  <c r="AA69" i="28"/>
  <c r="AJ68" i="28"/>
  <c r="AI68" i="28"/>
  <c r="AH68" i="28"/>
  <c r="AG68" i="28"/>
  <c r="AF68" i="28"/>
  <c r="AE68" i="28"/>
  <c r="AD68" i="28"/>
  <c r="AC68" i="28"/>
  <c r="AB68" i="28"/>
  <c r="AA68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I76" i="2"/>
  <c r="AE76" i="2"/>
  <c r="AA76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B35" i="2"/>
  <c r="AA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Z92" i="2"/>
  <c r="Y92" i="2"/>
  <c r="X92" i="2"/>
  <c r="W92" i="2"/>
  <c r="V92" i="2"/>
  <c r="U92" i="2"/>
  <c r="T92" i="2"/>
  <c r="S92" i="2"/>
  <c r="R92" i="2"/>
  <c r="Q92" i="2"/>
  <c r="P92" i="2"/>
  <c r="O92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Z84" i="2"/>
  <c r="Y84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W76" i="2"/>
  <c r="S76" i="2"/>
  <c r="O76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AL84" i="28"/>
  <c r="AK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K76" i="28"/>
  <c r="G76" i="28"/>
  <c r="C76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AL72" i="28"/>
  <c r="AK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AL71" i="28"/>
  <c r="AK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AL70" i="28"/>
  <c r="AK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AL69" i="28"/>
  <c r="AK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AL68" i="28"/>
  <c r="AK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N7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C92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D13" i="18"/>
  <c r="F13" i="18"/>
  <c r="B13" i="18"/>
  <c r="F11" i="18"/>
  <c r="E11" i="18"/>
  <c r="D11" i="18"/>
  <c r="C12" i="18"/>
  <c r="C11" i="18"/>
  <c r="B12" i="18"/>
  <c r="B11" i="18"/>
  <c r="F8" i="18"/>
  <c r="D8" i="18"/>
  <c r="F6" i="18"/>
  <c r="E6" i="18"/>
  <c r="D6" i="18"/>
  <c r="B8" i="18"/>
  <c r="C7" i="18"/>
  <c r="C6" i="18"/>
  <c r="B7" i="18"/>
  <c r="B6" i="18"/>
  <c r="K3" i="17"/>
  <c r="L3" i="17"/>
  <c r="M3" i="17"/>
  <c r="K4" i="17"/>
  <c r="L4" i="17"/>
  <c r="M4" i="17"/>
  <c r="K5" i="17"/>
  <c r="L5" i="17"/>
  <c r="M5" i="17"/>
  <c r="K6" i="17"/>
  <c r="L6" i="17"/>
  <c r="M6" i="17"/>
  <c r="K7" i="17"/>
  <c r="L7" i="17"/>
  <c r="M7" i="17"/>
  <c r="K8" i="17"/>
  <c r="L8" i="17"/>
  <c r="M8" i="17"/>
  <c r="K9" i="17"/>
  <c r="L9" i="17"/>
  <c r="M9" i="17"/>
  <c r="K10" i="17"/>
  <c r="L10" i="17"/>
  <c r="M10" i="17"/>
  <c r="K11" i="17"/>
  <c r="L11" i="17"/>
  <c r="M11" i="17"/>
  <c r="K12" i="17"/>
  <c r="L12" i="17"/>
  <c r="M12" i="17"/>
  <c r="K13" i="17"/>
  <c r="L13" i="17"/>
  <c r="M13" i="17"/>
  <c r="K14" i="17"/>
  <c r="L14" i="17"/>
  <c r="M14" i="17"/>
  <c r="K15" i="17"/>
  <c r="L15" i="17"/>
  <c r="M15" i="17"/>
  <c r="K16" i="17"/>
  <c r="L16" i="17"/>
  <c r="M16" i="17"/>
  <c r="K17" i="17"/>
  <c r="L17" i="17"/>
  <c r="M17" i="17"/>
  <c r="K18" i="17"/>
  <c r="L18" i="17"/>
  <c r="M18" i="17"/>
  <c r="K19" i="17"/>
  <c r="L19" i="17"/>
  <c r="M19" i="17"/>
  <c r="K20" i="17"/>
  <c r="L20" i="17"/>
  <c r="M20" i="17"/>
  <c r="K21" i="17"/>
  <c r="L21" i="17"/>
  <c r="M21" i="17"/>
  <c r="K22" i="17"/>
  <c r="L22" i="17"/>
  <c r="M22" i="17"/>
  <c r="K23" i="17"/>
  <c r="L23" i="17"/>
  <c r="M23" i="17"/>
  <c r="K24" i="17"/>
  <c r="L24" i="17"/>
  <c r="M24" i="17"/>
  <c r="K25" i="17"/>
  <c r="L25" i="17"/>
  <c r="M25" i="17"/>
  <c r="K26" i="17"/>
  <c r="L26" i="17"/>
  <c r="M26" i="17"/>
  <c r="K27" i="17"/>
  <c r="L27" i="17"/>
  <c r="M27" i="17"/>
  <c r="K28" i="17"/>
  <c r="L28" i="17"/>
  <c r="M28" i="17"/>
  <c r="K29" i="17"/>
  <c r="L29" i="17"/>
  <c r="M29" i="17"/>
  <c r="K30" i="17"/>
  <c r="L30" i="17"/>
  <c r="M30" i="17"/>
  <c r="K31" i="17"/>
  <c r="L31" i="17"/>
  <c r="M31" i="17"/>
  <c r="K32" i="17"/>
  <c r="L32" i="17"/>
  <c r="M32" i="17"/>
  <c r="K33" i="17"/>
  <c r="L33" i="17"/>
  <c r="M33" i="17"/>
  <c r="K34" i="17"/>
  <c r="L34" i="17"/>
  <c r="M34" i="17"/>
  <c r="K35" i="17"/>
  <c r="L35" i="17"/>
  <c r="M35" i="17"/>
  <c r="K36" i="17"/>
  <c r="L36" i="17"/>
  <c r="M36" i="17"/>
  <c r="K37" i="17"/>
  <c r="L37" i="17"/>
  <c r="M37" i="17"/>
  <c r="K38" i="17"/>
  <c r="L38" i="17"/>
  <c r="M38" i="17"/>
  <c r="K39" i="17"/>
  <c r="L39" i="17"/>
  <c r="M39" i="17"/>
  <c r="K40" i="17"/>
  <c r="L40" i="17"/>
  <c r="M40" i="17"/>
  <c r="K41" i="17"/>
  <c r="L41" i="17"/>
  <c r="M41" i="17"/>
  <c r="K42" i="17"/>
  <c r="L42" i="17"/>
  <c r="M42" i="17"/>
  <c r="K43" i="17"/>
  <c r="L43" i="17"/>
  <c r="M43" i="17"/>
  <c r="K44" i="17"/>
  <c r="L44" i="17"/>
  <c r="M44" i="17"/>
  <c r="K45" i="17"/>
  <c r="L45" i="17"/>
  <c r="M45" i="17"/>
  <c r="K46" i="17"/>
  <c r="L46" i="17"/>
  <c r="M46" i="17"/>
  <c r="K47" i="17"/>
  <c r="L47" i="17"/>
  <c r="M47" i="17"/>
  <c r="K48" i="17"/>
  <c r="L48" i="17"/>
  <c r="M48" i="17"/>
  <c r="K49" i="17"/>
  <c r="L49" i="17"/>
  <c r="M49" i="17"/>
  <c r="K50" i="17"/>
  <c r="L50" i="17"/>
  <c r="M50" i="17"/>
  <c r="K51" i="17"/>
  <c r="L51" i="17"/>
  <c r="M51" i="17"/>
  <c r="K52" i="17"/>
  <c r="L52" i="17"/>
  <c r="M52" i="17"/>
  <c r="K53" i="17"/>
  <c r="L53" i="17"/>
  <c r="M53" i="17"/>
  <c r="K54" i="17"/>
  <c r="L54" i="17"/>
  <c r="M54" i="17"/>
  <c r="K55" i="17"/>
  <c r="L55" i="17"/>
  <c r="M55" i="17"/>
  <c r="K56" i="17"/>
  <c r="L56" i="17"/>
  <c r="M56" i="17"/>
  <c r="K57" i="17"/>
  <c r="L57" i="17"/>
  <c r="M57" i="17"/>
  <c r="M2" i="17"/>
  <c r="L2" i="17"/>
  <c r="K2" i="17"/>
  <c r="K16" i="15"/>
  <c r="L16" i="15"/>
  <c r="M16" i="15"/>
  <c r="K17" i="15"/>
  <c r="L17" i="15"/>
  <c r="M17" i="15"/>
  <c r="K18" i="15"/>
  <c r="L18" i="15"/>
  <c r="M18" i="15"/>
  <c r="K19" i="15"/>
  <c r="L19" i="15"/>
  <c r="M19" i="15"/>
  <c r="K20" i="15"/>
  <c r="L20" i="15"/>
  <c r="M20" i="15"/>
  <c r="K21" i="15"/>
  <c r="L21" i="15"/>
  <c r="M21" i="15"/>
  <c r="K22" i="15"/>
  <c r="L22" i="15"/>
  <c r="M22" i="15"/>
  <c r="K23" i="15"/>
  <c r="L23" i="15"/>
  <c r="M23" i="15"/>
  <c r="K24" i="15"/>
  <c r="L24" i="15"/>
  <c r="M24" i="15"/>
  <c r="K25" i="15"/>
  <c r="L25" i="15"/>
  <c r="M25" i="15"/>
  <c r="K26" i="15"/>
  <c r="L26" i="15"/>
  <c r="M26" i="15"/>
  <c r="K27" i="15"/>
  <c r="L27" i="15"/>
  <c r="M27" i="15"/>
  <c r="K28" i="15"/>
  <c r="L28" i="15"/>
  <c r="M28" i="15"/>
  <c r="K29" i="15"/>
  <c r="L29" i="15"/>
  <c r="M29" i="15"/>
  <c r="K30" i="15"/>
  <c r="L30" i="15"/>
  <c r="M30" i="15"/>
  <c r="K31" i="15"/>
  <c r="L31" i="15"/>
  <c r="M31" i="15"/>
  <c r="K32" i="15"/>
  <c r="L32" i="15"/>
  <c r="M32" i="15"/>
  <c r="K33" i="15"/>
  <c r="L33" i="15"/>
  <c r="M33" i="15"/>
  <c r="K34" i="15"/>
  <c r="L34" i="15"/>
  <c r="M34" i="15"/>
  <c r="K35" i="15"/>
  <c r="L35" i="15"/>
  <c r="M35" i="15"/>
  <c r="K36" i="15"/>
  <c r="L36" i="15"/>
  <c r="M36" i="15"/>
  <c r="K37" i="15"/>
  <c r="L37" i="15"/>
  <c r="M37" i="15"/>
  <c r="K38" i="15"/>
  <c r="L38" i="15"/>
  <c r="M38" i="15"/>
  <c r="K39" i="15"/>
  <c r="L39" i="15"/>
  <c r="M39" i="15"/>
  <c r="K40" i="15"/>
  <c r="L40" i="15"/>
  <c r="M40" i="15"/>
  <c r="K41" i="15"/>
  <c r="L41" i="15"/>
  <c r="M41" i="15"/>
  <c r="K42" i="15"/>
  <c r="L42" i="15"/>
  <c r="M42" i="15"/>
  <c r="K43" i="15"/>
  <c r="L43" i="15"/>
  <c r="M43" i="15"/>
  <c r="K44" i="15"/>
  <c r="L44" i="15"/>
  <c r="M44" i="15"/>
  <c r="K45" i="15"/>
  <c r="L45" i="15"/>
  <c r="M45" i="15"/>
  <c r="K46" i="15"/>
  <c r="L46" i="15"/>
  <c r="M46" i="15"/>
  <c r="K47" i="15"/>
  <c r="L47" i="15"/>
  <c r="M47" i="15"/>
  <c r="K48" i="15"/>
  <c r="L48" i="15"/>
  <c r="M48" i="15"/>
  <c r="K49" i="15"/>
  <c r="L49" i="15"/>
  <c r="M49" i="15"/>
  <c r="K50" i="15"/>
  <c r="L50" i="15"/>
  <c r="M50" i="15"/>
  <c r="K51" i="15"/>
  <c r="L51" i="15"/>
  <c r="M51" i="15"/>
  <c r="K52" i="15"/>
  <c r="L52" i="15"/>
  <c r="M52" i="15"/>
  <c r="K53" i="15"/>
  <c r="L53" i="15"/>
  <c r="M53" i="15"/>
  <c r="K54" i="15"/>
  <c r="L54" i="15"/>
  <c r="M54" i="15"/>
  <c r="K55" i="15"/>
  <c r="L55" i="15"/>
  <c r="M55" i="15"/>
  <c r="K56" i="15"/>
  <c r="L56" i="15"/>
  <c r="M56" i="15"/>
  <c r="K57" i="15"/>
  <c r="L57" i="15"/>
  <c r="M57" i="15"/>
  <c r="K3" i="15"/>
  <c r="L3" i="15"/>
  <c r="M3" i="15"/>
  <c r="K4" i="15"/>
  <c r="L4" i="15"/>
  <c r="M4" i="15"/>
  <c r="K5" i="15"/>
  <c r="L5" i="15"/>
  <c r="M5" i="15"/>
  <c r="K6" i="15"/>
  <c r="L6" i="15"/>
  <c r="M6" i="15"/>
  <c r="K7" i="15"/>
  <c r="L7" i="15"/>
  <c r="M7" i="15"/>
  <c r="K8" i="15"/>
  <c r="L8" i="15"/>
  <c r="M8" i="15"/>
  <c r="K9" i="15"/>
  <c r="L9" i="15"/>
  <c r="M9" i="15"/>
  <c r="K10" i="15"/>
  <c r="L10" i="15"/>
  <c r="M10" i="15"/>
  <c r="K11" i="15"/>
  <c r="L11" i="15"/>
  <c r="M11" i="15"/>
  <c r="K12" i="15"/>
  <c r="L12" i="15"/>
  <c r="M12" i="15"/>
  <c r="K13" i="15"/>
  <c r="L13" i="15"/>
  <c r="M13" i="15"/>
  <c r="K14" i="15"/>
  <c r="L14" i="15"/>
  <c r="M14" i="15"/>
  <c r="K15" i="15"/>
  <c r="L15" i="15"/>
  <c r="M15" i="15"/>
  <c r="L2" i="15"/>
  <c r="M2" i="15"/>
  <c r="K2" i="15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2" i="16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2" i="14"/>
  <c r="AF61" i="11"/>
  <c r="AE61" i="11"/>
  <c r="AD61" i="11"/>
  <c r="AC61" i="11"/>
  <c r="AB61" i="11"/>
  <c r="AA61" i="11"/>
  <c r="AF60" i="11"/>
  <c r="AE60" i="11"/>
  <c r="AD60" i="11"/>
  <c r="AC60" i="11"/>
  <c r="AB60" i="11"/>
  <c r="AA60" i="11"/>
  <c r="AF59" i="11"/>
  <c r="AE59" i="11"/>
  <c r="AD59" i="11"/>
  <c r="AC59" i="11"/>
  <c r="AB59" i="11"/>
  <c r="AA59" i="11"/>
  <c r="AF58" i="11"/>
  <c r="AE58" i="11"/>
  <c r="AD58" i="11"/>
  <c r="AC58" i="11"/>
  <c r="AB58" i="11"/>
  <c r="AA58" i="11"/>
  <c r="AF57" i="11"/>
  <c r="AE57" i="11"/>
  <c r="AD57" i="11"/>
  <c r="AC57" i="11"/>
  <c r="AB57" i="11"/>
  <c r="AA57" i="11"/>
  <c r="AF56" i="11"/>
  <c r="AE56" i="11"/>
  <c r="AD56" i="11"/>
  <c r="AC56" i="11"/>
  <c r="AB56" i="11"/>
  <c r="AA56" i="11"/>
  <c r="AF55" i="11"/>
  <c r="AE55" i="11"/>
  <c r="AD55" i="11"/>
  <c r="AC55" i="11"/>
  <c r="AB55" i="11"/>
  <c r="AA55" i="11"/>
  <c r="AF54" i="11"/>
  <c r="AE54" i="11"/>
  <c r="AD54" i="11"/>
  <c r="AC54" i="11"/>
  <c r="AB54" i="11"/>
  <c r="AA54" i="11"/>
  <c r="AF53" i="11"/>
  <c r="AE53" i="11"/>
  <c r="AD53" i="11"/>
  <c r="AC53" i="11"/>
  <c r="AB53" i="11"/>
  <c r="AA53" i="11"/>
  <c r="AF52" i="11"/>
  <c r="AE52" i="11"/>
  <c r="AD52" i="11"/>
  <c r="AC52" i="11"/>
  <c r="AB52" i="11"/>
  <c r="AA52" i="11"/>
  <c r="H103" i="12" s="1"/>
  <c r="AF51" i="11"/>
  <c r="AE51" i="11"/>
  <c r="AD51" i="11"/>
  <c r="AC51" i="11"/>
  <c r="AB51" i="11"/>
  <c r="AA51" i="11"/>
  <c r="AF50" i="11"/>
  <c r="AE50" i="11"/>
  <c r="AD50" i="11"/>
  <c r="AC50" i="11"/>
  <c r="AB50" i="11"/>
  <c r="AA50" i="11"/>
  <c r="H99" i="12" s="1"/>
  <c r="AF49" i="11"/>
  <c r="AE49" i="11"/>
  <c r="AD49" i="11"/>
  <c r="AC49" i="11"/>
  <c r="AB49" i="11"/>
  <c r="AA49" i="11"/>
  <c r="AF48" i="11"/>
  <c r="AE48" i="11"/>
  <c r="AD48" i="11"/>
  <c r="AC48" i="11"/>
  <c r="AB48" i="11"/>
  <c r="AA48" i="11"/>
  <c r="H95" i="12" s="1"/>
  <c r="AF47" i="11"/>
  <c r="AE47" i="11"/>
  <c r="AD47" i="11"/>
  <c r="AC47" i="11"/>
  <c r="AB47" i="11"/>
  <c r="AA47" i="11"/>
  <c r="AF46" i="11"/>
  <c r="AE46" i="11"/>
  <c r="AD46" i="11"/>
  <c r="AC46" i="11"/>
  <c r="AB46" i="11"/>
  <c r="AA46" i="11"/>
  <c r="AF45" i="11"/>
  <c r="AE45" i="11"/>
  <c r="AD45" i="11"/>
  <c r="AC45" i="11"/>
  <c r="AB45" i="11"/>
  <c r="AA45" i="11"/>
  <c r="AF44" i="11"/>
  <c r="AE44" i="11"/>
  <c r="AD44" i="11"/>
  <c r="AC44" i="11"/>
  <c r="AB44" i="11"/>
  <c r="AA44" i="11"/>
  <c r="AF43" i="11"/>
  <c r="AE43" i="11"/>
  <c r="AD43" i="11"/>
  <c r="AC43" i="11"/>
  <c r="AB43" i="11"/>
  <c r="AA43" i="11"/>
  <c r="AF42" i="11"/>
  <c r="AE42" i="11"/>
  <c r="AD42" i="11"/>
  <c r="AC42" i="11"/>
  <c r="AB42" i="11"/>
  <c r="AA42" i="11"/>
  <c r="AF41" i="11"/>
  <c r="AE41" i="11"/>
  <c r="AD41" i="11"/>
  <c r="AC41" i="11"/>
  <c r="AB41" i="11"/>
  <c r="AA41" i="11"/>
  <c r="AF40" i="11"/>
  <c r="AE40" i="11"/>
  <c r="AD40" i="11"/>
  <c r="AC40" i="11"/>
  <c r="AB40" i="11"/>
  <c r="AA40" i="11"/>
  <c r="AF39" i="11"/>
  <c r="AE39" i="11"/>
  <c r="AD39" i="11"/>
  <c r="AC39" i="11"/>
  <c r="AB39" i="11"/>
  <c r="AA39" i="11"/>
  <c r="AF38" i="11"/>
  <c r="AE38" i="11"/>
  <c r="AD38" i="11"/>
  <c r="AC38" i="11"/>
  <c r="AB38" i="11"/>
  <c r="AA38" i="11"/>
  <c r="AF37" i="11"/>
  <c r="AE37" i="11"/>
  <c r="AD37" i="11"/>
  <c r="AC37" i="11"/>
  <c r="AB37" i="11"/>
  <c r="AA37" i="11"/>
  <c r="AF36" i="11"/>
  <c r="AE36" i="11"/>
  <c r="AD36" i="11"/>
  <c r="AC36" i="11"/>
  <c r="AB36" i="11"/>
  <c r="AA36" i="11"/>
  <c r="AF35" i="11"/>
  <c r="AE35" i="11"/>
  <c r="AD35" i="11"/>
  <c r="AC35" i="11"/>
  <c r="AB35" i="11"/>
  <c r="AA35" i="11"/>
  <c r="AF34" i="11"/>
  <c r="AE34" i="11"/>
  <c r="AD34" i="11"/>
  <c r="AC34" i="11"/>
  <c r="AB34" i="11"/>
  <c r="AA34" i="11"/>
  <c r="AF33" i="11"/>
  <c r="AE33" i="11"/>
  <c r="AD33" i="11"/>
  <c r="AC33" i="11"/>
  <c r="AB33" i="11"/>
  <c r="AA33" i="11"/>
  <c r="AF32" i="11"/>
  <c r="AE32" i="11"/>
  <c r="AD32" i="11"/>
  <c r="AC32" i="11"/>
  <c r="AB32" i="11"/>
  <c r="AA32" i="11"/>
  <c r="AF31" i="11"/>
  <c r="AE31" i="11"/>
  <c r="AD31" i="11"/>
  <c r="AC31" i="11"/>
  <c r="AB31" i="11"/>
  <c r="AA31" i="11"/>
  <c r="AF30" i="11"/>
  <c r="AE30" i="11"/>
  <c r="AD30" i="11"/>
  <c r="AC30" i="11"/>
  <c r="AB30" i="11"/>
  <c r="AA30" i="11"/>
  <c r="AF29" i="11"/>
  <c r="AE29" i="11"/>
  <c r="AD29" i="11"/>
  <c r="AC29" i="11"/>
  <c r="AB29" i="11"/>
  <c r="AA29" i="11"/>
  <c r="AF28" i="11"/>
  <c r="AE28" i="11"/>
  <c r="AD28" i="11"/>
  <c r="AC28" i="11"/>
  <c r="AB28" i="11"/>
  <c r="AA28" i="11"/>
  <c r="AF27" i="11"/>
  <c r="AE27" i="11"/>
  <c r="AD27" i="11"/>
  <c r="AC27" i="11"/>
  <c r="AB27" i="11"/>
  <c r="AA27" i="11"/>
  <c r="AF26" i="11"/>
  <c r="AE26" i="11"/>
  <c r="AD26" i="11"/>
  <c r="AC26" i="11"/>
  <c r="AB26" i="11"/>
  <c r="AA26" i="11"/>
  <c r="AF25" i="11"/>
  <c r="AE25" i="11"/>
  <c r="AD25" i="11"/>
  <c r="AC25" i="11"/>
  <c r="AB25" i="11"/>
  <c r="AA25" i="11"/>
  <c r="AF24" i="11"/>
  <c r="AE24" i="11"/>
  <c r="AD24" i="11"/>
  <c r="AC24" i="11"/>
  <c r="AB24" i="11"/>
  <c r="AA24" i="11"/>
  <c r="AF23" i="11"/>
  <c r="AE23" i="11"/>
  <c r="AD23" i="11"/>
  <c r="AC23" i="11"/>
  <c r="AB23" i="11"/>
  <c r="AA23" i="11"/>
  <c r="AF22" i="11"/>
  <c r="AE22" i="11"/>
  <c r="AD22" i="11"/>
  <c r="AC22" i="11"/>
  <c r="AB22" i="11"/>
  <c r="AA22" i="11"/>
  <c r="H43" i="12" s="1"/>
  <c r="AF21" i="11"/>
  <c r="AE21" i="11"/>
  <c r="AD21" i="11"/>
  <c r="AC21" i="11"/>
  <c r="AB21" i="11"/>
  <c r="AA21" i="11"/>
  <c r="AF20" i="11"/>
  <c r="AE20" i="11"/>
  <c r="AD20" i="11"/>
  <c r="AC20" i="11"/>
  <c r="AB20" i="11"/>
  <c r="AA20" i="11"/>
  <c r="AF19" i="11"/>
  <c r="AE19" i="11"/>
  <c r="AD19" i="11"/>
  <c r="AC19" i="11"/>
  <c r="AB19" i="11"/>
  <c r="AA19" i="11"/>
  <c r="AF18" i="11"/>
  <c r="AE18" i="11"/>
  <c r="AD18" i="11"/>
  <c r="AC18" i="11"/>
  <c r="AB18" i="11"/>
  <c r="AA18" i="11"/>
  <c r="AF17" i="11"/>
  <c r="AE17" i="11"/>
  <c r="AD17" i="11"/>
  <c r="AC17" i="11"/>
  <c r="AB17" i="11"/>
  <c r="AA17" i="11"/>
  <c r="AF16" i="11"/>
  <c r="AE16" i="11"/>
  <c r="AD16" i="11"/>
  <c r="AC16" i="11"/>
  <c r="AB16" i="11"/>
  <c r="AA16" i="11"/>
  <c r="AF15" i="11"/>
  <c r="AE15" i="11"/>
  <c r="AD15" i="11"/>
  <c r="AC15" i="11"/>
  <c r="AB15" i="11"/>
  <c r="AA15" i="11"/>
  <c r="AF14" i="11"/>
  <c r="AE14" i="11"/>
  <c r="AD14" i="11"/>
  <c r="AC14" i="11"/>
  <c r="AB14" i="11"/>
  <c r="AA14" i="11"/>
  <c r="AF13" i="11"/>
  <c r="AE13" i="11"/>
  <c r="AD13" i="11"/>
  <c r="AC13" i="11"/>
  <c r="AB13" i="11"/>
  <c r="AA13" i="11"/>
  <c r="AF12" i="11"/>
  <c r="AE12" i="11"/>
  <c r="AD12" i="11"/>
  <c r="AC12" i="11"/>
  <c r="AB12" i="11"/>
  <c r="AA12" i="11"/>
  <c r="AF11" i="11"/>
  <c r="AE11" i="11"/>
  <c r="AD11" i="11"/>
  <c r="AC11" i="11"/>
  <c r="F21" i="12" s="1"/>
  <c r="AB11" i="11"/>
  <c r="AA11" i="11"/>
  <c r="AF10" i="11"/>
  <c r="AE10" i="11"/>
  <c r="AD10" i="11"/>
  <c r="AC10" i="11"/>
  <c r="AB10" i="11"/>
  <c r="AA10" i="11"/>
  <c r="AF9" i="11"/>
  <c r="AE9" i="11"/>
  <c r="AD9" i="11"/>
  <c r="AC9" i="11"/>
  <c r="AB9" i="11"/>
  <c r="AA9" i="11"/>
  <c r="AF8" i="11"/>
  <c r="AE8" i="11"/>
  <c r="AD8" i="11"/>
  <c r="AC8" i="11"/>
  <c r="AB8" i="11"/>
  <c r="AA8" i="11"/>
  <c r="AF7" i="11"/>
  <c r="AE7" i="11"/>
  <c r="AD7" i="11"/>
  <c r="AC7" i="11"/>
  <c r="AB7" i="11"/>
  <c r="AA7" i="11"/>
  <c r="AF6" i="11"/>
  <c r="AE6" i="11"/>
  <c r="AD6" i="11"/>
  <c r="AC6" i="11"/>
  <c r="AB6" i="11"/>
  <c r="AA6" i="11"/>
  <c r="AF5" i="11"/>
  <c r="AE5" i="11"/>
  <c r="AD5" i="11"/>
  <c r="AC5" i="11"/>
  <c r="AB5" i="11"/>
  <c r="AA5" i="11"/>
  <c r="AF4" i="11"/>
  <c r="AE4" i="11"/>
  <c r="AD4" i="11"/>
  <c r="AC4" i="11"/>
  <c r="AB4" i="11"/>
  <c r="AA4" i="11"/>
  <c r="AF3" i="11"/>
  <c r="AE3" i="11"/>
  <c r="AD3" i="11"/>
  <c r="AC3" i="11"/>
  <c r="AB3" i="11"/>
  <c r="AA3" i="11"/>
  <c r="AF61" i="8"/>
  <c r="AE61" i="8"/>
  <c r="AD61" i="8"/>
  <c r="AC61" i="8"/>
  <c r="AB61" i="8"/>
  <c r="AA61" i="8"/>
  <c r="AF60" i="8"/>
  <c r="AE60" i="8"/>
  <c r="AD60" i="8"/>
  <c r="AC60" i="8"/>
  <c r="AB60" i="8"/>
  <c r="AA60" i="8"/>
  <c r="H119" i="9" s="1"/>
  <c r="AF59" i="8"/>
  <c r="AE59" i="8"/>
  <c r="AD59" i="8"/>
  <c r="AC59" i="8"/>
  <c r="AB59" i="8"/>
  <c r="AA59" i="8"/>
  <c r="AF58" i="8"/>
  <c r="AE58" i="8"/>
  <c r="AD58" i="8"/>
  <c r="AC58" i="8"/>
  <c r="AB58" i="8"/>
  <c r="AA58" i="8"/>
  <c r="H115" i="9" s="1"/>
  <c r="AF57" i="8"/>
  <c r="AE57" i="8"/>
  <c r="AD57" i="8"/>
  <c r="AC57" i="8"/>
  <c r="AB57" i="8"/>
  <c r="AA57" i="8"/>
  <c r="AF56" i="8"/>
  <c r="AE56" i="8"/>
  <c r="AD56" i="8"/>
  <c r="AC56" i="8"/>
  <c r="AB56" i="8"/>
  <c r="AA56" i="8"/>
  <c r="H111" i="9" s="1"/>
  <c r="AF55" i="8"/>
  <c r="AE55" i="8"/>
  <c r="AD55" i="8"/>
  <c r="AC55" i="8"/>
  <c r="AB55" i="8"/>
  <c r="AA55" i="8"/>
  <c r="AF54" i="8"/>
  <c r="AE54" i="8"/>
  <c r="AD54" i="8"/>
  <c r="AC54" i="8"/>
  <c r="AB54" i="8"/>
  <c r="AA54" i="8"/>
  <c r="H107" i="9" s="1"/>
  <c r="AF53" i="8"/>
  <c r="AE53" i="8"/>
  <c r="AD53" i="8"/>
  <c r="AC53" i="8"/>
  <c r="AB53" i="8"/>
  <c r="AA53" i="8"/>
  <c r="AF52" i="8"/>
  <c r="AE52" i="8"/>
  <c r="AD52" i="8"/>
  <c r="AC52" i="8"/>
  <c r="AB52" i="8"/>
  <c r="G103" i="9" s="1"/>
  <c r="AA52" i="8"/>
  <c r="H103" i="9" s="1"/>
  <c r="AF51" i="8"/>
  <c r="AE51" i="8"/>
  <c r="AD51" i="8"/>
  <c r="AC51" i="8"/>
  <c r="AB51" i="8"/>
  <c r="AA51" i="8"/>
  <c r="AF50" i="8"/>
  <c r="AE50" i="8"/>
  <c r="AD50" i="8"/>
  <c r="AC50" i="8"/>
  <c r="AB50" i="8"/>
  <c r="G99" i="9" s="1"/>
  <c r="AA50" i="8"/>
  <c r="H99" i="9" s="1"/>
  <c r="AF49" i="8"/>
  <c r="AE49" i="8"/>
  <c r="AD49" i="8"/>
  <c r="AC49" i="8"/>
  <c r="AB49" i="8"/>
  <c r="AA49" i="8"/>
  <c r="AF48" i="8"/>
  <c r="AE48" i="8"/>
  <c r="AD48" i="8"/>
  <c r="AC48" i="8"/>
  <c r="AB48" i="8"/>
  <c r="G95" i="9" s="1"/>
  <c r="AA48" i="8"/>
  <c r="H95" i="9" s="1"/>
  <c r="AF47" i="8"/>
  <c r="AE47" i="8"/>
  <c r="AD47" i="8"/>
  <c r="AC47" i="8"/>
  <c r="AB47" i="8"/>
  <c r="AA47" i="8"/>
  <c r="AF46" i="8"/>
  <c r="AE46" i="8"/>
  <c r="AD46" i="8"/>
  <c r="AC46" i="8"/>
  <c r="AB46" i="8"/>
  <c r="AA46" i="8"/>
  <c r="H91" i="9" s="1"/>
  <c r="AF45" i="8"/>
  <c r="AE45" i="8"/>
  <c r="AD45" i="8"/>
  <c r="AC45" i="8"/>
  <c r="F89" i="9" s="1"/>
  <c r="AB45" i="8"/>
  <c r="AA45" i="8"/>
  <c r="AF44" i="8"/>
  <c r="AE44" i="8"/>
  <c r="AD44" i="8"/>
  <c r="AC44" i="8"/>
  <c r="AB44" i="8"/>
  <c r="AA44" i="8"/>
  <c r="H87" i="9" s="1"/>
  <c r="AF43" i="8"/>
  <c r="AE43" i="8"/>
  <c r="AD43" i="8"/>
  <c r="AC43" i="8"/>
  <c r="F85" i="9" s="1"/>
  <c r="AB43" i="8"/>
  <c r="AA43" i="8"/>
  <c r="AF42" i="8"/>
  <c r="AE42" i="8"/>
  <c r="AD42" i="8"/>
  <c r="AC42" i="8"/>
  <c r="AB42" i="8"/>
  <c r="AA42" i="8"/>
  <c r="H83" i="9" s="1"/>
  <c r="AF41" i="8"/>
  <c r="AE41" i="8"/>
  <c r="AD41" i="8"/>
  <c r="AC41" i="8"/>
  <c r="F81" i="9" s="1"/>
  <c r="AB41" i="8"/>
  <c r="AA41" i="8"/>
  <c r="AF40" i="8"/>
  <c r="AE40" i="8"/>
  <c r="AD40" i="8"/>
  <c r="AC40" i="8"/>
  <c r="AB40" i="8"/>
  <c r="AA40" i="8"/>
  <c r="H79" i="9" s="1"/>
  <c r="AF39" i="8"/>
  <c r="AE39" i="8"/>
  <c r="AD39" i="8"/>
  <c r="AC39" i="8"/>
  <c r="F77" i="9" s="1"/>
  <c r="AB39" i="8"/>
  <c r="AA39" i="8"/>
  <c r="AF38" i="8"/>
  <c r="AE38" i="8"/>
  <c r="AD38" i="8"/>
  <c r="AC38" i="8"/>
  <c r="AB38" i="8"/>
  <c r="AA38" i="8"/>
  <c r="H75" i="9" s="1"/>
  <c r="AF37" i="8"/>
  <c r="AE37" i="8"/>
  <c r="AD37" i="8"/>
  <c r="AC37" i="8"/>
  <c r="F73" i="9" s="1"/>
  <c r="AB37" i="8"/>
  <c r="AA37" i="8"/>
  <c r="AF36" i="8"/>
  <c r="AE36" i="8"/>
  <c r="AD36" i="8"/>
  <c r="AC36" i="8"/>
  <c r="AB36" i="8"/>
  <c r="AA36" i="8"/>
  <c r="H71" i="9" s="1"/>
  <c r="AF35" i="8"/>
  <c r="AE35" i="8"/>
  <c r="AD35" i="8"/>
  <c r="AC35" i="8"/>
  <c r="F69" i="9" s="1"/>
  <c r="AB35" i="8"/>
  <c r="AA35" i="8"/>
  <c r="AF34" i="8"/>
  <c r="AE34" i="8"/>
  <c r="AD34" i="8"/>
  <c r="AC34" i="8"/>
  <c r="AB34" i="8"/>
  <c r="AA34" i="8"/>
  <c r="H67" i="9" s="1"/>
  <c r="AF33" i="8"/>
  <c r="AE33" i="8"/>
  <c r="AD33" i="8"/>
  <c r="AC33" i="8"/>
  <c r="F65" i="9" s="1"/>
  <c r="AB33" i="8"/>
  <c r="AA33" i="8"/>
  <c r="AF32" i="8"/>
  <c r="AE32" i="8"/>
  <c r="AD32" i="8"/>
  <c r="AC32" i="8"/>
  <c r="AB32" i="8"/>
  <c r="AA32" i="8"/>
  <c r="H63" i="9" s="1"/>
  <c r="AF31" i="8"/>
  <c r="AE31" i="8"/>
  <c r="AD31" i="8"/>
  <c r="AC31" i="8"/>
  <c r="F61" i="9" s="1"/>
  <c r="AB31" i="8"/>
  <c r="AA31" i="8"/>
  <c r="AF30" i="8"/>
  <c r="AE30" i="8"/>
  <c r="AD30" i="8"/>
  <c r="AC30" i="8"/>
  <c r="AB30" i="8"/>
  <c r="AA30" i="8"/>
  <c r="H59" i="9" s="1"/>
  <c r="AF29" i="8"/>
  <c r="AE29" i="8"/>
  <c r="AD29" i="8"/>
  <c r="AC29" i="8"/>
  <c r="F57" i="9" s="1"/>
  <c r="AB29" i="8"/>
  <c r="AA29" i="8"/>
  <c r="AF28" i="8"/>
  <c r="AE28" i="8"/>
  <c r="AD28" i="8"/>
  <c r="AC28" i="8"/>
  <c r="AB28" i="8"/>
  <c r="AA28" i="8"/>
  <c r="H55" i="9" s="1"/>
  <c r="AF27" i="8"/>
  <c r="AE27" i="8"/>
  <c r="AD27" i="8"/>
  <c r="AC27" i="8"/>
  <c r="F53" i="9" s="1"/>
  <c r="AB27" i="8"/>
  <c r="AA27" i="8"/>
  <c r="AF26" i="8"/>
  <c r="AE26" i="8"/>
  <c r="AD26" i="8"/>
  <c r="AC26" i="8"/>
  <c r="AB26" i="8"/>
  <c r="AA26" i="8"/>
  <c r="H51" i="9" s="1"/>
  <c r="AF25" i="8"/>
  <c r="AE25" i="8"/>
  <c r="AD25" i="8"/>
  <c r="AC25" i="8"/>
  <c r="F49" i="9" s="1"/>
  <c r="AB25" i="8"/>
  <c r="AA25" i="8"/>
  <c r="AF24" i="8"/>
  <c r="AE24" i="8"/>
  <c r="AD24" i="8"/>
  <c r="AC24" i="8"/>
  <c r="AB24" i="8"/>
  <c r="AA24" i="8"/>
  <c r="H47" i="9" s="1"/>
  <c r="AF23" i="8"/>
  <c r="AE23" i="8"/>
  <c r="AD23" i="8"/>
  <c r="AC23" i="8"/>
  <c r="F45" i="9" s="1"/>
  <c r="AB23" i="8"/>
  <c r="AA23" i="8"/>
  <c r="AF22" i="8"/>
  <c r="AE22" i="8"/>
  <c r="AD22" i="8"/>
  <c r="AC22" i="8"/>
  <c r="AB22" i="8"/>
  <c r="G43" i="9" s="1"/>
  <c r="AA22" i="8"/>
  <c r="H43" i="9" s="1"/>
  <c r="AF21" i="8"/>
  <c r="AE21" i="8"/>
  <c r="AD21" i="8"/>
  <c r="AC21" i="8"/>
  <c r="F41" i="9" s="1"/>
  <c r="AB21" i="8"/>
  <c r="AA21" i="8"/>
  <c r="AF20" i="8"/>
  <c r="AE20" i="8"/>
  <c r="AD20" i="8"/>
  <c r="AC20" i="8"/>
  <c r="AB20" i="8"/>
  <c r="G39" i="9" s="1"/>
  <c r="AA20" i="8"/>
  <c r="H39" i="9" s="1"/>
  <c r="AF19" i="8"/>
  <c r="AE19" i="8"/>
  <c r="AD19" i="8"/>
  <c r="AC19" i="8"/>
  <c r="F37" i="9" s="1"/>
  <c r="AB19" i="8"/>
  <c r="AA19" i="8"/>
  <c r="AF18" i="8"/>
  <c r="AE18" i="8"/>
  <c r="AD18" i="8"/>
  <c r="AC18" i="8"/>
  <c r="AB18" i="8"/>
  <c r="G35" i="9" s="1"/>
  <c r="AA18" i="8"/>
  <c r="H35" i="9" s="1"/>
  <c r="AF17" i="8"/>
  <c r="AE17" i="8"/>
  <c r="AD17" i="8"/>
  <c r="AC17" i="8"/>
  <c r="F33" i="9" s="1"/>
  <c r="AB17" i="8"/>
  <c r="AA17" i="8"/>
  <c r="AF16" i="8"/>
  <c r="AE16" i="8"/>
  <c r="AD16" i="8"/>
  <c r="AC16" i="8"/>
  <c r="AB16" i="8"/>
  <c r="G31" i="9" s="1"/>
  <c r="AA16" i="8"/>
  <c r="H31" i="9" s="1"/>
  <c r="AF15" i="8"/>
  <c r="AE15" i="8"/>
  <c r="AD15" i="8"/>
  <c r="AC15" i="8"/>
  <c r="F29" i="9" s="1"/>
  <c r="AB15" i="8"/>
  <c r="AA15" i="8"/>
  <c r="AF14" i="8"/>
  <c r="AE14" i="8"/>
  <c r="AD14" i="8"/>
  <c r="AC14" i="8"/>
  <c r="AB14" i="8"/>
  <c r="G27" i="9" s="1"/>
  <c r="AA14" i="8"/>
  <c r="H27" i="9" s="1"/>
  <c r="AF13" i="8"/>
  <c r="AE13" i="8"/>
  <c r="AD13" i="8"/>
  <c r="AC13" i="8"/>
  <c r="F25" i="9" s="1"/>
  <c r="AB13" i="8"/>
  <c r="AA13" i="8"/>
  <c r="AF12" i="8"/>
  <c r="AE12" i="8"/>
  <c r="AD12" i="8"/>
  <c r="AC12" i="8"/>
  <c r="AB12" i="8"/>
  <c r="G23" i="9" s="1"/>
  <c r="AA12" i="8"/>
  <c r="H23" i="9" s="1"/>
  <c r="AF11" i="8"/>
  <c r="AE11" i="8"/>
  <c r="AD11" i="8"/>
  <c r="E21" i="9" s="1"/>
  <c r="AC11" i="8"/>
  <c r="AB11" i="8"/>
  <c r="AA11" i="8"/>
  <c r="AF10" i="8"/>
  <c r="AE10" i="8"/>
  <c r="AD10" i="8"/>
  <c r="AC10" i="8"/>
  <c r="AB10" i="8"/>
  <c r="G19" i="9" s="1"/>
  <c r="AA10" i="8"/>
  <c r="AF9" i="8"/>
  <c r="AE9" i="8"/>
  <c r="AD9" i="8"/>
  <c r="E17" i="9" s="1"/>
  <c r="AC9" i="8"/>
  <c r="AB9" i="8"/>
  <c r="AA9" i="8"/>
  <c r="AF8" i="8"/>
  <c r="AE8" i="8"/>
  <c r="AD8" i="8"/>
  <c r="AC8" i="8"/>
  <c r="AB8" i="8"/>
  <c r="G15" i="9" s="1"/>
  <c r="AA8" i="8"/>
  <c r="AF7" i="8"/>
  <c r="AE7" i="8"/>
  <c r="AD7" i="8"/>
  <c r="E13" i="9" s="1"/>
  <c r="AC7" i="8"/>
  <c r="AB7" i="8"/>
  <c r="AA7" i="8"/>
  <c r="AF6" i="8"/>
  <c r="AE6" i="8"/>
  <c r="AD6" i="8"/>
  <c r="AC6" i="8"/>
  <c r="AB6" i="8"/>
  <c r="G11" i="9" s="1"/>
  <c r="AA6" i="8"/>
  <c r="AF5" i="8"/>
  <c r="AE5" i="8"/>
  <c r="AD5" i="8"/>
  <c r="E9" i="9" s="1"/>
  <c r="AC5" i="8"/>
  <c r="AB5" i="8"/>
  <c r="AA5" i="8"/>
  <c r="AF4" i="8"/>
  <c r="AE4" i="8"/>
  <c r="AD4" i="8"/>
  <c r="AC4" i="8"/>
  <c r="AB4" i="8"/>
  <c r="G7" i="9" s="1"/>
  <c r="AA4" i="8"/>
  <c r="AF3" i="8"/>
  <c r="AE3" i="8"/>
  <c r="AD3" i="8"/>
  <c r="AC3" i="8"/>
  <c r="AB3" i="8"/>
  <c r="AA3" i="8"/>
  <c r="AA4" i="6"/>
  <c r="AB4" i="6"/>
  <c r="AC4" i="6"/>
  <c r="AD4" i="6"/>
  <c r="AE4" i="6"/>
  <c r="AF4" i="6"/>
  <c r="AA5" i="6"/>
  <c r="AB5" i="6"/>
  <c r="AC5" i="6"/>
  <c r="AD5" i="6"/>
  <c r="AE5" i="6"/>
  <c r="AF5" i="6"/>
  <c r="AA6" i="6"/>
  <c r="AB6" i="6"/>
  <c r="AC6" i="6"/>
  <c r="AD6" i="6"/>
  <c r="AE6" i="6"/>
  <c r="AF6" i="6"/>
  <c r="AA7" i="6"/>
  <c r="AB7" i="6"/>
  <c r="AC7" i="6"/>
  <c r="AD7" i="6"/>
  <c r="AE7" i="6"/>
  <c r="AF7" i="6"/>
  <c r="AA8" i="6"/>
  <c r="AB8" i="6"/>
  <c r="AC8" i="6"/>
  <c r="AD8" i="6"/>
  <c r="AE8" i="6"/>
  <c r="AF8" i="6"/>
  <c r="AA9" i="6"/>
  <c r="AB9" i="6"/>
  <c r="AC9" i="6"/>
  <c r="AD9" i="6"/>
  <c r="AE9" i="6"/>
  <c r="AF9" i="6"/>
  <c r="AA10" i="6"/>
  <c r="AB10" i="6"/>
  <c r="AC10" i="6"/>
  <c r="AD10" i="6"/>
  <c r="AE10" i="6"/>
  <c r="AF10" i="6"/>
  <c r="AA11" i="6"/>
  <c r="AB11" i="6"/>
  <c r="AC11" i="6"/>
  <c r="AD11" i="6"/>
  <c r="AE11" i="6"/>
  <c r="AF11" i="6"/>
  <c r="AA12" i="6"/>
  <c r="AB12" i="6"/>
  <c r="AC12" i="6"/>
  <c r="AD12" i="6"/>
  <c r="AE12" i="6"/>
  <c r="AF12" i="6"/>
  <c r="AA13" i="6"/>
  <c r="AB13" i="6"/>
  <c r="AC13" i="6"/>
  <c r="AD13" i="6"/>
  <c r="AE13" i="6"/>
  <c r="AF13" i="6"/>
  <c r="AA14" i="6"/>
  <c r="AB14" i="6"/>
  <c r="AC14" i="6"/>
  <c r="AD14" i="6"/>
  <c r="AE14" i="6"/>
  <c r="AF14" i="6"/>
  <c r="AA15" i="6"/>
  <c r="AB15" i="6"/>
  <c r="AC15" i="6"/>
  <c r="AD15" i="6"/>
  <c r="AE15" i="6"/>
  <c r="AF15" i="6"/>
  <c r="AA16" i="6"/>
  <c r="AB16" i="6"/>
  <c r="AC16" i="6"/>
  <c r="AD16" i="6"/>
  <c r="AE16" i="6"/>
  <c r="AF16" i="6"/>
  <c r="AA17" i="6"/>
  <c r="AB17" i="6"/>
  <c r="AC17" i="6"/>
  <c r="AD17" i="6"/>
  <c r="AE17" i="6"/>
  <c r="AF17" i="6"/>
  <c r="AA18" i="6"/>
  <c r="AB18" i="6"/>
  <c r="AC18" i="6"/>
  <c r="AD18" i="6"/>
  <c r="AE18" i="6"/>
  <c r="AF18" i="6"/>
  <c r="AA19" i="6"/>
  <c r="AB19" i="6"/>
  <c r="AC19" i="6"/>
  <c r="AD19" i="6"/>
  <c r="AE19" i="6"/>
  <c r="AF19" i="6"/>
  <c r="AA20" i="6"/>
  <c r="AB20" i="6"/>
  <c r="AC20" i="6"/>
  <c r="AD20" i="6"/>
  <c r="AE20" i="6"/>
  <c r="AF20" i="6"/>
  <c r="AA21" i="6"/>
  <c r="AB21" i="6"/>
  <c r="AC21" i="6"/>
  <c r="AD21" i="6"/>
  <c r="AE21" i="6"/>
  <c r="AF21" i="6"/>
  <c r="AA22" i="6"/>
  <c r="AB22" i="6"/>
  <c r="AC22" i="6"/>
  <c r="AD22" i="6"/>
  <c r="AE22" i="6"/>
  <c r="AF22" i="6"/>
  <c r="AA23" i="6"/>
  <c r="AB23" i="6"/>
  <c r="AC23" i="6"/>
  <c r="AD23" i="6"/>
  <c r="AE23" i="6"/>
  <c r="AF23" i="6"/>
  <c r="AA24" i="6"/>
  <c r="AB24" i="6"/>
  <c r="AC24" i="6"/>
  <c r="AD24" i="6"/>
  <c r="AE24" i="6"/>
  <c r="AF24" i="6"/>
  <c r="AA25" i="6"/>
  <c r="AB25" i="6"/>
  <c r="AC25" i="6"/>
  <c r="AD25" i="6"/>
  <c r="AE25" i="6"/>
  <c r="AF25" i="6"/>
  <c r="AA26" i="6"/>
  <c r="AB26" i="6"/>
  <c r="AC26" i="6"/>
  <c r="AD26" i="6"/>
  <c r="AE26" i="6"/>
  <c r="AF26" i="6"/>
  <c r="AA27" i="6"/>
  <c r="AB27" i="6"/>
  <c r="AC27" i="6"/>
  <c r="AD27" i="6"/>
  <c r="AE27" i="6"/>
  <c r="AF27" i="6"/>
  <c r="AA28" i="6"/>
  <c r="AB28" i="6"/>
  <c r="AC28" i="6"/>
  <c r="AD28" i="6"/>
  <c r="AE28" i="6"/>
  <c r="AF28" i="6"/>
  <c r="AA29" i="6"/>
  <c r="AB29" i="6"/>
  <c r="AC29" i="6"/>
  <c r="AD29" i="6"/>
  <c r="AE29" i="6"/>
  <c r="AF29" i="6"/>
  <c r="AA30" i="6"/>
  <c r="AB30" i="6"/>
  <c r="AC30" i="6"/>
  <c r="AD30" i="6"/>
  <c r="AE30" i="6"/>
  <c r="AF30" i="6"/>
  <c r="AA31" i="6"/>
  <c r="AB31" i="6"/>
  <c r="AC31" i="6"/>
  <c r="AD31" i="6"/>
  <c r="AE31" i="6"/>
  <c r="AF31" i="6"/>
  <c r="AA32" i="6"/>
  <c r="AB32" i="6"/>
  <c r="AC32" i="6"/>
  <c r="AD32" i="6"/>
  <c r="AE32" i="6"/>
  <c r="AF32" i="6"/>
  <c r="AA33" i="6"/>
  <c r="AB33" i="6"/>
  <c r="AC33" i="6"/>
  <c r="AD33" i="6"/>
  <c r="AE33" i="6"/>
  <c r="AF33" i="6"/>
  <c r="AA34" i="6"/>
  <c r="AB34" i="6"/>
  <c r="AC34" i="6"/>
  <c r="AD34" i="6"/>
  <c r="AE34" i="6"/>
  <c r="AF34" i="6"/>
  <c r="AA35" i="6"/>
  <c r="AB35" i="6"/>
  <c r="AC35" i="6"/>
  <c r="AD35" i="6"/>
  <c r="AE35" i="6"/>
  <c r="AF35" i="6"/>
  <c r="AA36" i="6"/>
  <c r="AB36" i="6"/>
  <c r="AC36" i="6"/>
  <c r="AD36" i="6"/>
  <c r="AE36" i="6"/>
  <c r="AF36" i="6"/>
  <c r="AA37" i="6"/>
  <c r="AB37" i="6"/>
  <c r="AC37" i="6"/>
  <c r="AD37" i="6"/>
  <c r="AE37" i="6"/>
  <c r="AF37" i="6"/>
  <c r="AA38" i="6"/>
  <c r="AB38" i="6"/>
  <c r="AC38" i="6"/>
  <c r="AD38" i="6"/>
  <c r="AE38" i="6"/>
  <c r="AF38" i="6"/>
  <c r="AA39" i="6"/>
  <c r="AB39" i="6"/>
  <c r="AC39" i="6"/>
  <c r="AD39" i="6"/>
  <c r="AE39" i="6"/>
  <c r="AF39" i="6"/>
  <c r="AA40" i="6"/>
  <c r="AB40" i="6"/>
  <c r="AC40" i="6"/>
  <c r="AD40" i="6"/>
  <c r="AE40" i="6"/>
  <c r="AF40" i="6"/>
  <c r="AA41" i="6"/>
  <c r="AB41" i="6"/>
  <c r="AC41" i="6"/>
  <c r="AD41" i="6"/>
  <c r="AE41" i="6"/>
  <c r="AF41" i="6"/>
  <c r="AA42" i="6"/>
  <c r="AB42" i="6"/>
  <c r="AC42" i="6"/>
  <c r="AD42" i="6"/>
  <c r="AE42" i="6"/>
  <c r="AF42" i="6"/>
  <c r="AA43" i="6"/>
  <c r="AB43" i="6"/>
  <c r="AC43" i="6"/>
  <c r="AD43" i="6"/>
  <c r="AE43" i="6"/>
  <c r="AF43" i="6"/>
  <c r="AA44" i="6"/>
  <c r="AB44" i="6"/>
  <c r="AC44" i="6"/>
  <c r="AD44" i="6"/>
  <c r="AE44" i="6"/>
  <c r="AF44" i="6"/>
  <c r="AA45" i="6"/>
  <c r="AB45" i="6"/>
  <c r="AC45" i="6"/>
  <c r="AD45" i="6"/>
  <c r="AE45" i="6"/>
  <c r="AF45" i="6"/>
  <c r="AA46" i="6"/>
  <c r="AB46" i="6"/>
  <c r="AC46" i="6"/>
  <c r="AD46" i="6"/>
  <c r="AE46" i="6"/>
  <c r="AF46" i="6"/>
  <c r="AA47" i="6"/>
  <c r="AB47" i="6"/>
  <c r="AC47" i="6"/>
  <c r="AD47" i="6"/>
  <c r="AE47" i="6"/>
  <c r="AF47" i="6"/>
  <c r="AA48" i="6"/>
  <c r="AB48" i="6"/>
  <c r="AC48" i="6"/>
  <c r="AD48" i="6"/>
  <c r="AE48" i="6"/>
  <c r="AF48" i="6"/>
  <c r="AA49" i="6"/>
  <c r="AB49" i="6"/>
  <c r="AC49" i="6"/>
  <c r="AD49" i="6"/>
  <c r="AE49" i="6"/>
  <c r="AF49" i="6"/>
  <c r="AA50" i="6"/>
  <c r="AB50" i="6"/>
  <c r="AC50" i="6"/>
  <c r="AD50" i="6"/>
  <c r="AE50" i="6"/>
  <c r="AF50" i="6"/>
  <c r="AA51" i="6"/>
  <c r="AB51" i="6"/>
  <c r="AC51" i="6"/>
  <c r="AD51" i="6"/>
  <c r="AE51" i="6"/>
  <c r="AF51" i="6"/>
  <c r="AA52" i="6"/>
  <c r="AB52" i="6"/>
  <c r="AC52" i="6"/>
  <c r="AD52" i="6"/>
  <c r="AE52" i="6"/>
  <c r="AF52" i="6"/>
  <c r="AA53" i="6"/>
  <c r="AB53" i="6"/>
  <c r="AC53" i="6"/>
  <c r="AD53" i="6"/>
  <c r="AE53" i="6"/>
  <c r="AF53" i="6"/>
  <c r="AA54" i="6"/>
  <c r="AB54" i="6"/>
  <c r="AC54" i="6"/>
  <c r="AD54" i="6"/>
  <c r="AE54" i="6"/>
  <c r="AF54" i="6"/>
  <c r="AA55" i="6"/>
  <c r="AB55" i="6"/>
  <c r="AC55" i="6"/>
  <c r="AD55" i="6"/>
  <c r="AE55" i="6"/>
  <c r="AF55" i="6"/>
  <c r="AA56" i="6"/>
  <c r="AB56" i="6"/>
  <c r="AC56" i="6"/>
  <c r="AD56" i="6"/>
  <c r="AE56" i="6"/>
  <c r="AF56" i="6"/>
  <c r="AA57" i="6"/>
  <c r="AB57" i="6"/>
  <c r="G111" i="7" s="1"/>
  <c r="AC57" i="6"/>
  <c r="AD57" i="6"/>
  <c r="AE57" i="6"/>
  <c r="AF57" i="6"/>
  <c r="AA58" i="6"/>
  <c r="AB58" i="6"/>
  <c r="AC58" i="6"/>
  <c r="AD58" i="6"/>
  <c r="E113" i="7" s="1"/>
  <c r="AE58" i="6"/>
  <c r="AF58" i="6"/>
  <c r="AA59" i="6"/>
  <c r="AB59" i="6"/>
  <c r="G115" i="7" s="1"/>
  <c r="AC59" i="6"/>
  <c r="AD59" i="6"/>
  <c r="AE59" i="6"/>
  <c r="AF59" i="6"/>
  <c r="AA60" i="6"/>
  <c r="AB60" i="6"/>
  <c r="AC60" i="6"/>
  <c r="F117" i="7" s="1"/>
  <c r="AD60" i="6"/>
  <c r="E117" i="7" s="1"/>
  <c r="AE60" i="6"/>
  <c r="AF60" i="6"/>
  <c r="AA61" i="6"/>
  <c r="H119" i="7" s="1"/>
  <c r="AB61" i="6"/>
  <c r="G119" i="7" s="1"/>
  <c r="AC61" i="6"/>
  <c r="AD61" i="6"/>
  <c r="AE61" i="6"/>
  <c r="D119" i="7" s="1"/>
  <c r="AF61" i="6"/>
  <c r="AF3" i="6"/>
  <c r="AE3" i="6"/>
  <c r="AD3" i="6"/>
  <c r="AC3" i="6"/>
  <c r="AB3" i="6"/>
  <c r="AA3" i="6"/>
  <c r="AN7" i="2"/>
  <c r="H22" i="12"/>
  <c r="G22" i="12"/>
  <c r="F22" i="12"/>
  <c r="E22" i="12"/>
  <c r="D22" i="12"/>
  <c r="H21" i="12"/>
  <c r="G21" i="12"/>
  <c r="E21" i="12"/>
  <c r="D21" i="12"/>
  <c r="E23" i="12"/>
  <c r="F23" i="12"/>
  <c r="E24" i="12"/>
  <c r="F24" i="12"/>
  <c r="H122" i="12"/>
  <c r="G122" i="12"/>
  <c r="F122" i="12"/>
  <c r="E122" i="12"/>
  <c r="D122" i="12"/>
  <c r="C122" i="12"/>
  <c r="F121" i="12"/>
  <c r="H120" i="12"/>
  <c r="H118" i="12"/>
  <c r="H116" i="12"/>
  <c r="H114" i="12"/>
  <c r="H112" i="12"/>
  <c r="H110" i="12"/>
  <c r="H108" i="12"/>
  <c r="H106" i="12"/>
  <c r="G106" i="12"/>
  <c r="H105" i="12"/>
  <c r="H104" i="12"/>
  <c r="G104" i="12"/>
  <c r="H102" i="12"/>
  <c r="G102" i="12"/>
  <c r="H101" i="12"/>
  <c r="H100" i="12"/>
  <c r="G100" i="12"/>
  <c r="H98" i="12"/>
  <c r="G98" i="12"/>
  <c r="H97" i="12"/>
  <c r="H96" i="12"/>
  <c r="G96" i="12"/>
  <c r="H94" i="12"/>
  <c r="G94" i="12"/>
  <c r="H93" i="12"/>
  <c r="H92" i="12"/>
  <c r="G92" i="12"/>
  <c r="F92" i="12"/>
  <c r="H90" i="12"/>
  <c r="G90" i="12"/>
  <c r="F90" i="12"/>
  <c r="H88" i="12"/>
  <c r="G88" i="12"/>
  <c r="F88" i="12"/>
  <c r="H86" i="12"/>
  <c r="G86" i="12"/>
  <c r="F86" i="12"/>
  <c r="H84" i="12"/>
  <c r="G84" i="12"/>
  <c r="F84" i="12"/>
  <c r="H82" i="12"/>
  <c r="G82" i="12"/>
  <c r="F82" i="12"/>
  <c r="H80" i="12"/>
  <c r="G80" i="12"/>
  <c r="F80" i="12"/>
  <c r="H78" i="12"/>
  <c r="G78" i="12"/>
  <c r="F78" i="12"/>
  <c r="H76" i="12"/>
  <c r="G76" i="12"/>
  <c r="F76" i="12"/>
  <c r="H74" i="12"/>
  <c r="G74" i="12"/>
  <c r="F74" i="12"/>
  <c r="H72" i="12"/>
  <c r="G72" i="12"/>
  <c r="F72" i="12"/>
  <c r="H70" i="12"/>
  <c r="G70" i="12"/>
  <c r="F70" i="12"/>
  <c r="H68" i="12"/>
  <c r="G68" i="12"/>
  <c r="F68" i="12"/>
  <c r="H66" i="12"/>
  <c r="G66" i="12"/>
  <c r="F66" i="12"/>
  <c r="H64" i="12"/>
  <c r="G64" i="12"/>
  <c r="F64" i="12"/>
  <c r="H62" i="12"/>
  <c r="G62" i="12"/>
  <c r="F62" i="12"/>
  <c r="H60" i="12"/>
  <c r="G60" i="12"/>
  <c r="F60" i="12"/>
  <c r="H58" i="12"/>
  <c r="G58" i="12"/>
  <c r="F58" i="12"/>
  <c r="H56" i="12"/>
  <c r="G56" i="12"/>
  <c r="F56" i="12"/>
  <c r="H54" i="12"/>
  <c r="G54" i="12"/>
  <c r="F54" i="12"/>
  <c r="H52" i="12"/>
  <c r="G52" i="12"/>
  <c r="F52" i="12"/>
  <c r="H50" i="12"/>
  <c r="G50" i="12"/>
  <c r="F50" i="12"/>
  <c r="H48" i="12"/>
  <c r="G48" i="12"/>
  <c r="F48" i="12"/>
  <c r="H46" i="12"/>
  <c r="G46" i="12"/>
  <c r="F46" i="12"/>
  <c r="E46" i="12"/>
  <c r="H45" i="12"/>
  <c r="H44" i="12"/>
  <c r="G44" i="12"/>
  <c r="F44" i="12"/>
  <c r="E44" i="12"/>
  <c r="H42" i="12"/>
  <c r="G42" i="12"/>
  <c r="F42" i="12"/>
  <c r="E42" i="12"/>
  <c r="H41" i="12"/>
  <c r="H40" i="12"/>
  <c r="G40" i="12"/>
  <c r="F40" i="12"/>
  <c r="E40" i="12"/>
  <c r="H39" i="12"/>
  <c r="H38" i="12"/>
  <c r="G38" i="12"/>
  <c r="F38" i="12"/>
  <c r="E38" i="12"/>
  <c r="H37" i="12"/>
  <c r="H36" i="12"/>
  <c r="G36" i="12"/>
  <c r="F36" i="12"/>
  <c r="E36" i="12"/>
  <c r="H35" i="12"/>
  <c r="H34" i="12"/>
  <c r="G34" i="12"/>
  <c r="F34" i="12"/>
  <c r="E34" i="12"/>
  <c r="H33" i="12"/>
  <c r="H32" i="12"/>
  <c r="G32" i="12"/>
  <c r="F32" i="12"/>
  <c r="E32" i="12"/>
  <c r="H31" i="12"/>
  <c r="H30" i="12"/>
  <c r="G30" i="12"/>
  <c r="F30" i="12"/>
  <c r="E30" i="12"/>
  <c r="H29" i="12"/>
  <c r="H28" i="12"/>
  <c r="G28" i="12"/>
  <c r="F28" i="12"/>
  <c r="E28" i="12"/>
  <c r="H27" i="12"/>
  <c r="H26" i="12"/>
  <c r="G26" i="12"/>
  <c r="F26" i="12"/>
  <c r="E26" i="12"/>
  <c r="H25" i="12"/>
  <c r="H20" i="12"/>
  <c r="G20" i="12"/>
  <c r="F20" i="12"/>
  <c r="E20" i="12"/>
  <c r="D20" i="12"/>
  <c r="H18" i="12"/>
  <c r="G18" i="12"/>
  <c r="F18" i="12"/>
  <c r="E18" i="12"/>
  <c r="D18" i="12"/>
  <c r="H16" i="12"/>
  <c r="G16" i="12"/>
  <c r="F16" i="12"/>
  <c r="E16" i="12"/>
  <c r="D16" i="12"/>
  <c r="H14" i="12"/>
  <c r="G14" i="12"/>
  <c r="F14" i="12"/>
  <c r="E14" i="12"/>
  <c r="D14" i="12"/>
  <c r="H12" i="12"/>
  <c r="G12" i="12"/>
  <c r="F12" i="12"/>
  <c r="E12" i="12"/>
  <c r="D12" i="12"/>
  <c r="H10" i="12"/>
  <c r="G10" i="12"/>
  <c r="F10" i="12"/>
  <c r="E10" i="12"/>
  <c r="D10" i="12"/>
  <c r="H8" i="12"/>
  <c r="G8" i="12"/>
  <c r="F8" i="12"/>
  <c r="E8" i="12"/>
  <c r="D8" i="12"/>
  <c r="H119" i="12"/>
  <c r="H117" i="12"/>
  <c r="H115" i="12"/>
  <c r="H113" i="12"/>
  <c r="H111" i="12"/>
  <c r="H109" i="12"/>
  <c r="H107" i="12"/>
  <c r="G105" i="12"/>
  <c r="G103" i="12"/>
  <c r="G101" i="12"/>
  <c r="G99" i="12"/>
  <c r="G97" i="12"/>
  <c r="G95" i="12"/>
  <c r="G93" i="12"/>
  <c r="F91" i="12"/>
  <c r="G91" i="12"/>
  <c r="H91" i="12"/>
  <c r="F89" i="12"/>
  <c r="G89" i="12"/>
  <c r="H89" i="12"/>
  <c r="F87" i="12"/>
  <c r="G87" i="12"/>
  <c r="H87" i="12"/>
  <c r="F85" i="12"/>
  <c r="G85" i="12"/>
  <c r="H85" i="12"/>
  <c r="F83" i="12"/>
  <c r="G83" i="12"/>
  <c r="H83" i="12"/>
  <c r="F81" i="12"/>
  <c r="G81" i="12"/>
  <c r="H81" i="12"/>
  <c r="F79" i="12"/>
  <c r="G79" i="12"/>
  <c r="H79" i="12"/>
  <c r="F77" i="12"/>
  <c r="G77" i="12"/>
  <c r="H77" i="12"/>
  <c r="F75" i="12"/>
  <c r="G75" i="12"/>
  <c r="H75" i="12"/>
  <c r="F73" i="12"/>
  <c r="G73" i="12"/>
  <c r="H73" i="12"/>
  <c r="F71" i="12"/>
  <c r="G71" i="12"/>
  <c r="H71" i="12"/>
  <c r="F69" i="12"/>
  <c r="G69" i="12"/>
  <c r="H69" i="12"/>
  <c r="F67" i="12"/>
  <c r="G67" i="12"/>
  <c r="H67" i="12"/>
  <c r="F65" i="12"/>
  <c r="G65" i="12"/>
  <c r="H65" i="12"/>
  <c r="F63" i="12"/>
  <c r="G63" i="12"/>
  <c r="H63" i="12"/>
  <c r="F61" i="12"/>
  <c r="G61" i="12"/>
  <c r="H61" i="12"/>
  <c r="F59" i="12"/>
  <c r="G59" i="12"/>
  <c r="H59" i="12"/>
  <c r="F57" i="12"/>
  <c r="G57" i="12"/>
  <c r="H57" i="12"/>
  <c r="F55" i="12"/>
  <c r="G55" i="12"/>
  <c r="H55" i="12"/>
  <c r="F53" i="12"/>
  <c r="G53" i="12"/>
  <c r="H53" i="12"/>
  <c r="F51" i="12"/>
  <c r="G51" i="12"/>
  <c r="H51" i="12"/>
  <c r="F49" i="12"/>
  <c r="G49" i="12"/>
  <c r="H49" i="12"/>
  <c r="F47" i="12"/>
  <c r="G47" i="12"/>
  <c r="H47" i="12"/>
  <c r="E45" i="12"/>
  <c r="F45" i="12"/>
  <c r="G45" i="12"/>
  <c r="E43" i="12"/>
  <c r="F43" i="12"/>
  <c r="G43" i="12"/>
  <c r="E41" i="12"/>
  <c r="F41" i="12"/>
  <c r="G41" i="12"/>
  <c r="E39" i="12"/>
  <c r="F39" i="12"/>
  <c r="G39" i="12"/>
  <c r="E37" i="12"/>
  <c r="F37" i="12"/>
  <c r="G37" i="12"/>
  <c r="E35" i="12"/>
  <c r="F35" i="12"/>
  <c r="G35" i="12"/>
  <c r="E33" i="12"/>
  <c r="F33" i="12"/>
  <c r="G33" i="12"/>
  <c r="E31" i="12"/>
  <c r="F31" i="12"/>
  <c r="G31" i="12"/>
  <c r="E29" i="12"/>
  <c r="F29" i="12"/>
  <c r="G29" i="12"/>
  <c r="E27" i="12"/>
  <c r="F27" i="12"/>
  <c r="G27" i="12"/>
  <c r="E25" i="12"/>
  <c r="F25" i="12"/>
  <c r="G25" i="12"/>
  <c r="D19" i="12"/>
  <c r="E19" i="12"/>
  <c r="F19" i="12"/>
  <c r="G19" i="12"/>
  <c r="H19" i="12"/>
  <c r="D17" i="12"/>
  <c r="E17" i="12"/>
  <c r="F17" i="12"/>
  <c r="G17" i="12"/>
  <c r="H17" i="12"/>
  <c r="D15" i="12"/>
  <c r="E15" i="12"/>
  <c r="F15" i="12"/>
  <c r="G15" i="12"/>
  <c r="H15" i="12"/>
  <c r="D13" i="12"/>
  <c r="E13" i="12"/>
  <c r="F13" i="12"/>
  <c r="G13" i="12"/>
  <c r="H13" i="12"/>
  <c r="D11" i="12"/>
  <c r="E11" i="12"/>
  <c r="F11" i="12"/>
  <c r="G11" i="12"/>
  <c r="H11" i="12"/>
  <c r="D9" i="12"/>
  <c r="E9" i="12"/>
  <c r="F9" i="12"/>
  <c r="G9" i="12"/>
  <c r="H9" i="12"/>
  <c r="D7" i="12"/>
  <c r="E7" i="12"/>
  <c r="F7" i="12"/>
  <c r="G7" i="12"/>
  <c r="H7" i="12"/>
  <c r="C121" i="12"/>
  <c r="D121" i="12"/>
  <c r="E121" i="12"/>
  <c r="G121" i="12"/>
  <c r="H121" i="12"/>
  <c r="H127" i="12"/>
  <c r="G127" i="12"/>
  <c r="F127" i="12"/>
  <c r="E127" i="12"/>
  <c r="C127" i="12"/>
  <c r="H126" i="12"/>
  <c r="G126" i="12"/>
  <c r="F126" i="12"/>
  <c r="E126" i="12"/>
  <c r="C126" i="12"/>
  <c r="H125" i="12"/>
  <c r="G125" i="12"/>
  <c r="F125" i="12"/>
  <c r="E125" i="12"/>
  <c r="C125" i="12"/>
  <c r="H124" i="12"/>
  <c r="G124" i="12"/>
  <c r="F124" i="12"/>
  <c r="E124" i="12"/>
  <c r="C124" i="12"/>
  <c r="H123" i="12"/>
  <c r="G123" i="12"/>
  <c r="F123" i="12"/>
  <c r="E123" i="12"/>
  <c r="C123" i="12"/>
  <c r="A12" i="12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0" i="12"/>
  <c r="A11" i="12" s="1"/>
  <c r="A8" i="12"/>
  <c r="A9" i="12" s="1"/>
  <c r="A7" i="12"/>
  <c r="B5" i="12"/>
  <c r="F6" i="12" s="1"/>
  <c r="AL87" i="2"/>
  <c r="AK87" i="2"/>
  <c r="AL86" i="2"/>
  <c r="AK86" i="2"/>
  <c r="AL85" i="2"/>
  <c r="AK85" i="2"/>
  <c r="AL84" i="2"/>
  <c r="AK84" i="2"/>
  <c r="AL83" i="2"/>
  <c r="AK83" i="2"/>
  <c r="AL82" i="2"/>
  <c r="AK82" i="2"/>
  <c r="AL81" i="2"/>
  <c r="AK81" i="2"/>
  <c r="AL80" i="2"/>
  <c r="AK80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89" i="2"/>
  <c r="AK89" i="2"/>
  <c r="AL88" i="2"/>
  <c r="AK88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90" i="2"/>
  <c r="AK90" i="2"/>
  <c r="AL11" i="2"/>
  <c r="AK11" i="2"/>
  <c r="AL10" i="2"/>
  <c r="AK10" i="2"/>
  <c r="AL9" i="2"/>
  <c r="AK9" i="2"/>
  <c r="AL8" i="2"/>
  <c r="AK8" i="2"/>
  <c r="AL7" i="2"/>
  <c r="AK7" i="2"/>
  <c r="AL92" i="2"/>
  <c r="AK92" i="2"/>
  <c r="H122" i="9"/>
  <c r="G122" i="9"/>
  <c r="F122" i="9"/>
  <c r="E122" i="9"/>
  <c r="D122" i="9"/>
  <c r="C122" i="9"/>
  <c r="H121" i="9"/>
  <c r="G121" i="9"/>
  <c r="F121" i="9"/>
  <c r="E121" i="9"/>
  <c r="D121" i="9"/>
  <c r="C121" i="9"/>
  <c r="H120" i="9"/>
  <c r="H118" i="9"/>
  <c r="H117" i="9"/>
  <c r="H116" i="9"/>
  <c r="H114" i="9"/>
  <c r="H113" i="9"/>
  <c r="H112" i="9"/>
  <c r="H110" i="9"/>
  <c r="H109" i="9"/>
  <c r="H108" i="9"/>
  <c r="H106" i="9"/>
  <c r="G106" i="9"/>
  <c r="H105" i="9"/>
  <c r="G105" i="9"/>
  <c r="H104" i="9"/>
  <c r="G104" i="9"/>
  <c r="H102" i="9"/>
  <c r="G102" i="9"/>
  <c r="H101" i="9"/>
  <c r="G101" i="9"/>
  <c r="H100" i="9"/>
  <c r="G100" i="9"/>
  <c r="H98" i="9"/>
  <c r="G98" i="9"/>
  <c r="H97" i="9"/>
  <c r="G97" i="9"/>
  <c r="H96" i="9"/>
  <c r="G96" i="9"/>
  <c r="H94" i="9"/>
  <c r="G94" i="9"/>
  <c r="H93" i="9"/>
  <c r="G93" i="9"/>
  <c r="H92" i="9"/>
  <c r="G92" i="9"/>
  <c r="F92" i="9"/>
  <c r="G91" i="9"/>
  <c r="F91" i="9"/>
  <c r="H90" i="9"/>
  <c r="G90" i="9"/>
  <c r="F90" i="9"/>
  <c r="H89" i="9"/>
  <c r="G89" i="9"/>
  <c r="H88" i="9"/>
  <c r="G88" i="9"/>
  <c r="F88" i="9"/>
  <c r="G87" i="9"/>
  <c r="F87" i="9"/>
  <c r="H86" i="9"/>
  <c r="G86" i="9"/>
  <c r="F86" i="9"/>
  <c r="H85" i="9"/>
  <c r="G85" i="9"/>
  <c r="H84" i="9"/>
  <c r="G84" i="9"/>
  <c r="F84" i="9"/>
  <c r="G83" i="9"/>
  <c r="F83" i="9"/>
  <c r="H82" i="9"/>
  <c r="G82" i="9"/>
  <c r="F82" i="9"/>
  <c r="H81" i="9"/>
  <c r="G81" i="9"/>
  <c r="H80" i="9"/>
  <c r="G80" i="9"/>
  <c r="F80" i="9"/>
  <c r="G79" i="9"/>
  <c r="F79" i="9"/>
  <c r="H78" i="9"/>
  <c r="G78" i="9"/>
  <c r="F78" i="9"/>
  <c r="H77" i="9"/>
  <c r="G77" i="9"/>
  <c r="H76" i="9"/>
  <c r="G76" i="9"/>
  <c r="F76" i="9"/>
  <c r="G75" i="9"/>
  <c r="F75" i="9"/>
  <c r="H74" i="9"/>
  <c r="G74" i="9"/>
  <c r="F74" i="9"/>
  <c r="H73" i="9"/>
  <c r="G73" i="9"/>
  <c r="H72" i="9"/>
  <c r="G72" i="9"/>
  <c r="F72" i="9"/>
  <c r="G71" i="9"/>
  <c r="F71" i="9"/>
  <c r="H70" i="9"/>
  <c r="G70" i="9"/>
  <c r="F70" i="9"/>
  <c r="H69" i="9"/>
  <c r="G69" i="9"/>
  <c r="H68" i="9"/>
  <c r="G68" i="9"/>
  <c r="F68" i="9"/>
  <c r="G67" i="9"/>
  <c r="F67" i="9"/>
  <c r="H66" i="9"/>
  <c r="G66" i="9"/>
  <c r="F66" i="9"/>
  <c r="H65" i="9"/>
  <c r="G65" i="9"/>
  <c r="H64" i="9"/>
  <c r="G64" i="9"/>
  <c r="F64" i="9"/>
  <c r="G63" i="9"/>
  <c r="F63" i="9"/>
  <c r="H62" i="9"/>
  <c r="G62" i="9"/>
  <c r="F62" i="9"/>
  <c r="H61" i="9"/>
  <c r="G61" i="9"/>
  <c r="H60" i="9"/>
  <c r="G60" i="9"/>
  <c r="F60" i="9"/>
  <c r="G59" i="9"/>
  <c r="F59" i="9"/>
  <c r="H58" i="9"/>
  <c r="G58" i="9"/>
  <c r="F58" i="9"/>
  <c r="H57" i="9"/>
  <c r="G57" i="9"/>
  <c r="H56" i="9"/>
  <c r="G56" i="9"/>
  <c r="F56" i="9"/>
  <c r="G55" i="9"/>
  <c r="F55" i="9"/>
  <c r="H54" i="9"/>
  <c r="G54" i="9"/>
  <c r="F54" i="9"/>
  <c r="H53" i="9"/>
  <c r="G53" i="9"/>
  <c r="H52" i="9"/>
  <c r="G52" i="9"/>
  <c r="F52" i="9"/>
  <c r="G51" i="9"/>
  <c r="F51" i="9"/>
  <c r="H50" i="9"/>
  <c r="G50" i="9"/>
  <c r="F50" i="9"/>
  <c r="H49" i="9"/>
  <c r="G49" i="9"/>
  <c r="H48" i="9"/>
  <c r="G48" i="9"/>
  <c r="F48" i="9"/>
  <c r="G47" i="9"/>
  <c r="F47" i="9"/>
  <c r="H46" i="9"/>
  <c r="G46" i="9"/>
  <c r="F46" i="9"/>
  <c r="E46" i="9"/>
  <c r="H45" i="9"/>
  <c r="G45" i="9"/>
  <c r="E45" i="9"/>
  <c r="H44" i="9"/>
  <c r="G44" i="9"/>
  <c r="F44" i="9"/>
  <c r="E44" i="9"/>
  <c r="F43" i="9"/>
  <c r="E43" i="9"/>
  <c r="H42" i="9"/>
  <c r="G42" i="9"/>
  <c r="F42" i="9"/>
  <c r="E42" i="9"/>
  <c r="H41" i="9"/>
  <c r="G41" i="9"/>
  <c r="E41" i="9"/>
  <c r="H40" i="9"/>
  <c r="G40" i="9"/>
  <c r="F40" i="9"/>
  <c r="E40" i="9"/>
  <c r="F39" i="9"/>
  <c r="E39" i="9"/>
  <c r="H38" i="9"/>
  <c r="G38" i="9"/>
  <c r="F38" i="9"/>
  <c r="E38" i="9"/>
  <c r="H37" i="9"/>
  <c r="G37" i="9"/>
  <c r="E37" i="9"/>
  <c r="H36" i="9"/>
  <c r="G36" i="9"/>
  <c r="F36" i="9"/>
  <c r="E36" i="9"/>
  <c r="F35" i="9"/>
  <c r="E35" i="9"/>
  <c r="H34" i="9"/>
  <c r="G34" i="9"/>
  <c r="F34" i="9"/>
  <c r="E34" i="9"/>
  <c r="H33" i="9"/>
  <c r="G33" i="9"/>
  <c r="E33" i="9"/>
  <c r="H32" i="9"/>
  <c r="G32" i="9"/>
  <c r="F32" i="9"/>
  <c r="E32" i="9"/>
  <c r="F31" i="9"/>
  <c r="E31" i="9"/>
  <c r="H30" i="9"/>
  <c r="G30" i="9"/>
  <c r="F30" i="9"/>
  <c r="E30" i="9"/>
  <c r="H29" i="9"/>
  <c r="G29" i="9"/>
  <c r="E29" i="9"/>
  <c r="H28" i="9"/>
  <c r="G28" i="9"/>
  <c r="F28" i="9"/>
  <c r="E28" i="9"/>
  <c r="F27" i="9"/>
  <c r="E27" i="9"/>
  <c r="H26" i="9"/>
  <c r="G26" i="9"/>
  <c r="F26" i="9"/>
  <c r="E26" i="9"/>
  <c r="H25" i="9"/>
  <c r="G25" i="9"/>
  <c r="E25" i="9"/>
  <c r="H24" i="9"/>
  <c r="G24" i="9"/>
  <c r="F24" i="9"/>
  <c r="E24" i="9"/>
  <c r="F23" i="9"/>
  <c r="E23" i="9"/>
  <c r="H22" i="9"/>
  <c r="G22" i="9"/>
  <c r="F22" i="9"/>
  <c r="E22" i="9"/>
  <c r="D22" i="9"/>
  <c r="H21" i="9"/>
  <c r="G21" i="9"/>
  <c r="F21" i="9"/>
  <c r="D21" i="9"/>
  <c r="H20" i="9"/>
  <c r="G20" i="9"/>
  <c r="F20" i="9"/>
  <c r="E20" i="9"/>
  <c r="D20" i="9"/>
  <c r="H19" i="9"/>
  <c r="F19" i="9"/>
  <c r="E19" i="9"/>
  <c r="D19" i="9"/>
  <c r="H18" i="9"/>
  <c r="G18" i="9"/>
  <c r="F18" i="9"/>
  <c r="E18" i="9"/>
  <c r="D18" i="9"/>
  <c r="H17" i="9"/>
  <c r="G17" i="9"/>
  <c r="F17" i="9"/>
  <c r="D17" i="9"/>
  <c r="H16" i="9"/>
  <c r="G16" i="9"/>
  <c r="F16" i="9"/>
  <c r="E16" i="9"/>
  <c r="D16" i="9"/>
  <c r="H15" i="9"/>
  <c r="F15" i="9"/>
  <c r="E15" i="9"/>
  <c r="D15" i="9"/>
  <c r="H14" i="9"/>
  <c r="G14" i="9"/>
  <c r="F14" i="9"/>
  <c r="E14" i="9"/>
  <c r="D14" i="9"/>
  <c r="H13" i="9"/>
  <c r="G13" i="9"/>
  <c r="F13" i="9"/>
  <c r="D13" i="9"/>
  <c r="H12" i="9"/>
  <c r="G12" i="9"/>
  <c r="F12" i="9"/>
  <c r="E12" i="9"/>
  <c r="D12" i="9"/>
  <c r="H11" i="9"/>
  <c r="F11" i="9"/>
  <c r="E11" i="9"/>
  <c r="D11" i="9"/>
  <c r="H10" i="9"/>
  <c r="G10" i="9"/>
  <c r="F10" i="9"/>
  <c r="E10" i="9"/>
  <c r="D10" i="9"/>
  <c r="H9" i="9"/>
  <c r="G9" i="9"/>
  <c r="F9" i="9"/>
  <c r="D9" i="9"/>
  <c r="H8" i="9"/>
  <c r="G8" i="9"/>
  <c r="F8" i="9"/>
  <c r="E8" i="9"/>
  <c r="D8" i="9"/>
  <c r="H7" i="9"/>
  <c r="F7" i="9"/>
  <c r="E7" i="9"/>
  <c r="D7" i="9"/>
  <c r="H127" i="9"/>
  <c r="G127" i="9"/>
  <c r="F127" i="9"/>
  <c r="E127" i="9"/>
  <c r="C127" i="9"/>
  <c r="H126" i="9"/>
  <c r="G126" i="9"/>
  <c r="F126" i="9"/>
  <c r="E126" i="9"/>
  <c r="C126" i="9"/>
  <c r="H125" i="9"/>
  <c r="G125" i="9"/>
  <c r="F125" i="9"/>
  <c r="E125" i="9"/>
  <c r="C125" i="9"/>
  <c r="H124" i="9"/>
  <c r="G124" i="9"/>
  <c r="F124" i="9"/>
  <c r="E124" i="9"/>
  <c r="C124" i="9"/>
  <c r="H123" i="9"/>
  <c r="G123" i="9"/>
  <c r="F123" i="9"/>
  <c r="E123" i="9"/>
  <c r="C123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B5" i="9"/>
  <c r="G6" i="9" s="1"/>
  <c r="C122" i="7"/>
  <c r="C121" i="7"/>
  <c r="H122" i="7"/>
  <c r="G122" i="7"/>
  <c r="F122" i="7"/>
  <c r="E122" i="7"/>
  <c r="D122" i="7"/>
  <c r="H121" i="7"/>
  <c r="G121" i="7"/>
  <c r="F121" i="7"/>
  <c r="E121" i="7"/>
  <c r="D121" i="7"/>
  <c r="H120" i="7"/>
  <c r="G120" i="7"/>
  <c r="F120" i="7"/>
  <c r="E120" i="7"/>
  <c r="D120" i="7"/>
  <c r="F119" i="7"/>
  <c r="E119" i="7"/>
  <c r="H118" i="7"/>
  <c r="G118" i="7"/>
  <c r="F118" i="7"/>
  <c r="E118" i="7"/>
  <c r="D118" i="7"/>
  <c r="H117" i="7"/>
  <c r="G117" i="7"/>
  <c r="D117" i="7"/>
  <c r="H116" i="7"/>
  <c r="G116" i="7"/>
  <c r="F116" i="7"/>
  <c r="E116" i="7"/>
  <c r="D116" i="7"/>
  <c r="H115" i="7"/>
  <c r="F115" i="7"/>
  <c r="E115" i="7"/>
  <c r="D115" i="7"/>
  <c r="H114" i="7"/>
  <c r="G114" i="7"/>
  <c r="F114" i="7"/>
  <c r="E114" i="7"/>
  <c r="D114" i="7"/>
  <c r="H113" i="7"/>
  <c r="G113" i="7"/>
  <c r="F113" i="7"/>
  <c r="D113" i="7"/>
  <c r="H112" i="7"/>
  <c r="G112" i="7"/>
  <c r="F112" i="7"/>
  <c r="E112" i="7"/>
  <c r="D112" i="7"/>
  <c r="H111" i="7"/>
  <c r="F111" i="7"/>
  <c r="E111" i="7"/>
  <c r="D111" i="7"/>
  <c r="H110" i="7"/>
  <c r="G110" i="7"/>
  <c r="F110" i="7"/>
  <c r="E110" i="7"/>
  <c r="D110" i="7"/>
  <c r="H109" i="7"/>
  <c r="G109" i="7"/>
  <c r="F109" i="7"/>
  <c r="E109" i="7"/>
  <c r="D109" i="7"/>
  <c r="H108" i="7"/>
  <c r="G108" i="7"/>
  <c r="F108" i="7"/>
  <c r="E108" i="7"/>
  <c r="D108" i="7"/>
  <c r="H107" i="7"/>
  <c r="G107" i="7"/>
  <c r="F107" i="7"/>
  <c r="E107" i="7"/>
  <c r="D107" i="7"/>
  <c r="H106" i="7"/>
  <c r="G106" i="7"/>
  <c r="F106" i="7"/>
  <c r="E106" i="7"/>
  <c r="D106" i="7"/>
  <c r="H105" i="7"/>
  <c r="G105" i="7"/>
  <c r="F105" i="7"/>
  <c r="E105" i="7"/>
  <c r="D105" i="7"/>
  <c r="H104" i="7"/>
  <c r="G104" i="7"/>
  <c r="F104" i="7"/>
  <c r="E104" i="7"/>
  <c r="D104" i="7"/>
  <c r="H103" i="7"/>
  <c r="G103" i="7"/>
  <c r="F103" i="7"/>
  <c r="E103" i="7"/>
  <c r="D103" i="7"/>
  <c r="H102" i="7"/>
  <c r="G102" i="7"/>
  <c r="F102" i="7"/>
  <c r="E102" i="7"/>
  <c r="D102" i="7"/>
  <c r="H101" i="7"/>
  <c r="G101" i="7"/>
  <c r="F101" i="7"/>
  <c r="E101" i="7"/>
  <c r="D101" i="7"/>
  <c r="H100" i="7"/>
  <c r="G100" i="7"/>
  <c r="F100" i="7"/>
  <c r="E100" i="7"/>
  <c r="D100" i="7"/>
  <c r="H99" i="7"/>
  <c r="G99" i="7"/>
  <c r="F99" i="7"/>
  <c r="E99" i="7"/>
  <c r="D99" i="7"/>
  <c r="H98" i="7"/>
  <c r="G98" i="7"/>
  <c r="F98" i="7"/>
  <c r="E98" i="7"/>
  <c r="D98" i="7"/>
  <c r="H97" i="7"/>
  <c r="G97" i="7"/>
  <c r="F97" i="7"/>
  <c r="E97" i="7"/>
  <c r="D97" i="7"/>
  <c r="H96" i="7"/>
  <c r="G96" i="7"/>
  <c r="F96" i="7"/>
  <c r="E96" i="7"/>
  <c r="D96" i="7"/>
  <c r="H95" i="7"/>
  <c r="G95" i="7"/>
  <c r="F95" i="7"/>
  <c r="E95" i="7"/>
  <c r="D95" i="7"/>
  <c r="H94" i="7"/>
  <c r="G94" i="7"/>
  <c r="F94" i="7"/>
  <c r="E94" i="7"/>
  <c r="D94" i="7"/>
  <c r="H93" i="7"/>
  <c r="G93" i="7"/>
  <c r="F93" i="7"/>
  <c r="E93" i="7"/>
  <c r="D93" i="7"/>
  <c r="H92" i="7"/>
  <c r="G92" i="7"/>
  <c r="F92" i="7"/>
  <c r="E92" i="7"/>
  <c r="D92" i="7"/>
  <c r="H91" i="7"/>
  <c r="G91" i="7"/>
  <c r="F91" i="7"/>
  <c r="E91" i="7"/>
  <c r="D91" i="7"/>
  <c r="H90" i="7"/>
  <c r="G90" i="7"/>
  <c r="F90" i="7"/>
  <c r="E90" i="7"/>
  <c r="D90" i="7"/>
  <c r="H89" i="7"/>
  <c r="G89" i="7"/>
  <c r="F89" i="7"/>
  <c r="E89" i="7"/>
  <c r="D89" i="7"/>
  <c r="H88" i="7"/>
  <c r="G88" i="7"/>
  <c r="F88" i="7"/>
  <c r="E88" i="7"/>
  <c r="D88" i="7"/>
  <c r="H87" i="7"/>
  <c r="G87" i="7"/>
  <c r="F87" i="7"/>
  <c r="E87" i="7"/>
  <c r="D87" i="7"/>
  <c r="H86" i="7"/>
  <c r="G86" i="7"/>
  <c r="F86" i="7"/>
  <c r="E86" i="7"/>
  <c r="D86" i="7"/>
  <c r="H85" i="7"/>
  <c r="G85" i="7"/>
  <c r="F85" i="7"/>
  <c r="E85" i="7"/>
  <c r="D85" i="7"/>
  <c r="H84" i="7"/>
  <c r="G84" i="7"/>
  <c r="F84" i="7"/>
  <c r="E84" i="7"/>
  <c r="D84" i="7"/>
  <c r="H83" i="7"/>
  <c r="G83" i="7"/>
  <c r="F83" i="7"/>
  <c r="E83" i="7"/>
  <c r="D83" i="7"/>
  <c r="H82" i="7"/>
  <c r="G82" i="7"/>
  <c r="F82" i="7"/>
  <c r="E82" i="7"/>
  <c r="D82" i="7"/>
  <c r="H81" i="7"/>
  <c r="G81" i="7"/>
  <c r="F81" i="7"/>
  <c r="E81" i="7"/>
  <c r="D81" i="7"/>
  <c r="H80" i="7"/>
  <c r="G80" i="7"/>
  <c r="F80" i="7"/>
  <c r="E80" i="7"/>
  <c r="D80" i="7"/>
  <c r="H79" i="7"/>
  <c r="G79" i="7"/>
  <c r="F79" i="7"/>
  <c r="E79" i="7"/>
  <c r="D79" i="7"/>
  <c r="H78" i="7"/>
  <c r="G78" i="7"/>
  <c r="F78" i="7"/>
  <c r="E78" i="7"/>
  <c r="D78" i="7"/>
  <c r="H77" i="7"/>
  <c r="G77" i="7"/>
  <c r="F77" i="7"/>
  <c r="E77" i="7"/>
  <c r="D77" i="7"/>
  <c r="H76" i="7"/>
  <c r="G76" i="7"/>
  <c r="F76" i="7"/>
  <c r="E76" i="7"/>
  <c r="D76" i="7"/>
  <c r="H75" i="7"/>
  <c r="G75" i="7"/>
  <c r="F75" i="7"/>
  <c r="E75" i="7"/>
  <c r="D75" i="7"/>
  <c r="H74" i="7"/>
  <c r="G74" i="7"/>
  <c r="F74" i="7"/>
  <c r="E74" i="7"/>
  <c r="D74" i="7"/>
  <c r="H73" i="7"/>
  <c r="G73" i="7"/>
  <c r="F73" i="7"/>
  <c r="E73" i="7"/>
  <c r="D73" i="7"/>
  <c r="H72" i="7"/>
  <c r="G72" i="7"/>
  <c r="F72" i="7"/>
  <c r="E72" i="7"/>
  <c r="D72" i="7"/>
  <c r="H71" i="7"/>
  <c r="G71" i="7"/>
  <c r="F71" i="7"/>
  <c r="E71" i="7"/>
  <c r="D71" i="7"/>
  <c r="H70" i="7"/>
  <c r="G70" i="7"/>
  <c r="F70" i="7"/>
  <c r="E70" i="7"/>
  <c r="D70" i="7"/>
  <c r="H69" i="7"/>
  <c r="G69" i="7"/>
  <c r="F69" i="7"/>
  <c r="E69" i="7"/>
  <c r="D69" i="7"/>
  <c r="H68" i="7"/>
  <c r="G68" i="7"/>
  <c r="F68" i="7"/>
  <c r="E68" i="7"/>
  <c r="D68" i="7"/>
  <c r="H67" i="7"/>
  <c r="G67" i="7"/>
  <c r="F67" i="7"/>
  <c r="E67" i="7"/>
  <c r="D67" i="7"/>
  <c r="H66" i="7"/>
  <c r="G66" i="7"/>
  <c r="F66" i="7"/>
  <c r="E66" i="7"/>
  <c r="D66" i="7"/>
  <c r="H65" i="7"/>
  <c r="G65" i="7"/>
  <c r="F65" i="7"/>
  <c r="E65" i="7"/>
  <c r="D65" i="7"/>
  <c r="H64" i="7"/>
  <c r="G64" i="7"/>
  <c r="F64" i="7"/>
  <c r="E64" i="7"/>
  <c r="D64" i="7"/>
  <c r="H63" i="7"/>
  <c r="G63" i="7"/>
  <c r="F63" i="7"/>
  <c r="E63" i="7"/>
  <c r="D63" i="7"/>
  <c r="H62" i="7"/>
  <c r="G62" i="7"/>
  <c r="F62" i="7"/>
  <c r="E62" i="7"/>
  <c r="D62" i="7"/>
  <c r="H61" i="7"/>
  <c r="G61" i="7"/>
  <c r="F61" i="7"/>
  <c r="E61" i="7"/>
  <c r="D61" i="7"/>
  <c r="H60" i="7"/>
  <c r="G60" i="7"/>
  <c r="F60" i="7"/>
  <c r="E60" i="7"/>
  <c r="D60" i="7"/>
  <c r="H59" i="7"/>
  <c r="G59" i="7"/>
  <c r="F59" i="7"/>
  <c r="E59" i="7"/>
  <c r="D59" i="7"/>
  <c r="H58" i="7"/>
  <c r="G58" i="7"/>
  <c r="F58" i="7"/>
  <c r="E58" i="7"/>
  <c r="D58" i="7"/>
  <c r="H57" i="7"/>
  <c r="G57" i="7"/>
  <c r="F57" i="7"/>
  <c r="E57" i="7"/>
  <c r="D57" i="7"/>
  <c r="H56" i="7"/>
  <c r="G56" i="7"/>
  <c r="F56" i="7"/>
  <c r="E56" i="7"/>
  <c r="D56" i="7"/>
  <c r="H55" i="7"/>
  <c r="G55" i="7"/>
  <c r="F55" i="7"/>
  <c r="E55" i="7"/>
  <c r="D55" i="7"/>
  <c r="H54" i="7"/>
  <c r="G54" i="7"/>
  <c r="F54" i="7"/>
  <c r="E54" i="7"/>
  <c r="D54" i="7"/>
  <c r="H53" i="7"/>
  <c r="G53" i="7"/>
  <c r="F53" i="7"/>
  <c r="E53" i="7"/>
  <c r="D53" i="7"/>
  <c r="H52" i="7"/>
  <c r="G52" i="7"/>
  <c r="F52" i="7"/>
  <c r="E52" i="7"/>
  <c r="D52" i="7"/>
  <c r="H51" i="7"/>
  <c r="G51" i="7"/>
  <c r="F51" i="7"/>
  <c r="E51" i="7"/>
  <c r="D51" i="7"/>
  <c r="H50" i="7"/>
  <c r="G50" i="7"/>
  <c r="F50" i="7"/>
  <c r="E50" i="7"/>
  <c r="D50" i="7"/>
  <c r="H49" i="7"/>
  <c r="G49" i="7"/>
  <c r="F49" i="7"/>
  <c r="E49" i="7"/>
  <c r="D49" i="7"/>
  <c r="H48" i="7"/>
  <c r="G48" i="7"/>
  <c r="F48" i="7"/>
  <c r="E48" i="7"/>
  <c r="D48" i="7"/>
  <c r="H47" i="7"/>
  <c r="G47" i="7"/>
  <c r="F47" i="7"/>
  <c r="E47" i="7"/>
  <c r="D47" i="7"/>
  <c r="H46" i="7"/>
  <c r="G46" i="7"/>
  <c r="F46" i="7"/>
  <c r="E46" i="7"/>
  <c r="D46" i="7"/>
  <c r="H45" i="7"/>
  <c r="G45" i="7"/>
  <c r="F45" i="7"/>
  <c r="E45" i="7"/>
  <c r="D45" i="7"/>
  <c r="H44" i="7"/>
  <c r="G44" i="7"/>
  <c r="F44" i="7"/>
  <c r="E44" i="7"/>
  <c r="D44" i="7"/>
  <c r="H43" i="7"/>
  <c r="G43" i="7"/>
  <c r="F43" i="7"/>
  <c r="E43" i="7"/>
  <c r="D43" i="7"/>
  <c r="H42" i="7"/>
  <c r="G42" i="7"/>
  <c r="F42" i="7"/>
  <c r="E42" i="7"/>
  <c r="D42" i="7"/>
  <c r="H41" i="7"/>
  <c r="G41" i="7"/>
  <c r="F41" i="7"/>
  <c r="E41" i="7"/>
  <c r="D41" i="7"/>
  <c r="H40" i="7"/>
  <c r="G40" i="7"/>
  <c r="F40" i="7"/>
  <c r="E40" i="7"/>
  <c r="D40" i="7"/>
  <c r="H39" i="7"/>
  <c r="G39" i="7"/>
  <c r="F39" i="7"/>
  <c r="E39" i="7"/>
  <c r="D39" i="7"/>
  <c r="H38" i="7"/>
  <c r="G38" i="7"/>
  <c r="F38" i="7"/>
  <c r="E38" i="7"/>
  <c r="D38" i="7"/>
  <c r="H37" i="7"/>
  <c r="G37" i="7"/>
  <c r="F37" i="7"/>
  <c r="E37" i="7"/>
  <c r="D37" i="7"/>
  <c r="H36" i="7"/>
  <c r="G36" i="7"/>
  <c r="F36" i="7"/>
  <c r="E36" i="7"/>
  <c r="D36" i="7"/>
  <c r="H35" i="7"/>
  <c r="G35" i="7"/>
  <c r="F35" i="7"/>
  <c r="E35" i="7"/>
  <c r="D35" i="7"/>
  <c r="H34" i="7"/>
  <c r="G34" i="7"/>
  <c r="F34" i="7"/>
  <c r="E34" i="7"/>
  <c r="D34" i="7"/>
  <c r="H33" i="7"/>
  <c r="G33" i="7"/>
  <c r="F33" i="7"/>
  <c r="E33" i="7"/>
  <c r="D33" i="7"/>
  <c r="H32" i="7"/>
  <c r="G32" i="7"/>
  <c r="F32" i="7"/>
  <c r="E32" i="7"/>
  <c r="D32" i="7"/>
  <c r="H31" i="7"/>
  <c r="G31" i="7"/>
  <c r="F31" i="7"/>
  <c r="E31" i="7"/>
  <c r="D31" i="7"/>
  <c r="H30" i="7"/>
  <c r="G30" i="7"/>
  <c r="F30" i="7"/>
  <c r="E30" i="7"/>
  <c r="D30" i="7"/>
  <c r="H29" i="7"/>
  <c r="G29" i="7"/>
  <c r="F29" i="7"/>
  <c r="E29" i="7"/>
  <c r="D29" i="7"/>
  <c r="H28" i="7"/>
  <c r="G28" i="7"/>
  <c r="F28" i="7"/>
  <c r="E28" i="7"/>
  <c r="D28" i="7"/>
  <c r="H27" i="7"/>
  <c r="G27" i="7"/>
  <c r="F27" i="7"/>
  <c r="E27" i="7"/>
  <c r="D27" i="7"/>
  <c r="H26" i="7"/>
  <c r="G26" i="7"/>
  <c r="F26" i="7"/>
  <c r="E26" i="7"/>
  <c r="D26" i="7"/>
  <c r="H25" i="7"/>
  <c r="G25" i="7"/>
  <c r="F25" i="7"/>
  <c r="E25" i="7"/>
  <c r="D25" i="7"/>
  <c r="H24" i="7"/>
  <c r="G24" i="7"/>
  <c r="F24" i="7"/>
  <c r="E24" i="7"/>
  <c r="D24" i="7"/>
  <c r="H23" i="7"/>
  <c r="G23" i="7"/>
  <c r="F23" i="7"/>
  <c r="E23" i="7"/>
  <c r="D23" i="7"/>
  <c r="H22" i="7"/>
  <c r="G22" i="7"/>
  <c r="F22" i="7"/>
  <c r="E22" i="7"/>
  <c r="D22" i="7"/>
  <c r="H21" i="7"/>
  <c r="G21" i="7"/>
  <c r="F21" i="7"/>
  <c r="E21" i="7"/>
  <c r="D21" i="7"/>
  <c r="H20" i="7"/>
  <c r="G20" i="7"/>
  <c r="F20" i="7"/>
  <c r="E20" i="7"/>
  <c r="D20" i="7"/>
  <c r="H19" i="7"/>
  <c r="G19" i="7"/>
  <c r="F19" i="7"/>
  <c r="E19" i="7"/>
  <c r="D19" i="7"/>
  <c r="H18" i="7"/>
  <c r="G18" i="7"/>
  <c r="F18" i="7"/>
  <c r="E18" i="7"/>
  <c r="D18" i="7"/>
  <c r="H17" i="7"/>
  <c r="G17" i="7"/>
  <c r="F17" i="7"/>
  <c r="E17" i="7"/>
  <c r="D17" i="7"/>
  <c r="H16" i="7"/>
  <c r="G16" i="7"/>
  <c r="F16" i="7"/>
  <c r="E16" i="7"/>
  <c r="D16" i="7"/>
  <c r="H15" i="7"/>
  <c r="G15" i="7"/>
  <c r="F15" i="7"/>
  <c r="E15" i="7"/>
  <c r="D15" i="7"/>
  <c r="H14" i="7"/>
  <c r="G14" i="7"/>
  <c r="F14" i="7"/>
  <c r="E14" i="7"/>
  <c r="D14" i="7"/>
  <c r="H13" i="7"/>
  <c r="G13" i="7"/>
  <c r="F13" i="7"/>
  <c r="E13" i="7"/>
  <c r="D13" i="7"/>
  <c r="H12" i="7"/>
  <c r="G12" i="7"/>
  <c r="F12" i="7"/>
  <c r="E12" i="7"/>
  <c r="D12" i="7"/>
  <c r="H11" i="7"/>
  <c r="G11" i="7"/>
  <c r="F11" i="7"/>
  <c r="E11" i="7"/>
  <c r="D11" i="7"/>
  <c r="H10" i="7"/>
  <c r="G10" i="7"/>
  <c r="F10" i="7"/>
  <c r="E10" i="7"/>
  <c r="D10" i="7"/>
  <c r="H9" i="7"/>
  <c r="G9" i="7"/>
  <c r="F9" i="7"/>
  <c r="E9" i="7"/>
  <c r="D9" i="7"/>
  <c r="H8" i="7"/>
  <c r="G8" i="7"/>
  <c r="F8" i="7"/>
  <c r="E8" i="7"/>
  <c r="D8" i="7"/>
  <c r="H7" i="7"/>
  <c r="G7" i="7"/>
  <c r="F7" i="7"/>
  <c r="E7" i="7"/>
  <c r="D7" i="7"/>
  <c r="I129" i="29" l="1"/>
  <c r="E129" i="29"/>
  <c r="G128" i="29"/>
  <c r="H129" i="29"/>
  <c r="D129" i="29"/>
  <c r="F128" i="29"/>
  <c r="G129" i="29"/>
  <c r="I128" i="29"/>
  <c r="E128" i="29"/>
  <c r="F129" i="29"/>
  <c r="H128" i="29"/>
  <c r="D128" i="29"/>
  <c r="C6" i="12"/>
  <c r="D8" i="13" s="1"/>
  <c r="G6" i="12"/>
  <c r="E5" i="12"/>
  <c r="H6" i="9"/>
  <c r="C5" i="9"/>
  <c r="B7" i="13" s="1"/>
  <c r="G5" i="9"/>
  <c r="E6" i="9"/>
  <c r="F5" i="12"/>
  <c r="D6" i="12"/>
  <c r="H6" i="12"/>
  <c r="D6" i="9"/>
  <c r="D5" i="9"/>
  <c r="H5" i="9"/>
  <c r="C7" i="13" s="1"/>
  <c r="F6" i="9"/>
  <c r="C5" i="12"/>
  <c r="D7" i="13" s="1"/>
  <c r="G5" i="12"/>
  <c r="E6" i="12"/>
  <c r="F5" i="9"/>
  <c r="E5" i="9"/>
  <c r="C6" i="9"/>
  <c r="B8" i="13" s="1"/>
  <c r="D5" i="12"/>
  <c r="H5" i="12"/>
  <c r="E7" i="13" s="1"/>
  <c r="E8" i="13" l="1"/>
  <c r="C8" i="13"/>
  <c r="A8" i="7"/>
  <c r="A9" i="7" s="1"/>
  <c r="A7" i="7"/>
  <c r="B5" i="7"/>
  <c r="C91" i="2"/>
  <c r="D91" i="2"/>
  <c r="E91" i="2"/>
  <c r="F91" i="2"/>
  <c r="G91" i="2"/>
  <c r="H91" i="2"/>
  <c r="I91" i="2"/>
  <c r="J91" i="2"/>
  <c r="K91" i="2"/>
  <c r="L91" i="2"/>
  <c r="M91" i="2"/>
  <c r="N91" i="2"/>
  <c r="K76" i="2"/>
  <c r="G76" i="2"/>
  <c r="C76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90" i="2"/>
  <c r="D90" i="2"/>
  <c r="E90" i="2"/>
  <c r="F90" i="2"/>
  <c r="G90" i="2"/>
  <c r="H90" i="2"/>
  <c r="I90" i="2"/>
  <c r="J90" i="2"/>
  <c r="K90" i="2"/>
  <c r="L90" i="2"/>
  <c r="M90" i="2"/>
  <c r="N90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80" i="2"/>
  <c r="D80" i="2"/>
  <c r="E80" i="2"/>
  <c r="F80" i="2"/>
  <c r="G80" i="2"/>
  <c r="H80" i="2"/>
  <c r="I80" i="2"/>
  <c r="J80" i="2"/>
  <c r="K80" i="2"/>
  <c r="L80" i="2"/>
  <c r="M80" i="2"/>
  <c r="N80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3" i="2"/>
  <c r="D83" i="2"/>
  <c r="E83" i="2"/>
  <c r="F83" i="2"/>
  <c r="G83" i="2"/>
  <c r="H83" i="2"/>
  <c r="I83" i="2"/>
  <c r="J83" i="2"/>
  <c r="K83" i="2"/>
  <c r="L83" i="2"/>
  <c r="M83" i="2"/>
  <c r="N83" i="2"/>
  <c r="C84" i="2"/>
  <c r="D84" i="2"/>
  <c r="E84" i="2"/>
  <c r="F84" i="2"/>
  <c r="G84" i="2"/>
  <c r="H84" i="2"/>
  <c r="I84" i="2"/>
  <c r="J84" i="2"/>
  <c r="K84" i="2"/>
  <c r="L84" i="2"/>
  <c r="M84" i="2"/>
  <c r="N84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K92" i="2"/>
  <c r="L92" i="2"/>
  <c r="M92" i="2"/>
  <c r="N92" i="2"/>
  <c r="D92" i="2"/>
  <c r="E92" i="2"/>
  <c r="F92" i="2"/>
  <c r="G92" i="2"/>
  <c r="H92" i="2"/>
  <c r="I92" i="2"/>
  <c r="J92" i="2"/>
  <c r="G6" i="7" l="1"/>
  <c r="E6" i="7"/>
  <c r="C6" i="7"/>
  <c r="H5" i="7"/>
  <c r="G5" i="7"/>
  <c r="E5" i="7"/>
  <c r="F5" i="7"/>
  <c r="D6" i="7"/>
  <c r="H6" i="7"/>
  <c r="F6" i="7"/>
  <c r="D5" i="7"/>
  <c r="C5" i="7"/>
  <c r="A10" i="7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0" i="7" l="1"/>
  <c r="A31" i="7" l="1"/>
  <c r="A32" i="7" l="1"/>
  <c r="A33" i="7" l="1"/>
  <c r="A34" i="7" l="1"/>
  <c r="A35" i="7" l="1"/>
  <c r="A36" i="7" l="1"/>
  <c r="A37" i="7" l="1"/>
  <c r="A38" i="7" l="1"/>
  <c r="A39" i="7" l="1"/>
  <c r="A40" i="7" l="1"/>
  <c r="A41" i="7" l="1"/>
  <c r="A42" i="7" l="1"/>
  <c r="A43" i="7" l="1"/>
  <c r="A44" i="7" l="1"/>
  <c r="A45" i="7" l="1"/>
  <c r="A46" i="7" l="1"/>
  <c r="A47" i="7" l="1"/>
  <c r="A48" i="7" l="1"/>
  <c r="A49" i="7" l="1"/>
  <c r="A50" i="7" l="1"/>
  <c r="A51" i="7" l="1"/>
  <c r="A52" i="7" l="1"/>
  <c r="A53" i="7" l="1"/>
  <c r="A54" i="7" l="1"/>
  <c r="A55" i="7" l="1"/>
  <c r="A56" i="7" l="1"/>
  <c r="A57" i="7" l="1"/>
  <c r="A58" i="7" l="1"/>
  <c r="A59" i="7" l="1"/>
  <c r="A60" i="7" l="1"/>
  <c r="A61" i="7" l="1"/>
  <c r="A62" i="7" l="1"/>
  <c r="A63" i="7" l="1"/>
  <c r="A64" i="7" l="1"/>
  <c r="A65" i="7" l="1"/>
  <c r="A66" i="7" l="1"/>
  <c r="A67" i="7" l="1"/>
  <c r="A68" i="7" l="1"/>
  <c r="A69" i="7" l="1"/>
  <c r="A70" i="7" l="1"/>
  <c r="A71" i="7" l="1"/>
  <c r="A72" i="7" l="1"/>
  <c r="A73" i="7" l="1"/>
  <c r="A74" i="7" l="1"/>
  <c r="A75" i="7" l="1"/>
  <c r="A76" i="7" l="1"/>
  <c r="A77" i="7" l="1"/>
  <c r="A78" i="7" l="1"/>
  <c r="A79" i="7" l="1"/>
  <c r="A80" i="7" l="1"/>
  <c r="A81" i="7" l="1"/>
  <c r="A82" i="7" l="1"/>
  <c r="A83" i="7" l="1"/>
  <c r="A84" i="7" l="1"/>
  <c r="A85" i="7" l="1"/>
  <c r="A86" i="7" l="1"/>
  <c r="A87" i="7" l="1"/>
  <c r="A88" i="7" l="1"/>
  <c r="A89" i="7" l="1"/>
  <c r="A90" i="7" l="1"/>
  <c r="A91" i="7" l="1"/>
  <c r="A92" i="7" l="1"/>
  <c r="A93" i="7" l="1"/>
  <c r="A94" i="7" l="1"/>
  <c r="A95" i="7" l="1"/>
  <c r="A96" i="7" l="1"/>
  <c r="A97" i="7" l="1"/>
  <c r="A98" i="7" l="1"/>
  <c r="A99" i="7" l="1"/>
  <c r="A100" i="7" l="1"/>
  <c r="A101" i="7" l="1"/>
  <c r="A102" i="7" l="1"/>
  <c r="A103" i="7" l="1"/>
  <c r="A104" i="7" l="1"/>
  <c r="A105" i="7" l="1"/>
  <c r="A106" i="7" l="1"/>
  <c r="A107" i="7" l="1"/>
  <c r="A108" i="7" l="1"/>
  <c r="A109" i="7" l="1"/>
  <c r="A110" i="7" l="1"/>
  <c r="A111" i="7" l="1"/>
  <c r="A112" i="7" l="1"/>
  <c r="A113" i="7" l="1"/>
  <c r="A114" i="7" l="1"/>
  <c r="A115" i="7" l="1"/>
  <c r="A116" i="7" l="1"/>
  <c r="A117" i="7" l="1"/>
  <c r="A118" i="7" l="1"/>
  <c r="A119" i="7" l="1"/>
  <c r="A120" i="7" l="1"/>
  <c r="A121" i="7" l="1"/>
  <c r="A122" i="7" l="1"/>
  <c r="G23" i="12" l="1"/>
  <c r="H23" i="12"/>
  <c r="G24" i="12"/>
  <c r="H24" i="1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<sst xmlns="http://schemas.openxmlformats.org/spreadsheetml/2006/main" count="5271" uniqueCount="595">
  <si>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</si>
  <si>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</si>
  <si>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</si>
  <si>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</si>
  <si>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</si>
  <si>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</si>
  <si>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</si>
  <si>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</si>
  <si>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</si>
  <si>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</si>
  <si>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</si>
  <si>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</si>
  <si>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</si>
  <si>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</si>
  <si>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</si>
  <si>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</si>
  <si>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</si>
  <si>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</si>
  <si>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</si>
  <si>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</si>
  <si>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</si>
  <si>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</si>
  <si>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</si>
  <si>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</si>
  <si>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</si>
  <si>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</si>
  <si>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</si>
  <si>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</si>
  <si>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</si>
  <si>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</si>
  <si>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</si>
  <si>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</si>
  <si>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</si>
  <si>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</si>
  <si>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</si>
  <si>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</si>
  <si>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</si>
  <si>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</si>
  <si>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</si>
  <si>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</si>
  <si>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</si>
  <si>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</si>
  <si>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</si>
  <si>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</si>
  <si>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</si>
  <si>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</si>
  <si>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</si>
  <si>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</si>
  <si>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</si>
  <si>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</si>
  <si>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</si>
  <si>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</si>
  <si>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</si>
  <si>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</si>
  <si>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</si>
  <si>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</si>
  <si>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</si>
  <si>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</si>
  <si>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</si>
  <si>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</si>
  <si>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</si>
  <si>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</si>
  <si>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</si>
  <si>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</si>
  <si>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</si>
  <si>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</si>
  <si>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</si>
  <si>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</si>
  <si>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</si>
  <si>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</si>
  <si>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</si>
  <si>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</si>
  <si>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</si>
  <si>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</si>
  <si>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</si>
  <si>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</si>
  <si>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</si>
  <si>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</si>
  <si>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</si>
  <si>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</si>
  <si>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</si>
  <si>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</si>
  <si>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</si>
  <si>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</si>
  <si>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</si>
  <si>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</si>
  <si>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</si>
  <si>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</si>
  <si>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</si>
  <si>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</si>
  <si>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</si>
  <si>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</si>
  <si>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</si>
  <si>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</si>
  <si>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</si>
  <si>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</si>
  <si>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</si>
  <si>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</si>
  <si>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</si>
  <si>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</si>
  <si>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</si>
  <si>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</si>
  <si>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</si>
  <si>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</si>
  <si>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</si>
  <si>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</si>
  <si>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</si>
  <si>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</si>
  <si>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</si>
  <si>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</si>
  <si>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</si>
  <si>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</si>
  <si>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</si>
  <si>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</si>
  <si>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</si>
  <si>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</si>
  <si>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</si>
  <si>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</si>
  <si>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</si>
  <si>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</si>
  <si>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</si>
  <si>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</si>
  <si>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</si>
  <si>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</si>
  <si>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</si>
  <si>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</si>
  <si>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</si>
  <si>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</si>
  <si>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</si>
  <si>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</si>
  <si>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</si>
  <si>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</si>
  <si>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</si>
  <si>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</si>
  <si>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</si>
  <si>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</si>
  <si>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</si>
  <si>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</si>
  <si>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</si>
  <si>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</si>
  <si>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</si>
  <si>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</si>
  <si>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</si>
  <si>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</si>
  <si>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</si>
  <si>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</si>
  <si>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</si>
  <si>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</si>
  <si>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</si>
  <si>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</si>
  <si>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</si>
  <si>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</si>
  <si>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</si>
  <si>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</si>
  <si>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</si>
  <si>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</si>
  <si>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</si>
  <si>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</si>
  <si>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</si>
  <si>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</si>
  <si>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</si>
  <si>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</si>
  <si>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</si>
  <si>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</si>
  <si>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</si>
  <si>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</si>
  <si>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</si>
  <si>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</si>
  <si>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</si>
  <si>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</si>
  <si>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</si>
  <si>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</si>
  <si>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</si>
  <si>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</si>
  <si>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</si>
  <si>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</si>
  <si>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</si>
  <si>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</si>
  <si>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</si>
  <si>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</si>
  <si>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</si>
  <si>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</si>
  <si>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</si>
  <si>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</si>
  <si>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</si>
  <si>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</si>
  <si>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</si>
  <si>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</si>
  <si>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</si>
  <si>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</si>
  <si>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</si>
  <si>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</si>
  <si>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==========================</t>
  </si>
  <si>
    <t>==============================</t>
  </si>
  <si>
    <t>------------------------------</t>
  </si>
  <si>
    <t>--------------------------</t>
  </si>
  <si>
    <t>0.018*</t>
  </si>
  <si>
    <t>factor(year)2017</t>
  </si>
  <si>
    <t>0.055***</t>
  </si>
  <si>
    <t>0.025***</t>
  </si>
  <si>
    <t>factor(year)2018</t>
  </si>
  <si>
    <t>0.044***</t>
  </si>
  <si>
    <t>0.037***</t>
  </si>
  <si>
    <t>factor(year)2019</t>
  </si>
  <si>
    <t>factor(year)2020</t>
  </si>
  <si>
    <t>factor(year)2021</t>
  </si>
  <si>
    <t>0.085***</t>
  </si>
  <si>
    <t>0.071***</t>
  </si>
  <si>
    <t>0.076***</t>
  </si>
  <si>
    <t>factor(year)2022</t>
  </si>
  <si>
    <t>0.101***</t>
  </si>
  <si>
    <t>factor(year)2023</t>
  </si>
  <si>
    <t>0.086***</t>
  </si>
  <si>
    <t>0.015***</t>
  </si>
  <si>
    <t>-0.121***</t>
  </si>
  <si>
    <t>-0.112***</t>
  </si>
  <si>
    <t>-0.068***</t>
  </si>
  <si>
    <t>0.0003***</t>
  </si>
  <si>
    <t>0.0002***</t>
  </si>
  <si>
    <t>-0.056***</t>
  </si>
  <si>
    <t>-0.044***</t>
  </si>
  <si>
    <t>factor(cond)Excellent</t>
  </si>
  <si>
    <t>factor(cond)Above Average</t>
  </si>
  <si>
    <t>0.068***</t>
  </si>
  <si>
    <t>0.052***</t>
  </si>
  <si>
    <t>factor(cond)Fair</t>
  </si>
  <si>
    <t>-0.054***</t>
  </si>
  <si>
    <t>-0.055***</t>
  </si>
  <si>
    <t>0.042***</t>
  </si>
  <si>
    <t>0.020***</t>
  </si>
  <si>
    <t>-0.057***</t>
  </si>
  <si>
    <t>-0.071***</t>
  </si>
  <si>
    <t>-0.137***</t>
  </si>
  <si>
    <t>-0.118***</t>
  </si>
  <si>
    <t>-0.115***</t>
  </si>
  <si>
    <t>-0.141***</t>
  </si>
  <si>
    <t>-0.101***</t>
  </si>
  <si>
    <t>factor(LUC)Agriculture</t>
  </si>
  <si>
    <t>factor(LUC)Apartment-HD</t>
  </si>
  <si>
    <t>-0.042***</t>
  </si>
  <si>
    <t>-0.095***</t>
  </si>
  <si>
    <t>factor(LUC)Apartment-LD</t>
  </si>
  <si>
    <t>-0.063***</t>
  </si>
  <si>
    <t>factor(LUC)Apartment-MD</t>
  </si>
  <si>
    <t>factor(LUC)Business</t>
  </si>
  <si>
    <t>factor(LUC)Other</t>
  </si>
  <si>
    <t>0.056***</t>
  </si>
  <si>
    <t>factor(LUC)Resort</t>
  </si>
  <si>
    <t>0.350***</t>
  </si>
  <si>
    <t>0.0001***</t>
  </si>
  <si>
    <t>-0.011***</t>
  </si>
  <si>
    <t>0.017***</t>
  </si>
  <si>
    <t>-0.010***</t>
  </si>
  <si>
    <t>-0.007***</t>
  </si>
  <si>
    <t>-0.009***</t>
  </si>
  <si>
    <t>-0.006***</t>
  </si>
  <si>
    <t>-0.001***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</si>
  <si>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</si>
  <si>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</si>
  <si>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</si>
  <si>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</si>
  <si>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</si>
  <si>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</si>
  <si>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</si>
  <si>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</si>
  <si>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</si>
  <si>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</si>
  <si>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</si>
  <si>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</si>
  <si>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</si>
  <si>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</si>
  <si>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Coefficient</t>
  </si>
  <si>
    <t>Regression on LN of Real Closing Price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</si>
  <si>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</si>
  <si>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</si>
  <si>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</si>
  <si>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</si>
  <si>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</si>
  <si>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</si>
  <si>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</si>
  <si>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</si>
  <si>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</si>
  <si>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</si>
  <si>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</si>
  <si>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</si>
  <si>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</si>
  <si>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</si>
  <si>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</si>
  <si>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</si>
  <si>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</si>
  <si>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</si>
  <si>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</si>
  <si>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</si>
  <si>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</si>
  <si>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</si>
  <si>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</si>
  <si>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</si>
  <si>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</si>
  <si>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</si>
  <si>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</si>
  <si>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</si>
  <si>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</si>
  <si>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Significant Dots</t>
  </si>
  <si>
    <t>(6)</t>
  </si>
  <si>
    <t>Regression on LN of Real Closing Price; Standard Errors Clustered by Zip Code</t>
  </si>
  <si>
    <t>Regression on LN of Real Closing Price; Standard Errors Clustered by Zip Code; Restricted Sample</t>
  </si>
  <si>
    <t>Restricted Sample (First Sale)</t>
  </si>
  <si>
    <t>Restricted Sample (Last Sale)</t>
  </si>
  <si>
    <t>Regression on LN of Real Closing Price; Standard Errors Clustered by Zip Code; Restricted Sample (First Sale)</t>
  </si>
  <si>
    <t>956,534.00</t>
  </si>
  <si>
    <t>===========================</t>
  </si>
  <si>
    <t>Depend</t>
  </si>
  <si>
    <t>ent variable:</t>
  </si>
  <si>
    <t>l</t>
  </si>
  <si>
    <t>n.r.close</t>
  </si>
  <si>
    <t>---------------------------</t>
  </si>
  <si>
    <t>0.064***</t>
  </si>
  <si>
    <t>0.001***</t>
  </si>
  <si>
    <t>(7)</t>
  </si>
  <si>
    <t>Clustered Standard Errors (Zip Code)</t>
  </si>
  <si>
    <t>Most Recent Price Retained</t>
  </si>
  <si>
    <t>Earlist Price Retained</t>
  </si>
  <si>
    <t>Full Controls</t>
  </si>
  <si>
    <t>No</t>
  </si>
  <si>
    <t>Yes</t>
  </si>
  <si>
    <t>Table Three</t>
  </si>
  <si>
    <t>Estimate</t>
  </si>
  <si>
    <t>Pr(&gt;|z|)</t>
  </si>
  <si>
    <t>Std. Error</t>
  </si>
  <si>
    <t>z value</t>
  </si>
  <si>
    <t>lag.Covid</t>
  </si>
  <si>
    <t>lag.DOM</t>
  </si>
  <si>
    <t>lag.factor(year)2017</t>
  </si>
  <si>
    <t>lag.factor(year)2018</t>
  </si>
  <si>
    <t>lag.factor(year)2019</t>
  </si>
  <si>
    <t>lag.factor(year)2020</t>
  </si>
  <si>
    <t>lag.factor(year)2021</t>
  </si>
  <si>
    <t>lag.factor(year)2022</t>
  </si>
  <si>
    <t>lag.factor(year)2023</t>
  </si>
  <si>
    <t>lag.BedsTotal</t>
  </si>
  <si>
    <t>lag.BathsFull</t>
  </si>
  <si>
    <t>lag.BathsHalf</t>
  </si>
  <si>
    <t>lag.StoriesTwo</t>
  </si>
  <si>
    <t>lag.StoriesMulti</t>
  </si>
  <si>
    <t>lag.SqftTotal</t>
  </si>
  <si>
    <t>lag.Age</t>
  </si>
  <si>
    <t>lag.Age2</t>
  </si>
  <si>
    <t>lag.Basement</t>
  </si>
  <si>
    <t>lag.factor(cond)Excellent</t>
  </si>
  <si>
    <t>lag.factor(cond)Above Average</t>
  </si>
  <si>
    <t>lag.factor(cond)Fair</t>
  </si>
  <si>
    <t>lag.Split</t>
  </si>
  <si>
    <t>lag.PUD</t>
  </si>
  <si>
    <t>lag.LowRise</t>
  </si>
  <si>
    <t>lag.HighRise</t>
  </si>
  <si>
    <t>lag.Townhouse</t>
  </si>
  <si>
    <t>lag.Condotel</t>
  </si>
  <si>
    <t>lag.Duplex</t>
  </si>
  <si>
    <t>lag.WalkUP</t>
  </si>
  <si>
    <t>lag.factor(LUC)Agriculture</t>
  </si>
  <si>
    <t>lag.factor(LUC)Apartment-HD</t>
  </si>
  <si>
    <t>lag.factor(LUC)Apartment-LD</t>
  </si>
  <si>
    <t>lag.factor(LUC)Apartment-MD</t>
  </si>
  <si>
    <t>lag.factor(LUC)Business</t>
  </si>
  <si>
    <t>lag.factor(LUC)Other</t>
  </si>
  <si>
    <t>lag.factor(LUC)Resort</t>
  </si>
  <si>
    <t>lag.Parking1</t>
  </si>
  <si>
    <t>lag.Parking2</t>
  </si>
  <si>
    <t>lag.Parking3</t>
  </si>
  <si>
    <t>lag.Parking4</t>
  </si>
  <si>
    <t>lag.Parking5 or More</t>
  </si>
  <si>
    <t>lag.HOA</t>
  </si>
  <si>
    <t>lag.remod</t>
  </si>
  <si>
    <t>lag.Elevator</t>
  </si>
  <si>
    <t>lag.beach</t>
  </si>
  <si>
    <t>lag.park</t>
  </si>
  <si>
    <t>lag.hospital</t>
  </si>
  <si>
    <t>lag.airport</t>
  </si>
  <si>
    <t>lag.elem_sch</t>
  </si>
  <si>
    <t>lag.mid_sch</t>
  </si>
  <si>
    <t>lag.high_sch</t>
  </si>
  <si>
    <t>lag.per_black</t>
  </si>
  <si>
    <t>lag.per_asian</t>
  </si>
  <si>
    <t>lag.per_hawaian</t>
  </si>
  <si>
    <t>lag.per_owner</t>
  </si>
  <si>
    <t>lag.per_occupied</t>
  </si>
  <si>
    <t>Approximate (numerical Hessian) standard error: 0.0080734</t>
  </si>
  <si>
    <t xml:space="preserve">    z-value: 94.352, p-value: &lt; 2.22e-16</t>
  </si>
  <si>
    <t>Wald statistic: 8902.3, p-value: &lt; 2.22e-16</t>
  </si>
  <si>
    <t>Log likelihood: 6787.113 for mixed model</t>
  </si>
  <si>
    <t>ML residual variance (sigma squared): 0.027735, (sigma: 0.16654)</t>
  </si>
  <si>
    <t xml:space="preserve">Number of observations: 19252 </t>
  </si>
  <si>
    <t xml:space="preserve">Number of parameters estimated: 115 </t>
  </si>
  <si>
    <t>AIC: -13344, (AIC for lm: -7587.5)</t>
  </si>
  <si>
    <t>LR test value: 5758.7,</t>
  </si>
  <si>
    <t>p-value: &lt; 2.22e-16</t>
  </si>
  <si>
    <t>Direct</t>
  </si>
  <si>
    <t>Indirect</t>
  </si>
  <si>
    <t>Total</t>
  </si>
  <si>
    <t>Table Four</t>
  </si>
  <si>
    <t>Rho</t>
  </si>
  <si>
    <t>***</t>
  </si>
  <si>
    <t>Lagged Coef.</t>
  </si>
  <si>
    <t>LogLike</t>
  </si>
  <si>
    <t>AIC</t>
  </si>
  <si>
    <t>Spatial Durbin Regression on LN of Real Closing Price</t>
  </si>
  <si>
    <t>k=20 Nearest Neighbor</t>
  </si>
  <si>
    <t>Rho: 0.77028, LR test value: 6088.5, p-value: &lt; 2.22e-16</t>
  </si>
  <si>
    <t>Approximate (numerical Hessian) standard error: 0.0078726</t>
  </si>
  <si>
    <t xml:space="preserve">    z-value: 97.843, p-value: &lt; 2.22e-16</t>
  </si>
  <si>
    <t>Wald statistic: 9573.2, p-value: &lt; 2.22e-16</t>
  </si>
  <si>
    <t>Log likelihood: 6728.171 for mixed model</t>
  </si>
  <si>
    <t>ML residual variance (sigma squared): 0.027865, (sigma: 0.16693)</t>
  </si>
  <si>
    <t>AIC: -13226, (AIC for lm: -7139.8)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</si>
  <si>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</si>
  <si>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</si>
  <si>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</si>
  <si>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</si>
  <si>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</si>
  <si>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</si>
  <si>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</si>
  <si>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</si>
  <si>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</si>
  <si>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</si>
  <si>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</si>
  <si>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</si>
  <si>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</si>
  <si>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=============================</t>
  </si>
  <si>
    <t>-----------------------------</t>
  </si>
  <si>
    <t>0.072***</t>
  </si>
  <si>
    <t>0.038*</t>
  </si>
  <si>
    <t>0.022*</t>
  </si>
  <si>
    <t>0.019*</t>
  </si>
  <si>
    <t>0.021**</t>
  </si>
  <si>
    <t>0.00005**</t>
  </si>
  <si>
    <t>0.080***</t>
  </si>
  <si>
    <t>0.038***</t>
  </si>
  <si>
    <t>0.046***</t>
  </si>
  <si>
    <t>0.043***</t>
  </si>
  <si>
    <t>0.041***</t>
  </si>
  <si>
    <t>0.051***</t>
  </si>
  <si>
    <t>0.032***</t>
  </si>
  <si>
    <t>0.036***</t>
  </si>
  <si>
    <t>0.020**</t>
  </si>
  <si>
    <t>0.110***</t>
  </si>
  <si>
    <t>0.091***</t>
  </si>
  <si>
    <t>0.089***</t>
  </si>
  <si>
    <t>0.126***</t>
  </si>
  <si>
    <t>0.122***</t>
  </si>
  <si>
    <t>0.109***</t>
  </si>
  <si>
    <t>0.132***</t>
  </si>
  <si>
    <t>0.131***</t>
  </si>
  <si>
    <t>0.447***</t>
  </si>
  <si>
    <t>0.125***</t>
  </si>
  <si>
    <t>0.057***</t>
  </si>
  <si>
    <t>0.092***</t>
  </si>
  <si>
    <t>0.034***</t>
  </si>
  <si>
    <t>0.029***</t>
  </si>
  <si>
    <t>0.090***</t>
  </si>
  <si>
    <t>0.063***</t>
  </si>
  <si>
    <t>0.048***</t>
  </si>
  <si>
    <t>-0.186***</t>
  </si>
  <si>
    <t>-0.103***</t>
  </si>
  <si>
    <t>-0.100***</t>
  </si>
  <si>
    <t>-0.079***</t>
  </si>
  <si>
    <t>-0.064***</t>
  </si>
  <si>
    <t>-0.017***</t>
  </si>
  <si>
    <t>-0.015***</t>
  </si>
  <si>
    <t>0.207***</t>
  </si>
  <si>
    <t>0.157***</t>
  </si>
  <si>
    <t>0.166***</t>
  </si>
  <si>
    <t>0.158***</t>
  </si>
  <si>
    <t>-0.024*</t>
  </si>
  <si>
    <t>-0.052***</t>
  </si>
  <si>
    <t>-0.037***</t>
  </si>
  <si>
    <t>0.151***</t>
  </si>
  <si>
    <t>0.150***</t>
  </si>
  <si>
    <t>0.118***</t>
  </si>
  <si>
    <t>0.070***</t>
  </si>
  <si>
    <t>0.053***</t>
  </si>
  <si>
    <t>-0.029***</t>
  </si>
  <si>
    <t>0.024***</t>
  </si>
  <si>
    <t>-0.143***</t>
  </si>
  <si>
    <t>-0.182***</t>
  </si>
  <si>
    <t>-0.187***</t>
  </si>
  <si>
    <t>-0.078***</t>
  </si>
  <si>
    <t>-0.117***</t>
  </si>
  <si>
    <t>-0.132***</t>
  </si>
  <si>
    <t>-0.107***</t>
  </si>
  <si>
    <t>-0.119***</t>
  </si>
  <si>
    <t>-0.140***</t>
  </si>
  <si>
    <t>-0.127***</t>
  </si>
  <si>
    <t>-0.108***</t>
  </si>
  <si>
    <t>-0.072***</t>
  </si>
  <si>
    <t>-0.041***</t>
  </si>
  <si>
    <t>-0.069***</t>
  </si>
  <si>
    <t>-0.085***</t>
  </si>
  <si>
    <t>-0.083***</t>
  </si>
  <si>
    <t>-0.142***</t>
  </si>
  <si>
    <t>-0.120***</t>
  </si>
  <si>
    <t>0.134***</t>
  </si>
  <si>
    <t>0.596***</t>
  </si>
  <si>
    <t>0.514***</t>
  </si>
  <si>
    <t>0.228***</t>
  </si>
  <si>
    <t>0.355***</t>
  </si>
  <si>
    <t>0.394***</t>
  </si>
  <si>
    <t>0.605***</t>
  </si>
  <si>
    <t>0.584***</t>
  </si>
  <si>
    <t>0.621***</t>
  </si>
  <si>
    <t>0.597***</t>
  </si>
  <si>
    <t>0.585***</t>
  </si>
  <si>
    <t>0.626***</t>
  </si>
  <si>
    <t>0.619***</t>
  </si>
  <si>
    <t>0.613***</t>
  </si>
  <si>
    <t>0.648***</t>
  </si>
  <si>
    <t>0.534***</t>
  </si>
  <si>
    <t>0.582***</t>
  </si>
  <si>
    <t>-0.0001***</t>
  </si>
  <si>
    <t>0.005*</t>
  </si>
  <si>
    <t>0.010***</t>
  </si>
  <si>
    <t>-0.005***</t>
  </si>
  <si>
    <t>-0.027***</t>
  </si>
  <si>
    <t>-0.043***</t>
  </si>
  <si>
    <t>-0.001**</t>
  </si>
  <si>
    <t>0.018***</t>
  </si>
  <si>
    <t>0.014***</t>
  </si>
  <si>
    <t>0.008***</t>
  </si>
  <si>
    <t>-0.575***</t>
  </si>
  <si>
    <t>-0.211***</t>
  </si>
  <si>
    <t>-0.393***</t>
  </si>
  <si>
    <t>0.277***</t>
  </si>
  <si>
    <t>-0.606***</t>
  </si>
  <si>
    <t>13.521***</t>
  </si>
  <si>
    <t>13.415***</t>
  </si>
  <si>
    <t>12.983***</t>
  </si>
  <si>
    <t>12.564***</t>
  </si>
  <si>
    <t>-7.096***</t>
  </si>
  <si>
    <t>-3.929***</t>
  </si>
  <si>
    <t>0.582 (df = 50623)</t>
  </si>
  <si>
    <t>0.578 (df = 50615)</t>
  </si>
  <si>
    <t>0.351 (df = 50603)</t>
  </si>
  <si>
    <t>0.310 (df = 50580)</t>
  </si>
  <si>
    <t>0.271 (df = 50571)</t>
  </si>
  <si>
    <t>0.255 (df = 50566)</t>
  </si>
  <si>
    <t>189.640*** (df = 1; 50623)</t>
  </si>
  <si>
    <t>95.578*** (df = 9; 50615)</t>
  </si>
  <si>
    <t>4,222.744*** (df = 21; 50603)</t>
  </si>
  <si>
    <t>2,923.101*** (df = 44; 50580)</t>
  </si>
  <si>
    <t>3,465.907*** (df = 53; 50571)</t>
  </si>
  <si>
    <t>3,685.674*** (df = 58; 50566)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</si>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</sst>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5" fillId="0" borderId="0" xfId="0" applyFont="1"/>
    <xf numFmtId="0" fontId="5" fillId="0" borderId="0" xfId="0" quotePrefix="1" applyFont="1" applyAlignment="1">
      <alignment horizontal="center"/>
    </xf>
    <xf numFmtId="0" fontId="0" fillId="0" borderId="1" xfId="0" applyBorder="1" applyAlignment="1">
      <alignment horizontal="center"/>
    </xf>
    <xf numFmtId="0" fontId="5" fillId="0" borderId="12" xfId="0" quotePrefix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horizontal="center"/>
    </xf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12" xfId="0" applyFont="1" applyBorder="1" applyAlignment="1">
      <alignment horizontal="center"/>
    </xf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10" xfId="0" applyFont="1" applyBorder="1"/>
    <xf numFmtId="0" fontId="7" fillId="0" borderId="14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6" xfId="0" quotePrefix="1" applyFont="1" applyBorder="1" applyAlignment="1">
      <alignment horizontal="center" vertical="center"/>
    </xf>
    <xf numFmtId="0" fontId="5" fillId="0" borderId="3" xfId="0" quotePrefix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15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8" fillId="0" borderId="1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6"/>
  <sheetViews>
    <sheetView workbookViewId="0">
      <selection activeCell="Z8" sqref="Z8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50625</v>
      </c>
      <c r="C3">
        <v>1.319</v>
      </c>
      <c r="D3">
        <v>0.54900000000000004</v>
      </c>
      <c r="E3">
        <v>1</v>
      </c>
      <c r="F3">
        <v>5</v>
      </c>
      <c r="G3" t="s">
        <v>10</v>
      </c>
      <c r="H3" s="1">
        <v>29295</v>
      </c>
      <c r="I3">
        <v>1.3160000000000001</v>
      </c>
      <c r="J3">
        <v>0.54900000000000004</v>
      </c>
      <c r="K3">
        <v>1</v>
      </c>
      <c r="L3">
        <v>5</v>
      </c>
      <c r="M3" t="s">
        <v>10</v>
      </c>
      <c r="N3" s="1">
        <v>21330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50625</v>
      </c>
      <c r="C4">
        <v>0.42099999999999999</v>
      </c>
      <c r="D4">
        <v>0.49399999999999999</v>
      </c>
      <c r="E4">
        <v>0</v>
      </c>
      <c r="F4">
        <v>1</v>
      </c>
      <c r="G4" t="s">
        <v>11</v>
      </c>
      <c r="H4" s="1">
        <v>29295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21330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50625</v>
      </c>
      <c r="C5">
        <v>0.373</v>
      </c>
      <c r="D5">
        <v>0.48399999999999999</v>
      </c>
      <c r="E5">
        <v>0</v>
      </c>
      <c r="F5">
        <v>1</v>
      </c>
      <c r="G5" t="s">
        <v>12</v>
      </c>
      <c r="H5" s="1">
        <v>29295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21330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21330</v>
      </c>
      <c r="C6">
        <v>301.72500000000002</v>
      </c>
      <c r="D6">
        <v>558.96400000000006</v>
      </c>
      <c r="E6">
        <v>0</v>
      </c>
      <c r="F6" s="1">
        <v>4021</v>
      </c>
      <c r="H6" s="1"/>
      <c r="M6" t="s">
        <v>36</v>
      </c>
      <c r="N6" s="1">
        <v>21330</v>
      </c>
      <c r="O6">
        <v>301.72500000000002</v>
      </c>
      <c r="P6">
        <v>558.96400000000006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50625</v>
      </c>
      <c r="C7">
        <v>1.907</v>
      </c>
      <c r="D7">
        <v>0.89100000000000001</v>
      </c>
      <c r="E7">
        <v>0</v>
      </c>
      <c r="F7">
        <v>17</v>
      </c>
      <c r="G7" t="s">
        <v>13</v>
      </c>
      <c r="H7" s="1">
        <v>29295</v>
      </c>
      <c r="I7">
        <v>1.8919999999999999</v>
      </c>
      <c r="J7">
        <v>0.86499999999999999</v>
      </c>
      <c r="K7">
        <v>0</v>
      </c>
      <c r="L7">
        <v>17</v>
      </c>
      <c r="M7" t="s">
        <v>13</v>
      </c>
      <c r="N7" s="1">
        <v>21330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50625</v>
      </c>
      <c r="C8">
        <v>0.27500000000000002</v>
      </c>
      <c r="D8">
        <v>0.46800000000000003</v>
      </c>
      <c r="E8">
        <v>0</v>
      </c>
      <c r="F8">
        <v>5</v>
      </c>
      <c r="G8" t="s">
        <v>14</v>
      </c>
      <c r="H8" s="1">
        <v>29295</v>
      </c>
      <c r="I8">
        <v>0.27700000000000002</v>
      </c>
      <c r="J8">
        <v>0.46500000000000002</v>
      </c>
      <c r="K8">
        <v>0</v>
      </c>
      <c r="L8">
        <v>5</v>
      </c>
      <c r="M8" t="s">
        <v>14</v>
      </c>
      <c r="N8" s="1">
        <v>21330</v>
      </c>
      <c r="O8">
        <v>0.27300000000000002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50625</v>
      </c>
      <c r="C9">
        <v>2.7130000000000001</v>
      </c>
      <c r="D9">
        <v>1.4570000000000001</v>
      </c>
      <c r="E9">
        <v>0</v>
      </c>
      <c r="F9" s="1">
        <v>25</v>
      </c>
      <c r="G9" t="s">
        <v>15</v>
      </c>
      <c r="H9" s="1">
        <v>29295</v>
      </c>
      <c r="I9">
        <v>2.694</v>
      </c>
      <c r="J9">
        <v>1.4179999999999999</v>
      </c>
      <c r="K9">
        <v>0</v>
      </c>
      <c r="L9">
        <v>18</v>
      </c>
      <c r="M9" t="s">
        <v>15</v>
      </c>
      <c r="N9" s="1">
        <v>21330</v>
      </c>
      <c r="O9">
        <v>2.74</v>
      </c>
      <c r="P9">
        <v>1.508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50625</v>
      </c>
      <c r="C10">
        <v>44.201999999999998</v>
      </c>
      <c r="D10">
        <v>58.805</v>
      </c>
      <c r="E10">
        <v>0</v>
      </c>
      <c r="F10" s="1">
        <v>1402</v>
      </c>
      <c r="G10" t="s">
        <v>16</v>
      </c>
      <c r="H10" s="1">
        <v>29295</v>
      </c>
      <c r="I10">
        <v>50.779000000000003</v>
      </c>
      <c r="J10">
        <v>59.033000000000001</v>
      </c>
      <c r="K10">
        <v>0</v>
      </c>
      <c r="L10" s="1">
        <v>1402</v>
      </c>
      <c r="M10" t="s">
        <v>16</v>
      </c>
      <c r="N10" s="1">
        <v>21330</v>
      </c>
      <c r="O10">
        <v>35.17</v>
      </c>
      <c r="P10">
        <v>57.274000000000001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50625</v>
      </c>
      <c r="C11" s="2">
        <v>1330.1559999999999</v>
      </c>
      <c r="D11">
        <v>829.90099999999995</v>
      </c>
      <c r="E11">
        <v>120</v>
      </c>
      <c r="F11" s="1">
        <v>17408</v>
      </c>
      <c r="G11" t="s">
        <v>163</v>
      </c>
      <c r="H11" s="1">
        <v>29295</v>
      </c>
      <c r="I11" s="2">
        <v>1318.576</v>
      </c>
      <c r="J11">
        <v>802.51199999999994</v>
      </c>
      <c r="K11">
        <v>160</v>
      </c>
      <c r="L11" s="1">
        <v>17408</v>
      </c>
      <c r="M11" t="s">
        <v>163</v>
      </c>
      <c r="N11" s="1">
        <v>21330</v>
      </c>
      <c r="O11" s="2">
        <v>1346.06</v>
      </c>
      <c r="P11" s="2">
        <v>865.87300000000005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50625</v>
      </c>
      <c r="C12" s="2">
        <v>163.93600000000001</v>
      </c>
      <c r="D12" s="2">
        <v>229.119</v>
      </c>
      <c r="E12" s="2">
        <v>0</v>
      </c>
      <c r="F12" s="2">
        <v>5000</v>
      </c>
      <c r="G12" t="s">
        <v>17</v>
      </c>
      <c r="H12" s="1">
        <v>29295</v>
      </c>
      <c r="I12" s="2">
        <v>161.06700000000001</v>
      </c>
      <c r="J12">
        <v>228.429</v>
      </c>
      <c r="K12">
        <v>0</v>
      </c>
      <c r="L12" s="1">
        <v>5000</v>
      </c>
      <c r="M12" t="s">
        <v>17</v>
      </c>
      <c r="N12" s="1">
        <v>21330</v>
      </c>
      <c r="O12" s="2">
        <v>167.87700000000001</v>
      </c>
      <c r="P12" s="2">
        <v>230.012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50625</v>
      </c>
      <c r="C13" s="2">
        <v>942966.8</v>
      </c>
      <c r="D13" s="2">
        <v>878631.4</v>
      </c>
      <c r="E13" s="2">
        <v>85418.51</v>
      </c>
      <c r="F13" s="2">
        <v>28197546</v>
      </c>
      <c r="G13" t="s">
        <v>19</v>
      </c>
      <c r="H13" s="1">
        <v>29295</v>
      </c>
      <c r="I13" s="2">
        <v>911437.5</v>
      </c>
      <c r="J13" s="2">
        <v>844248</v>
      </c>
      <c r="K13" s="2">
        <v>99684.44</v>
      </c>
      <c r="L13" s="1">
        <v>28197546</v>
      </c>
      <c r="M13" t="s">
        <v>19</v>
      </c>
      <c r="N13" s="1">
        <v>21330</v>
      </c>
      <c r="O13" s="2">
        <v>986269.8</v>
      </c>
      <c r="P13" s="2">
        <v>922035.19999999995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50625</v>
      </c>
      <c r="C14" s="2">
        <v>932014.4</v>
      </c>
      <c r="D14" s="2">
        <v>829437</v>
      </c>
      <c r="E14" s="2">
        <v>85418.51</v>
      </c>
      <c r="F14" s="2">
        <v>28197546</v>
      </c>
      <c r="G14" t="s">
        <v>20</v>
      </c>
      <c r="H14" s="1">
        <v>29295</v>
      </c>
      <c r="I14" s="2">
        <v>893794.2</v>
      </c>
      <c r="J14" s="2">
        <v>793484.80000000005</v>
      </c>
      <c r="K14" s="2">
        <v>118448.6</v>
      </c>
      <c r="L14" s="1">
        <v>28197546</v>
      </c>
      <c r="M14" t="s">
        <v>20</v>
      </c>
      <c r="N14" s="1">
        <v>21330</v>
      </c>
      <c r="O14" s="2">
        <v>984506.6</v>
      </c>
      <c r="P14" s="2">
        <v>873712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50625</v>
      </c>
      <c r="C15" s="2">
        <v>8946.2070000000003</v>
      </c>
      <c r="D15" s="2">
        <v>88866.63</v>
      </c>
      <c r="E15" s="2">
        <v>-2010000</v>
      </c>
      <c r="F15" s="2">
        <v>6900000</v>
      </c>
      <c r="G15" t="s">
        <v>190</v>
      </c>
      <c r="H15" s="1">
        <v>29295</v>
      </c>
      <c r="I15" s="2">
        <v>14495.07</v>
      </c>
      <c r="J15" s="2">
        <v>68263.399999999994</v>
      </c>
      <c r="K15" s="2">
        <v>-1850000</v>
      </c>
      <c r="L15" s="2">
        <v>2950000</v>
      </c>
      <c r="M15" t="s">
        <v>190</v>
      </c>
      <c r="N15" s="1">
        <v>21330</v>
      </c>
      <c r="O15" s="2">
        <v>1325.308</v>
      </c>
      <c r="P15" s="2">
        <v>110650.9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50625</v>
      </c>
      <c r="C16">
        <v>1.2999999999999999E-2</v>
      </c>
      <c r="D16">
        <v>0.111</v>
      </c>
      <c r="E16">
        <v>0</v>
      </c>
      <c r="F16">
        <v>1</v>
      </c>
      <c r="G16" t="s">
        <v>21</v>
      </c>
      <c r="H16" s="1">
        <v>29295</v>
      </c>
      <c r="I16" s="2">
        <v>1.0999999999999999E-2</v>
      </c>
      <c r="J16" s="2">
        <v>0.105</v>
      </c>
      <c r="K16" s="2">
        <v>0</v>
      </c>
      <c r="L16" s="2">
        <v>1</v>
      </c>
      <c r="M16" t="s">
        <v>21</v>
      </c>
      <c r="N16" s="1">
        <v>21330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50625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29295</v>
      </c>
      <c r="I17">
        <v>3.5999999999999997E-2</v>
      </c>
      <c r="J17">
        <v>0.186</v>
      </c>
      <c r="K17">
        <v>0</v>
      </c>
      <c r="L17">
        <v>1</v>
      </c>
      <c r="M17" t="s">
        <v>22</v>
      </c>
      <c r="N17" s="1">
        <v>21330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50625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29295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21330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50625</v>
      </c>
      <c r="C19">
        <v>9.1999999999999998E-2</v>
      </c>
      <c r="D19">
        <v>0.28899999999999998</v>
      </c>
      <c r="E19">
        <v>0</v>
      </c>
      <c r="F19">
        <v>1</v>
      </c>
      <c r="G19" t="s">
        <v>24</v>
      </c>
      <c r="H19" s="1">
        <v>29295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21330</v>
      </c>
      <c r="O19">
        <v>8.7999999999999995E-2</v>
      </c>
      <c r="P19">
        <v>0.28299999999999997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50625</v>
      </c>
      <c r="C20">
        <v>0.28499999999999998</v>
      </c>
      <c r="D20">
        <v>0.45100000000000001</v>
      </c>
      <c r="E20">
        <v>0</v>
      </c>
      <c r="F20">
        <v>1</v>
      </c>
      <c r="G20" t="s">
        <v>25</v>
      </c>
      <c r="H20" s="1">
        <v>29295</v>
      </c>
      <c r="I20">
        <v>0.28000000000000003</v>
      </c>
      <c r="J20">
        <v>0.44900000000000001</v>
      </c>
      <c r="K20">
        <v>0</v>
      </c>
      <c r="L20">
        <v>1</v>
      </c>
      <c r="M20" t="s">
        <v>25</v>
      </c>
      <c r="N20" s="1">
        <v>21330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50625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29295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21330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50625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29295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21330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50625</v>
      </c>
      <c r="C23">
        <v>0.41799999999999998</v>
      </c>
      <c r="D23">
        <v>0.49299999999999999</v>
      </c>
      <c r="E23">
        <v>0</v>
      </c>
      <c r="F23">
        <v>1</v>
      </c>
      <c r="G23" t="s">
        <v>28</v>
      </c>
      <c r="H23" s="1">
        <v>29295</v>
      </c>
      <c r="I23">
        <v>0.41699999999999998</v>
      </c>
      <c r="J23">
        <v>0.49299999999999999</v>
      </c>
      <c r="K23">
        <v>0</v>
      </c>
      <c r="L23">
        <v>1</v>
      </c>
      <c r="M23" t="s">
        <v>28</v>
      </c>
      <c r="N23" s="1">
        <v>21330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50625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29295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21330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50625</v>
      </c>
      <c r="C25">
        <v>1.7999999999999999E-2</v>
      </c>
      <c r="D25">
        <v>0.13100000000000001</v>
      </c>
      <c r="E25">
        <v>0</v>
      </c>
      <c r="F25">
        <v>1</v>
      </c>
      <c r="G25" t="s">
        <v>30</v>
      </c>
      <c r="H25" s="1">
        <v>29295</v>
      </c>
      <c r="I25">
        <v>1.4999999999999999E-2</v>
      </c>
      <c r="J25">
        <v>0.122</v>
      </c>
      <c r="K25">
        <v>0</v>
      </c>
      <c r="L25">
        <v>1</v>
      </c>
      <c r="M25" t="s">
        <v>30</v>
      </c>
      <c r="N25" s="1">
        <v>21330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50625</v>
      </c>
      <c r="C26">
        <v>4.4999999999999998E-2</v>
      </c>
      <c r="D26">
        <v>0.20599999999999999</v>
      </c>
      <c r="E26">
        <v>0</v>
      </c>
      <c r="F26">
        <v>1</v>
      </c>
      <c r="G26" t="s">
        <v>31</v>
      </c>
      <c r="H26" s="1">
        <v>29295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21330</v>
      </c>
      <c r="O26">
        <v>4.2999999999999997E-2</v>
      </c>
      <c r="P26">
        <v>0.20300000000000001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50625</v>
      </c>
      <c r="C27">
        <v>0.45400000000000001</v>
      </c>
      <c r="D27">
        <v>0.498</v>
      </c>
      <c r="E27">
        <v>0</v>
      </c>
      <c r="F27">
        <v>1</v>
      </c>
      <c r="G27" t="s">
        <v>32</v>
      </c>
      <c r="H27" s="1">
        <v>29295</v>
      </c>
      <c r="I27">
        <v>0.45300000000000001</v>
      </c>
      <c r="J27">
        <v>0.498</v>
      </c>
      <c r="K27">
        <v>0</v>
      </c>
      <c r="L27">
        <v>1</v>
      </c>
      <c r="M27" t="s">
        <v>32</v>
      </c>
      <c r="N27" s="1">
        <v>21330</v>
      </c>
      <c r="O27">
        <v>0.45600000000000002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50625</v>
      </c>
      <c r="C28">
        <v>36.707999999999998</v>
      </c>
      <c r="D28">
        <v>19.786000000000001</v>
      </c>
      <c r="E28">
        <v>0</v>
      </c>
      <c r="F28">
        <v>123</v>
      </c>
      <c r="G28" t="s">
        <v>33</v>
      </c>
      <c r="H28" s="1">
        <v>29295</v>
      </c>
      <c r="I28">
        <v>34.923999999999999</v>
      </c>
      <c r="J28">
        <v>19.527000000000001</v>
      </c>
      <c r="K28">
        <v>0</v>
      </c>
      <c r="L28">
        <v>112</v>
      </c>
      <c r="M28" t="s">
        <v>33</v>
      </c>
      <c r="N28" s="1">
        <v>21330</v>
      </c>
      <c r="O28">
        <v>39.158000000000001</v>
      </c>
      <c r="P28">
        <v>19.879000000000001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50625</v>
      </c>
      <c r="C29">
        <v>1.7390000000000001</v>
      </c>
      <c r="D29">
        <v>1.56</v>
      </c>
      <c r="E29">
        <v>0</v>
      </c>
      <c r="F29" s="1">
        <v>15.129</v>
      </c>
      <c r="G29" t="s">
        <v>34</v>
      </c>
      <c r="H29" s="1">
        <v>29295</v>
      </c>
      <c r="I29">
        <v>1.601</v>
      </c>
      <c r="J29">
        <v>1.478</v>
      </c>
      <c r="K29">
        <v>0</v>
      </c>
      <c r="L29">
        <v>12.544</v>
      </c>
      <c r="M29" t="s">
        <v>34</v>
      </c>
      <c r="N29" s="1">
        <v>21330</v>
      </c>
      <c r="O29">
        <v>1.929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50625</v>
      </c>
      <c r="C30" s="2">
        <v>3.024</v>
      </c>
      <c r="D30" s="2">
        <v>9.1649999999999991</v>
      </c>
      <c r="E30">
        <v>0</v>
      </c>
      <c r="F30" s="2">
        <v>94</v>
      </c>
      <c r="G30" t="s">
        <v>35</v>
      </c>
      <c r="H30" s="1">
        <v>29295</v>
      </c>
      <c r="I30">
        <v>2.794</v>
      </c>
      <c r="J30">
        <v>8.7439999999999998</v>
      </c>
      <c r="K30">
        <v>0</v>
      </c>
      <c r="L30">
        <v>88</v>
      </c>
      <c r="M30" t="s">
        <v>35</v>
      </c>
      <c r="N30" s="1">
        <v>21330</v>
      </c>
      <c r="O30" s="2">
        <v>3.34</v>
      </c>
      <c r="P30" s="2">
        <v>9.7050000000000001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50625</v>
      </c>
      <c r="C31" s="2">
        <v>1472.424</v>
      </c>
      <c r="D31" s="2">
        <v>980.20100000000002</v>
      </c>
      <c r="E31">
        <v>175</v>
      </c>
      <c r="F31" s="2">
        <v>23350</v>
      </c>
      <c r="G31" t="s">
        <v>18</v>
      </c>
      <c r="H31" s="1">
        <v>29295</v>
      </c>
      <c r="I31" s="2">
        <v>1457.672</v>
      </c>
      <c r="J31">
        <v>947.46900000000005</v>
      </c>
      <c r="K31">
        <v>195</v>
      </c>
      <c r="L31" s="1">
        <v>23350</v>
      </c>
      <c r="M31" t="s">
        <v>18</v>
      </c>
      <c r="N31" s="1">
        <v>21330</v>
      </c>
      <c r="O31" s="2">
        <v>1492.684</v>
      </c>
      <c r="P31" s="2">
        <v>1023.128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50625</v>
      </c>
      <c r="C32">
        <v>3.1320000000000001</v>
      </c>
      <c r="D32">
        <v>5.9690000000000003</v>
      </c>
      <c r="E32">
        <v>1.4E-2</v>
      </c>
      <c r="F32" s="2">
        <v>128.91800000000001</v>
      </c>
      <c r="G32" t="s">
        <v>37</v>
      </c>
      <c r="H32" s="1">
        <v>29295</v>
      </c>
      <c r="I32" s="2">
        <v>3.125</v>
      </c>
      <c r="J32">
        <v>5.8970000000000002</v>
      </c>
      <c r="K32">
        <v>1.4E-2</v>
      </c>
      <c r="L32" s="1">
        <v>128.91800000000001</v>
      </c>
      <c r="M32" t="s">
        <v>37</v>
      </c>
      <c r="N32" s="1">
        <v>21330</v>
      </c>
      <c r="O32">
        <v>3.141</v>
      </c>
      <c r="P32">
        <v>6.0670000000000002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50625</v>
      </c>
      <c r="C33" s="2">
        <v>2.0910000000000002</v>
      </c>
      <c r="D33" s="2">
        <v>2.4409999999999998</v>
      </c>
      <c r="E33">
        <v>0</v>
      </c>
      <c r="F33" s="2">
        <v>13.552</v>
      </c>
      <c r="G33" t="s">
        <v>164</v>
      </c>
      <c r="H33" s="1">
        <v>29295</v>
      </c>
      <c r="I33" s="2">
        <v>2.13</v>
      </c>
      <c r="J33" s="2">
        <v>2.4849999999999999</v>
      </c>
      <c r="K33">
        <v>0</v>
      </c>
      <c r="L33" s="2">
        <v>13.552</v>
      </c>
      <c r="M33" t="s">
        <v>164</v>
      </c>
      <c r="N33" s="1">
        <v>21330</v>
      </c>
      <c r="O33" s="2">
        <v>2.0379999999999998</v>
      </c>
      <c r="P33" s="2">
        <v>2.379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50625</v>
      </c>
      <c r="C34" s="2">
        <v>0.42699999999999999</v>
      </c>
      <c r="D34" s="2">
        <v>0.312</v>
      </c>
      <c r="E34">
        <v>0</v>
      </c>
      <c r="F34" s="2">
        <v>3.56</v>
      </c>
      <c r="G34" t="s">
        <v>39</v>
      </c>
      <c r="H34" s="1">
        <v>29295</v>
      </c>
      <c r="I34" s="2">
        <v>0.42699999999999999</v>
      </c>
      <c r="J34" s="2">
        <v>0.308</v>
      </c>
      <c r="K34">
        <v>0</v>
      </c>
      <c r="L34" s="2">
        <v>3.302</v>
      </c>
      <c r="M34" t="s">
        <v>39</v>
      </c>
      <c r="N34" s="1">
        <v>21330</v>
      </c>
      <c r="O34" s="2">
        <v>0.42799999999999999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50625</v>
      </c>
      <c r="C35">
        <v>4.1280000000000001</v>
      </c>
      <c r="D35">
        <v>3.9660000000000002</v>
      </c>
      <c r="E35">
        <v>0.01</v>
      </c>
      <c r="F35">
        <v>20.997</v>
      </c>
      <c r="G35" t="s">
        <v>40</v>
      </c>
      <c r="H35" s="1">
        <v>29295</v>
      </c>
      <c r="I35">
        <v>4.0869999999999997</v>
      </c>
      <c r="J35">
        <v>3.8959999999999999</v>
      </c>
      <c r="K35">
        <v>0.01</v>
      </c>
      <c r="L35" s="2">
        <v>20.997</v>
      </c>
      <c r="M35" t="s">
        <v>40</v>
      </c>
      <c r="N35" s="1">
        <v>21330</v>
      </c>
      <c r="O35">
        <v>4.1829999999999998</v>
      </c>
      <c r="P35">
        <v>4.0599999999999996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50625</v>
      </c>
      <c r="C36">
        <v>9.0709999999999997</v>
      </c>
      <c r="D36">
        <v>5.601</v>
      </c>
      <c r="E36">
        <v>0.99299999999999999</v>
      </c>
      <c r="F36">
        <v>30.986000000000001</v>
      </c>
      <c r="G36" t="s">
        <v>41</v>
      </c>
      <c r="H36" s="1">
        <v>29295</v>
      </c>
      <c r="I36" s="2">
        <v>9.0470000000000006</v>
      </c>
      <c r="J36" s="2">
        <v>5.6</v>
      </c>
      <c r="K36">
        <v>0.99299999999999999</v>
      </c>
      <c r="L36" s="2">
        <v>30.003</v>
      </c>
      <c r="M36" t="s">
        <v>41</v>
      </c>
      <c r="N36" s="1">
        <v>21330</v>
      </c>
      <c r="O36">
        <v>9.1029999999999998</v>
      </c>
      <c r="P36">
        <v>5.6020000000000003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50625</v>
      </c>
      <c r="C37">
        <v>1.169</v>
      </c>
      <c r="D37">
        <v>4.51</v>
      </c>
      <c r="E37">
        <v>1.6E-2</v>
      </c>
      <c r="F37">
        <v>196.49</v>
      </c>
      <c r="G37" t="s">
        <v>173</v>
      </c>
      <c r="H37" s="1">
        <v>29295</v>
      </c>
      <c r="I37" s="2">
        <v>1.1779999999999999</v>
      </c>
      <c r="J37" s="2">
        <v>4.6449999999999996</v>
      </c>
      <c r="K37">
        <v>2.5999999999999999E-2</v>
      </c>
      <c r="L37" s="2">
        <v>196.49</v>
      </c>
      <c r="M37" t="s">
        <v>173</v>
      </c>
      <c r="N37" s="1">
        <v>21330</v>
      </c>
      <c r="O37">
        <v>1.1579999999999999</v>
      </c>
      <c r="P37">
        <v>4.3170000000000002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50625</v>
      </c>
      <c r="C38">
        <v>2.2040000000000002</v>
      </c>
      <c r="D38">
        <v>1.5920000000000001</v>
      </c>
      <c r="E38">
        <v>3.6999999999999998E-2</v>
      </c>
      <c r="F38">
        <v>17.684000000000001</v>
      </c>
      <c r="G38" t="s">
        <v>174</v>
      </c>
      <c r="H38" s="1">
        <v>29295</v>
      </c>
      <c r="I38">
        <v>2.1949999999999998</v>
      </c>
      <c r="J38">
        <v>1.581</v>
      </c>
      <c r="K38">
        <v>4.2999999999999997E-2</v>
      </c>
      <c r="L38">
        <v>17.684000000000001</v>
      </c>
      <c r="M38" t="s">
        <v>174</v>
      </c>
      <c r="N38" s="1">
        <v>21330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50625</v>
      </c>
      <c r="C39">
        <v>2.1739999999999999</v>
      </c>
      <c r="D39">
        <v>1.5149999999999999</v>
      </c>
      <c r="E39">
        <v>3.4000000000000002E-2</v>
      </c>
      <c r="F39">
        <v>17.684000000000001</v>
      </c>
      <c r="G39" t="s">
        <v>175</v>
      </c>
      <c r="H39" s="1">
        <v>29295</v>
      </c>
      <c r="I39">
        <v>2.169</v>
      </c>
      <c r="J39">
        <v>1.498</v>
      </c>
      <c r="K39">
        <v>3.4000000000000002E-2</v>
      </c>
      <c r="L39">
        <v>17.684000000000001</v>
      </c>
      <c r="M39" t="s">
        <v>175</v>
      </c>
      <c r="N39" s="1">
        <v>21330</v>
      </c>
      <c r="O39">
        <v>2.181</v>
      </c>
      <c r="P39">
        <v>1.538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50625</v>
      </c>
      <c r="C40">
        <v>0.245</v>
      </c>
      <c r="D40">
        <v>0.17699999999999999</v>
      </c>
      <c r="E40">
        <v>0</v>
      </c>
      <c r="F40">
        <v>0.85</v>
      </c>
      <c r="G40" t="s">
        <v>42</v>
      </c>
      <c r="H40" s="1">
        <v>29295</v>
      </c>
      <c r="I40">
        <v>0.245</v>
      </c>
      <c r="J40">
        <v>0.17899999999999999</v>
      </c>
      <c r="K40">
        <v>0</v>
      </c>
      <c r="L40">
        <v>0.85</v>
      </c>
      <c r="M40" t="s">
        <v>42</v>
      </c>
      <c r="N40" s="1">
        <v>21330</v>
      </c>
      <c r="O40">
        <v>0.24399999999999999</v>
      </c>
      <c r="P40">
        <v>0.17399999999999999</v>
      </c>
      <c r="Q40">
        <v>0</v>
      </c>
      <c r="R40">
        <v>0.85</v>
      </c>
      <c r="S40" t="s">
        <v>42</v>
      </c>
      <c r="T40" s="1"/>
    </row>
    <row r="41" spans="1:24" x14ac:dyDescent="0.25">
      <c r="A41" t="s">
        <v>43</v>
      </c>
      <c r="B41" s="1">
        <v>50625</v>
      </c>
      <c r="C41">
        <v>2.1000000000000001E-2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29295</v>
      </c>
      <c r="I41">
        <v>2.1999999999999999E-2</v>
      </c>
      <c r="J41">
        <v>3.5000000000000003E-2</v>
      </c>
      <c r="K41">
        <v>0</v>
      </c>
      <c r="L41">
        <v>0.26100000000000001</v>
      </c>
      <c r="M41" t="s">
        <v>43</v>
      </c>
      <c r="N41" s="1">
        <v>21330</v>
      </c>
      <c r="O41">
        <v>2.1000000000000001E-2</v>
      </c>
      <c r="P41">
        <v>3.4000000000000002E-2</v>
      </c>
      <c r="Q41">
        <v>0</v>
      </c>
      <c r="R41">
        <v>0.26100000000000001</v>
      </c>
      <c r="S41" t="s">
        <v>43</v>
      </c>
      <c r="T41" s="1"/>
    </row>
    <row r="42" spans="1:24" x14ac:dyDescent="0.25">
      <c r="A42" t="s">
        <v>44</v>
      </c>
      <c r="B42" s="1">
        <v>50625</v>
      </c>
      <c r="C42">
        <v>0.42899999999999999</v>
      </c>
      <c r="D42">
        <v>0.19700000000000001</v>
      </c>
      <c r="E42">
        <v>0</v>
      </c>
      <c r="F42">
        <v>1</v>
      </c>
      <c r="G42" t="s">
        <v>44</v>
      </c>
      <c r="H42" s="1">
        <v>29295</v>
      </c>
      <c r="I42">
        <v>0.42899999999999999</v>
      </c>
      <c r="J42">
        <v>0.19700000000000001</v>
      </c>
      <c r="K42">
        <v>2.0000000000000001E-4</v>
      </c>
      <c r="L42">
        <v>1</v>
      </c>
      <c r="M42" t="s">
        <v>44</v>
      </c>
      <c r="N42" s="1">
        <v>21330</v>
      </c>
      <c r="O42">
        <v>0.42899999999999999</v>
      </c>
      <c r="P42">
        <v>0.19700000000000001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50625</v>
      </c>
      <c r="C43">
        <v>7.0000000000000007E-2</v>
      </c>
      <c r="D43">
        <v>0.10100000000000001</v>
      </c>
      <c r="E43">
        <v>0</v>
      </c>
      <c r="F43" s="1">
        <v>0.69499999999999995</v>
      </c>
      <c r="G43" t="s">
        <v>45</v>
      </c>
      <c r="H43" s="1">
        <v>29295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21330</v>
      </c>
      <c r="O43">
        <v>7.0000000000000007E-2</v>
      </c>
      <c r="P43">
        <v>0.10299999999999999</v>
      </c>
      <c r="Q43">
        <v>0</v>
      </c>
      <c r="R43" s="1">
        <v>0.69499999999999995</v>
      </c>
      <c r="S43" t="s">
        <v>45</v>
      </c>
      <c r="T43" s="1"/>
    </row>
    <row r="44" spans="1:24" x14ac:dyDescent="0.25">
      <c r="A44" t="s">
        <v>46</v>
      </c>
      <c r="B44" s="1">
        <v>50625</v>
      </c>
      <c r="C44">
        <v>0.88</v>
      </c>
      <c r="D44">
        <v>0.16500000000000001</v>
      </c>
      <c r="E44">
        <v>4.0000000000000002E-4</v>
      </c>
      <c r="F44">
        <v>1</v>
      </c>
      <c r="G44" t="s">
        <v>46</v>
      </c>
      <c r="H44" s="1">
        <v>29295</v>
      </c>
      <c r="I44">
        <v>0.88200000000000001</v>
      </c>
      <c r="J44">
        <v>0.16700000000000001</v>
      </c>
      <c r="K44">
        <v>4.0000000000000002E-4</v>
      </c>
      <c r="L44">
        <v>1</v>
      </c>
      <c r="M44" t="s">
        <v>46</v>
      </c>
      <c r="N44" s="1">
        <v>21330</v>
      </c>
      <c r="O44">
        <v>0.878</v>
      </c>
      <c r="P44">
        <v>0.161</v>
      </c>
      <c r="Q44">
        <v>0.107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50625</v>
      </c>
      <c r="C45">
        <v>0.11799999999999999</v>
      </c>
      <c r="D45">
        <v>0.16300000000000001</v>
      </c>
      <c r="E45">
        <v>0</v>
      </c>
      <c r="F45">
        <v>0.89300000000000002</v>
      </c>
      <c r="G45" t="s">
        <v>47</v>
      </c>
      <c r="H45" s="1">
        <v>29295</v>
      </c>
      <c r="I45">
        <v>0.11700000000000001</v>
      </c>
      <c r="J45">
        <v>0.16500000000000001</v>
      </c>
      <c r="K45">
        <v>0</v>
      </c>
      <c r="L45">
        <v>0.89300000000000002</v>
      </c>
      <c r="M45" t="s">
        <v>47</v>
      </c>
      <c r="N45" s="1">
        <v>21330</v>
      </c>
      <c r="O45">
        <v>0.12</v>
      </c>
      <c r="P45">
        <v>0.159</v>
      </c>
      <c r="Q45">
        <v>0</v>
      </c>
      <c r="R45">
        <v>0.89300000000000002</v>
      </c>
      <c r="S45" t="s">
        <v>47</v>
      </c>
      <c r="T45" s="1"/>
    </row>
    <row r="46" spans="1:24" x14ac:dyDescent="0.25">
      <c r="A46" t="s">
        <v>48</v>
      </c>
      <c r="B46" s="1">
        <v>50625</v>
      </c>
      <c r="C46" s="2">
        <v>0.66500000000000004</v>
      </c>
      <c r="D46" s="2">
        <v>0.20300000000000001</v>
      </c>
      <c r="E46" s="2">
        <v>0</v>
      </c>
      <c r="F46" s="2">
        <v>1</v>
      </c>
      <c r="G46" t="s">
        <v>48</v>
      </c>
      <c r="H46" s="1">
        <v>29295</v>
      </c>
      <c r="I46">
        <v>0.66900000000000004</v>
      </c>
      <c r="J46">
        <v>0.2</v>
      </c>
      <c r="K46">
        <v>4.0000000000000002E-4</v>
      </c>
      <c r="L46">
        <v>1</v>
      </c>
      <c r="M46" t="s">
        <v>48</v>
      </c>
      <c r="N46" s="1">
        <v>21330</v>
      </c>
      <c r="O46" s="2">
        <v>0.66100000000000003</v>
      </c>
      <c r="P46" s="2">
        <v>0.20699999999999999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50625</v>
      </c>
      <c r="C47" s="2">
        <v>0.33300000000000002</v>
      </c>
      <c r="D47" s="2">
        <v>0.20300000000000001</v>
      </c>
      <c r="E47" s="2">
        <v>0</v>
      </c>
      <c r="F47" s="2">
        <v>1</v>
      </c>
      <c r="G47" t="s">
        <v>49</v>
      </c>
      <c r="H47" s="1">
        <v>29295</v>
      </c>
      <c r="I47">
        <v>0.33</v>
      </c>
      <c r="J47">
        <v>0.2</v>
      </c>
      <c r="K47">
        <v>0</v>
      </c>
      <c r="L47">
        <v>0.98599999999999999</v>
      </c>
      <c r="M47" t="s">
        <v>49</v>
      </c>
      <c r="N47" s="1">
        <v>21330</v>
      </c>
      <c r="O47" s="2">
        <v>0.33800000000000002</v>
      </c>
      <c r="P47" s="2">
        <v>0.20599999999999999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50625</v>
      </c>
      <c r="C48">
        <v>18.009</v>
      </c>
      <c r="D48">
        <v>47.334000000000003</v>
      </c>
      <c r="E48">
        <v>0</v>
      </c>
      <c r="F48" s="1">
        <v>1000</v>
      </c>
      <c r="G48" t="s">
        <v>50</v>
      </c>
      <c r="H48" s="1">
        <v>29295</v>
      </c>
      <c r="I48" s="2">
        <v>17.754999999999999</v>
      </c>
      <c r="J48" s="2">
        <v>45.566000000000003</v>
      </c>
      <c r="K48" s="2">
        <v>0</v>
      </c>
      <c r="L48" s="2">
        <v>667</v>
      </c>
      <c r="M48" t="s">
        <v>50</v>
      </c>
      <c r="N48" s="1">
        <v>21330</v>
      </c>
      <c r="O48">
        <v>18.359000000000002</v>
      </c>
      <c r="P48">
        <v>49.658999999999999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50625</v>
      </c>
      <c r="C49" s="2">
        <v>0.70299999999999996</v>
      </c>
      <c r="D49" s="2">
        <v>1.5329999999999999</v>
      </c>
      <c r="E49" s="2">
        <v>0</v>
      </c>
      <c r="F49" s="2">
        <v>36</v>
      </c>
      <c r="G49" t="s">
        <v>51</v>
      </c>
      <c r="H49" s="1">
        <v>29295</v>
      </c>
      <c r="I49" s="2">
        <v>0.70599999999999996</v>
      </c>
      <c r="J49" s="2">
        <v>1.5660000000000001</v>
      </c>
      <c r="K49" s="2">
        <v>0</v>
      </c>
      <c r="L49" s="2">
        <v>36</v>
      </c>
      <c r="M49" t="s">
        <v>51</v>
      </c>
      <c r="N49" s="1">
        <v>21330</v>
      </c>
      <c r="O49" s="2">
        <v>0.69899999999999995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50625</v>
      </c>
      <c r="C50" s="2">
        <v>0.40200000000000002</v>
      </c>
      <c r="D50" s="2">
        <v>0.49</v>
      </c>
      <c r="E50" s="2">
        <v>0</v>
      </c>
      <c r="F50" s="2">
        <v>1</v>
      </c>
      <c r="G50" t="s">
        <v>52</v>
      </c>
      <c r="H50" s="1">
        <v>29295</v>
      </c>
      <c r="I50" s="2">
        <v>0.379</v>
      </c>
      <c r="J50" s="2">
        <v>0.48499999999999999</v>
      </c>
      <c r="K50" s="2">
        <v>0</v>
      </c>
      <c r="L50" s="2">
        <v>1</v>
      </c>
      <c r="M50" t="s">
        <v>52</v>
      </c>
      <c r="N50" s="1">
        <v>21330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50625</v>
      </c>
      <c r="C51" s="2">
        <v>2361427</v>
      </c>
      <c r="D51" s="2">
        <v>7592.6030000000001</v>
      </c>
      <c r="E51" s="2">
        <v>2350907</v>
      </c>
      <c r="F51" s="2">
        <v>2400056</v>
      </c>
      <c r="G51" t="s">
        <v>53</v>
      </c>
      <c r="H51" s="1">
        <v>29295</v>
      </c>
      <c r="I51" s="2">
        <v>2361443</v>
      </c>
      <c r="J51" s="2">
        <v>7533.6819999999998</v>
      </c>
      <c r="K51" s="2">
        <v>2350907</v>
      </c>
      <c r="L51" s="2">
        <v>2400056</v>
      </c>
      <c r="M51" t="s">
        <v>53</v>
      </c>
      <c r="N51" s="1">
        <v>21330</v>
      </c>
      <c r="O51" s="2">
        <v>2361405</v>
      </c>
      <c r="P51" s="2">
        <v>7672.9129999999996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50625</v>
      </c>
      <c r="C52" s="2">
        <v>612731.9</v>
      </c>
      <c r="D52" s="2">
        <v>13288.3</v>
      </c>
      <c r="E52" s="2">
        <v>579824.19999999995</v>
      </c>
      <c r="F52" s="2">
        <v>638667.69999999995</v>
      </c>
      <c r="G52" t="s">
        <v>54</v>
      </c>
      <c r="H52" s="1">
        <v>29295</v>
      </c>
      <c r="I52" s="2">
        <v>612541.9</v>
      </c>
      <c r="J52" s="2">
        <v>13175.42</v>
      </c>
      <c r="K52" s="2">
        <v>579824.19999999995</v>
      </c>
      <c r="L52" s="2">
        <v>638667.69999999995</v>
      </c>
      <c r="M52" t="s">
        <v>54</v>
      </c>
      <c r="N52" s="1">
        <v>21330</v>
      </c>
      <c r="O52" s="2">
        <v>612992.80000000005</v>
      </c>
      <c r="P52" s="2">
        <v>13437.71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50625</v>
      </c>
      <c r="C53">
        <v>0.54600000000000004</v>
      </c>
      <c r="D53">
        <v>0.498</v>
      </c>
      <c r="E53">
        <v>0</v>
      </c>
      <c r="F53">
        <v>1</v>
      </c>
      <c r="G53" t="s">
        <v>56</v>
      </c>
      <c r="H53" s="1">
        <v>29295</v>
      </c>
      <c r="I53" s="2">
        <v>0.54700000000000004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21330</v>
      </c>
      <c r="O53">
        <v>0.54400000000000004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50625</v>
      </c>
      <c r="C54" s="2">
        <v>0.45400000000000001</v>
      </c>
      <c r="D54">
        <v>0.498</v>
      </c>
      <c r="E54" s="1">
        <v>0</v>
      </c>
      <c r="F54" s="1">
        <v>1</v>
      </c>
      <c r="G54" t="s">
        <v>57</v>
      </c>
      <c r="H54" s="1">
        <v>29295</v>
      </c>
      <c r="I54">
        <v>0.45300000000000001</v>
      </c>
      <c r="J54">
        <v>0.498</v>
      </c>
      <c r="K54">
        <v>0</v>
      </c>
      <c r="L54">
        <v>1</v>
      </c>
      <c r="M54" t="s">
        <v>57</v>
      </c>
      <c r="N54" s="1">
        <v>21330</v>
      </c>
      <c r="O54" s="2">
        <v>0.45600000000000002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50625</v>
      </c>
      <c r="C55">
        <v>0.34</v>
      </c>
      <c r="D55">
        <v>0.47399999999999998</v>
      </c>
      <c r="E55">
        <v>0</v>
      </c>
      <c r="F55">
        <v>1</v>
      </c>
      <c r="G55" t="s">
        <v>58</v>
      </c>
      <c r="H55" s="1">
        <v>29295</v>
      </c>
      <c r="I55">
        <v>0.34499999999999997</v>
      </c>
      <c r="J55">
        <v>0.47499999999999998</v>
      </c>
      <c r="K55">
        <v>0</v>
      </c>
      <c r="L55">
        <v>1</v>
      </c>
      <c r="M55" t="s">
        <v>58</v>
      </c>
      <c r="N55" s="1">
        <v>21330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50625</v>
      </c>
      <c r="C56">
        <v>0.34799999999999998</v>
      </c>
      <c r="D56">
        <v>0.47599999999999998</v>
      </c>
      <c r="E56">
        <v>0</v>
      </c>
      <c r="F56">
        <v>1</v>
      </c>
      <c r="G56" t="s">
        <v>59</v>
      </c>
      <c r="H56" s="1">
        <v>29295</v>
      </c>
      <c r="I56" s="2">
        <v>0.35099999999999998</v>
      </c>
      <c r="J56">
        <v>0.47699999999999998</v>
      </c>
      <c r="K56" s="1">
        <v>0</v>
      </c>
      <c r="L56" s="1">
        <v>1</v>
      </c>
      <c r="M56" t="s">
        <v>59</v>
      </c>
      <c r="N56" s="1">
        <v>21330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50625</v>
      </c>
      <c r="C57" s="2">
        <v>0.312</v>
      </c>
      <c r="D57">
        <v>0.46300000000000002</v>
      </c>
      <c r="E57" s="1">
        <v>0</v>
      </c>
      <c r="F57" s="1">
        <v>1</v>
      </c>
      <c r="G57" t="s">
        <v>60</v>
      </c>
      <c r="H57" s="1">
        <v>29295</v>
      </c>
      <c r="I57">
        <v>0.30399999999999999</v>
      </c>
      <c r="J57">
        <v>0.46</v>
      </c>
      <c r="K57">
        <v>0</v>
      </c>
      <c r="L57">
        <v>1</v>
      </c>
      <c r="M57" t="s">
        <v>60</v>
      </c>
      <c r="N57" s="1">
        <v>21330</v>
      </c>
      <c r="O57" s="2">
        <v>0.32300000000000001</v>
      </c>
      <c r="P57">
        <v>0.46700000000000003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50625</v>
      </c>
      <c r="C58" s="2">
        <v>2019.038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29295</v>
      </c>
      <c r="I58" s="2">
        <v>2017.5640000000001</v>
      </c>
      <c r="J58">
        <v>1.1679999999999999</v>
      </c>
      <c r="K58" s="1">
        <v>2016</v>
      </c>
      <c r="L58" s="1">
        <v>2020</v>
      </c>
      <c r="M58" t="s">
        <v>61</v>
      </c>
      <c r="N58" s="1">
        <v>21330</v>
      </c>
      <c r="O58" s="2">
        <v>2021.0609999999999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50625</v>
      </c>
      <c r="C59" s="2">
        <v>0.45600000000000002</v>
      </c>
      <c r="D59">
        <v>0.498</v>
      </c>
      <c r="E59" s="1">
        <v>0</v>
      </c>
      <c r="F59" s="1">
        <v>1</v>
      </c>
      <c r="G59" t="s">
        <v>62</v>
      </c>
      <c r="H59" s="1">
        <v>29295</v>
      </c>
      <c r="I59" s="2">
        <v>0.45500000000000002</v>
      </c>
      <c r="J59">
        <v>0.498</v>
      </c>
      <c r="K59" s="1">
        <v>0</v>
      </c>
      <c r="L59" s="1">
        <v>1</v>
      </c>
      <c r="M59" t="s">
        <v>62</v>
      </c>
      <c r="N59" s="1">
        <v>21330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50625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29295</v>
      </c>
      <c r="I60" s="2">
        <v>8.0000000000000002E-3</v>
      </c>
      <c r="J60">
        <v>8.8999999999999996E-2</v>
      </c>
      <c r="K60" s="1">
        <v>0</v>
      </c>
      <c r="L60" s="1">
        <v>1</v>
      </c>
      <c r="M60" t="s">
        <v>63</v>
      </c>
      <c r="N60" s="1">
        <v>21330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50625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29295</v>
      </c>
      <c r="I61">
        <v>2.7E-2</v>
      </c>
      <c r="J61">
        <v>0.16300000000000001</v>
      </c>
      <c r="K61">
        <v>0</v>
      </c>
      <c r="L61">
        <v>1</v>
      </c>
      <c r="M61" t="s">
        <v>64</v>
      </c>
      <c r="N61" s="1">
        <v>21330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50625</v>
      </c>
      <c r="C62">
        <v>0.16</v>
      </c>
      <c r="D62">
        <v>0.36599999999999999</v>
      </c>
      <c r="E62">
        <v>0</v>
      </c>
      <c r="F62">
        <v>1</v>
      </c>
      <c r="G62" t="s">
        <v>65</v>
      </c>
      <c r="H62" s="1">
        <v>29295</v>
      </c>
      <c r="I62">
        <v>0.16500000000000001</v>
      </c>
      <c r="J62">
        <v>0.371</v>
      </c>
      <c r="K62">
        <v>0</v>
      </c>
      <c r="L62">
        <v>1</v>
      </c>
      <c r="M62" t="s">
        <v>65</v>
      </c>
      <c r="N62" s="1">
        <v>21330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50625</v>
      </c>
      <c r="C63">
        <v>0.16300000000000001</v>
      </c>
      <c r="D63">
        <v>0.36899999999999999</v>
      </c>
      <c r="E63">
        <v>0</v>
      </c>
      <c r="F63">
        <v>1</v>
      </c>
      <c r="G63" t="s">
        <v>66</v>
      </c>
      <c r="H63" s="1">
        <v>29295</v>
      </c>
      <c r="I63">
        <v>0.157</v>
      </c>
      <c r="J63">
        <v>0.36399999999999999</v>
      </c>
      <c r="K63">
        <v>0</v>
      </c>
      <c r="L63">
        <v>1</v>
      </c>
      <c r="M63" t="s">
        <v>66</v>
      </c>
      <c r="N63" s="1">
        <v>21330</v>
      </c>
      <c r="O63">
        <v>0.17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50625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29295</v>
      </c>
      <c r="I64">
        <v>3.6999999999999998E-2</v>
      </c>
      <c r="J64">
        <v>0.188</v>
      </c>
      <c r="K64">
        <v>0</v>
      </c>
      <c r="L64">
        <v>1</v>
      </c>
      <c r="M64" t="s">
        <v>67</v>
      </c>
      <c r="N64" s="1">
        <v>21330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50625</v>
      </c>
      <c r="C65">
        <v>0.11799999999999999</v>
      </c>
      <c r="D65">
        <v>0.32300000000000001</v>
      </c>
      <c r="E65">
        <v>0</v>
      </c>
      <c r="F65">
        <v>1</v>
      </c>
      <c r="G65" t="s">
        <v>68</v>
      </c>
      <c r="H65" s="1">
        <v>29295</v>
      </c>
      <c r="I65">
        <v>0.11799999999999999</v>
      </c>
      <c r="J65">
        <v>0.32300000000000001</v>
      </c>
      <c r="K65">
        <v>0</v>
      </c>
      <c r="L65">
        <v>1</v>
      </c>
      <c r="M65" t="s">
        <v>68</v>
      </c>
      <c r="N65" s="1">
        <v>21330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50625</v>
      </c>
      <c r="C66">
        <v>0.03</v>
      </c>
      <c r="D66">
        <v>0.17199999999999999</v>
      </c>
      <c r="E66">
        <v>0</v>
      </c>
      <c r="F66">
        <v>1</v>
      </c>
      <c r="G66" t="s">
        <v>69</v>
      </c>
      <c r="H66" s="1">
        <v>29295</v>
      </c>
      <c r="I66">
        <v>3.3000000000000002E-2</v>
      </c>
      <c r="J66">
        <v>0.17799999999999999</v>
      </c>
      <c r="K66">
        <v>0</v>
      </c>
      <c r="L66">
        <v>1</v>
      </c>
      <c r="M66" t="s">
        <v>69</v>
      </c>
      <c r="N66" s="1">
        <v>21330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50625</v>
      </c>
      <c r="C67">
        <v>0.192</v>
      </c>
      <c r="D67">
        <v>0.39400000000000002</v>
      </c>
      <c r="E67">
        <v>0</v>
      </c>
      <c r="F67">
        <v>1</v>
      </c>
      <c r="G67" t="s">
        <v>70</v>
      </c>
      <c r="H67" s="1">
        <v>29295</v>
      </c>
      <c r="I67">
        <v>0.189</v>
      </c>
      <c r="J67">
        <v>0.39100000000000001</v>
      </c>
      <c r="K67">
        <v>0</v>
      </c>
      <c r="L67">
        <v>1</v>
      </c>
      <c r="M67" t="s">
        <v>70</v>
      </c>
      <c r="N67" s="1">
        <v>21330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50625</v>
      </c>
      <c r="C68">
        <v>0.33700000000000002</v>
      </c>
      <c r="D68">
        <v>0.47299999999999998</v>
      </c>
      <c r="E68">
        <v>0</v>
      </c>
      <c r="F68">
        <v>1</v>
      </c>
      <c r="G68" t="s">
        <v>71</v>
      </c>
      <c r="H68" s="1">
        <v>29295</v>
      </c>
      <c r="I68">
        <v>0.35499999999999998</v>
      </c>
      <c r="J68">
        <v>0.47899999999999998</v>
      </c>
      <c r="K68">
        <v>0</v>
      </c>
      <c r="L68">
        <v>1</v>
      </c>
      <c r="M68" t="s">
        <v>71</v>
      </c>
      <c r="N68" s="1">
        <v>21330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50625</v>
      </c>
      <c r="C69">
        <v>0.42399999999999999</v>
      </c>
      <c r="D69">
        <v>0.49399999999999999</v>
      </c>
      <c r="E69">
        <v>0</v>
      </c>
      <c r="F69">
        <v>1</v>
      </c>
      <c r="G69" t="s">
        <v>72</v>
      </c>
      <c r="H69" s="1">
        <v>29295</v>
      </c>
      <c r="I69">
        <v>0.40799999999999997</v>
      </c>
      <c r="J69">
        <v>0.49099999999999999</v>
      </c>
      <c r="K69">
        <v>0</v>
      </c>
      <c r="L69">
        <v>1</v>
      </c>
      <c r="M69" t="s">
        <v>72</v>
      </c>
      <c r="N69" s="1">
        <v>21330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50625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29295</v>
      </c>
      <c r="I70">
        <v>4.8000000000000001E-2</v>
      </c>
      <c r="J70">
        <v>0.214</v>
      </c>
      <c r="K70">
        <v>0</v>
      </c>
      <c r="L70">
        <v>1</v>
      </c>
      <c r="M70" t="s">
        <v>73</v>
      </c>
      <c r="N70" s="1">
        <v>21330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50625</v>
      </c>
      <c r="C71">
        <v>5.6000000000000001E-2</v>
      </c>
      <c r="D71">
        <v>0.23</v>
      </c>
      <c r="E71">
        <v>0</v>
      </c>
      <c r="F71">
        <v>1</v>
      </c>
      <c r="G71" t="s">
        <v>165</v>
      </c>
      <c r="H71" s="1">
        <v>29295</v>
      </c>
      <c r="I71">
        <v>5.8000000000000003E-2</v>
      </c>
      <c r="J71">
        <v>0.23300000000000001</v>
      </c>
      <c r="K71">
        <v>0</v>
      </c>
      <c r="L71">
        <v>1</v>
      </c>
      <c r="M71" t="s">
        <v>165</v>
      </c>
      <c r="N71" s="1">
        <v>21330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50625</v>
      </c>
      <c r="C72">
        <v>0.255</v>
      </c>
      <c r="D72">
        <v>0.436</v>
      </c>
      <c r="E72">
        <v>0</v>
      </c>
      <c r="F72">
        <v>1</v>
      </c>
      <c r="G72" t="s">
        <v>166</v>
      </c>
      <c r="H72" s="1">
        <v>29295</v>
      </c>
      <c r="I72">
        <v>0.254</v>
      </c>
      <c r="J72">
        <v>0.435</v>
      </c>
      <c r="K72">
        <v>0</v>
      </c>
      <c r="L72">
        <v>1</v>
      </c>
      <c r="M72" t="s">
        <v>166</v>
      </c>
      <c r="N72" s="1">
        <v>21330</v>
      </c>
      <c r="O72">
        <v>0.25800000000000001</v>
      </c>
      <c r="P72">
        <v>0.437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50625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29295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21330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50625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29295</v>
      </c>
      <c r="I74">
        <v>5.8000000000000003E-2</v>
      </c>
      <c r="J74">
        <v>0.23300000000000001</v>
      </c>
      <c r="K74">
        <v>0</v>
      </c>
      <c r="L74">
        <v>1</v>
      </c>
      <c r="M74" t="s">
        <v>168</v>
      </c>
      <c r="N74" s="1">
        <v>21330</v>
      </c>
      <c r="O74">
        <v>6.4000000000000001E-2</v>
      </c>
      <c r="P74">
        <v>0.245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50625</v>
      </c>
      <c r="C75">
        <v>0.11899999999999999</v>
      </c>
      <c r="D75">
        <v>0.32400000000000001</v>
      </c>
      <c r="E75">
        <v>0</v>
      </c>
      <c r="F75">
        <v>1</v>
      </c>
      <c r="G75" t="s">
        <v>169</v>
      </c>
      <c r="H75" s="1">
        <v>29295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21330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50625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29295</v>
      </c>
      <c r="I76">
        <v>3.1E-2</v>
      </c>
      <c r="J76">
        <v>0.17399999999999999</v>
      </c>
      <c r="K76">
        <v>0</v>
      </c>
      <c r="L76">
        <v>1</v>
      </c>
      <c r="M76" t="s">
        <v>170</v>
      </c>
      <c r="N76" s="1">
        <v>21330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50625</v>
      </c>
      <c r="C77">
        <v>0.128</v>
      </c>
      <c r="D77">
        <v>0.33400000000000002</v>
      </c>
      <c r="E77">
        <v>0</v>
      </c>
      <c r="F77">
        <v>1</v>
      </c>
      <c r="G77" t="s">
        <v>79</v>
      </c>
      <c r="H77" s="1">
        <v>29295</v>
      </c>
      <c r="I77">
        <v>0.13100000000000001</v>
      </c>
      <c r="J77">
        <v>0.33800000000000002</v>
      </c>
      <c r="K77">
        <v>0</v>
      </c>
      <c r="L77">
        <v>1</v>
      </c>
      <c r="M77" t="s">
        <v>79</v>
      </c>
      <c r="N77" s="1">
        <v>21330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50625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29295</v>
      </c>
      <c r="I78">
        <v>5.0000000000000001E-3</v>
      </c>
      <c r="J78">
        <v>7.0999999999999994E-2</v>
      </c>
      <c r="K78">
        <v>0</v>
      </c>
      <c r="L78">
        <v>1</v>
      </c>
      <c r="M78" t="s">
        <v>80</v>
      </c>
      <c r="N78" s="1">
        <v>21330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50625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29295</v>
      </c>
      <c r="I79">
        <v>2E-3</v>
      </c>
      <c r="J79">
        <v>4.2000000000000003E-2</v>
      </c>
      <c r="K79">
        <v>0</v>
      </c>
      <c r="L79">
        <v>1</v>
      </c>
      <c r="M79" t="s">
        <v>81</v>
      </c>
      <c r="N79" s="1">
        <v>21330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50625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29295</v>
      </c>
      <c r="I80">
        <v>4.2000000000000003E-2</v>
      </c>
      <c r="J80">
        <v>0.2</v>
      </c>
      <c r="K80">
        <v>0</v>
      </c>
      <c r="L80">
        <v>1</v>
      </c>
      <c r="M80" t="s">
        <v>82</v>
      </c>
      <c r="N80" s="1">
        <v>21330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50625</v>
      </c>
      <c r="C81">
        <v>0.41699999999999998</v>
      </c>
      <c r="D81">
        <v>0.49299999999999999</v>
      </c>
      <c r="E81">
        <v>0</v>
      </c>
      <c r="F81">
        <v>1</v>
      </c>
      <c r="G81" t="s">
        <v>83</v>
      </c>
      <c r="H81" s="1">
        <v>29295</v>
      </c>
      <c r="I81">
        <v>0.42399999999999999</v>
      </c>
      <c r="J81">
        <v>0.49399999999999999</v>
      </c>
      <c r="K81">
        <v>0</v>
      </c>
      <c r="L81">
        <v>1</v>
      </c>
      <c r="M81" t="s">
        <v>83</v>
      </c>
      <c r="N81" s="1">
        <v>21330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50625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29295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21330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50625</v>
      </c>
      <c r="C83">
        <v>0.39800000000000002</v>
      </c>
      <c r="D83">
        <v>0.48899999999999999</v>
      </c>
      <c r="E83">
        <v>0</v>
      </c>
      <c r="F83">
        <v>1</v>
      </c>
      <c r="G83" t="s">
        <v>85</v>
      </c>
      <c r="H83" s="1">
        <v>29295</v>
      </c>
      <c r="I83">
        <v>0.38900000000000001</v>
      </c>
      <c r="J83">
        <v>0.48799999999999999</v>
      </c>
      <c r="K83">
        <v>0</v>
      </c>
      <c r="L83">
        <v>1</v>
      </c>
      <c r="M83" t="s">
        <v>85</v>
      </c>
      <c r="N83" s="1">
        <v>21330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85</v>
      </c>
      <c r="H85" s="1">
        <v>29452</v>
      </c>
      <c r="I85">
        <v>0.38700000000000001</v>
      </c>
      <c r="J85">
        <v>0.48699999999999999</v>
      </c>
      <c r="K85">
        <v>0</v>
      </c>
      <c r="L85">
        <v>1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5"/>
  <sheetViews>
    <sheetView workbookViewId="0">
      <selection activeCell="I14" sqref="I1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27632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16018</v>
      </c>
      <c r="I3">
        <v>1.333</v>
      </c>
      <c r="J3">
        <v>0.56499999999999995</v>
      </c>
      <c r="K3">
        <v>1</v>
      </c>
      <c r="L3">
        <v>5</v>
      </c>
      <c r="M3" t="s">
        <v>10</v>
      </c>
      <c r="N3" s="1">
        <v>11614</v>
      </c>
      <c r="O3">
        <v>1.325</v>
      </c>
      <c r="P3">
        <v>0.55300000000000005</v>
      </c>
      <c r="Q3">
        <v>1</v>
      </c>
      <c r="R3">
        <v>5</v>
      </c>
    </row>
    <row r="4" spans="1:18" x14ac:dyDescent="0.25">
      <c r="A4" t="s">
        <v>11</v>
      </c>
      <c r="B4" s="1">
        <v>27632</v>
      </c>
      <c r="C4">
        <v>0.42</v>
      </c>
      <c r="D4">
        <v>0.49399999999999999</v>
      </c>
      <c r="E4">
        <v>0</v>
      </c>
      <c r="F4">
        <v>1</v>
      </c>
      <c r="G4" t="s">
        <v>11</v>
      </c>
      <c r="H4" s="1">
        <v>16018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27632</v>
      </c>
      <c r="C5">
        <v>0.378</v>
      </c>
      <c r="D5">
        <v>0.48499999999999999</v>
      </c>
      <c r="E5">
        <v>0</v>
      </c>
      <c r="F5">
        <v>1</v>
      </c>
      <c r="G5" t="s">
        <v>12</v>
      </c>
      <c r="H5" s="1">
        <v>16018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11614</v>
      </c>
      <c r="O5">
        <v>0.89800000000000002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11614</v>
      </c>
      <c r="C6">
        <v>311.73</v>
      </c>
      <c r="D6">
        <v>571.62099999999998</v>
      </c>
      <c r="E6">
        <v>0</v>
      </c>
      <c r="F6" s="1">
        <v>4021</v>
      </c>
      <c r="H6" s="1"/>
      <c r="M6" t="s">
        <v>36</v>
      </c>
      <c r="N6" s="1">
        <v>11614</v>
      </c>
      <c r="O6">
        <v>311.73</v>
      </c>
      <c r="P6">
        <v>571.62099999999998</v>
      </c>
      <c r="Q6">
        <v>0</v>
      </c>
      <c r="R6" s="1">
        <v>4021</v>
      </c>
    </row>
    <row r="7" spans="1:18" x14ac:dyDescent="0.25">
      <c r="A7" t="s">
        <v>13</v>
      </c>
      <c r="B7" s="1">
        <v>27632</v>
      </c>
      <c r="C7">
        <v>1.506</v>
      </c>
      <c r="D7">
        <v>0.55700000000000005</v>
      </c>
      <c r="E7">
        <v>0</v>
      </c>
      <c r="F7">
        <v>6</v>
      </c>
      <c r="G7" t="s">
        <v>13</v>
      </c>
      <c r="H7" s="1">
        <v>16018</v>
      </c>
      <c r="I7">
        <v>1.5089999999999999</v>
      </c>
      <c r="J7">
        <v>0.55900000000000005</v>
      </c>
      <c r="K7">
        <v>0</v>
      </c>
      <c r="L7">
        <v>5</v>
      </c>
      <c r="M7" t="s">
        <v>13</v>
      </c>
      <c r="N7" s="1">
        <v>11614</v>
      </c>
      <c r="O7">
        <v>1.502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27632</v>
      </c>
      <c r="C8">
        <v>0.17699999999999999</v>
      </c>
      <c r="D8">
        <v>0.38800000000000001</v>
      </c>
      <c r="E8">
        <v>0</v>
      </c>
      <c r="F8">
        <v>5</v>
      </c>
      <c r="G8" t="s">
        <v>14</v>
      </c>
      <c r="H8" s="1">
        <v>16018</v>
      </c>
      <c r="I8">
        <v>0.17799999999999999</v>
      </c>
      <c r="J8">
        <v>0.38900000000000001</v>
      </c>
      <c r="K8">
        <v>0</v>
      </c>
      <c r="L8">
        <v>5</v>
      </c>
      <c r="M8" t="s">
        <v>14</v>
      </c>
      <c r="N8" s="1">
        <v>11614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27632</v>
      </c>
      <c r="C9">
        <v>1.819</v>
      </c>
      <c r="D9">
        <v>0.92100000000000004</v>
      </c>
      <c r="E9">
        <v>0</v>
      </c>
      <c r="F9">
        <v>8</v>
      </c>
      <c r="G9" t="s">
        <v>15</v>
      </c>
      <c r="H9" s="1">
        <v>16018</v>
      </c>
      <c r="I9">
        <v>1.827</v>
      </c>
      <c r="J9">
        <v>0.91800000000000004</v>
      </c>
      <c r="K9">
        <v>0</v>
      </c>
      <c r="L9">
        <v>5</v>
      </c>
      <c r="M9" t="s">
        <v>15</v>
      </c>
      <c r="N9" s="1">
        <v>11614</v>
      </c>
      <c r="O9">
        <v>1.8089999999999999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27632</v>
      </c>
      <c r="C10">
        <v>45.781999999999996</v>
      </c>
      <c r="D10">
        <v>60.563000000000002</v>
      </c>
      <c r="E10">
        <v>0</v>
      </c>
      <c r="F10">
        <v>946</v>
      </c>
      <c r="G10" t="s">
        <v>16</v>
      </c>
      <c r="H10" s="1">
        <v>16018</v>
      </c>
      <c r="I10">
        <v>50.128999999999998</v>
      </c>
      <c r="J10">
        <v>58.357999999999997</v>
      </c>
      <c r="K10">
        <v>0</v>
      </c>
      <c r="L10">
        <v>785</v>
      </c>
      <c r="M10" t="s">
        <v>16</v>
      </c>
      <c r="N10" s="1">
        <v>11614</v>
      </c>
      <c r="O10">
        <v>39.784999999999997</v>
      </c>
      <c r="P10">
        <v>62.99</v>
      </c>
      <c r="Q10">
        <v>0</v>
      </c>
      <c r="R10">
        <v>946</v>
      </c>
    </row>
    <row r="11" spans="1:18" x14ac:dyDescent="0.25">
      <c r="A11" t="s">
        <v>163</v>
      </c>
      <c r="B11" s="1">
        <v>27632</v>
      </c>
      <c r="C11" s="2">
        <v>885.14200000000005</v>
      </c>
      <c r="D11">
        <v>389.88600000000002</v>
      </c>
      <c r="E11">
        <v>120</v>
      </c>
      <c r="F11" s="1">
        <v>10740</v>
      </c>
      <c r="G11" t="s">
        <v>163</v>
      </c>
      <c r="H11" s="1">
        <v>16018</v>
      </c>
      <c r="I11">
        <v>889.72500000000002</v>
      </c>
      <c r="J11">
        <v>388.07400000000001</v>
      </c>
      <c r="K11">
        <v>160</v>
      </c>
      <c r="L11" s="1">
        <v>6273</v>
      </c>
      <c r="M11" t="s">
        <v>163</v>
      </c>
      <c r="N11" s="1">
        <v>11614</v>
      </c>
      <c r="O11" s="2">
        <v>878.82100000000003</v>
      </c>
      <c r="P11">
        <v>392.3</v>
      </c>
      <c r="Q11">
        <v>120</v>
      </c>
      <c r="R11" s="1">
        <v>10740</v>
      </c>
    </row>
    <row r="12" spans="1:18" x14ac:dyDescent="0.25">
      <c r="A12" t="s">
        <v>17</v>
      </c>
      <c r="B12" s="1">
        <v>27632</v>
      </c>
      <c r="C12">
        <v>25.978999999999999</v>
      </c>
      <c r="D12">
        <v>95.884</v>
      </c>
      <c r="E12">
        <v>0</v>
      </c>
      <c r="F12" s="1">
        <v>1380</v>
      </c>
      <c r="G12" t="s">
        <v>17</v>
      </c>
      <c r="H12" s="1">
        <v>16018</v>
      </c>
      <c r="I12" s="2">
        <v>21.895</v>
      </c>
      <c r="J12">
        <v>88.025000000000006</v>
      </c>
      <c r="K12">
        <v>0</v>
      </c>
      <c r="L12" s="1">
        <v>942</v>
      </c>
      <c r="M12" t="s">
        <v>17</v>
      </c>
      <c r="N12" s="1">
        <v>11614</v>
      </c>
      <c r="O12">
        <v>31.611000000000001</v>
      </c>
      <c r="P12">
        <v>105.515</v>
      </c>
      <c r="Q12">
        <v>0</v>
      </c>
      <c r="R12" s="1">
        <v>1380</v>
      </c>
    </row>
    <row r="13" spans="1:18" x14ac:dyDescent="0.25">
      <c r="A13" t="s">
        <v>19</v>
      </c>
      <c r="B13" s="1">
        <v>27632</v>
      </c>
      <c r="C13" s="2">
        <v>674415.5</v>
      </c>
      <c r="D13" s="2">
        <v>609027.30000000005</v>
      </c>
      <c r="E13" s="2">
        <v>85418.51</v>
      </c>
      <c r="F13" s="2">
        <v>28197546</v>
      </c>
      <c r="G13" t="s">
        <v>19</v>
      </c>
      <c r="H13" s="1">
        <v>16018</v>
      </c>
      <c r="I13" s="2">
        <v>681806.2</v>
      </c>
      <c r="J13" s="2">
        <v>630690.9</v>
      </c>
      <c r="K13" s="2">
        <v>99684.44</v>
      </c>
      <c r="L13" s="1">
        <v>28197546</v>
      </c>
      <c r="M13" t="s">
        <v>19</v>
      </c>
      <c r="N13" s="1">
        <v>11614</v>
      </c>
      <c r="O13" s="2">
        <v>664222.19999999995</v>
      </c>
      <c r="P13" s="2">
        <v>577689.5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27632</v>
      </c>
      <c r="C14" s="2">
        <v>665585.80000000005</v>
      </c>
      <c r="D14" s="2">
        <v>582758.19999999995</v>
      </c>
      <c r="E14" s="2">
        <v>85418.51</v>
      </c>
      <c r="F14" s="2">
        <v>28197546</v>
      </c>
      <c r="G14" t="s">
        <v>20</v>
      </c>
      <c r="H14" s="1">
        <v>16018</v>
      </c>
      <c r="I14" s="2">
        <v>670141.6</v>
      </c>
      <c r="J14" s="2">
        <v>609745.4</v>
      </c>
      <c r="K14" s="2">
        <v>118448.6</v>
      </c>
      <c r="L14" s="1">
        <v>28197546</v>
      </c>
      <c r="M14" t="s">
        <v>20</v>
      </c>
      <c r="N14" s="1">
        <v>11614</v>
      </c>
      <c r="O14" s="2">
        <v>659302.5</v>
      </c>
      <c r="P14" s="2">
        <v>543306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27632</v>
      </c>
      <c r="C15" s="2">
        <v>7343.6409999999996</v>
      </c>
      <c r="D15" s="2">
        <v>47380.98</v>
      </c>
      <c r="E15" s="2">
        <v>-300000</v>
      </c>
      <c r="F15" s="2">
        <v>4750000</v>
      </c>
      <c r="G15" t="s">
        <v>190</v>
      </c>
      <c r="H15" s="1">
        <v>16018</v>
      </c>
      <c r="I15" s="2">
        <v>9584.3050000000003</v>
      </c>
      <c r="J15" s="2">
        <v>32192</v>
      </c>
      <c r="K15" s="2">
        <v>-152000</v>
      </c>
      <c r="L15" s="2">
        <v>750000</v>
      </c>
      <c r="M15" t="s">
        <v>190</v>
      </c>
      <c r="N15" s="1">
        <v>11614</v>
      </c>
      <c r="O15" s="2">
        <v>4253.3230000000003</v>
      </c>
      <c r="P15" s="2">
        <v>62415.19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27632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16018</v>
      </c>
      <c r="I16" s="2">
        <v>1E-3</v>
      </c>
      <c r="J16" s="2">
        <v>3.4000000000000002E-2</v>
      </c>
      <c r="K16" s="2">
        <v>0</v>
      </c>
      <c r="L16" s="2">
        <v>1</v>
      </c>
      <c r="M16" t="s">
        <v>21</v>
      </c>
      <c r="N16" s="1">
        <v>11614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27632</v>
      </c>
      <c r="C17">
        <v>2.8000000000000001E-2</v>
      </c>
      <c r="D17">
        <v>0.16600000000000001</v>
      </c>
      <c r="E17">
        <v>0</v>
      </c>
      <c r="F17">
        <v>1</v>
      </c>
      <c r="G17" t="s">
        <v>22</v>
      </c>
      <c r="H17" s="1">
        <v>16018</v>
      </c>
      <c r="I17">
        <v>0.03</v>
      </c>
      <c r="J17">
        <v>0.17100000000000001</v>
      </c>
      <c r="K17">
        <v>0</v>
      </c>
      <c r="L17">
        <v>1</v>
      </c>
      <c r="M17" t="s">
        <v>22</v>
      </c>
      <c r="N17" s="1">
        <v>11614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27632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16018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11614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27632</v>
      </c>
      <c r="C19">
        <v>0.16800000000000001</v>
      </c>
      <c r="D19">
        <v>0.374</v>
      </c>
      <c r="E19">
        <v>0</v>
      </c>
      <c r="F19">
        <v>1</v>
      </c>
      <c r="G19" t="s">
        <v>24</v>
      </c>
      <c r="H19" s="1">
        <v>16018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11614</v>
      </c>
      <c r="O19">
        <v>0.16200000000000001</v>
      </c>
      <c r="P19">
        <v>0.36799999999999999</v>
      </c>
      <c r="Q19">
        <v>0</v>
      </c>
      <c r="R19">
        <v>1</v>
      </c>
    </row>
    <row r="20" spans="1:18" x14ac:dyDescent="0.25">
      <c r="A20" t="s">
        <v>25</v>
      </c>
      <c r="B20" s="1">
        <v>27632</v>
      </c>
      <c r="C20">
        <v>0.52200000000000002</v>
      </c>
      <c r="D20">
        <v>0.5</v>
      </c>
      <c r="E20">
        <v>0</v>
      </c>
      <c r="F20">
        <v>1</v>
      </c>
      <c r="G20" t="s">
        <v>25</v>
      </c>
      <c r="H20" s="1">
        <v>16018</v>
      </c>
      <c r="I20">
        <v>0.51300000000000001</v>
      </c>
      <c r="J20">
        <v>0.5</v>
      </c>
      <c r="K20">
        <v>0</v>
      </c>
      <c r="L20">
        <v>1</v>
      </c>
      <c r="M20" t="s">
        <v>25</v>
      </c>
      <c r="N20" s="1">
        <v>11614</v>
      </c>
      <c r="O20">
        <v>0.53500000000000003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27632</v>
      </c>
      <c r="C21">
        <v>0.315</v>
      </c>
      <c r="D21">
        <v>0.46500000000000002</v>
      </c>
      <c r="E21">
        <v>0</v>
      </c>
      <c r="F21">
        <v>1</v>
      </c>
      <c r="G21" t="s">
        <v>26</v>
      </c>
      <c r="H21" s="1">
        <v>16018</v>
      </c>
      <c r="I21">
        <v>0.32300000000000001</v>
      </c>
      <c r="J21">
        <v>0.46700000000000003</v>
      </c>
      <c r="K21">
        <v>0</v>
      </c>
      <c r="L21">
        <v>1</v>
      </c>
      <c r="M21" t="s">
        <v>26</v>
      </c>
      <c r="N21" s="1">
        <v>11614</v>
      </c>
      <c r="O21">
        <v>0.30499999999999999</v>
      </c>
      <c r="P21">
        <v>0.46100000000000002</v>
      </c>
      <c r="Q21">
        <v>0</v>
      </c>
      <c r="R21">
        <v>1</v>
      </c>
    </row>
    <row r="22" spans="1:18" x14ac:dyDescent="0.25">
      <c r="A22" t="s">
        <v>27</v>
      </c>
      <c r="B22" s="1">
        <v>27632</v>
      </c>
      <c r="C22">
        <v>6.4000000000000001E-2</v>
      </c>
      <c r="D22">
        <v>0.245</v>
      </c>
      <c r="E22">
        <v>0</v>
      </c>
      <c r="F22">
        <v>1</v>
      </c>
      <c r="G22" t="s">
        <v>27</v>
      </c>
      <c r="H22" s="1">
        <v>16018</v>
      </c>
      <c r="I22">
        <v>6.5000000000000002E-2</v>
      </c>
      <c r="J22">
        <v>0.247</v>
      </c>
      <c r="K22">
        <v>0</v>
      </c>
      <c r="L22">
        <v>1</v>
      </c>
      <c r="M22" t="s">
        <v>27</v>
      </c>
      <c r="N22" s="1">
        <v>11614</v>
      </c>
      <c r="O22">
        <v>6.3E-2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27632</v>
      </c>
      <c r="C23">
        <v>3.0000000000000001E-3</v>
      </c>
      <c r="D23">
        <v>5.0999999999999997E-2</v>
      </c>
      <c r="E23">
        <v>0</v>
      </c>
      <c r="F23">
        <v>1</v>
      </c>
      <c r="G23" t="s">
        <v>28</v>
      </c>
      <c r="H23" s="1">
        <v>16018</v>
      </c>
      <c r="I23">
        <v>3.0000000000000001E-3</v>
      </c>
      <c r="J23">
        <v>5.5E-2</v>
      </c>
      <c r="K23">
        <v>0</v>
      </c>
      <c r="L23">
        <v>1</v>
      </c>
      <c r="M23" t="s">
        <v>28</v>
      </c>
      <c r="N23" s="1">
        <v>11614</v>
      </c>
      <c r="O23">
        <v>2E-3</v>
      </c>
      <c r="P23">
        <v>4.5999999999999999E-2</v>
      </c>
      <c r="Q23">
        <v>0</v>
      </c>
      <c r="R23">
        <v>1</v>
      </c>
    </row>
    <row r="24" spans="1:18" x14ac:dyDescent="0.25">
      <c r="A24" t="s">
        <v>29</v>
      </c>
      <c r="B24" s="1">
        <v>27632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16018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27632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16018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27632</v>
      </c>
      <c r="C26">
        <v>8.2000000000000003E-2</v>
      </c>
      <c r="D26">
        <v>0.27400000000000002</v>
      </c>
      <c r="E26">
        <v>0</v>
      </c>
      <c r="F26">
        <v>1</v>
      </c>
      <c r="G26" t="s">
        <v>31</v>
      </c>
      <c r="H26" s="1">
        <v>16018</v>
      </c>
      <c r="I26">
        <v>8.3000000000000004E-2</v>
      </c>
      <c r="J26">
        <v>0.27700000000000002</v>
      </c>
      <c r="K26">
        <v>0</v>
      </c>
      <c r="L26">
        <v>1</v>
      </c>
      <c r="M26" t="s">
        <v>31</v>
      </c>
      <c r="N26" s="1">
        <v>11614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27632</v>
      </c>
      <c r="C27">
        <v>1E-4</v>
      </c>
      <c r="D27">
        <v>1.2E-2</v>
      </c>
      <c r="E27">
        <v>0</v>
      </c>
      <c r="F27">
        <v>1</v>
      </c>
      <c r="G27" t="s">
        <v>32</v>
      </c>
      <c r="H27" s="1">
        <v>16018</v>
      </c>
      <c r="I27">
        <v>2.0000000000000001E-4</v>
      </c>
      <c r="J27">
        <v>1.4E-2</v>
      </c>
      <c r="K27">
        <v>0</v>
      </c>
      <c r="L27">
        <v>1</v>
      </c>
      <c r="M27" t="s">
        <v>32</v>
      </c>
      <c r="N27" s="1">
        <v>11614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27632</v>
      </c>
      <c r="C28">
        <v>35.045999999999999</v>
      </c>
      <c r="D28">
        <v>16.273</v>
      </c>
      <c r="E28">
        <v>0</v>
      </c>
      <c r="F28">
        <v>90</v>
      </c>
      <c r="G28" t="s">
        <v>33</v>
      </c>
      <c r="H28" s="1">
        <v>16018</v>
      </c>
      <c r="I28">
        <v>33.561</v>
      </c>
      <c r="J28">
        <v>16.09</v>
      </c>
      <c r="K28">
        <v>0</v>
      </c>
      <c r="L28">
        <v>90</v>
      </c>
      <c r="M28" t="s">
        <v>33</v>
      </c>
      <c r="N28" s="1">
        <v>11614</v>
      </c>
      <c r="O28">
        <v>37.094999999999999</v>
      </c>
      <c r="P28">
        <v>16.302</v>
      </c>
      <c r="Q28">
        <v>0</v>
      </c>
      <c r="R28">
        <v>83</v>
      </c>
    </row>
    <row r="29" spans="1:18" x14ac:dyDescent="0.25">
      <c r="A29" t="s">
        <v>34</v>
      </c>
      <c r="B29" s="1">
        <v>27632</v>
      </c>
      <c r="C29">
        <v>1.4930000000000001</v>
      </c>
      <c r="D29">
        <v>1.0189999999999999</v>
      </c>
      <c r="E29">
        <v>0</v>
      </c>
      <c r="F29">
        <v>8.1</v>
      </c>
      <c r="G29" t="s">
        <v>34</v>
      </c>
      <c r="H29" s="1">
        <v>16018</v>
      </c>
      <c r="I29">
        <v>1.385</v>
      </c>
      <c r="J29">
        <v>0.97099999999999997</v>
      </c>
      <c r="K29">
        <v>0</v>
      </c>
      <c r="L29">
        <v>8.1</v>
      </c>
      <c r="M29" t="s">
        <v>34</v>
      </c>
      <c r="N29" s="1">
        <v>11614</v>
      </c>
      <c r="O29">
        <v>1.6419999999999999</v>
      </c>
      <c r="P29">
        <v>1.0629999999999999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27632</v>
      </c>
      <c r="C30" s="2">
        <v>1.43</v>
      </c>
      <c r="D30" s="2">
        <v>4.016</v>
      </c>
      <c r="E30">
        <v>0</v>
      </c>
      <c r="F30" s="1">
        <v>57</v>
      </c>
      <c r="G30" t="s">
        <v>35</v>
      </c>
      <c r="H30" s="1">
        <v>16018</v>
      </c>
      <c r="I30">
        <v>1.35</v>
      </c>
      <c r="J30">
        <v>3.8319999999999999</v>
      </c>
      <c r="K30">
        <v>0</v>
      </c>
      <c r="L30">
        <v>57</v>
      </c>
      <c r="M30" t="s">
        <v>35</v>
      </c>
      <c r="N30" s="1">
        <v>11614</v>
      </c>
      <c r="O30" s="2">
        <v>1.5409999999999999</v>
      </c>
      <c r="P30" s="2">
        <v>4.2539999999999996</v>
      </c>
      <c r="Q30">
        <v>0</v>
      </c>
      <c r="R30" s="1">
        <v>45</v>
      </c>
    </row>
    <row r="31" spans="1:18" x14ac:dyDescent="0.25">
      <c r="A31" t="s">
        <v>18</v>
      </c>
      <c r="B31" s="1">
        <v>27632</v>
      </c>
      <c r="C31" s="2">
        <v>965.63800000000003</v>
      </c>
      <c r="D31" s="2">
        <v>439.05200000000002</v>
      </c>
      <c r="E31">
        <v>175</v>
      </c>
      <c r="F31" s="1">
        <v>11155</v>
      </c>
      <c r="G31" t="s">
        <v>18</v>
      </c>
      <c r="H31" s="1">
        <v>16018</v>
      </c>
      <c r="I31">
        <v>970.37099999999998</v>
      </c>
      <c r="J31">
        <v>438.34300000000002</v>
      </c>
      <c r="K31">
        <v>195</v>
      </c>
      <c r="L31" s="1">
        <v>7582</v>
      </c>
      <c r="M31" t="s">
        <v>18</v>
      </c>
      <c r="N31" s="1">
        <v>11614</v>
      </c>
      <c r="O31" s="2">
        <v>959.11</v>
      </c>
      <c r="P31" s="2">
        <v>439.964</v>
      </c>
      <c r="Q31">
        <v>175</v>
      </c>
      <c r="R31" s="1">
        <v>11155</v>
      </c>
    </row>
    <row r="32" spans="1:18" x14ac:dyDescent="0.25">
      <c r="A32" t="s">
        <v>37</v>
      </c>
      <c r="B32" s="1">
        <v>27632</v>
      </c>
      <c r="C32">
        <v>4.9379999999999997</v>
      </c>
      <c r="D32">
        <v>6.8860000000000001</v>
      </c>
      <c r="E32">
        <v>1.4E-2</v>
      </c>
      <c r="F32">
        <v>111.96899999999999</v>
      </c>
      <c r="G32" t="s">
        <v>37</v>
      </c>
      <c r="H32" s="1">
        <v>16018</v>
      </c>
      <c r="I32" s="2">
        <v>4.9020000000000001</v>
      </c>
      <c r="J32" s="2">
        <v>6.8120000000000003</v>
      </c>
      <c r="K32">
        <v>1.4E-2</v>
      </c>
      <c r="L32" s="1">
        <v>52.774999999999999</v>
      </c>
      <c r="M32" t="s">
        <v>37</v>
      </c>
      <c r="N32" s="1">
        <v>11614</v>
      </c>
      <c r="O32">
        <v>4.9889999999999999</v>
      </c>
      <c r="P32">
        <v>6.9880000000000004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27632</v>
      </c>
      <c r="C33">
        <v>1.7549999999999999</v>
      </c>
      <c r="D33">
        <v>2.266</v>
      </c>
      <c r="E33">
        <v>0</v>
      </c>
      <c r="F33">
        <v>12.788</v>
      </c>
      <c r="G33" t="s">
        <v>164</v>
      </c>
      <c r="H33" s="1">
        <v>16018</v>
      </c>
      <c r="I33">
        <v>1.7789999999999999</v>
      </c>
      <c r="J33">
        <v>2.3109999999999999</v>
      </c>
      <c r="K33">
        <v>0</v>
      </c>
      <c r="L33">
        <v>12.788</v>
      </c>
      <c r="M33" t="s">
        <v>164</v>
      </c>
      <c r="N33" s="1">
        <v>11614</v>
      </c>
      <c r="O33">
        <v>1.722</v>
      </c>
      <c r="P33">
        <v>2.2010000000000001</v>
      </c>
      <c r="Q33">
        <v>0</v>
      </c>
      <c r="R33">
        <v>12.788</v>
      </c>
    </row>
    <row r="34" spans="1:18" x14ac:dyDescent="0.25">
      <c r="A34" t="s">
        <v>39</v>
      </c>
      <c r="B34" s="1">
        <v>27632</v>
      </c>
      <c r="C34">
        <v>0.34300000000000003</v>
      </c>
      <c r="D34">
        <v>0.27</v>
      </c>
      <c r="E34">
        <v>0</v>
      </c>
      <c r="F34">
        <v>2.165</v>
      </c>
      <c r="G34" t="s">
        <v>39</v>
      </c>
      <c r="H34" s="1">
        <v>16018</v>
      </c>
      <c r="I34">
        <v>0.34</v>
      </c>
      <c r="J34">
        <v>0.26500000000000001</v>
      </c>
      <c r="K34">
        <v>1.2E-2</v>
      </c>
      <c r="L34">
        <v>1.7529999999999999</v>
      </c>
      <c r="M34" t="s">
        <v>39</v>
      </c>
      <c r="N34" s="1">
        <v>11614</v>
      </c>
      <c r="O34">
        <v>0.34799999999999998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27632</v>
      </c>
      <c r="C35">
        <v>3.1819999999999999</v>
      </c>
      <c r="D35">
        <v>3.4540000000000002</v>
      </c>
      <c r="E35">
        <v>1.4999999999999999E-2</v>
      </c>
      <c r="F35">
        <v>20.402999999999999</v>
      </c>
      <c r="G35" t="s">
        <v>40</v>
      </c>
      <c r="H35" s="1">
        <v>16018</v>
      </c>
      <c r="I35">
        <v>3.1240000000000001</v>
      </c>
      <c r="J35">
        <v>3.3330000000000002</v>
      </c>
      <c r="K35">
        <v>1.4999999999999999E-2</v>
      </c>
      <c r="L35">
        <v>20.402999999999999</v>
      </c>
      <c r="M35" t="s">
        <v>40</v>
      </c>
      <c r="N35" s="1">
        <v>11614</v>
      </c>
      <c r="O35">
        <v>3.262</v>
      </c>
      <c r="P35">
        <v>3.613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27632</v>
      </c>
      <c r="C36">
        <v>7.6159999999999997</v>
      </c>
      <c r="D36">
        <v>5.173</v>
      </c>
      <c r="E36">
        <v>0.99299999999999999</v>
      </c>
      <c r="F36">
        <v>25.135999999999999</v>
      </c>
      <c r="G36" t="s">
        <v>41</v>
      </c>
      <c r="H36" s="1">
        <v>16018</v>
      </c>
      <c r="I36">
        <v>7.6349999999999998</v>
      </c>
      <c r="J36">
        <v>5.1920000000000002</v>
      </c>
      <c r="K36">
        <v>0.99299999999999999</v>
      </c>
      <c r="L36">
        <v>25.135999999999999</v>
      </c>
      <c r="M36" t="s">
        <v>41</v>
      </c>
      <c r="N36" s="1">
        <v>11614</v>
      </c>
      <c r="O36">
        <v>7.5890000000000004</v>
      </c>
      <c r="P36">
        <v>5.1470000000000002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27632</v>
      </c>
      <c r="C37">
        <v>1.2629999999999999</v>
      </c>
      <c r="D37">
        <v>6.056</v>
      </c>
      <c r="E37">
        <v>4.2999999999999997E-2</v>
      </c>
      <c r="F37">
        <v>196.49</v>
      </c>
      <c r="G37" t="s">
        <v>173</v>
      </c>
      <c r="H37" s="1">
        <v>16018</v>
      </c>
      <c r="I37">
        <v>1.284</v>
      </c>
      <c r="J37">
        <v>6.2380000000000004</v>
      </c>
      <c r="K37">
        <v>4.2999999999999997E-2</v>
      </c>
      <c r="L37">
        <v>196.49</v>
      </c>
      <c r="M37" t="s">
        <v>173</v>
      </c>
      <c r="N37" s="1">
        <v>11614</v>
      </c>
      <c r="O37">
        <v>1.234</v>
      </c>
      <c r="P37">
        <v>5.7969999999999997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27632</v>
      </c>
      <c r="C38">
        <v>1.968</v>
      </c>
      <c r="D38">
        <v>1.3320000000000001</v>
      </c>
      <c r="E38">
        <v>7.0999999999999994E-2</v>
      </c>
      <c r="F38">
        <v>7.2789999999999999</v>
      </c>
      <c r="G38" t="s">
        <v>174</v>
      </c>
      <c r="H38" s="1">
        <v>16018</v>
      </c>
      <c r="I38">
        <v>1.966</v>
      </c>
      <c r="J38">
        <v>1.333</v>
      </c>
      <c r="K38">
        <v>7.3999999999999996E-2</v>
      </c>
      <c r="L38">
        <v>7.2789999999999999</v>
      </c>
      <c r="M38" t="s">
        <v>174</v>
      </c>
      <c r="N38" s="1">
        <v>11614</v>
      </c>
      <c r="O38">
        <v>1.97</v>
      </c>
      <c r="P38">
        <v>1.331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27632</v>
      </c>
      <c r="C39">
        <v>1.833</v>
      </c>
      <c r="D39">
        <v>1.2110000000000001</v>
      </c>
      <c r="E39">
        <v>3.4000000000000002E-2</v>
      </c>
      <c r="F39">
        <v>6.8040000000000003</v>
      </c>
      <c r="G39" t="s">
        <v>175</v>
      </c>
      <c r="H39" s="1">
        <v>16018</v>
      </c>
      <c r="I39">
        <v>1.841</v>
      </c>
      <c r="J39">
        <v>1.2110000000000001</v>
      </c>
      <c r="K39">
        <v>3.4000000000000002E-2</v>
      </c>
      <c r="L39">
        <v>6.8040000000000003</v>
      </c>
      <c r="M39" t="s">
        <v>175</v>
      </c>
      <c r="N39" s="1">
        <v>11614</v>
      </c>
      <c r="O39">
        <v>1.8220000000000001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27632</v>
      </c>
      <c r="C40">
        <v>0.27300000000000002</v>
      </c>
      <c r="D40">
        <v>0.187</v>
      </c>
      <c r="E40">
        <v>0</v>
      </c>
      <c r="F40">
        <v>0.82799999999999996</v>
      </c>
      <c r="G40" t="s">
        <v>42</v>
      </c>
      <c r="H40" s="1">
        <v>16018</v>
      </c>
      <c r="I40">
        <v>0.27700000000000002</v>
      </c>
      <c r="J40">
        <v>0.193</v>
      </c>
      <c r="K40">
        <v>0</v>
      </c>
      <c r="L40">
        <v>0.82799999999999996</v>
      </c>
      <c r="M40" t="s">
        <v>42</v>
      </c>
      <c r="N40" s="1">
        <v>11614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27632</v>
      </c>
      <c r="C41">
        <v>2.3E-2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16018</v>
      </c>
      <c r="I41">
        <v>2.3E-2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11614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27632</v>
      </c>
      <c r="C42">
        <v>0.44</v>
      </c>
      <c r="D42">
        <v>0.19400000000000001</v>
      </c>
      <c r="E42">
        <v>1.4E-2</v>
      </c>
      <c r="F42">
        <v>1</v>
      </c>
      <c r="G42" t="s">
        <v>44</v>
      </c>
      <c r="H42" s="1">
        <v>16018</v>
      </c>
      <c r="I42">
        <v>0.438</v>
      </c>
      <c r="J42">
        <v>0.19600000000000001</v>
      </c>
      <c r="K42">
        <v>1.4E-2</v>
      </c>
      <c r="L42">
        <v>1</v>
      </c>
      <c r="M42" t="s">
        <v>44</v>
      </c>
      <c r="N42" s="1">
        <v>11614</v>
      </c>
      <c r="O42">
        <v>0.442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27632</v>
      </c>
      <c r="C43">
        <v>5.8000000000000003E-2</v>
      </c>
      <c r="D43">
        <v>8.5999999999999993E-2</v>
      </c>
      <c r="E43">
        <v>0</v>
      </c>
      <c r="F43">
        <v>0.64</v>
      </c>
      <c r="G43" t="s">
        <v>45</v>
      </c>
      <c r="H43" s="1">
        <v>16018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11614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27632</v>
      </c>
      <c r="C44">
        <v>0.83299999999999996</v>
      </c>
      <c r="D44">
        <v>0.19600000000000001</v>
      </c>
      <c r="E44">
        <v>0.107</v>
      </c>
      <c r="F44">
        <v>1</v>
      </c>
      <c r="G44" t="s">
        <v>46</v>
      </c>
      <c r="H44" s="1">
        <v>16018</v>
      </c>
      <c r="I44">
        <v>0.83499999999999996</v>
      </c>
      <c r="J44">
        <v>0.2</v>
      </c>
      <c r="K44">
        <v>0.107</v>
      </c>
      <c r="L44">
        <v>1</v>
      </c>
      <c r="M44" t="s">
        <v>46</v>
      </c>
      <c r="N44" s="1">
        <v>11614</v>
      </c>
      <c r="O44">
        <v>0.83199999999999996</v>
      </c>
      <c r="P44">
        <v>0.19</v>
      </c>
      <c r="Q44">
        <v>0.107</v>
      </c>
      <c r="R44">
        <v>1</v>
      </c>
    </row>
    <row r="45" spans="1:18" x14ac:dyDescent="0.25">
      <c r="A45" t="s">
        <v>47</v>
      </c>
      <c r="B45" s="1">
        <v>27632</v>
      </c>
      <c r="C45">
        <v>0.16600000000000001</v>
      </c>
      <c r="D45">
        <v>0.19500000000000001</v>
      </c>
      <c r="E45">
        <v>0</v>
      </c>
      <c r="F45">
        <v>0.89300000000000002</v>
      </c>
      <c r="G45" t="s">
        <v>47</v>
      </c>
      <c r="H45" s="1">
        <v>16018</v>
      </c>
      <c r="I45">
        <v>0.16400000000000001</v>
      </c>
      <c r="J45">
        <v>0.19900000000000001</v>
      </c>
      <c r="K45">
        <v>0</v>
      </c>
      <c r="L45">
        <v>0.89300000000000002</v>
      </c>
      <c r="M45" t="s">
        <v>47</v>
      </c>
      <c r="N45" s="1">
        <v>11614</v>
      </c>
      <c r="O45">
        <v>0.16700000000000001</v>
      </c>
      <c r="P45">
        <v>0.189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27632</v>
      </c>
      <c r="C46" s="2">
        <v>0.58099999999999996</v>
      </c>
      <c r="D46" s="2">
        <v>0.192</v>
      </c>
      <c r="E46" s="2">
        <v>2.8000000000000001E-2</v>
      </c>
      <c r="F46" s="2">
        <v>0.98499999999999999</v>
      </c>
      <c r="G46" t="s">
        <v>48</v>
      </c>
      <c r="H46" s="1">
        <v>16018</v>
      </c>
      <c r="I46">
        <v>0.58599999999999997</v>
      </c>
      <c r="J46">
        <v>0.189</v>
      </c>
      <c r="K46">
        <v>2.8000000000000001E-2</v>
      </c>
      <c r="L46">
        <v>0.98499999999999999</v>
      </c>
      <c r="M46" t="s">
        <v>48</v>
      </c>
      <c r="N46" s="1">
        <v>11614</v>
      </c>
      <c r="O46" s="2">
        <v>0.57499999999999996</v>
      </c>
      <c r="P46" s="2">
        <v>0.19500000000000001</v>
      </c>
      <c r="Q46" s="2">
        <v>2.8000000000000001E-2</v>
      </c>
      <c r="R46" s="2">
        <v>0.98099999999999998</v>
      </c>
    </row>
    <row r="47" spans="1:18" x14ac:dyDescent="0.25">
      <c r="A47" t="s">
        <v>49</v>
      </c>
      <c r="B47" s="1">
        <v>27632</v>
      </c>
      <c r="C47" s="2">
        <v>0.41799999999999998</v>
      </c>
      <c r="D47" s="2">
        <v>0.191</v>
      </c>
      <c r="E47" s="2">
        <v>1.4999999999999999E-2</v>
      </c>
      <c r="F47" s="2">
        <v>0.97199999999999998</v>
      </c>
      <c r="G47" t="s">
        <v>49</v>
      </c>
      <c r="H47" s="1">
        <v>16018</v>
      </c>
      <c r="I47">
        <v>0.41299999999999998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11614</v>
      </c>
      <c r="O47" s="2">
        <v>0.42399999999999999</v>
      </c>
      <c r="P47" s="2">
        <v>0.19500000000000001</v>
      </c>
      <c r="Q47" s="2">
        <v>1.9E-2</v>
      </c>
      <c r="R47" s="2">
        <v>0.97199999999999998</v>
      </c>
    </row>
    <row r="48" spans="1:18" x14ac:dyDescent="0.25">
      <c r="A48" t="s">
        <v>50</v>
      </c>
      <c r="B48" s="1">
        <v>27632</v>
      </c>
      <c r="C48">
        <v>12.361000000000001</v>
      </c>
      <c r="D48">
        <v>41.83</v>
      </c>
      <c r="E48">
        <v>0</v>
      </c>
      <c r="F48" s="1">
        <v>1000</v>
      </c>
      <c r="G48" t="s">
        <v>50</v>
      </c>
      <c r="H48" s="1">
        <v>16018</v>
      </c>
      <c r="I48" s="2">
        <v>11.8</v>
      </c>
      <c r="J48" s="2">
        <v>39.654000000000003</v>
      </c>
      <c r="K48" s="2">
        <v>0</v>
      </c>
      <c r="L48" s="2">
        <v>651</v>
      </c>
      <c r="M48" t="s">
        <v>50</v>
      </c>
      <c r="N48" s="1">
        <v>11614</v>
      </c>
      <c r="O48">
        <v>13.135999999999999</v>
      </c>
      <c r="P48">
        <v>44.646999999999998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27632</v>
      </c>
      <c r="C49" s="2">
        <v>1.27</v>
      </c>
      <c r="D49" s="2">
        <v>1.8919999999999999</v>
      </c>
      <c r="E49" s="2">
        <v>0</v>
      </c>
      <c r="F49" s="2">
        <v>36</v>
      </c>
      <c r="G49" t="s">
        <v>51</v>
      </c>
      <c r="H49" s="1">
        <v>16018</v>
      </c>
      <c r="I49" s="2">
        <v>1.29</v>
      </c>
      <c r="J49" s="2">
        <v>1.9319999999999999</v>
      </c>
      <c r="K49" s="2">
        <v>0</v>
      </c>
      <c r="L49" s="2">
        <v>36</v>
      </c>
      <c r="M49" t="s">
        <v>51</v>
      </c>
      <c r="N49" s="1">
        <v>11614</v>
      </c>
      <c r="O49" s="2">
        <v>1.242</v>
      </c>
      <c r="P49" s="2">
        <v>1.8360000000000001</v>
      </c>
      <c r="Q49" s="2">
        <v>0</v>
      </c>
      <c r="R49" s="2">
        <v>23</v>
      </c>
    </row>
    <row r="50" spans="1:18" x14ac:dyDescent="0.25">
      <c r="A50" t="s">
        <v>52</v>
      </c>
      <c r="B50" s="1">
        <v>27632</v>
      </c>
      <c r="C50" s="2">
        <v>0.36899999999999999</v>
      </c>
      <c r="D50" s="2">
        <v>0.48299999999999998</v>
      </c>
      <c r="E50" s="2">
        <v>0</v>
      </c>
      <c r="F50" s="2">
        <v>1</v>
      </c>
      <c r="G50" t="s">
        <v>52</v>
      </c>
      <c r="H50" s="1">
        <v>16018</v>
      </c>
      <c r="I50">
        <v>0.35599999999999998</v>
      </c>
      <c r="J50">
        <v>0.47899999999999998</v>
      </c>
      <c r="K50">
        <v>0</v>
      </c>
      <c r="L50">
        <v>1</v>
      </c>
      <c r="M50" t="s">
        <v>52</v>
      </c>
      <c r="N50" s="1">
        <v>11614</v>
      </c>
      <c r="O50" s="2">
        <v>0.38700000000000001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27632</v>
      </c>
      <c r="C51" s="2">
        <v>2359735</v>
      </c>
      <c r="D51" s="2">
        <v>6913.3239999999996</v>
      </c>
      <c r="E51" s="2">
        <v>2351041</v>
      </c>
      <c r="F51" s="2">
        <v>2400056</v>
      </c>
      <c r="G51" t="s">
        <v>53</v>
      </c>
      <c r="H51" s="1">
        <v>16018</v>
      </c>
      <c r="I51" s="2">
        <v>2359780</v>
      </c>
      <c r="J51" s="2">
        <v>6959.8670000000002</v>
      </c>
      <c r="K51" s="2">
        <v>2351041</v>
      </c>
      <c r="L51" s="2">
        <v>2400056</v>
      </c>
      <c r="M51" t="s">
        <v>53</v>
      </c>
      <c r="N51" s="1">
        <v>11614</v>
      </c>
      <c r="O51" s="2">
        <v>2359673</v>
      </c>
      <c r="P51" s="2">
        <v>6848.4219999999996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27632</v>
      </c>
      <c r="C52" s="2">
        <v>614194.19999999995</v>
      </c>
      <c r="D52" s="2">
        <v>11605.6</v>
      </c>
      <c r="E52" s="2">
        <v>580446.1</v>
      </c>
      <c r="F52" s="2">
        <v>637819.69999999995</v>
      </c>
      <c r="G52" t="s">
        <v>54</v>
      </c>
      <c r="H52" s="1">
        <v>16018</v>
      </c>
      <c r="I52" s="2">
        <v>614172.6</v>
      </c>
      <c r="J52" s="2">
        <v>11466.6</v>
      </c>
      <c r="K52" s="2">
        <v>580446.1</v>
      </c>
      <c r="L52" s="2">
        <v>637819.69999999995</v>
      </c>
      <c r="M52" t="s">
        <v>54</v>
      </c>
      <c r="N52" s="1">
        <v>11614</v>
      </c>
      <c r="O52" s="2">
        <v>614224</v>
      </c>
      <c r="P52" s="2">
        <v>11795.07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27632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16018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27632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16018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11614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27632</v>
      </c>
      <c r="C55">
        <v>0.26</v>
      </c>
      <c r="D55">
        <v>0.439</v>
      </c>
      <c r="E55">
        <v>0</v>
      </c>
      <c r="F55">
        <v>1</v>
      </c>
      <c r="G55" t="s">
        <v>58</v>
      </c>
      <c r="H55" s="1">
        <v>16018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11614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27632</v>
      </c>
      <c r="C56">
        <v>0.21199999999999999</v>
      </c>
      <c r="D56">
        <v>0.40899999999999997</v>
      </c>
      <c r="E56">
        <v>0</v>
      </c>
      <c r="F56">
        <v>1</v>
      </c>
      <c r="G56" t="s">
        <v>59</v>
      </c>
      <c r="H56" s="1">
        <v>16018</v>
      </c>
      <c r="I56" s="2">
        <v>0.21299999999999999</v>
      </c>
      <c r="J56">
        <v>0.40899999999999997</v>
      </c>
      <c r="K56" s="1">
        <v>0</v>
      </c>
      <c r="L56" s="1">
        <v>1</v>
      </c>
      <c r="M56" t="s">
        <v>59</v>
      </c>
      <c r="N56" s="1">
        <v>11614</v>
      </c>
      <c r="O56">
        <v>0.21</v>
      </c>
      <c r="P56">
        <v>0.40699999999999997</v>
      </c>
      <c r="Q56">
        <v>0</v>
      </c>
      <c r="R56">
        <v>1</v>
      </c>
    </row>
    <row r="57" spans="1:18" x14ac:dyDescent="0.25">
      <c r="A57" t="s">
        <v>60</v>
      </c>
      <c r="B57" s="1">
        <v>27632</v>
      </c>
      <c r="C57" s="2">
        <v>0.52800000000000002</v>
      </c>
      <c r="D57">
        <v>0.499</v>
      </c>
      <c r="E57" s="1">
        <v>0</v>
      </c>
      <c r="F57" s="1">
        <v>1</v>
      </c>
      <c r="G57" t="s">
        <v>60</v>
      </c>
      <c r="H57" s="1">
        <v>16018</v>
      </c>
      <c r="I57">
        <v>0.51500000000000001</v>
      </c>
      <c r="J57">
        <v>0.5</v>
      </c>
      <c r="K57">
        <v>0</v>
      </c>
      <c r="L57">
        <v>1</v>
      </c>
      <c r="M57" t="s">
        <v>60</v>
      </c>
      <c r="N57" s="1">
        <v>11614</v>
      </c>
      <c r="O57" s="2">
        <v>0.54600000000000004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27632</v>
      </c>
      <c r="C58" s="2">
        <v>2019.037</v>
      </c>
      <c r="D58">
        <v>2.0099999999999998</v>
      </c>
      <c r="E58" s="1">
        <v>2016</v>
      </c>
      <c r="F58" s="1">
        <v>2023</v>
      </c>
      <c r="G58" t="s">
        <v>61</v>
      </c>
      <c r="H58" s="1">
        <v>16018</v>
      </c>
      <c r="I58" s="2">
        <v>2017.557</v>
      </c>
      <c r="J58">
        <v>1.159</v>
      </c>
      <c r="K58" s="1">
        <v>2016</v>
      </c>
      <c r="L58" s="1">
        <v>2020</v>
      </c>
      <c r="M58" t="s">
        <v>61</v>
      </c>
      <c r="N58" s="1">
        <v>11614</v>
      </c>
      <c r="O58" s="2">
        <v>2021.078</v>
      </c>
      <c r="P58">
        <v>0.75700000000000001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27632</v>
      </c>
      <c r="C59" s="2">
        <v>0.109</v>
      </c>
      <c r="D59">
        <v>0.312</v>
      </c>
      <c r="E59" s="1">
        <v>0</v>
      </c>
      <c r="F59" s="1">
        <v>1</v>
      </c>
      <c r="G59" t="s">
        <v>62</v>
      </c>
      <c r="H59" s="1">
        <v>16018</v>
      </c>
      <c r="I59" s="2">
        <v>0.112</v>
      </c>
      <c r="J59">
        <v>0.315</v>
      </c>
      <c r="K59" s="1">
        <v>0</v>
      </c>
      <c r="L59" s="1">
        <v>1</v>
      </c>
      <c r="M59" t="s">
        <v>62</v>
      </c>
      <c r="N59" s="1">
        <v>11614</v>
      </c>
      <c r="O59" s="2">
        <v>0.106</v>
      </c>
      <c r="P59">
        <v>0.308</v>
      </c>
      <c r="Q59" s="1">
        <v>0</v>
      </c>
      <c r="R59" s="1">
        <v>1</v>
      </c>
    </row>
    <row r="60" spans="1:18" x14ac:dyDescent="0.25">
      <c r="A60" t="s">
        <v>63</v>
      </c>
      <c r="B60" s="1">
        <v>27632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16018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11614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27632</v>
      </c>
      <c r="C61">
        <v>5.2999999999999999E-2</v>
      </c>
      <c r="D61">
        <v>0.224</v>
      </c>
      <c r="E61">
        <v>0</v>
      </c>
      <c r="F61">
        <v>1</v>
      </c>
      <c r="G61" t="s">
        <v>64</v>
      </c>
      <c r="H61" s="1">
        <v>16018</v>
      </c>
      <c r="I61">
        <v>0.05</v>
      </c>
      <c r="J61">
        <v>0.218</v>
      </c>
      <c r="K61">
        <v>0</v>
      </c>
      <c r="L61">
        <v>1</v>
      </c>
      <c r="M61" t="s">
        <v>64</v>
      </c>
      <c r="N61" s="1">
        <v>11614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27632</v>
      </c>
      <c r="C62">
        <v>0.22800000000000001</v>
      </c>
      <c r="D62">
        <v>0.41899999999999998</v>
      </c>
      <c r="E62">
        <v>0</v>
      </c>
      <c r="F62">
        <v>1</v>
      </c>
      <c r="G62" t="s">
        <v>65</v>
      </c>
      <c r="H62" s="1">
        <v>16018</v>
      </c>
      <c r="I62">
        <v>0.23400000000000001</v>
      </c>
      <c r="J62">
        <v>0.42299999999999999</v>
      </c>
      <c r="K62">
        <v>0</v>
      </c>
      <c r="L62">
        <v>1</v>
      </c>
      <c r="M62" t="s">
        <v>65</v>
      </c>
      <c r="N62" s="1">
        <v>11614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27632</v>
      </c>
      <c r="C63">
        <v>0.28299999999999997</v>
      </c>
      <c r="D63">
        <v>0.45100000000000001</v>
      </c>
      <c r="E63">
        <v>0</v>
      </c>
      <c r="F63">
        <v>1</v>
      </c>
      <c r="G63" t="s">
        <v>66</v>
      </c>
      <c r="H63" s="1">
        <v>16018</v>
      </c>
      <c r="I63">
        <v>0.27300000000000002</v>
      </c>
      <c r="J63">
        <v>0.44500000000000001</v>
      </c>
      <c r="K63">
        <v>0</v>
      </c>
      <c r="L63">
        <v>1</v>
      </c>
      <c r="M63" t="s">
        <v>66</v>
      </c>
      <c r="N63" s="1">
        <v>11614</v>
      </c>
      <c r="O63">
        <v>0.29699999999999999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27632</v>
      </c>
      <c r="C64">
        <v>6.6000000000000003E-2</v>
      </c>
      <c r="D64">
        <v>0.248</v>
      </c>
      <c r="E64">
        <v>0</v>
      </c>
      <c r="F64">
        <v>1</v>
      </c>
      <c r="G64" t="s">
        <v>67</v>
      </c>
      <c r="H64" s="1">
        <v>16018</v>
      </c>
      <c r="I64">
        <v>6.7000000000000004E-2</v>
      </c>
      <c r="J64">
        <v>0.25</v>
      </c>
      <c r="K64">
        <v>0</v>
      </c>
      <c r="L64">
        <v>1</v>
      </c>
      <c r="M64" t="s">
        <v>67</v>
      </c>
      <c r="N64" s="1">
        <v>11614</v>
      </c>
      <c r="O64">
        <v>6.5000000000000002E-2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27632</v>
      </c>
      <c r="C65">
        <v>0.20499999999999999</v>
      </c>
      <c r="D65">
        <v>0.40300000000000002</v>
      </c>
      <c r="E65">
        <v>0</v>
      </c>
      <c r="F65">
        <v>1</v>
      </c>
      <c r="G65" t="s">
        <v>68</v>
      </c>
      <c r="H65" s="1">
        <v>16018</v>
      </c>
      <c r="I65">
        <v>0.20499999999999999</v>
      </c>
      <c r="J65">
        <v>0.40400000000000003</v>
      </c>
      <c r="K65">
        <v>0</v>
      </c>
      <c r="L65">
        <v>1</v>
      </c>
      <c r="M65" t="s">
        <v>68</v>
      </c>
      <c r="N65" s="1">
        <v>11614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27632</v>
      </c>
      <c r="C66">
        <v>5.6000000000000001E-2</v>
      </c>
      <c r="D66">
        <v>0.22900000000000001</v>
      </c>
      <c r="E66">
        <v>0</v>
      </c>
      <c r="F66">
        <v>1</v>
      </c>
      <c r="G66" t="s">
        <v>69</v>
      </c>
      <c r="H66" s="1">
        <v>16018</v>
      </c>
      <c r="I66">
        <v>0.06</v>
      </c>
      <c r="J66">
        <v>0.23699999999999999</v>
      </c>
      <c r="K66">
        <v>0</v>
      </c>
      <c r="L66">
        <v>1</v>
      </c>
      <c r="M66" t="s">
        <v>69</v>
      </c>
      <c r="N66" s="1">
        <v>11614</v>
      </c>
      <c r="O66">
        <v>0.05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27632</v>
      </c>
      <c r="C67">
        <v>0.17299999999999999</v>
      </c>
      <c r="D67">
        <v>0.378</v>
      </c>
      <c r="E67">
        <v>0</v>
      </c>
      <c r="F67">
        <v>1</v>
      </c>
      <c r="G67" t="s">
        <v>70</v>
      </c>
      <c r="H67" s="1">
        <v>16018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11614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27632</v>
      </c>
      <c r="C68">
        <v>0.36599999999999999</v>
      </c>
      <c r="D68">
        <v>0.48199999999999998</v>
      </c>
      <c r="E68">
        <v>0</v>
      </c>
      <c r="F68">
        <v>1</v>
      </c>
      <c r="G68" t="s">
        <v>71</v>
      </c>
      <c r="H68" s="1">
        <v>16018</v>
      </c>
      <c r="I68">
        <v>0.38600000000000001</v>
      </c>
      <c r="J68">
        <v>0.48699999999999999</v>
      </c>
      <c r="K68">
        <v>0</v>
      </c>
      <c r="L68">
        <v>1</v>
      </c>
      <c r="M68" t="s">
        <v>71</v>
      </c>
      <c r="N68" s="1">
        <v>11614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27632</v>
      </c>
      <c r="C69">
        <v>0.436</v>
      </c>
      <c r="D69">
        <v>0.496</v>
      </c>
      <c r="E69">
        <v>0</v>
      </c>
      <c r="F69">
        <v>1</v>
      </c>
      <c r="G69" t="s">
        <v>72</v>
      </c>
      <c r="H69" s="1">
        <v>16018</v>
      </c>
      <c r="I69">
        <v>0.41899999999999998</v>
      </c>
      <c r="J69">
        <v>0.49299999999999999</v>
      </c>
      <c r="K69">
        <v>0</v>
      </c>
      <c r="L69">
        <v>1</v>
      </c>
      <c r="M69" t="s">
        <v>72</v>
      </c>
      <c r="N69" s="1">
        <v>11614</v>
      </c>
      <c r="O69">
        <v>0.46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27632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16018</v>
      </c>
      <c r="I70">
        <v>2.5000000000000001E-2</v>
      </c>
      <c r="J70">
        <v>0.156</v>
      </c>
      <c r="K70">
        <v>0</v>
      </c>
      <c r="L70">
        <v>1</v>
      </c>
      <c r="M70" t="s">
        <v>73</v>
      </c>
      <c r="N70" s="1">
        <v>11614</v>
      </c>
      <c r="O70">
        <v>2.5000000000000001E-2</v>
      </c>
      <c r="P70">
        <v>0.156</v>
      </c>
      <c r="Q70">
        <v>0</v>
      </c>
      <c r="R70">
        <v>1</v>
      </c>
    </row>
    <row r="71" spans="1:18" x14ac:dyDescent="0.25">
      <c r="A71" t="s">
        <v>165</v>
      </c>
      <c r="B71" s="1">
        <v>27632</v>
      </c>
      <c r="C71">
        <v>0.1</v>
      </c>
      <c r="D71">
        <v>0.3</v>
      </c>
      <c r="E71">
        <v>0</v>
      </c>
      <c r="F71">
        <v>1</v>
      </c>
      <c r="G71" t="s">
        <v>165</v>
      </c>
      <c r="H71" s="1">
        <v>16018</v>
      </c>
      <c r="I71">
        <v>0.10199999999999999</v>
      </c>
      <c r="J71">
        <v>0.30199999999999999</v>
      </c>
      <c r="K71">
        <v>0</v>
      </c>
      <c r="L71">
        <v>1</v>
      </c>
      <c r="M71" t="s">
        <v>165</v>
      </c>
      <c r="N71" s="1">
        <v>11614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27632</v>
      </c>
      <c r="C72">
        <v>0.441</v>
      </c>
      <c r="D72">
        <v>0.497</v>
      </c>
      <c r="E72">
        <v>0</v>
      </c>
      <c r="F72">
        <v>1</v>
      </c>
      <c r="G72" t="s">
        <v>166</v>
      </c>
      <c r="H72" s="1">
        <v>16018</v>
      </c>
      <c r="I72">
        <v>0.434</v>
      </c>
      <c r="J72">
        <v>0.496</v>
      </c>
      <c r="K72">
        <v>0</v>
      </c>
      <c r="L72">
        <v>1</v>
      </c>
      <c r="M72" t="s">
        <v>166</v>
      </c>
      <c r="N72" s="1">
        <v>11614</v>
      </c>
      <c r="O72">
        <v>0.45100000000000001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27632</v>
      </c>
      <c r="C73">
        <v>0.44</v>
      </c>
      <c r="D73">
        <v>0.496</v>
      </c>
      <c r="E73">
        <v>0</v>
      </c>
      <c r="F73">
        <v>1</v>
      </c>
      <c r="G73" t="s">
        <v>167</v>
      </c>
      <c r="H73" s="1">
        <v>16018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11614</v>
      </c>
      <c r="O73">
        <v>0.432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27632</v>
      </c>
      <c r="C74">
        <v>8.9999999999999993E-3</v>
      </c>
      <c r="D74">
        <v>9.2999999999999999E-2</v>
      </c>
      <c r="E74">
        <v>0</v>
      </c>
      <c r="F74">
        <v>1</v>
      </c>
      <c r="G74" t="s">
        <v>168</v>
      </c>
      <c r="H74" s="1">
        <v>16018</v>
      </c>
      <c r="I74">
        <v>8.0000000000000002E-3</v>
      </c>
      <c r="J74">
        <v>9.0999999999999998E-2</v>
      </c>
      <c r="K74">
        <v>0</v>
      </c>
      <c r="L74">
        <v>1</v>
      </c>
      <c r="M74" t="s">
        <v>168</v>
      </c>
      <c r="N74" s="1">
        <v>11614</v>
      </c>
      <c r="O74">
        <v>8.9999999999999993E-3</v>
      </c>
      <c r="P74">
        <v>9.6000000000000002E-2</v>
      </c>
      <c r="Q74">
        <v>0</v>
      </c>
      <c r="R74">
        <v>1</v>
      </c>
    </row>
    <row r="75" spans="1:18" x14ac:dyDescent="0.25">
      <c r="A75" t="s">
        <v>169</v>
      </c>
      <c r="B75" s="1">
        <v>27632</v>
      </c>
      <c r="C75">
        <v>8.9999999999999993E-3</v>
      </c>
      <c r="D75">
        <v>9.2999999999999999E-2</v>
      </c>
      <c r="E75">
        <v>0</v>
      </c>
      <c r="F75">
        <v>1</v>
      </c>
      <c r="G75" t="s">
        <v>169</v>
      </c>
      <c r="H75" s="1">
        <v>16018</v>
      </c>
      <c r="I75">
        <v>8.0000000000000002E-3</v>
      </c>
      <c r="J75">
        <v>8.8999999999999996E-2</v>
      </c>
      <c r="K75">
        <v>0</v>
      </c>
      <c r="L75">
        <v>1</v>
      </c>
      <c r="M75" t="s">
        <v>169</v>
      </c>
      <c r="N75" s="1">
        <v>11614</v>
      </c>
      <c r="O75">
        <v>0.01</v>
      </c>
      <c r="P75">
        <v>9.9000000000000005E-2</v>
      </c>
      <c r="Q75">
        <v>0</v>
      </c>
      <c r="R75">
        <v>1</v>
      </c>
    </row>
    <row r="76" spans="1:18" x14ac:dyDescent="0.25">
      <c r="A76" t="s">
        <v>170</v>
      </c>
      <c r="B76" s="1">
        <v>27632</v>
      </c>
      <c r="C76">
        <v>1E-3</v>
      </c>
      <c r="D76">
        <v>3.3000000000000002E-2</v>
      </c>
      <c r="E76">
        <v>0</v>
      </c>
      <c r="F76">
        <v>1</v>
      </c>
      <c r="G76" t="s">
        <v>170</v>
      </c>
      <c r="H76" s="1">
        <v>16018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11614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27632</v>
      </c>
      <c r="C77">
        <v>0.20699999999999999</v>
      </c>
      <c r="D77">
        <v>0.40500000000000003</v>
      </c>
      <c r="E77">
        <v>0</v>
      </c>
      <c r="F77">
        <v>1</v>
      </c>
      <c r="G77" t="s">
        <v>79</v>
      </c>
      <c r="H77" s="1">
        <v>16018</v>
      </c>
      <c r="I77">
        <v>0.216</v>
      </c>
      <c r="J77">
        <v>0.41099999999999998</v>
      </c>
      <c r="K77">
        <v>0</v>
      </c>
      <c r="L77">
        <v>1</v>
      </c>
      <c r="M77" t="s">
        <v>79</v>
      </c>
      <c r="N77" s="1">
        <v>11614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27632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16018</v>
      </c>
      <c r="I78">
        <v>8.9999999999999993E-3</v>
      </c>
      <c r="J78">
        <v>9.4E-2</v>
      </c>
      <c r="K78">
        <v>0</v>
      </c>
      <c r="L78">
        <v>1</v>
      </c>
      <c r="M78" t="s">
        <v>80</v>
      </c>
      <c r="N78" s="1">
        <v>11614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27632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16018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11614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27632</v>
      </c>
      <c r="C80">
        <v>7.3999999999999996E-2</v>
      </c>
      <c r="D80">
        <v>0.26200000000000001</v>
      </c>
      <c r="E80">
        <v>0</v>
      </c>
      <c r="F80">
        <v>1</v>
      </c>
      <c r="G80" t="s">
        <v>82</v>
      </c>
      <c r="H80" s="1">
        <v>16018</v>
      </c>
      <c r="I80">
        <v>7.2999999999999995E-2</v>
      </c>
      <c r="J80">
        <v>0.26</v>
      </c>
      <c r="K80">
        <v>0</v>
      </c>
      <c r="L80">
        <v>1</v>
      </c>
      <c r="M80" t="s">
        <v>82</v>
      </c>
      <c r="N80" s="1">
        <v>11614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27632</v>
      </c>
      <c r="C81">
        <v>0.307</v>
      </c>
      <c r="D81">
        <v>0.46100000000000002</v>
      </c>
      <c r="E81">
        <v>0</v>
      </c>
      <c r="F81">
        <v>1</v>
      </c>
      <c r="G81" t="s">
        <v>83</v>
      </c>
      <c r="H81" s="1">
        <v>16018</v>
      </c>
      <c r="I81">
        <v>0.308</v>
      </c>
      <c r="J81">
        <v>0.46200000000000002</v>
      </c>
      <c r="K81">
        <v>0</v>
      </c>
      <c r="L81">
        <v>1</v>
      </c>
      <c r="M81" t="s">
        <v>83</v>
      </c>
      <c r="N81" s="1">
        <v>11614</v>
      </c>
      <c r="O81">
        <v>0.30499999999999999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27632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16018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11614</v>
      </c>
      <c r="O82">
        <v>8.9999999999999993E-3</v>
      </c>
      <c r="P82">
        <v>9.1999999999999998E-2</v>
      </c>
      <c r="Q82">
        <v>0</v>
      </c>
      <c r="R82">
        <v>1</v>
      </c>
    </row>
    <row r="83" spans="1:18" x14ac:dyDescent="0.25">
      <c r="A83" t="s">
        <v>85</v>
      </c>
      <c r="B83" s="1">
        <v>27632</v>
      </c>
      <c r="C83">
        <v>0.39300000000000002</v>
      </c>
      <c r="D83">
        <v>0.48799999999999999</v>
      </c>
      <c r="E83">
        <v>0</v>
      </c>
      <c r="F83">
        <v>1</v>
      </c>
      <c r="G83" t="s">
        <v>85</v>
      </c>
      <c r="H83" s="1">
        <v>16018</v>
      </c>
      <c r="I83">
        <v>0.38600000000000001</v>
      </c>
      <c r="J83">
        <v>0.48699999999999999</v>
      </c>
      <c r="K83">
        <v>0</v>
      </c>
      <c r="L83">
        <v>1</v>
      </c>
      <c r="M83" t="s">
        <v>85</v>
      </c>
      <c r="N83" s="1">
        <v>11614</v>
      </c>
      <c r="O83">
        <v>0.40200000000000002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H8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4"/>
  <sheetViews>
    <sheetView workbookViewId="0">
      <selection activeCell="U4" sqref="U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22993</v>
      </c>
      <c r="C3">
        <v>1.3049999999999999</v>
      </c>
      <c r="D3">
        <v>0.53600000000000003</v>
      </c>
      <c r="E3">
        <v>1</v>
      </c>
      <c r="F3">
        <v>4</v>
      </c>
      <c r="G3" t="s">
        <v>10</v>
      </c>
      <c r="H3" s="1">
        <v>13277</v>
      </c>
      <c r="I3">
        <v>1.2949999999999999</v>
      </c>
      <c r="J3">
        <v>0.52900000000000003</v>
      </c>
      <c r="K3">
        <v>1</v>
      </c>
      <c r="L3">
        <v>4</v>
      </c>
      <c r="M3" t="s">
        <v>10</v>
      </c>
      <c r="N3" s="1">
        <v>9716</v>
      </c>
      <c r="O3">
        <v>1.3180000000000001</v>
      </c>
      <c r="P3">
        <v>0.54600000000000004</v>
      </c>
      <c r="Q3">
        <v>1</v>
      </c>
      <c r="R3">
        <v>4</v>
      </c>
    </row>
    <row r="4" spans="1:18" x14ac:dyDescent="0.25">
      <c r="A4" t="s">
        <v>11</v>
      </c>
      <c r="B4" s="1">
        <v>22993</v>
      </c>
      <c r="C4">
        <v>0.42299999999999999</v>
      </c>
      <c r="D4">
        <v>0.49399999999999999</v>
      </c>
      <c r="E4">
        <v>0</v>
      </c>
      <c r="F4">
        <v>1</v>
      </c>
      <c r="G4" t="s">
        <v>11</v>
      </c>
      <c r="H4" s="1">
        <v>13277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9716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22993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13277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9716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9716</v>
      </c>
      <c r="C6">
        <v>289.76600000000002</v>
      </c>
      <c r="D6">
        <v>543.23599999999999</v>
      </c>
      <c r="E6">
        <v>0</v>
      </c>
      <c r="F6" s="1">
        <v>4021</v>
      </c>
      <c r="H6" s="1"/>
      <c r="M6" t="s">
        <v>36</v>
      </c>
      <c r="N6" s="1">
        <v>9716</v>
      </c>
      <c r="O6">
        <v>289.76600000000002</v>
      </c>
      <c r="P6">
        <v>543.23599999999999</v>
      </c>
      <c r="Q6">
        <v>0</v>
      </c>
      <c r="R6" s="1">
        <v>4021</v>
      </c>
    </row>
    <row r="7" spans="1:18" x14ac:dyDescent="0.25">
      <c r="A7" t="s">
        <v>13</v>
      </c>
      <c r="B7" s="1">
        <v>22993</v>
      </c>
      <c r="C7">
        <v>2.39</v>
      </c>
      <c r="D7">
        <v>0.97399999999999998</v>
      </c>
      <c r="E7">
        <v>0</v>
      </c>
      <c r="F7">
        <v>17</v>
      </c>
      <c r="G7" t="s">
        <v>13</v>
      </c>
      <c r="H7" s="1">
        <v>13277</v>
      </c>
      <c r="I7">
        <v>2.3530000000000002</v>
      </c>
      <c r="J7">
        <v>0.94</v>
      </c>
      <c r="K7">
        <v>0</v>
      </c>
      <c r="L7">
        <v>17</v>
      </c>
      <c r="M7" t="s">
        <v>13</v>
      </c>
      <c r="N7" s="1">
        <v>9716</v>
      </c>
      <c r="O7">
        <v>2.44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22993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13277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9716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22993</v>
      </c>
      <c r="C9">
        <v>3.7879999999999998</v>
      </c>
      <c r="D9">
        <v>1.242</v>
      </c>
      <c r="E9">
        <v>0</v>
      </c>
      <c r="F9">
        <v>25</v>
      </c>
      <c r="G9" t="s">
        <v>15</v>
      </c>
      <c r="H9" s="1">
        <v>13277</v>
      </c>
      <c r="I9">
        <v>3.74</v>
      </c>
      <c r="J9">
        <v>1.1919999999999999</v>
      </c>
      <c r="K9">
        <v>0</v>
      </c>
      <c r="L9">
        <v>18</v>
      </c>
      <c r="M9" t="s">
        <v>15</v>
      </c>
      <c r="N9" s="1">
        <v>9716</v>
      </c>
      <c r="O9">
        <v>3.8530000000000002</v>
      </c>
      <c r="P9">
        <v>1.304</v>
      </c>
      <c r="Q9">
        <v>0</v>
      </c>
      <c r="R9">
        <v>25</v>
      </c>
    </row>
    <row r="10" spans="1:18" x14ac:dyDescent="0.25">
      <c r="A10" t="s">
        <v>16</v>
      </c>
      <c r="B10" s="1">
        <v>22993</v>
      </c>
      <c r="C10">
        <v>42.304000000000002</v>
      </c>
      <c r="D10">
        <v>56.564</v>
      </c>
      <c r="E10">
        <v>0</v>
      </c>
      <c r="F10" s="1">
        <v>1402</v>
      </c>
      <c r="G10" t="s">
        <v>16</v>
      </c>
      <c r="H10" s="1">
        <v>13277</v>
      </c>
      <c r="I10">
        <v>51.563000000000002</v>
      </c>
      <c r="J10">
        <v>59.83</v>
      </c>
      <c r="K10">
        <v>0</v>
      </c>
      <c r="L10" s="1">
        <v>1402</v>
      </c>
      <c r="M10" t="s">
        <v>16</v>
      </c>
      <c r="N10" s="1">
        <v>9716</v>
      </c>
      <c r="O10">
        <v>29.652000000000001</v>
      </c>
      <c r="P10">
        <v>49.02</v>
      </c>
      <c r="Q10">
        <v>0</v>
      </c>
      <c r="R10">
        <v>593</v>
      </c>
    </row>
    <row r="11" spans="1:18" x14ac:dyDescent="0.25">
      <c r="A11" t="s">
        <v>163</v>
      </c>
      <c r="B11" s="1">
        <v>22993</v>
      </c>
      <c r="C11" s="2">
        <v>1864.9549999999999</v>
      </c>
      <c r="D11">
        <v>899.86400000000003</v>
      </c>
      <c r="E11">
        <v>220</v>
      </c>
      <c r="F11" s="1">
        <v>17408</v>
      </c>
      <c r="G11" t="s">
        <v>163</v>
      </c>
      <c r="H11" s="1">
        <v>13277</v>
      </c>
      <c r="I11" s="2">
        <v>1835.962</v>
      </c>
      <c r="J11">
        <v>865.88900000000001</v>
      </c>
      <c r="K11">
        <v>420</v>
      </c>
      <c r="L11" s="1">
        <v>17408</v>
      </c>
      <c r="M11" t="s">
        <v>163</v>
      </c>
      <c r="N11" s="1">
        <v>9716</v>
      </c>
      <c r="O11" s="2">
        <v>1904.5730000000001</v>
      </c>
      <c r="P11">
        <v>942.92100000000005</v>
      </c>
      <c r="Q11">
        <v>220</v>
      </c>
      <c r="R11" s="1">
        <v>16703</v>
      </c>
    </row>
    <row r="12" spans="1:18" x14ac:dyDescent="0.25">
      <c r="A12" t="s">
        <v>17</v>
      </c>
      <c r="B12" s="1">
        <v>22993</v>
      </c>
      <c r="C12">
        <v>329.726</v>
      </c>
      <c r="D12">
        <v>232.75800000000001</v>
      </c>
      <c r="E12">
        <v>0</v>
      </c>
      <c r="F12" s="1">
        <v>5000</v>
      </c>
      <c r="G12" t="s">
        <v>17</v>
      </c>
      <c r="H12" s="1">
        <v>13277</v>
      </c>
      <c r="I12" s="2">
        <v>328.96899999999999</v>
      </c>
      <c r="J12">
        <v>232.864</v>
      </c>
      <c r="K12">
        <v>0</v>
      </c>
      <c r="L12" s="1">
        <v>5000</v>
      </c>
      <c r="M12" t="s">
        <v>17</v>
      </c>
      <c r="N12" s="1">
        <v>9716</v>
      </c>
      <c r="O12">
        <v>330.76100000000002</v>
      </c>
      <c r="P12">
        <v>232.62</v>
      </c>
      <c r="Q12">
        <v>0</v>
      </c>
      <c r="R12" s="1">
        <v>3200</v>
      </c>
    </row>
    <row r="13" spans="1:18" x14ac:dyDescent="0.25">
      <c r="A13" t="s">
        <v>19</v>
      </c>
      <c r="B13" s="1">
        <v>22993</v>
      </c>
      <c r="C13" s="2">
        <v>1265700</v>
      </c>
      <c r="D13" s="2">
        <v>1031113</v>
      </c>
      <c r="E13" s="2">
        <v>168375.1</v>
      </c>
      <c r="F13" s="2">
        <v>23293838</v>
      </c>
      <c r="G13" t="s">
        <v>19</v>
      </c>
      <c r="H13" s="1">
        <v>13277</v>
      </c>
      <c r="I13" s="2">
        <v>1188475</v>
      </c>
      <c r="J13" s="2">
        <v>975934.1</v>
      </c>
      <c r="K13" s="2">
        <v>168375.1</v>
      </c>
      <c r="L13" s="1">
        <v>23293838</v>
      </c>
      <c r="M13" t="s">
        <v>19</v>
      </c>
      <c r="N13" s="1">
        <v>9716</v>
      </c>
      <c r="O13" s="2">
        <v>1371229</v>
      </c>
      <c r="P13" s="2">
        <v>1093323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22993</v>
      </c>
      <c r="C14" s="2">
        <v>1252197</v>
      </c>
      <c r="D14" s="2">
        <v>958546</v>
      </c>
      <c r="E14" s="2">
        <v>180401.9</v>
      </c>
      <c r="F14" s="2">
        <v>22166108</v>
      </c>
      <c r="G14" t="s">
        <v>20</v>
      </c>
      <c r="H14" s="1">
        <v>13277</v>
      </c>
      <c r="I14" s="2">
        <v>1163619</v>
      </c>
      <c r="J14" s="2">
        <v>898645.5</v>
      </c>
      <c r="K14" s="2">
        <v>180401.9</v>
      </c>
      <c r="L14" s="2">
        <v>21058570</v>
      </c>
      <c r="M14" t="s">
        <v>20</v>
      </c>
      <c r="N14" s="1">
        <v>9716</v>
      </c>
      <c r="O14" s="2">
        <v>1373239</v>
      </c>
      <c r="P14" s="2">
        <v>1022523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22993</v>
      </c>
      <c r="C15" s="2">
        <v>10872.1</v>
      </c>
      <c r="D15" s="2">
        <v>121175.9</v>
      </c>
      <c r="E15" s="1">
        <v>-2010000</v>
      </c>
      <c r="F15" s="1">
        <v>6900000</v>
      </c>
      <c r="G15" t="s">
        <v>190</v>
      </c>
      <c r="H15" s="1">
        <v>13277</v>
      </c>
      <c r="I15" s="2">
        <v>20419.64</v>
      </c>
      <c r="J15" s="2">
        <v>94698.16</v>
      </c>
      <c r="K15" s="2">
        <v>-1850000</v>
      </c>
      <c r="L15" s="2">
        <v>2950000</v>
      </c>
      <c r="M15" t="s">
        <v>190</v>
      </c>
      <c r="N15" s="1">
        <v>9716</v>
      </c>
      <c r="O15" s="2">
        <v>-2174.6880000000001</v>
      </c>
      <c r="P15" s="2">
        <v>149000.9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22993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13277</v>
      </c>
      <c r="I16" s="2">
        <v>2.3E-2</v>
      </c>
      <c r="J16" s="2">
        <v>0.151</v>
      </c>
      <c r="K16" s="1">
        <v>0</v>
      </c>
      <c r="L16" s="1">
        <v>1</v>
      </c>
      <c r="M16" t="s">
        <v>21</v>
      </c>
      <c r="N16" s="1">
        <v>9716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22993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13277</v>
      </c>
      <c r="I17">
        <v>4.2999999999999997E-2</v>
      </c>
      <c r="J17">
        <v>0.20200000000000001</v>
      </c>
      <c r="K17">
        <v>0</v>
      </c>
      <c r="L17">
        <v>1</v>
      </c>
      <c r="M17" t="s">
        <v>22</v>
      </c>
      <c r="N17" s="1">
        <v>9716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22993</v>
      </c>
      <c r="C18">
        <v>8.9999999999999993E-3</v>
      </c>
      <c r="D18">
        <v>9.4E-2</v>
      </c>
      <c r="E18">
        <v>0</v>
      </c>
      <c r="F18">
        <v>1</v>
      </c>
      <c r="G18" t="s">
        <v>23</v>
      </c>
      <c r="H18" s="1">
        <v>13277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9716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22993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13277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9716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22993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13277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9716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22993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13277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9716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22993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13277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9716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22993</v>
      </c>
      <c r="C23">
        <v>0.91800000000000004</v>
      </c>
      <c r="D23">
        <v>0.27500000000000002</v>
      </c>
      <c r="E23">
        <v>0</v>
      </c>
      <c r="F23">
        <v>1</v>
      </c>
      <c r="G23" t="s">
        <v>28</v>
      </c>
      <c r="H23" s="1">
        <v>13277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9716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22993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13277</v>
      </c>
      <c r="I24">
        <v>0.02</v>
      </c>
      <c r="J24">
        <v>0.14000000000000001</v>
      </c>
      <c r="K24">
        <v>0</v>
      </c>
      <c r="L24">
        <v>1</v>
      </c>
      <c r="M24" t="s">
        <v>29</v>
      </c>
      <c r="N24" s="1">
        <v>9716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22993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13277</v>
      </c>
      <c r="I25">
        <v>3.3000000000000002E-2</v>
      </c>
      <c r="J25">
        <v>0.18</v>
      </c>
      <c r="K25">
        <v>0</v>
      </c>
      <c r="L25">
        <v>1</v>
      </c>
      <c r="M25" t="s">
        <v>30</v>
      </c>
      <c r="N25" s="1">
        <v>9716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22993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13277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9716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22993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13277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9716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22993</v>
      </c>
      <c r="C28">
        <v>38.704999999999998</v>
      </c>
      <c r="D28">
        <v>23.161999999999999</v>
      </c>
      <c r="E28">
        <v>0</v>
      </c>
      <c r="F28">
        <v>123</v>
      </c>
      <c r="G28" t="s">
        <v>33</v>
      </c>
      <c r="H28" s="1">
        <v>13277</v>
      </c>
      <c r="I28">
        <v>36.569000000000003</v>
      </c>
      <c r="J28">
        <v>22.891999999999999</v>
      </c>
      <c r="K28">
        <v>0</v>
      </c>
      <c r="L28">
        <v>112</v>
      </c>
      <c r="M28" t="s">
        <v>33</v>
      </c>
      <c r="N28" s="1">
        <v>9716</v>
      </c>
      <c r="O28">
        <v>41.624000000000002</v>
      </c>
      <c r="P28">
        <v>23.212</v>
      </c>
      <c r="Q28">
        <v>0</v>
      </c>
      <c r="R28">
        <v>123</v>
      </c>
    </row>
    <row r="29" spans="1:18" x14ac:dyDescent="0.25">
      <c r="A29" t="s">
        <v>34</v>
      </c>
      <c r="B29" s="1">
        <v>22993</v>
      </c>
      <c r="C29">
        <v>2.0350000000000001</v>
      </c>
      <c r="D29">
        <v>1.988</v>
      </c>
      <c r="E29">
        <v>0</v>
      </c>
      <c r="F29">
        <v>15.129</v>
      </c>
      <c r="G29" t="s">
        <v>34</v>
      </c>
      <c r="H29" s="1">
        <v>13277</v>
      </c>
      <c r="I29">
        <v>1.861</v>
      </c>
      <c r="J29">
        <v>1.887</v>
      </c>
      <c r="K29">
        <v>0</v>
      </c>
      <c r="L29">
        <v>12.544</v>
      </c>
      <c r="M29" t="s">
        <v>34</v>
      </c>
      <c r="N29" s="1">
        <v>9716</v>
      </c>
      <c r="O29">
        <v>2.2709999999999999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22993</v>
      </c>
      <c r="C30">
        <v>4.9400000000000004</v>
      </c>
      <c r="D30">
        <v>12.603999999999999</v>
      </c>
      <c r="E30">
        <v>0</v>
      </c>
      <c r="F30">
        <v>94</v>
      </c>
      <c r="G30" t="s">
        <v>35</v>
      </c>
      <c r="H30" s="1">
        <v>13277</v>
      </c>
      <c r="I30">
        <v>4.5369999999999999</v>
      </c>
      <c r="J30">
        <v>12.06</v>
      </c>
      <c r="K30">
        <v>0</v>
      </c>
      <c r="L30">
        <v>88</v>
      </c>
      <c r="M30" t="s">
        <v>35</v>
      </c>
      <c r="N30" s="1">
        <v>9716</v>
      </c>
      <c r="O30">
        <v>5.49</v>
      </c>
      <c r="P30">
        <v>13.292</v>
      </c>
      <c r="Q30">
        <v>0</v>
      </c>
      <c r="R30">
        <v>94</v>
      </c>
    </row>
    <row r="31" spans="1:18" x14ac:dyDescent="0.25">
      <c r="A31" t="s">
        <v>18</v>
      </c>
      <c r="B31" s="1">
        <v>22993</v>
      </c>
      <c r="C31" s="2">
        <v>2081.4569999999999</v>
      </c>
      <c r="D31" s="2">
        <v>1097.3710000000001</v>
      </c>
      <c r="E31">
        <v>220</v>
      </c>
      <c r="F31" s="1">
        <v>23350</v>
      </c>
      <c r="G31" t="s">
        <v>18</v>
      </c>
      <c r="H31" s="1">
        <v>13277</v>
      </c>
      <c r="I31" s="2">
        <v>2045.5740000000001</v>
      </c>
      <c r="J31" s="2">
        <v>1056.799</v>
      </c>
      <c r="K31">
        <v>455</v>
      </c>
      <c r="L31" s="1">
        <v>23350</v>
      </c>
      <c r="M31" t="s">
        <v>18</v>
      </c>
      <c r="N31" s="1">
        <v>9716</v>
      </c>
      <c r="O31" s="2">
        <v>2130.491</v>
      </c>
      <c r="P31" s="2">
        <v>1148.7470000000001</v>
      </c>
      <c r="Q31">
        <v>220</v>
      </c>
      <c r="R31" s="1">
        <v>18919</v>
      </c>
    </row>
    <row r="32" spans="1:18" x14ac:dyDescent="0.25">
      <c r="A32" t="s">
        <v>37</v>
      </c>
      <c r="B32" s="1">
        <v>22993</v>
      </c>
      <c r="C32">
        <v>0.96099999999999997</v>
      </c>
      <c r="D32">
        <v>3.5819999999999999</v>
      </c>
      <c r="E32">
        <v>2.1000000000000001E-2</v>
      </c>
      <c r="F32">
        <v>128.91800000000001</v>
      </c>
      <c r="G32" t="s">
        <v>37</v>
      </c>
      <c r="H32" s="1">
        <v>13277</v>
      </c>
      <c r="I32" s="2">
        <v>0.98199999999999998</v>
      </c>
      <c r="J32" s="2">
        <v>3.5150000000000001</v>
      </c>
      <c r="K32">
        <v>2.1000000000000001E-2</v>
      </c>
      <c r="L32" s="1">
        <v>128.91800000000001</v>
      </c>
      <c r="M32" t="s">
        <v>37</v>
      </c>
      <c r="N32" s="1">
        <v>9716</v>
      </c>
      <c r="O32">
        <v>0.93200000000000005</v>
      </c>
      <c r="P32">
        <v>3.67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22993</v>
      </c>
      <c r="C33">
        <v>2.496</v>
      </c>
      <c r="D33">
        <v>2.5790000000000002</v>
      </c>
      <c r="E33">
        <v>0</v>
      </c>
      <c r="F33">
        <v>13.552</v>
      </c>
      <c r="G33" t="s">
        <v>164</v>
      </c>
      <c r="H33" s="1">
        <v>13277</v>
      </c>
      <c r="I33">
        <v>2.5539999999999998</v>
      </c>
      <c r="J33">
        <v>2.6179999999999999</v>
      </c>
      <c r="K33">
        <v>0</v>
      </c>
      <c r="L33">
        <v>13.552</v>
      </c>
      <c r="M33" t="s">
        <v>164</v>
      </c>
      <c r="N33" s="1">
        <v>9716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22993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13277</v>
      </c>
      <c r="I34">
        <v>0.53100000000000003</v>
      </c>
      <c r="J34">
        <v>0.32400000000000001</v>
      </c>
      <c r="K34">
        <v>0</v>
      </c>
      <c r="L34">
        <v>3.302</v>
      </c>
      <c r="M34" t="s">
        <v>39</v>
      </c>
      <c r="N34" s="1">
        <v>9716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22993</v>
      </c>
      <c r="C35">
        <v>5.2640000000000002</v>
      </c>
      <c r="D35">
        <v>4.234</v>
      </c>
      <c r="E35">
        <v>0.01</v>
      </c>
      <c r="F35">
        <v>20.997</v>
      </c>
      <c r="G35" t="s">
        <v>40</v>
      </c>
      <c r="H35" s="1">
        <v>13277</v>
      </c>
      <c r="I35">
        <v>5.2489999999999997</v>
      </c>
      <c r="J35">
        <v>4.1970000000000001</v>
      </c>
      <c r="K35">
        <v>0.01</v>
      </c>
      <c r="L35">
        <v>20.997</v>
      </c>
      <c r="M35" t="s">
        <v>40</v>
      </c>
      <c r="N35" s="1">
        <v>9716</v>
      </c>
      <c r="O35">
        <v>5.2839999999999998</v>
      </c>
      <c r="P35">
        <v>4.2850000000000001</v>
      </c>
      <c r="Q35">
        <v>0.01</v>
      </c>
      <c r="R35">
        <v>20.927</v>
      </c>
    </row>
    <row r="36" spans="1:18" x14ac:dyDescent="0.25">
      <c r="A36" t="s">
        <v>41</v>
      </c>
      <c r="B36" s="1">
        <v>22993</v>
      </c>
      <c r="C36">
        <v>10.819000000000001</v>
      </c>
      <c r="D36">
        <v>5.5960000000000001</v>
      </c>
      <c r="E36">
        <v>1.274</v>
      </c>
      <c r="F36">
        <v>30.986000000000001</v>
      </c>
      <c r="G36" t="s">
        <v>41</v>
      </c>
      <c r="H36" s="1">
        <v>13277</v>
      </c>
      <c r="I36">
        <v>10.750999999999999</v>
      </c>
      <c r="J36">
        <v>5.601</v>
      </c>
      <c r="K36">
        <v>1.274</v>
      </c>
      <c r="L36">
        <v>30.003</v>
      </c>
      <c r="M36" t="s">
        <v>41</v>
      </c>
      <c r="N36" s="1">
        <v>9716</v>
      </c>
      <c r="O36">
        <v>10.913</v>
      </c>
      <c r="P36">
        <v>5.5880000000000001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22993</v>
      </c>
      <c r="C37">
        <v>1.056</v>
      </c>
      <c r="D37">
        <v>0.82299999999999995</v>
      </c>
      <c r="E37">
        <v>1.6E-2</v>
      </c>
      <c r="F37">
        <v>7.4530000000000003</v>
      </c>
      <c r="G37" t="s">
        <v>173</v>
      </c>
      <c r="H37" s="1">
        <v>13277</v>
      </c>
      <c r="I37">
        <v>1.0489999999999999</v>
      </c>
      <c r="J37">
        <v>0.80100000000000005</v>
      </c>
      <c r="K37">
        <v>2.5999999999999999E-2</v>
      </c>
      <c r="L37">
        <v>7.14</v>
      </c>
      <c r="M37" t="s">
        <v>173</v>
      </c>
      <c r="N37" s="1">
        <v>9716</v>
      </c>
      <c r="O37">
        <v>1.0660000000000001</v>
      </c>
      <c r="P37">
        <v>0.85299999999999998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22993</v>
      </c>
      <c r="C38">
        <v>2.4870000000000001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13277</v>
      </c>
      <c r="I38">
        <v>2.472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9716</v>
      </c>
      <c r="O38">
        <v>2.508</v>
      </c>
      <c r="P38">
        <v>1.843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22993</v>
      </c>
      <c r="C39">
        <v>2.5840000000000001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13277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9716</v>
      </c>
      <c r="O39">
        <v>2.61</v>
      </c>
      <c r="P39">
        <v>1.7629999999999999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22993</v>
      </c>
      <c r="C40">
        <v>0.21</v>
      </c>
      <c r="D40">
        <v>0.158</v>
      </c>
      <c r="E40">
        <v>0</v>
      </c>
      <c r="F40">
        <v>0.85</v>
      </c>
      <c r="G40" t="s">
        <v>42</v>
      </c>
      <c r="H40" s="1">
        <v>13277</v>
      </c>
      <c r="I40">
        <v>0.20599999999999999</v>
      </c>
      <c r="J40">
        <v>0.153</v>
      </c>
      <c r="K40">
        <v>0</v>
      </c>
      <c r="L40">
        <v>0.85</v>
      </c>
      <c r="M40" t="s">
        <v>42</v>
      </c>
      <c r="N40" s="1">
        <v>9716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22993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13277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9716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22993</v>
      </c>
      <c r="C42">
        <v>0.41599999999999998</v>
      </c>
      <c r="D42">
        <v>0.19900000000000001</v>
      </c>
      <c r="E42">
        <v>0</v>
      </c>
      <c r="F42">
        <v>0.95699999999999996</v>
      </c>
      <c r="G42" t="s">
        <v>44</v>
      </c>
      <c r="H42" s="1">
        <v>13277</v>
      </c>
      <c r="I42">
        <v>0.41899999999999998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9716</v>
      </c>
      <c r="O42">
        <v>0.41199999999999998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22993</v>
      </c>
      <c r="C43">
        <v>8.4000000000000005E-2</v>
      </c>
      <c r="D43">
        <v>0.11600000000000001</v>
      </c>
      <c r="E43">
        <v>0</v>
      </c>
      <c r="F43">
        <v>0.69499999999999995</v>
      </c>
      <c r="G43" t="s">
        <v>45</v>
      </c>
      <c r="H43" s="1">
        <v>13277</v>
      </c>
      <c r="I43">
        <v>8.4000000000000005E-2</v>
      </c>
      <c r="J43">
        <v>0.115</v>
      </c>
      <c r="K43">
        <v>0</v>
      </c>
      <c r="L43">
        <v>0.69499999999999995</v>
      </c>
      <c r="M43" t="s">
        <v>45</v>
      </c>
      <c r="N43" s="1">
        <v>9716</v>
      </c>
      <c r="O43">
        <v>8.4000000000000005E-2</v>
      </c>
      <c r="P43">
        <v>0.11799999999999999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22993</v>
      </c>
      <c r="C44">
        <v>0.93700000000000006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13277</v>
      </c>
      <c r="I44">
        <v>0.93899999999999995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9716</v>
      </c>
      <c r="O44">
        <v>0.93400000000000005</v>
      </c>
      <c r="P44">
        <v>0.09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22993</v>
      </c>
      <c r="C45">
        <v>6.2E-2</v>
      </c>
      <c r="D45">
        <v>8.2000000000000003E-2</v>
      </c>
      <c r="E45">
        <v>0</v>
      </c>
      <c r="F45">
        <v>0.69899999999999995</v>
      </c>
      <c r="G45" t="s">
        <v>47</v>
      </c>
      <c r="H45" s="1">
        <v>13277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9716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22993</v>
      </c>
      <c r="C46">
        <v>0.76600000000000001</v>
      </c>
      <c r="D46">
        <v>0.16800000000000001</v>
      </c>
      <c r="E46">
        <v>0</v>
      </c>
      <c r="F46">
        <v>1</v>
      </c>
      <c r="G46" t="s">
        <v>48</v>
      </c>
      <c r="H46" s="1">
        <v>13277</v>
      </c>
      <c r="I46">
        <v>0.76900000000000002</v>
      </c>
      <c r="J46">
        <v>0.16500000000000001</v>
      </c>
      <c r="K46">
        <v>4.0000000000000002E-4</v>
      </c>
      <c r="L46">
        <v>1</v>
      </c>
      <c r="M46" t="s">
        <v>48</v>
      </c>
      <c r="N46" s="1">
        <v>9716</v>
      </c>
      <c r="O46">
        <v>0.76300000000000001</v>
      </c>
      <c r="P46">
        <v>0.17100000000000001</v>
      </c>
      <c r="Q46">
        <v>0</v>
      </c>
      <c r="R46">
        <v>1</v>
      </c>
    </row>
    <row r="47" spans="1:18" x14ac:dyDescent="0.25">
      <c r="A47" t="s">
        <v>49</v>
      </c>
      <c r="B47" s="1">
        <v>22993</v>
      </c>
      <c r="C47">
        <v>0.23200000000000001</v>
      </c>
      <c r="D47">
        <v>0.16700000000000001</v>
      </c>
      <c r="E47">
        <v>0</v>
      </c>
      <c r="F47">
        <v>1</v>
      </c>
      <c r="G47" t="s">
        <v>49</v>
      </c>
      <c r="H47" s="1">
        <v>13277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9716</v>
      </c>
      <c r="O47">
        <v>0.23599999999999999</v>
      </c>
      <c r="P47">
        <v>0.17</v>
      </c>
      <c r="Q47">
        <v>0</v>
      </c>
      <c r="R47">
        <v>1</v>
      </c>
    </row>
    <row r="48" spans="1:18" x14ac:dyDescent="0.25">
      <c r="A48" t="s">
        <v>50</v>
      </c>
      <c r="B48" s="1">
        <v>22993</v>
      </c>
      <c r="C48">
        <v>24.797000000000001</v>
      </c>
      <c r="D48">
        <v>52.402000000000001</v>
      </c>
      <c r="E48">
        <v>0</v>
      </c>
      <c r="F48">
        <v>667</v>
      </c>
      <c r="G48" t="s">
        <v>50</v>
      </c>
      <c r="H48" s="1">
        <v>13277</v>
      </c>
      <c r="I48">
        <v>24.94</v>
      </c>
      <c r="J48">
        <v>50.89</v>
      </c>
      <c r="K48">
        <v>0</v>
      </c>
      <c r="L48">
        <v>667</v>
      </c>
      <c r="M48" t="s">
        <v>50</v>
      </c>
      <c r="N48" s="1">
        <v>9716</v>
      </c>
      <c r="O48">
        <v>24.603000000000002</v>
      </c>
      <c r="P48">
        <v>54.402999999999999</v>
      </c>
      <c r="Q48">
        <v>0</v>
      </c>
      <c r="R48">
        <v>623</v>
      </c>
    </row>
    <row r="49" spans="1:18" x14ac:dyDescent="0.25">
      <c r="A49" t="s">
        <v>51</v>
      </c>
      <c r="B49" s="1">
        <v>22993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13277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9716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22993</v>
      </c>
      <c r="C50">
        <v>0.44</v>
      </c>
      <c r="D50">
        <v>0.496</v>
      </c>
      <c r="E50">
        <v>0</v>
      </c>
      <c r="F50">
        <v>1</v>
      </c>
      <c r="G50" t="s">
        <v>52</v>
      </c>
      <c r="H50" s="1">
        <v>13277</v>
      </c>
      <c r="I50">
        <v>0.40500000000000003</v>
      </c>
      <c r="J50">
        <v>0.49099999999999999</v>
      </c>
      <c r="K50">
        <v>0</v>
      </c>
      <c r="L50">
        <v>1</v>
      </c>
      <c r="M50" t="s">
        <v>52</v>
      </c>
      <c r="N50" s="1">
        <v>9716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22993</v>
      </c>
      <c r="C51" s="2">
        <v>2363460</v>
      </c>
      <c r="D51" s="2">
        <v>7868.625</v>
      </c>
      <c r="E51" s="2">
        <v>2350907</v>
      </c>
      <c r="F51" s="2">
        <v>2399920</v>
      </c>
      <c r="G51" t="s">
        <v>53</v>
      </c>
      <c r="H51" s="1">
        <v>13277</v>
      </c>
      <c r="I51" s="2">
        <v>2363449</v>
      </c>
      <c r="J51" s="2">
        <v>7709.3729999999996</v>
      </c>
      <c r="K51" s="2">
        <v>2350907</v>
      </c>
      <c r="L51" s="2">
        <v>2399920</v>
      </c>
      <c r="M51" t="s">
        <v>53</v>
      </c>
      <c r="N51" s="1">
        <v>9716</v>
      </c>
      <c r="O51" s="2">
        <v>2363477</v>
      </c>
      <c r="P51" s="2">
        <v>8081.5429999999997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22993</v>
      </c>
      <c r="C52" s="2">
        <v>610974.4</v>
      </c>
      <c r="D52" s="2">
        <v>14875.09</v>
      </c>
      <c r="E52" s="2">
        <v>579824.19999999995</v>
      </c>
      <c r="F52" s="2">
        <v>638667.69999999995</v>
      </c>
      <c r="G52" t="s">
        <v>54</v>
      </c>
      <c r="H52" s="1">
        <v>13277</v>
      </c>
      <c r="I52" s="2">
        <v>610574.4</v>
      </c>
      <c r="J52" s="2">
        <v>14742.05</v>
      </c>
      <c r="K52" s="2">
        <v>579824.19999999995</v>
      </c>
      <c r="L52" s="2">
        <v>638667.69999999995</v>
      </c>
      <c r="M52" t="s">
        <v>54</v>
      </c>
      <c r="N52" s="1">
        <v>9716</v>
      </c>
      <c r="O52" s="2">
        <v>611521.1</v>
      </c>
      <c r="P52" s="2">
        <v>15038.57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22993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13277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9716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22993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13277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9716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22993</v>
      </c>
      <c r="C55">
        <v>0.436</v>
      </c>
      <c r="D55">
        <v>0.496</v>
      </c>
      <c r="E55">
        <v>0</v>
      </c>
      <c r="F55">
        <v>1</v>
      </c>
      <c r="G55" t="s">
        <v>58</v>
      </c>
      <c r="H55" s="1">
        <v>13277</v>
      </c>
      <c r="I55">
        <v>0.434</v>
      </c>
      <c r="J55">
        <v>0.496</v>
      </c>
      <c r="K55">
        <v>0</v>
      </c>
      <c r="L55">
        <v>1</v>
      </c>
      <c r="M55" t="s">
        <v>58</v>
      </c>
      <c r="N55" s="1">
        <v>9716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22993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13277</v>
      </c>
      <c r="I56">
        <v>0.51800000000000002</v>
      </c>
      <c r="J56">
        <v>0.5</v>
      </c>
      <c r="K56">
        <v>0</v>
      </c>
      <c r="L56">
        <v>1</v>
      </c>
      <c r="M56" t="s">
        <v>59</v>
      </c>
      <c r="N56" s="1">
        <v>9716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22993</v>
      </c>
      <c r="C57">
        <v>5.1999999999999998E-2</v>
      </c>
      <c r="D57">
        <v>0.221</v>
      </c>
      <c r="E57">
        <v>0</v>
      </c>
      <c r="F57">
        <v>1</v>
      </c>
      <c r="G57" t="s">
        <v>60</v>
      </c>
      <c r="H57" s="1">
        <v>13277</v>
      </c>
      <c r="I57">
        <v>4.9000000000000002E-2</v>
      </c>
      <c r="J57">
        <v>0.215</v>
      </c>
      <c r="K57">
        <v>0</v>
      </c>
      <c r="L57">
        <v>1</v>
      </c>
      <c r="M57" t="s">
        <v>60</v>
      </c>
      <c r="N57" s="1">
        <v>9716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22993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13277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9716</v>
      </c>
      <c r="O58" s="2">
        <v>2021.0419999999999</v>
      </c>
      <c r="P58">
        <v>0.82499999999999996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22993</v>
      </c>
      <c r="C59">
        <v>0.872</v>
      </c>
      <c r="D59">
        <v>0.33400000000000002</v>
      </c>
      <c r="E59">
        <v>0</v>
      </c>
      <c r="F59">
        <v>1</v>
      </c>
      <c r="G59" t="s">
        <v>62</v>
      </c>
      <c r="H59" s="1">
        <v>13277</v>
      </c>
      <c r="I59" s="2">
        <v>0.86799999999999999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9716</v>
      </c>
      <c r="O59">
        <v>0.877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22993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13277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9716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22993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13277</v>
      </c>
      <c r="I61">
        <v>2.0000000000000001E-4</v>
      </c>
      <c r="J61">
        <v>1.2E-2</v>
      </c>
      <c r="K61">
        <v>0</v>
      </c>
      <c r="L61">
        <v>1</v>
      </c>
      <c r="M61" t="s">
        <v>64</v>
      </c>
      <c r="N61" s="1">
        <v>9716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22993</v>
      </c>
      <c r="C62">
        <v>7.8E-2</v>
      </c>
      <c r="D62">
        <v>0.26900000000000002</v>
      </c>
      <c r="E62">
        <v>0</v>
      </c>
      <c r="F62">
        <v>1</v>
      </c>
      <c r="G62" t="s">
        <v>65</v>
      </c>
      <c r="H62" s="1">
        <v>13277</v>
      </c>
      <c r="I62">
        <v>8.2000000000000003E-2</v>
      </c>
      <c r="J62">
        <v>0.27500000000000002</v>
      </c>
      <c r="K62">
        <v>0</v>
      </c>
      <c r="L62">
        <v>1</v>
      </c>
      <c r="M62" t="s">
        <v>65</v>
      </c>
      <c r="N62" s="1">
        <v>9716</v>
      </c>
      <c r="O62">
        <v>7.2999999999999995E-2</v>
      </c>
      <c r="P62">
        <v>0.26</v>
      </c>
      <c r="Q62">
        <v>0</v>
      </c>
      <c r="R62">
        <v>1</v>
      </c>
    </row>
    <row r="63" spans="1:18" x14ac:dyDescent="0.25">
      <c r="A63" t="s">
        <v>66</v>
      </c>
      <c r="B63" s="1">
        <v>22993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13277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9716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22993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13277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9716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22993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13277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9716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22993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13277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9716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22993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13277</v>
      </c>
      <c r="I67">
        <v>0.21099999999999999</v>
      </c>
      <c r="J67">
        <v>0.40799999999999997</v>
      </c>
      <c r="K67">
        <v>0</v>
      </c>
      <c r="L67">
        <v>1</v>
      </c>
      <c r="M67" t="s">
        <v>70</v>
      </c>
      <c r="N67" s="1">
        <v>9716</v>
      </c>
      <c r="O67">
        <v>0.222</v>
      </c>
      <c r="P67">
        <v>0.41499999999999998</v>
      </c>
      <c r="Q67">
        <v>0</v>
      </c>
      <c r="R67">
        <v>1</v>
      </c>
    </row>
    <row r="68" spans="1:18" x14ac:dyDescent="0.25">
      <c r="A68" t="s">
        <v>71</v>
      </c>
      <c r="B68" s="1">
        <v>22993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13277</v>
      </c>
      <c r="I68">
        <v>0.31900000000000001</v>
      </c>
      <c r="J68">
        <v>0.46600000000000003</v>
      </c>
      <c r="K68">
        <v>0</v>
      </c>
      <c r="L68">
        <v>1</v>
      </c>
      <c r="M68" t="s">
        <v>71</v>
      </c>
      <c r="N68" s="1">
        <v>9716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22993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13277</v>
      </c>
      <c r="I69">
        <v>0.39400000000000002</v>
      </c>
      <c r="J69">
        <v>0.48899999999999999</v>
      </c>
      <c r="K69">
        <v>0</v>
      </c>
      <c r="L69">
        <v>1</v>
      </c>
      <c r="M69" t="s">
        <v>72</v>
      </c>
      <c r="N69" s="1">
        <v>9716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22993</v>
      </c>
      <c r="C70">
        <v>7.3999999999999996E-2</v>
      </c>
      <c r="D70">
        <v>0.26100000000000001</v>
      </c>
      <c r="E70">
        <v>0</v>
      </c>
      <c r="F70">
        <v>1</v>
      </c>
      <c r="G70" t="s">
        <v>73</v>
      </c>
      <c r="H70" s="1">
        <v>13277</v>
      </c>
      <c r="I70">
        <v>7.5999999999999998E-2</v>
      </c>
      <c r="J70">
        <v>0.26600000000000001</v>
      </c>
      <c r="K70">
        <v>0</v>
      </c>
      <c r="L70">
        <v>1</v>
      </c>
      <c r="M70" t="s">
        <v>73</v>
      </c>
      <c r="N70" s="1">
        <v>9716</v>
      </c>
      <c r="O70">
        <v>7.0000000000000007E-2</v>
      </c>
      <c r="P70">
        <v>0.255</v>
      </c>
      <c r="Q70">
        <v>0</v>
      </c>
      <c r="R70">
        <v>1</v>
      </c>
    </row>
    <row r="71" spans="1:18" x14ac:dyDescent="0.25">
      <c r="A71" t="s">
        <v>165</v>
      </c>
      <c r="B71" s="1">
        <v>22993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13277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9716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22993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13277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9716</v>
      </c>
      <c r="O72">
        <v>2.7E-2</v>
      </c>
      <c r="P72">
        <v>0.161</v>
      </c>
      <c r="Q72">
        <v>0</v>
      </c>
      <c r="R72">
        <v>1</v>
      </c>
    </row>
    <row r="73" spans="1:18" x14ac:dyDescent="0.25">
      <c r="A73" t="s">
        <v>167</v>
      </c>
      <c r="B73" s="1">
        <v>22993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13277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9716</v>
      </c>
      <c r="O73">
        <v>0.46899999999999997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22993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13277</v>
      </c>
      <c r="I74">
        <v>0.11700000000000001</v>
      </c>
      <c r="J74">
        <v>0.32200000000000001</v>
      </c>
      <c r="K74">
        <v>0</v>
      </c>
      <c r="L74">
        <v>1</v>
      </c>
      <c r="M74" t="s">
        <v>168</v>
      </c>
      <c r="N74" s="1">
        <v>9716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22993</v>
      </c>
      <c r="C75">
        <v>0.252</v>
      </c>
      <c r="D75">
        <v>0.434</v>
      </c>
      <c r="E75">
        <v>0</v>
      </c>
      <c r="F75">
        <v>1</v>
      </c>
      <c r="G75" t="s">
        <v>169</v>
      </c>
      <c r="H75" s="1">
        <v>13277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9716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22993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13277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9716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22993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13277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9716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22993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13277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9716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22993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13277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9716</v>
      </c>
      <c r="O79">
        <v>3.0000000000000001E-3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22993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13277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9716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22993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13277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9716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22993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13277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9716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22993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13277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9716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4"/>
  <sheetViews>
    <sheetView workbookViewId="0">
      <selection activeCell="C13" sqref="C13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22840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20579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43419</v>
      </c>
      <c r="C4">
        <v>0.47399999999999998</v>
      </c>
      <c r="D4">
        <v>0.499</v>
      </c>
      <c r="E4">
        <v>0</v>
      </c>
      <c r="F4">
        <v>1</v>
      </c>
      <c r="G4" t="s">
        <v>11</v>
      </c>
      <c r="H4" s="1">
        <v>22840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20579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0.41799999999999998</v>
      </c>
      <c r="D5">
        <v>0.49299999999999999</v>
      </c>
      <c r="E5">
        <v>0</v>
      </c>
      <c r="F5">
        <v>1</v>
      </c>
      <c r="G5" t="s">
        <v>12</v>
      </c>
      <c r="H5" s="1">
        <v>22840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20579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20579</v>
      </c>
      <c r="C6">
        <v>306.83100000000002</v>
      </c>
      <c r="D6">
        <v>563.33500000000004</v>
      </c>
      <c r="E6">
        <v>0</v>
      </c>
      <c r="F6" s="1">
        <v>4021</v>
      </c>
      <c r="H6" s="1"/>
      <c r="M6" t="s">
        <v>36</v>
      </c>
      <c r="N6" s="1">
        <v>20579</v>
      </c>
      <c r="O6">
        <v>306.83100000000002</v>
      </c>
      <c r="P6">
        <v>563.33500000000004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1.91</v>
      </c>
      <c r="D7">
        <v>0.90500000000000003</v>
      </c>
      <c r="E7">
        <v>0</v>
      </c>
      <c r="F7">
        <v>17</v>
      </c>
      <c r="G7" t="s">
        <v>13</v>
      </c>
      <c r="H7" s="1">
        <v>22840</v>
      </c>
      <c r="I7">
        <v>1.893</v>
      </c>
      <c r="J7">
        <v>0.88200000000000001</v>
      </c>
      <c r="K7">
        <v>0</v>
      </c>
      <c r="L7">
        <v>17</v>
      </c>
      <c r="M7" t="s">
        <v>13</v>
      </c>
      <c r="N7" s="1">
        <v>20579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43419</v>
      </c>
      <c r="C8">
        <v>0.26600000000000001</v>
      </c>
      <c r="D8">
        <v>0.46400000000000002</v>
      </c>
      <c r="E8">
        <v>0</v>
      </c>
      <c r="F8">
        <v>5</v>
      </c>
      <c r="G8" t="s">
        <v>14</v>
      </c>
      <c r="H8" s="1">
        <v>22840</v>
      </c>
      <c r="I8">
        <v>0.26300000000000001</v>
      </c>
      <c r="J8">
        <v>0.45900000000000002</v>
      </c>
      <c r="K8">
        <v>0</v>
      </c>
      <c r="L8">
        <v>5</v>
      </c>
      <c r="M8" t="s">
        <v>14</v>
      </c>
      <c r="N8" s="1">
        <v>20579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2.7189999999999999</v>
      </c>
      <c r="D9">
        <v>1.4910000000000001</v>
      </c>
      <c r="E9">
        <v>0</v>
      </c>
      <c r="F9">
        <v>25</v>
      </c>
      <c r="G9" t="s">
        <v>15</v>
      </c>
      <c r="H9" s="1">
        <v>22840</v>
      </c>
      <c r="I9">
        <v>2.7010000000000001</v>
      </c>
      <c r="J9">
        <v>1.4650000000000001</v>
      </c>
      <c r="K9">
        <v>0</v>
      </c>
      <c r="L9">
        <v>18</v>
      </c>
      <c r="M9" t="s">
        <v>15</v>
      </c>
      <c r="N9" s="1">
        <v>20579</v>
      </c>
      <c r="O9">
        <v>2.7389999999999999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43.305</v>
      </c>
      <c r="D10">
        <v>58.856999999999999</v>
      </c>
      <c r="E10">
        <v>0</v>
      </c>
      <c r="F10">
        <v>946</v>
      </c>
      <c r="G10" t="s">
        <v>16</v>
      </c>
      <c r="H10" s="1">
        <v>22840</v>
      </c>
      <c r="I10">
        <v>50.758000000000003</v>
      </c>
      <c r="J10">
        <v>59.281999999999996</v>
      </c>
      <c r="K10">
        <v>0</v>
      </c>
      <c r="L10">
        <v>785</v>
      </c>
      <c r="M10" t="s">
        <v>16</v>
      </c>
      <c r="N10" s="1">
        <v>20579</v>
      </c>
      <c r="O10">
        <v>35.033999999999999</v>
      </c>
      <c r="P10">
        <v>57.258000000000003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1337.8320000000001</v>
      </c>
      <c r="D11">
        <v>846.91600000000005</v>
      </c>
      <c r="E11">
        <v>120</v>
      </c>
      <c r="F11" s="1">
        <v>17408</v>
      </c>
      <c r="G11" t="s">
        <v>163</v>
      </c>
      <c r="H11" s="1">
        <v>22840</v>
      </c>
      <c r="I11" s="2">
        <v>1330.365</v>
      </c>
      <c r="J11">
        <v>825.83199999999999</v>
      </c>
      <c r="K11">
        <v>160</v>
      </c>
      <c r="L11" s="1">
        <v>17408</v>
      </c>
      <c r="M11" t="s">
        <v>163</v>
      </c>
      <c r="N11" s="1">
        <v>20579</v>
      </c>
      <c r="O11" s="2">
        <v>1346.12</v>
      </c>
      <c r="P11">
        <v>869.66300000000001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165.536</v>
      </c>
      <c r="D12">
        <v>229.649</v>
      </c>
      <c r="E12">
        <v>0</v>
      </c>
      <c r="F12" s="1">
        <v>4444</v>
      </c>
      <c r="G12" t="s">
        <v>17</v>
      </c>
      <c r="H12" s="1">
        <v>22840</v>
      </c>
      <c r="I12">
        <v>164.02500000000001</v>
      </c>
      <c r="J12">
        <v>229.19499999999999</v>
      </c>
      <c r="K12">
        <v>0</v>
      </c>
      <c r="L12" s="1">
        <v>4444</v>
      </c>
      <c r="M12" t="s">
        <v>17</v>
      </c>
      <c r="N12" s="1">
        <v>20579</v>
      </c>
      <c r="O12">
        <v>167.21199999999999</v>
      </c>
      <c r="P12">
        <v>230.14699999999999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961702.7</v>
      </c>
      <c r="D13" s="2">
        <v>905500.7</v>
      </c>
      <c r="E13" s="2">
        <v>85418.51</v>
      </c>
      <c r="F13" s="2">
        <v>28197546</v>
      </c>
      <c r="G13" t="s">
        <v>19</v>
      </c>
      <c r="H13" s="1">
        <v>22840</v>
      </c>
      <c r="I13" s="2">
        <v>936419.1</v>
      </c>
      <c r="J13" s="2">
        <v>882708.9</v>
      </c>
      <c r="K13" s="2">
        <v>99684.44</v>
      </c>
      <c r="L13" s="2">
        <v>28197546</v>
      </c>
      <c r="M13" t="s">
        <v>19</v>
      </c>
      <c r="N13" s="1">
        <v>20579</v>
      </c>
      <c r="O13" s="2">
        <v>989764.1</v>
      </c>
      <c r="P13" s="2">
        <v>929359.4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951302.1</v>
      </c>
      <c r="D14" s="2">
        <v>854927.1</v>
      </c>
      <c r="E14" s="2">
        <v>85418.51</v>
      </c>
      <c r="F14" s="2">
        <v>28197546</v>
      </c>
      <c r="G14" t="s">
        <v>20</v>
      </c>
      <c r="H14" s="1">
        <v>22840</v>
      </c>
      <c r="I14" s="2">
        <v>917942.7</v>
      </c>
      <c r="J14" s="2">
        <v>830069</v>
      </c>
      <c r="K14" s="2">
        <v>118448.6</v>
      </c>
      <c r="L14" s="2">
        <v>28197546</v>
      </c>
      <c r="M14" t="s">
        <v>20</v>
      </c>
      <c r="N14" s="1">
        <v>20579</v>
      </c>
      <c r="O14" s="2">
        <v>988326.7</v>
      </c>
      <c r="P14" s="2">
        <v>880237.2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8489.2080000000005</v>
      </c>
      <c r="D15" s="2">
        <v>92440.63</v>
      </c>
      <c r="E15" s="2">
        <v>-2010000</v>
      </c>
      <c r="F15" s="2">
        <v>6900000</v>
      </c>
      <c r="G15" t="s">
        <v>190</v>
      </c>
      <c r="H15" s="1">
        <v>22840</v>
      </c>
      <c r="I15" s="2">
        <v>15197.28</v>
      </c>
      <c r="J15" s="2">
        <v>70588.7</v>
      </c>
      <c r="K15" s="1">
        <v>-1850000</v>
      </c>
      <c r="L15" s="1">
        <v>2950000</v>
      </c>
      <c r="M15" t="s">
        <v>190</v>
      </c>
      <c r="N15" s="1">
        <v>20579</v>
      </c>
      <c r="O15" s="2">
        <v>1044.1300000000001</v>
      </c>
      <c r="P15" s="2">
        <v>111329.4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22840</v>
      </c>
      <c r="I16">
        <v>1.2E-2</v>
      </c>
      <c r="J16">
        <v>0.11</v>
      </c>
      <c r="K16">
        <v>0</v>
      </c>
      <c r="L16">
        <v>1</v>
      </c>
      <c r="M16" t="s">
        <v>21</v>
      </c>
      <c r="N16" s="1">
        <v>20579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22840</v>
      </c>
      <c r="I17">
        <v>3.5000000000000003E-2</v>
      </c>
      <c r="J17">
        <v>0.183</v>
      </c>
      <c r="K17">
        <v>0</v>
      </c>
      <c r="L17">
        <v>1</v>
      </c>
      <c r="M17" t="s">
        <v>22</v>
      </c>
      <c r="N17" s="1">
        <v>20579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22840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20579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8.8999999999999996E-2</v>
      </c>
      <c r="D19">
        <v>0.28499999999999998</v>
      </c>
      <c r="E19">
        <v>0</v>
      </c>
      <c r="F19">
        <v>1</v>
      </c>
      <c r="G19" t="s">
        <v>24</v>
      </c>
      <c r="H19" s="1">
        <v>22840</v>
      </c>
      <c r="I19">
        <v>9.0999999999999998E-2</v>
      </c>
      <c r="J19">
        <v>0.28799999999999998</v>
      </c>
      <c r="K19">
        <v>0</v>
      </c>
      <c r="L19">
        <v>1</v>
      </c>
      <c r="M19" t="s">
        <v>24</v>
      </c>
      <c r="N19" s="1">
        <v>20579</v>
      </c>
      <c r="O19">
        <v>8.6999999999999994E-2</v>
      </c>
      <c r="P19">
        <v>0.28199999999999997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22840</v>
      </c>
      <c r="I20">
        <v>0.29399999999999998</v>
      </c>
      <c r="J20">
        <v>0.45500000000000002</v>
      </c>
      <c r="K20">
        <v>0</v>
      </c>
      <c r="L20">
        <v>1</v>
      </c>
      <c r="M20" t="s">
        <v>25</v>
      </c>
      <c r="N20" s="1">
        <v>20579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22840</v>
      </c>
      <c r="I21">
        <v>0.153</v>
      </c>
      <c r="J21">
        <v>0.36</v>
      </c>
      <c r="K21">
        <v>0</v>
      </c>
      <c r="L21">
        <v>1</v>
      </c>
      <c r="M21" t="s">
        <v>26</v>
      </c>
      <c r="N21" s="1">
        <v>20579</v>
      </c>
      <c r="O21">
        <v>0.16500000000000001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22840</v>
      </c>
      <c r="I22">
        <v>3.7999999999999999E-2</v>
      </c>
      <c r="J22">
        <v>0.19</v>
      </c>
      <c r="K22">
        <v>0</v>
      </c>
      <c r="L22">
        <v>1</v>
      </c>
      <c r="M22" t="s">
        <v>27</v>
      </c>
      <c r="N22" s="1">
        <v>20579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22840</v>
      </c>
      <c r="I23">
        <v>0.42799999999999999</v>
      </c>
      <c r="J23">
        <v>0.495</v>
      </c>
      <c r="K23">
        <v>0</v>
      </c>
      <c r="L23">
        <v>1</v>
      </c>
      <c r="M23" t="s">
        <v>28</v>
      </c>
      <c r="N23" s="1">
        <v>20579</v>
      </c>
      <c r="O23">
        <v>0.41899999999999998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8.0000000000000002E-3</v>
      </c>
      <c r="D24">
        <v>9.1999999999999998E-2</v>
      </c>
      <c r="E24">
        <v>0</v>
      </c>
      <c r="F24">
        <v>1</v>
      </c>
      <c r="G24" t="s">
        <v>29</v>
      </c>
      <c r="H24" s="1">
        <v>22840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20579</v>
      </c>
      <c r="O24">
        <v>8.0000000000000002E-3</v>
      </c>
      <c r="P24">
        <v>9.0999999999999998E-2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0.13600000000000001</v>
      </c>
      <c r="E25">
        <v>0</v>
      </c>
      <c r="F25">
        <v>1</v>
      </c>
      <c r="G25" t="s">
        <v>30</v>
      </c>
      <c r="H25" s="1">
        <v>22840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20579</v>
      </c>
      <c r="O25">
        <v>2.1000000000000001E-2</v>
      </c>
      <c r="P25">
        <v>0.14399999999999999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0.20399999999999999</v>
      </c>
      <c r="E26">
        <v>0</v>
      </c>
      <c r="F26">
        <v>1</v>
      </c>
      <c r="G26" t="s">
        <v>31</v>
      </c>
      <c r="H26" s="1">
        <v>22840</v>
      </c>
      <c r="I26">
        <v>4.3999999999999997E-2</v>
      </c>
      <c r="J26">
        <v>0.20599999999999999</v>
      </c>
      <c r="K26">
        <v>0</v>
      </c>
      <c r="L26">
        <v>1</v>
      </c>
      <c r="M26" t="s">
        <v>31</v>
      </c>
      <c r="N26" s="1">
        <v>20579</v>
      </c>
      <c r="O26">
        <v>4.2999999999999997E-2</v>
      </c>
      <c r="P26">
        <v>0.20200000000000001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0.45900000000000002</v>
      </c>
      <c r="D27">
        <v>0.498</v>
      </c>
      <c r="E27">
        <v>0</v>
      </c>
      <c r="F27">
        <v>1</v>
      </c>
      <c r="G27" t="s">
        <v>32</v>
      </c>
      <c r="H27" s="1">
        <v>22840</v>
      </c>
      <c r="I27">
        <v>0.46300000000000002</v>
      </c>
      <c r="J27">
        <v>0.499</v>
      </c>
      <c r="K27">
        <v>0</v>
      </c>
      <c r="L27">
        <v>1</v>
      </c>
      <c r="M27" t="s">
        <v>32</v>
      </c>
      <c r="N27" s="1">
        <v>20579</v>
      </c>
      <c r="O27">
        <v>0.45400000000000001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37.561</v>
      </c>
      <c r="D28">
        <v>19.753</v>
      </c>
      <c r="E28">
        <v>0</v>
      </c>
      <c r="F28">
        <v>123</v>
      </c>
      <c r="G28" t="s">
        <v>33</v>
      </c>
      <c r="H28" s="1">
        <v>22840</v>
      </c>
      <c r="I28">
        <v>36.116</v>
      </c>
      <c r="J28">
        <v>19.527999999999999</v>
      </c>
      <c r="K28">
        <v>0</v>
      </c>
      <c r="L28">
        <v>112</v>
      </c>
      <c r="M28" t="s">
        <v>33</v>
      </c>
      <c r="N28" s="1">
        <v>20579</v>
      </c>
      <c r="O28">
        <v>39.165999999999997</v>
      </c>
      <c r="P28">
        <v>19.878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1.8009999999999999</v>
      </c>
      <c r="D29">
        <v>1.5760000000000001</v>
      </c>
      <c r="E29">
        <v>0</v>
      </c>
      <c r="F29">
        <v>15.129</v>
      </c>
      <c r="G29" t="s">
        <v>34</v>
      </c>
      <c r="H29" s="1">
        <v>22840</v>
      </c>
      <c r="I29">
        <v>1.6859999999999999</v>
      </c>
      <c r="J29">
        <v>1.5009999999999999</v>
      </c>
      <c r="K29">
        <v>0</v>
      </c>
      <c r="L29">
        <v>12.544</v>
      </c>
      <c r="M29" t="s">
        <v>34</v>
      </c>
      <c r="N29" s="1">
        <v>20579</v>
      </c>
      <c r="O29">
        <v>1.929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3.161</v>
      </c>
      <c r="D30">
        <v>9.3840000000000003</v>
      </c>
      <c r="E30">
        <v>0</v>
      </c>
      <c r="F30">
        <v>94</v>
      </c>
      <c r="G30" t="s">
        <v>35</v>
      </c>
      <c r="H30" s="1">
        <v>22840</v>
      </c>
      <c r="I30">
        <v>3</v>
      </c>
      <c r="J30">
        <v>9.1140000000000008</v>
      </c>
      <c r="K30">
        <v>0</v>
      </c>
      <c r="L30">
        <v>88</v>
      </c>
      <c r="M30" t="s">
        <v>35</v>
      </c>
      <c r="N30" s="1">
        <v>20579</v>
      </c>
      <c r="O30">
        <v>3.339</v>
      </c>
      <c r="P30">
        <v>9.6709999999999994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1483.001</v>
      </c>
      <c r="D31" s="2">
        <v>1001.289</v>
      </c>
      <c r="E31">
        <v>175</v>
      </c>
      <c r="F31" s="1">
        <v>23350</v>
      </c>
      <c r="G31" t="s">
        <v>18</v>
      </c>
      <c r="H31" s="1">
        <v>22840</v>
      </c>
      <c r="I31" s="2">
        <v>1474.2090000000001</v>
      </c>
      <c r="J31">
        <v>978.07</v>
      </c>
      <c r="K31">
        <v>195</v>
      </c>
      <c r="L31" s="1">
        <v>23350</v>
      </c>
      <c r="M31" t="s">
        <v>18</v>
      </c>
      <c r="N31" s="1">
        <v>20579</v>
      </c>
      <c r="O31" s="2">
        <v>1492.76</v>
      </c>
      <c r="P31" s="2">
        <v>1026.3800000000001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22840</v>
      </c>
      <c r="I32">
        <v>2.8719999999999999</v>
      </c>
      <c r="J32">
        <v>5.6779999999999999</v>
      </c>
      <c r="K32">
        <v>1.4E-2</v>
      </c>
      <c r="L32">
        <v>128.91800000000001</v>
      </c>
      <c r="M32" t="s">
        <v>37</v>
      </c>
      <c r="N32" s="1">
        <v>20579</v>
      </c>
      <c r="O32">
        <v>3.121</v>
      </c>
      <c r="P32">
        <v>6.0430000000000001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22840</v>
      </c>
      <c r="I33">
        <v>2.1120000000000001</v>
      </c>
      <c r="J33">
        <v>2.4860000000000002</v>
      </c>
      <c r="K33">
        <v>0</v>
      </c>
      <c r="L33">
        <v>13.552</v>
      </c>
      <c r="M33" t="s">
        <v>164</v>
      </c>
      <c r="N33" s="1">
        <v>20579</v>
      </c>
      <c r="O33">
        <v>2.0419999999999998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22840</v>
      </c>
      <c r="I34">
        <v>0.42099999999999999</v>
      </c>
      <c r="J34">
        <v>0.30599999999999999</v>
      </c>
      <c r="K34">
        <v>0</v>
      </c>
      <c r="L34">
        <v>3.302</v>
      </c>
      <c r="M34" t="s">
        <v>39</v>
      </c>
      <c r="N34" s="1">
        <v>20579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22840</v>
      </c>
      <c r="I35">
        <v>3.931</v>
      </c>
      <c r="J35">
        <v>3.823</v>
      </c>
      <c r="K35">
        <v>1.4999999999999999E-2</v>
      </c>
      <c r="L35">
        <v>20.997</v>
      </c>
      <c r="M35" t="s">
        <v>40</v>
      </c>
      <c r="N35" s="1">
        <v>20579</v>
      </c>
      <c r="O35">
        <v>4.1559999999999997</v>
      </c>
      <c r="P35">
        <v>4.0490000000000004</v>
      </c>
      <c r="Q35">
        <v>0.01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22840</v>
      </c>
      <c r="I36">
        <v>9.077</v>
      </c>
      <c r="J36">
        <v>5.6150000000000002</v>
      </c>
      <c r="K36">
        <v>0.99299999999999999</v>
      </c>
      <c r="L36">
        <v>30.003</v>
      </c>
      <c r="M36" t="s">
        <v>41</v>
      </c>
      <c r="N36" s="1">
        <v>20579</v>
      </c>
      <c r="O36">
        <v>9.0850000000000009</v>
      </c>
      <c r="P36">
        <v>5.6059999999999999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22840</v>
      </c>
      <c r="I37">
        <v>1.159</v>
      </c>
      <c r="J37">
        <v>4.734</v>
      </c>
      <c r="K37">
        <v>2.5999999999999999E-2</v>
      </c>
      <c r="L37">
        <v>196.49</v>
      </c>
      <c r="M37" t="s">
        <v>173</v>
      </c>
      <c r="N37" s="1">
        <v>20579</v>
      </c>
      <c r="O37">
        <v>1.1579999999999999</v>
      </c>
      <c r="P37">
        <v>4.391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22840</v>
      </c>
      <c r="I38">
        <v>2.17</v>
      </c>
      <c r="J38">
        <v>1.5720000000000001</v>
      </c>
      <c r="K38">
        <v>4.2999999999999997E-2</v>
      </c>
      <c r="L38">
        <v>17.684000000000001</v>
      </c>
      <c r="M38" t="s">
        <v>174</v>
      </c>
      <c r="N38" s="1">
        <v>20579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22840</v>
      </c>
      <c r="I39">
        <v>2.125</v>
      </c>
      <c r="J39">
        <v>1.4950000000000001</v>
      </c>
      <c r="K39">
        <v>3.4000000000000002E-2</v>
      </c>
      <c r="L39">
        <v>17.684000000000001</v>
      </c>
      <c r="M39" t="s">
        <v>175</v>
      </c>
      <c r="N39" s="1">
        <v>20579</v>
      </c>
      <c r="O39">
        <v>2.177</v>
      </c>
      <c r="P39">
        <v>1.5409999999999999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22840</v>
      </c>
      <c r="I40">
        <v>0.24099999999999999</v>
      </c>
      <c r="J40">
        <v>0.18</v>
      </c>
      <c r="K40">
        <v>0</v>
      </c>
      <c r="L40">
        <v>0.85</v>
      </c>
      <c r="M40" t="s">
        <v>42</v>
      </c>
      <c r="N40" s="1">
        <v>20579</v>
      </c>
      <c r="O40">
        <v>0.24399999999999999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22840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20579</v>
      </c>
      <c r="O41">
        <v>2.1000000000000001E-2</v>
      </c>
      <c r="P41">
        <v>3.4000000000000002E-2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22840</v>
      </c>
      <c r="I42">
        <v>0.44</v>
      </c>
      <c r="J42">
        <v>0.19800000000000001</v>
      </c>
      <c r="K42">
        <v>2.0000000000000001E-4</v>
      </c>
      <c r="L42">
        <v>1</v>
      </c>
      <c r="M42" t="s">
        <v>44</v>
      </c>
      <c r="N42" s="1">
        <v>20579</v>
      </c>
      <c r="O42">
        <v>0.43</v>
      </c>
      <c r="P42">
        <v>0.19700000000000001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22840</v>
      </c>
      <c r="I43">
        <v>6.8000000000000005E-2</v>
      </c>
      <c r="J43">
        <v>9.8000000000000004E-2</v>
      </c>
      <c r="K43">
        <v>0</v>
      </c>
      <c r="L43">
        <v>0.69499999999999995</v>
      </c>
      <c r="M43" t="s">
        <v>45</v>
      </c>
      <c r="N43" s="1">
        <v>20579</v>
      </c>
      <c r="O43">
        <v>7.0000000000000007E-2</v>
      </c>
      <c r="P43">
        <v>0.10199999999999999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22840</v>
      </c>
      <c r="I44">
        <v>0.879</v>
      </c>
      <c r="J44">
        <v>0.16900000000000001</v>
      </c>
      <c r="K44">
        <v>4.0000000000000002E-4</v>
      </c>
      <c r="L44">
        <v>1</v>
      </c>
      <c r="M44" t="s">
        <v>46</v>
      </c>
      <c r="N44" s="1">
        <v>20579</v>
      </c>
      <c r="O44">
        <v>0.878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22840</v>
      </c>
      <c r="I45">
        <v>0.12</v>
      </c>
      <c r="J45">
        <v>0.16700000000000001</v>
      </c>
      <c r="K45">
        <v>0</v>
      </c>
      <c r="L45">
        <v>0.89300000000000002</v>
      </c>
      <c r="M45" t="s">
        <v>47</v>
      </c>
      <c r="N45" s="1">
        <v>20579</v>
      </c>
      <c r="O45">
        <v>0.121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22840</v>
      </c>
      <c r="I46">
        <v>0.66700000000000004</v>
      </c>
      <c r="J46">
        <v>0.20200000000000001</v>
      </c>
      <c r="K46">
        <v>4.0000000000000002E-4</v>
      </c>
      <c r="L46">
        <v>1</v>
      </c>
      <c r="M46" t="s">
        <v>48</v>
      </c>
      <c r="N46" s="1">
        <v>20579</v>
      </c>
      <c r="O46">
        <v>0.65900000000000003</v>
      </c>
      <c r="P46">
        <v>0.20699999999999999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22840</v>
      </c>
      <c r="I47">
        <v>0.33200000000000002</v>
      </c>
      <c r="J47">
        <v>0.20200000000000001</v>
      </c>
      <c r="K47">
        <v>0</v>
      </c>
      <c r="L47">
        <v>0.98599999999999999</v>
      </c>
      <c r="M47" t="s">
        <v>49</v>
      </c>
      <c r="N47" s="1">
        <v>20579</v>
      </c>
      <c r="O47">
        <v>0.33900000000000002</v>
      </c>
      <c r="P47">
        <v>0.20699999999999999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17.015999999999998</v>
      </c>
      <c r="D48">
        <v>46.829000000000001</v>
      </c>
      <c r="E48">
        <v>0</v>
      </c>
      <c r="F48" s="1">
        <v>1000</v>
      </c>
      <c r="G48" t="s">
        <v>50</v>
      </c>
      <c r="H48" s="1">
        <v>22840</v>
      </c>
      <c r="I48">
        <v>16.016999999999999</v>
      </c>
      <c r="J48">
        <v>44.514000000000003</v>
      </c>
      <c r="K48">
        <v>0</v>
      </c>
      <c r="L48">
        <v>667</v>
      </c>
      <c r="M48" t="s">
        <v>50</v>
      </c>
      <c r="N48" s="1">
        <v>20579</v>
      </c>
      <c r="O48">
        <v>18.125</v>
      </c>
      <c r="P48">
        <v>49.247999999999998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0.71899999999999997</v>
      </c>
      <c r="D49">
        <v>1.5369999999999999</v>
      </c>
      <c r="E49">
        <v>0</v>
      </c>
      <c r="F49">
        <v>36</v>
      </c>
      <c r="G49" t="s">
        <v>51</v>
      </c>
      <c r="H49" s="1">
        <v>22840</v>
      </c>
      <c r="I49">
        <v>0.73</v>
      </c>
      <c r="J49">
        <v>1.5720000000000001</v>
      </c>
      <c r="K49">
        <v>0</v>
      </c>
      <c r="L49">
        <v>36</v>
      </c>
      <c r="M49" t="s">
        <v>51</v>
      </c>
      <c r="N49" s="1">
        <v>20579</v>
      </c>
      <c r="O49">
        <v>0.70699999999999996</v>
      </c>
      <c r="P49">
        <v>1.496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0.41099999999999998</v>
      </c>
      <c r="D50">
        <v>0.49199999999999999</v>
      </c>
      <c r="E50">
        <v>0</v>
      </c>
      <c r="F50">
        <v>1</v>
      </c>
      <c r="G50" t="s">
        <v>52</v>
      </c>
      <c r="H50" s="1">
        <v>22840</v>
      </c>
      <c r="I50">
        <v>0.39</v>
      </c>
      <c r="J50">
        <v>0.48799999999999999</v>
      </c>
      <c r="K50">
        <v>0</v>
      </c>
      <c r="L50">
        <v>1</v>
      </c>
      <c r="M50" t="s">
        <v>52</v>
      </c>
      <c r="N50" s="1">
        <v>20579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22840</v>
      </c>
      <c r="I51" s="2">
        <v>2361358</v>
      </c>
      <c r="J51" s="2">
        <v>7595.1279999999997</v>
      </c>
      <c r="K51" s="2">
        <v>2350907</v>
      </c>
      <c r="L51" s="2">
        <v>2400056</v>
      </c>
      <c r="M51" t="s">
        <v>53</v>
      </c>
      <c r="N51" s="1">
        <v>20579</v>
      </c>
      <c r="O51" s="2">
        <v>2361396</v>
      </c>
      <c r="P51" s="2">
        <v>7689.5230000000001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22840</v>
      </c>
      <c r="I52" s="2">
        <v>613352.6</v>
      </c>
      <c r="J52" s="2">
        <v>12913.65</v>
      </c>
      <c r="K52" s="2">
        <v>579824.19999999995</v>
      </c>
      <c r="L52" s="2">
        <v>638667.69999999995</v>
      </c>
      <c r="M52" t="s">
        <v>54</v>
      </c>
      <c r="N52" s="1">
        <v>20579</v>
      </c>
      <c r="O52" s="2">
        <v>613043.4</v>
      </c>
      <c r="P52" s="2">
        <v>13383.24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0.54100000000000004</v>
      </c>
      <c r="D53">
        <v>0.498</v>
      </c>
      <c r="E53">
        <v>0</v>
      </c>
      <c r="F53">
        <v>1</v>
      </c>
      <c r="G53" t="s">
        <v>56</v>
      </c>
      <c r="H53" s="1">
        <v>22840</v>
      </c>
      <c r="I53">
        <v>0.53700000000000003</v>
      </c>
      <c r="J53">
        <v>0.499</v>
      </c>
      <c r="K53">
        <v>0</v>
      </c>
      <c r="L53">
        <v>1</v>
      </c>
      <c r="M53" t="s">
        <v>56</v>
      </c>
      <c r="N53" s="1">
        <v>20579</v>
      </c>
      <c r="O53">
        <v>0.54600000000000004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0.45900000000000002</v>
      </c>
      <c r="D54">
        <v>0.498</v>
      </c>
      <c r="E54">
        <v>0</v>
      </c>
      <c r="F54">
        <v>1</v>
      </c>
      <c r="G54" t="s">
        <v>57</v>
      </c>
      <c r="H54" s="1">
        <v>22840</v>
      </c>
      <c r="I54">
        <v>0.46300000000000002</v>
      </c>
      <c r="J54">
        <v>0.499</v>
      </c>
      <c r="K54">
        <v>0</v>
      </c>
      <c r="L54">
        <v>1</v>
      </c>
      <c r="M54" t="s">
        <v>57</v>
      </c>
      <c r="N54" s="1">
        <v>20579</v>
      </c>
      <c r="O54">
        <v>0.45400000000000001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0.34599999999999997</v>
      </c>
      <c r="D55">
        <v>0.47599999999999998</v>
      </c>
      <c r="E55">
        <v>0</v>
      </c>
      <c r="F55">
        <v>1</v>
      </c>
      <c r="G55" t="s">
        <v>58</v>
      </c>
      <c r="H55" s="1">
        <v>22840</v>
      </c>
      <c r="I55">
        <v>0.35799999999999998</v>
      </c>
      <c r="J55">
        <v>0.47899999999999998</v>
      </c>
      <c r="K55">
        <v>0</v>
      </c>
      <c r="L55">
        <v>1</v>
      </c>
      <c r="M55" t="s">
        <v>58</v>
      </c>
      <c r="N55" s="1">
        <v>20579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22840</v>
      </c>
      <c r="I56">
        <v>0.32800000000000001</v>
      </c>
      <c r="J56">
        <v>0.47</v>
      </c>
      <c r="K56">
        <v>0</v>
      </c>
      <c r="L56">
        <v>1</v>
      </c>
      <c r="M56" t="s">
        <v>59</v>
      </c>
      <c r="N56" s="1">
        <v>20579</v>
      </c>
      <c r="O56">
        <v>0.34200000000000003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0.31900000000000001</v>
      </c>
      <c r="D57">
        <v>0.46600000000000003</v>
      </c>
      <c r="E57">
        <v>0</v>
      </c>
      <c r="F57">
        <v>1</v>
      </c>
      <c r="G57" t="s">
        <v>60</v>
      </c>
      <c r="H57" s="1">
        <v>22840</v>
      </c>
      <c r="I57">
        <v>0.313</v>
      </c>
      <c r="J57">
        <v>0.46400000000000002</v>
      </c>
      <c r="K57">
        <v>0</v>
      </c>
      <c r="L57">
        <v>1</v>
      </c>
      <c r="M57" t="s">
        <v>60</v>
      </c>
      <c r="N57" s="1">
        <v>20579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2019.2729999999999</v>
      </c>
      <c r="D58">
        <v>1.9910000000000001</v>
      </c>
      <c r="E58" s="1">
        <v>2016</v>
      </c>
      <c r="F58" s="1">
        <v>2023</v>
      </c>
      <c r="G58" t="s">
        <v>61</v>
      </c>
      <c r="H58" s="1">
        <v>22840</v>
      </c>
      <c r="I58" s="2">
        <v>2017.643</v>
      </c>
      <c r="J58">
        <v>1.171</v>
      </c>
      <c r="K58" s="1">
        <v>2016</v>
      </c>
      <c r="L58" s="1">
        <v>2020</v>
      </c>
      <c r="M58" t="s">
        <v>61</v>
      </c>
      <c r="N58" s="1">
        <v>20579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22840</v>
      </c>
      <c r="I59">
        <v>0.46</v>
      </c>
      <c r="J59">
        <v>0.498</v>
      </c>
      <c r="K59">
        <v>0</v>
      </c>
      <c r="L59">
        <v>1</v>
      </c>
      <c r="M59" t="s">
        <v>62</v>
      </c>
      <c r="N59" s="1">
        <v>20579</v>
      </c>
      <c r="O59">
        <v>0.45600000000000002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8.8999999999999996E-2</v>
      </c>
      <c r="E60">
        <v>0</v>
      </c>
      <c r="F60">
        <v>1</v>
      </c>
      <c r="G60" t="s">
        <v>63</v>
      </c>
      <c r="H60" s="1">
        <v>22840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20579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0.17100000000000001</v>
      </c>
      <c r="E61">
        <v>0</v>
      </c>
      <c r="F61">
        <v>1</v>
      </c>
      <c r="G61" t="s">
        <v>64</v>
      </c>
      <c r="H61" s="1">
        <v>22840</v>
      </c>
      <c r="I61">
        <v>2.9000000000000001E-2</v>
      </c>
      <c r="J61">
        <v>0.16800000000000001</v>
      </c>
      <c r="K61">
        <v>0</v>
      </c>
      <c r="L61">
        <v>1</v>
      </c>
      <c r="M61" t="s">
        <v>64</v>
      </c>
      <c r="N61" s="1">
        <v>20579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22840</v>
      </c>
      <c r="I62">
        <v>0.14599999999999999</v>
      </c>
      <c r="J62">
        <v>0.35299999999999998</v>
      </c>
      <c r="K62">
        <v>0</v>
      </c>
      <c r="L62">
        <v>1</v>
      </c>
      <c r="M62" t="s">
        <v>65</v>
      </c>
      <c r="N62" s="1">
        <v>20579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22840</v>
      </c>
      <c r="I63">
        <v>0.16</v>
      </c>
      <c r="J63">
        <v>0.36699999999999999</v>
      </c>
      <c r="K63">
        <v>0</v>
      </c>
      <c r="L63">
        <v>1</v>
      </c>
      <c r="M63" t="s">
        <v>66</v>
      </c>
      <c r="N63" s="1">
        <v>20579</v>
      </c>
      <c r="O63">
        <v>0.17100000000000001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22840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20579</v>
      </c>
      <c r="O64">
        <v>3.5999999999999997E-2</v>
      </c>
      <c r="P64">
        <v>0.187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22840</v>
      </c>
      <c r="I65">
        <v>0.122</v>
      </c>
      <c r="J65">
        <v>0.32700000000000001</v>
      </c>
      <c r="K65">
        <v>0</v>
      </c>
      <c r="L65">
        <v>1</v>
      </c>
      <c r="M65" t="s">
        <v>68</v>
      </c>
      <c r="N65" s="1">
        <v>20579</v>
      </c>
      <c r="O65">
        <v>0.11899999999999999</v>
      </c>
      <c r="P65">
        <v>0.32400000000000001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3.1E-2</v>
      </c>
      <c r="D66">
        <v>0.17399999999999999</v>
      </c>
      <c r="E66">
        <v>0</v>
      </c>
      <c r="F66">
        <v>1</v>
      </c>
      <c r="G66" t="s">
        <v>69</v>
      </c>
      <c r="H66" s="1">
        <v>22840</v>
      </c>
      <c r="I66">
        <v>3.5000000000000003E-2</v>
      </c>
      <c r="J66">
        <v>0.183</v>
      </c>
      <c r="K66">
        <v>0</v>
      </c>
      <c r="L66">
        <v>1</v>
      </c>
      <c r="M66" t="s">
        <v>69</v>
      </c>
      <c r="N66" s="1">
        <v>20579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0.19500000000000001</v>
      </c>
      <c r="D67">
        <v>0.39600000000000002</v>
      </c>
      <c r="E67">
        <v>0</v>
      </c>
      <c r="F67">
        <v>1</v>
      </c>
      <c r="G67" t="s">
        <v>70</v>
      </c>
      <c r="H67" s="1">
        <v>22840</v>
      </c>
      <c r="I67">
        <v>0.193</v>
      </c>
      <c r="J67">
        <v>0.39400000000000002</v>
      </c>
      <c r="K67">
        <v>0</v>
      </c>
      <c r="L67">
        <v>1</v>
      </c>
      <c r="M67" t="s">
        <v>70</v>
      </c>
      <c r="N67" s="1">
        <v>20579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0.33400000000000002</v>
      </c>
      <c r="D68">
        <v>0.47199999999999998</v>
      </c>
      <c r="E68">
        <v>0</v>
      </c>
      <c r="F68">
        <v>1</v>
      </c>
      <c r="G68" t="s">
        <v>71</v>
      </c>
      <c r="H68" s="1">
        <v>22840</v>
      </c>
      <c r="I68">
        <v>0.35399999999999998</v>
      </c>
      <c r="J68">
        <v>0.47799999999999998</v>
      </c>
      <c r="K68">
        <v>0</v>
      </c>
      <c r="L68">
        <v>1</v>
      </c>
      <c r="M68" t="s">
        <v>71</v>
      </c>
      <c r="N68" s="1">
        <v>20579</v>
      </c>
      <c r="O68">
        <v>0.313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0.42699999999999999</v>
      </c>
      <c r="D69">
        <v>0.495</v>
      </c>
      <c r="E69">
        <v>0</v>
      </c>
      <c r="F69">
        <v>1</v>
      </c>
      <c r="G69" t="s">
        <v>72</v>
      </c>
      <c r="H69" s="1">
        <v>22840</v>
      </c>
      <c r="I69">
        <v>0.40699999999999997</v>
      </c>
      <c r="J69">
        <v>0.49099999999999999</v>
      </c>
      <c r="K69">
        <v>0</v>
      </c>
      <c r="L69">
        <v>1</v>
      </c>
      <c r="M69" t="s">
        <v>72</v>
      </c>
      <c r="N69" s="1">
        <v>20579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4.4999999999999998E-2</v>
      </c>
      <c r="D70">
        <v>0.20599999999999999</v>
      </c>
      <c r="E70">
        <v>0</v>
      </c>
      <c r="F70">
        <v>1</v>
      </c>
      <c r="G70" t="s">
        <v>73</v>
      </c>
      <c r="H70" s="1">
        <v>22840</v>
      </c>
      <c r="I70">
        <v>4.7E-2</v>
      </c>
      <c r="J70">
        <v>0.21199999999999999</v>
      </c>
      <c r="K70">
        <v>0</v>
      </c>
      <c r="L70">
        <v>1</v>
      </c>
      <c r="M70" t="s">
        <v>73</v>
      </c>
      <c r="N70" s="1">
        <v>20579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5.7000000000000002E-2</v>
      </c>
      <c r="D71">
        <v>0.23300000000000001</v>
      </c>
      <c r="E71">
        <v>0</v>
      </c>
      <c r="F71">
        <v>1</v>
      </c>
      <c r="G71" t="s">
        <v>165</v>
      </c>
      <c r="H71" s="1">
        <v>22840</v>
      </c>
      <c r="I71">
        <v>0.06</v>
      </c>
      <c r="J71">
        <v>0.23699999999999999</v>
      </c>
      <c r="K71">
        <v>0</v>
      </c>
      <c r="L71">
        <v>1</v>
      </c>
      <c r="M71" t="s">
        <v>165</v>
      </c>
      <c r="N71" s="1">
        <v>20579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22840</v>
      </c>
      <c r="I72">
        <v>0.26300000000000001</v>
      </c>
      <c r="J72">
        <v>0.44</v>
      </c>
      <c r="K72">
        <v>0</v>
      </c>
      <c r="L72">
        <v>1</v>
      </c>
      <c r="M72" t="s">
        <v>166</v>
      </c>
      <c r="N72" s="1">
        <v>20579</v>
      </c>
      <c r="O72">
        <v>0.26</v>
      </c>
      <c r="P72">
        <v>0.438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22840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20579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6.2E-2</v>
      </c>
      <c r="D74">
        <v>0.24</v>
      </c>
      <c r="E74">
        <v>0</v>
      </c>
      <c r="F74">
        <v>1</v>
      </c>
      <c r="G74" t="s">
        <v>168</v>
      </c>
      <c r="H74" s="1">
        <v>22840</v>
      </c>
      <c r="I74">
        <v>0.06</v>
      </c>
      <c r="J74">
        <v>0.23699999999999999</v>
      </c>
      <c r="K74">
        <v>0</v>
      </c>
      <c r="L74">
        <v>1</v>
      </c>
      <c r="M74" t="s">
        <v>168</v>
      </c>
      <c r="N74" s="1">
        <v>20579</v>
      </c>
      <c r="O74">
        <v>6.4000000000000001E-2</v>
      </c>
      <c r="P74">
        <v>0.245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0.123</v>
      </c>
      <c r="D75">
        <v>0.32800000000000001</v>
      </c>
      <c r="E75">
        <v>0</v>
      </c>
      <c r="F75">
        <v>1</v>
      </c>
      <c r="G75" t="s">
        <v>169</v>
      </c>
      <c r="H75" s="1">
        <v>22840</v>
      </c>
      <c r="I75">
        <v>0.115</v>
      </c>
      <c r="J75">
        <v>0.31900000000000001</v>
      </c>
      <c r="K75">
        <v>0</v>
      </c>
      <c r="L75">
        <v>1</v>
      </c>
      <c r="M75" t="s">
        <v>169</v>
      </c>
      <c r="N75" s="1">
        <v>20579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22840</v>
      </c>
      <c r="I76">
        <v>3.3000000000000002E-2</v>
      </c>
      <c r="J76">
        <v>0.18</v>
      </c>
      <c r="K76">
        <v>0</v>
      </c>
      <c r="L76">
        <v>1</v>
      </c>
      <c r="M76" t="s">
        <v>170</v>
      </c>
      <c r="N76" s="1">
        <v>20579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22840</v>
      </c>
      <c r="I77">
        <v>0.13600000000000001</v>
      </c>
      <c r="J77">
        <v>0.34300000000000003</v>
      </c>
      <c r="K77">
        <v>0</v>
      </c>
      <c r="L77">
        <v>1</v>
      </c>
      <c r="M77" t="s">
        <v>79</v>
      </c>
      <c r="N77" s="1">
        <v>20579</v>
      </c>
      <c r="O77">
        <v>0.123</v>
      </c>
      <c r="P77">
        <v>0.32900000000000001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22840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20579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22840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20579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22840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20579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22840</v>
      </c>
      <c r="I81">
        <v>0.39800000000000002</v>
      </c>
      <c r="J81">
        <v>0.48899999999999999</v>
      </c>
      <c r="K81">
        <v>0</v>
      </c>
      <c r="L81">
        <v>1</v>
      </c>
      <c r="M81" t="s">
        <v>83</v>
      </c>
      <c r="N81" s="1">
        <v>20579</v>
      </c>
      <c r="O81">
        <v>0.40500000000000003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22840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20579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22840</v>
      </c>
      <c r="I83">
        <v>0.41</v>
      </c>
      <c r="J83">
        <v>0.49199999999999999</v>
      </c>
      <c r="K83">
        <v>0</v>
      </c>
      <c r="L83">
        <v>1</v>
      </c>
      <c r="M83" t="s">
        <v>85</v>
      </c>
      <c r="N83" s="1">
        <v>20579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23504</v>
      </c>
      <c r="C3">
        <v>1.1779999999999999</v>
      </c>
      <c r="D3">
        <v>0.42499999999999999</v>
      </c>
      <c r="E3">
        <v>1</v>
      </c>
      <c r="F3">
        <v>5</v>
      </c>
      <c r="G3" t="s">
        <v>10</v>
      </c>
      <c r="H3" s="1">
        <v>12262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11242</v>
      </c>
      <c r="O3">
        <v>1.2929999999999999</v>
      </c>
      <c r="P3">
        <v>0.52500000000000002</v>
      </c>
      <c r="Q3">
        <v>1</v>
      </c>
      <c r="R3">
        <v>5</v>
      </c>
    </row>
    <row r="4" spans="1:18" x14ac:dyDescent="0.25">
      <c r="A4" t="s">
        <v>11</v>
      </c>
      <c r="B4" s="1">
        <v>23504</v>
      </c>
      <c r="C4">
        <v>0.47799999999999998</v>
      </c>
      <c r="D4">
        <v>0.5</v>
      </c>
      <c r="E4">
        <v>0</v>
      </c>
      <c r="F4">
        <v>1</v>
      </c>
      <c r="G4" t="s">
        <v>11</v>
      </c>
      <c r="H4" s="1">
        <v>12262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11242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23504</v>
      </c>
      <c r="C5">
        <v>0.42899999999999999</v>
      </c>
      <c r="D5">
        <v>0.495</v>
      </c>
      <c r="E5">
        <v>0</v>
      </c>
      <c r="F5">
        <v>1</v>
      </c>
      <c r="G5" t="s">
        <v>12</v>
      </c>
      <c r="H5" s="1">
        <v>12262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11242</v>
      </c>
      <c r="O5">
        <v>0.89600000000000002</v>
      </c>
      <c r="P5">
        <v>0.30599999999999999</v>
      </c>
      <c r="Q5">
        <v>0</v>
      </c>
      <c r="R5">
        <v>1</v>
      </c>
    </row>
    <row r="6" spans="1:18" x14ac:dyDescent="0.25">
      <c r="A6" t="s">
        <v>36</v>
      </c>
      <c r="B6" s="1">
        <v>11242</v>
      </c>
      <c r="C6">
        <v>316.53899999999999</v>
      </c>
      <c r="D6">
        <v>574.30499999999995</v>
      </c>
      <c r="E6">
        <v>0</v>
      </c>
      <c r="F6" s="1">
        <v>4021</v>
      </c>
      <c r="H6" s="1"/>
      <c r="M6" t="s">
        <v>36</v>
      </c>
      <c r="N6" s="1">
        <v>11242</v>
      </c>
      <c r="O6">
        <v>316.53899999999999</v>
      </c>
      <c r="P6">
        <v>574.30499999999995</v>
      </c>
      <c r="Q6">
        <v>0</v>
      </c>
      <c r="R6" s="1">
        <v>4021</v>
      </c>
    </row>
    <row r="7" spans="1:18" x14ac:dyDescent="0.25">
      <c r="A7" t="s">
        <v>13</v>
      </c>
      <c r="B7" s="1">
        <v>23504</v>
      </c>
      <c r="C7">
        <v>1.4930000000000001</v>
      </c>
      <c r="D7">
        <v>0.55500000000000005</v>
      </c>
      <c r="E7">
        <v>0</v>
      </c>
      <c r="F7">
        <v>6</v>
      </c>
      <c r="G7" t="s">
        <v>13</v>
      </c>
      <c r="H7" s="1">
        <v>12262</v>
      </c>
      <c r="I7">
        <v>1.4870000000000001</v>
      </c>
      <c r="J7">
        <v>0.55600000000000005</v>
      </c>
      <c r="K7">
        <v>0</v>
      </c>
      <c r="L7">
        <v>4</v>
      </c>
      <c r="M7" t="s">
        <v>13</v>
      </c>
      <c r="N7" s="1">
        <v>11242</v>
      </c>
      <c r="O7">
        <v>1.4990000000000001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23504</v>
      </c>
      <c r="C8">
        <v>0.16600000000000001</v>
      </c>
      <c r="D8">
        <v>0.377</v>
      </c>
      <c r="E8">
        <v>0</v>
      </c>
      <c r="F8">
        <v>4</v>
      </c>
      <c r="G8" t="s">
        <v>14</v>
      </c>
      <c r="H8" s="1">
        <v>12262</v>
      </c>
      <c r="I8">
        <v>0.161</v>
      </c>
      <c r="J8">
        <v>0.371</v>
      </c>
      <c r="K8">
        <v>0</v>
      </c>
      <c r="L8">
        <v>2</v>
      </c>
      <c r="M8" t="s">
        <v>14</v>
      </c>
      <c r="N8" s="1">
        <v>11242</v>
      </c>
      <c r="O8">
        <v>0.17199999999999999</v>
      </c>
      <c r="P8">
        <v>0.38400000000000001</v>
      </c>
      <c r="Q8">
        <v>0</v>
      </c>
      <c r="R8">
        <v>4</v>
      </c>
    </row>
    <row r="9" spans="1:18" x14ac:dyDescent="0.25">
      <c r="A9" t="s">
        <v>15</v>
      </c>
      <c r="B9" s="1">
        <v>23504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12262</v>
      </c>
      <c r="I9">
        <v>1.776</v>
      </c>
      <c r="J9">
        <v>0.91400000000000003</v>
      </c>
      <c r="K9">
        <v>0</v>
      </c>
      <c r="L9">
        <v>5</v>
      </c>
      <c r="M9" t="s">
        <v>15</v>
      </c>
      <c r="N9" s="1">
        <v>11242</v>
      </c>
      <c r="O9">
        <v>1.8049999999999999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23504</v>
      </c>
      <c r="C10">
        <v>45.145000000000003</v>
      </c>
      <c r="D10">
        <v>61.313000000000002</v>
      </c>
      <c r="E10">
        <v>0</v>
      </c>
      <c r="F10">
        <v>946</v>
      </c>
      <c r="G10" t="s">
        <v>16</v>
      </c>
      <c r="H10" s="1">
        <v>12262</v>
      </c>
      <c r="I10">
        <v>50.195999999999998</v>
      </c>
      <c r="J10">
        <v>59.253999999999998</v>
      </c>
      <c r="K10">
        <v>0</v>
      </c>
      <c r="L10">
        <v>785</v>
      </c>
      <c r="M10" t="s">
        <v>16</v>
      </c>
      <c r="N10" s="1">
        <v>11242</v>
      </c>
      <c r="O10">
        <v>39.636000000000003</v>
      </c>
      <c r="P10">
        <v>63.026000000000003</v>
      </c>
      <c r="Q10">
        <v>0</v>
      </c>
      <c r="R10">
        <v>946</v>
      </c>
    </row>
    <row r="11" spans="1:18" x14ac:dyDescent="0.25">
      <c r="A11" t="s">
        <v>163</v>
      </c>
      <c r="B11" s="1">
        <v>23504</v>
      </c>
      <c r="C11">
        <v>877.05499999999995</v>
      </c>
      <c r="D11">
        <v>391.93799999999999</v>
      </c>
      <c r="E11">
        <v>120</v>
      </c>
      <c r="F11" s="1">
        <v>10740</v>
      </c>
      <c r="G11" t="s">
        <v>163</v>
      </c>
      <c r="H11" s="1">
        <v>12262</v>
      </c>
      <c r="I11">
        <v>876.53200000000004</v>
      </c>
      <c r="J11">
        <v>390.72800000000001</v>
      </c>
      <c r="K11">
        <v>160</v>
      </c>
      <c r="L11" s="1">
        <v>6273</v>
      </c>
      <c r="M11" t="s">
        <v>163</v>
      </c>
      <c r="N11" s="1">
        <v>11242</v>
      </c>
      <c r="O11">
        <v>877.62400000000002</v>
      </c>
      <c r="P11">
        <v>393.27</v>
      </c>
      <c r="Q11">
        <v>120</v>
      </c>
      <c r="R11" s="1">
        <v>10740</v>
      </c>
    </row>
    <row r="12" spans="1:18" x14ac:dyDescent="0.25">
      <c r="A12" t="s">
        <v>17</v>
      </c>
      <c r="B12" s="1">
        <v>23504</v>
      </c>
      <c r="C12">
        <v>24.773</v>
      </c>
      <c r="D12">
        <v>93.8</v>
      </c>
      <c r="E12">
        <v>0</v>
      </c>
      <c r="F12" s="1">
        <v>1380</v>
      </c>
      <c r="G12" t="s">
        <v>17</v>
      </c>
      <c r="H12" s="1">
        <v>12262</v>
      </c>
      <c r="I12">
        <v>19.170000000000002</v>
      </c>
      <c r="J12">
        <v>82.546999999999997</v>
      </c>
      <c r="K12">
        <v>0</v>
      </c>
      <c r="L12">
        <v>942</v>
      </c>
      <c r="M12" t="s">
        <v>17</v>
      </c>
      <c r="N12" s="1">
        <v>11242</v>
      </c>
      <c r="O12">
        <v>30.884</v>
      </c>
      <c r="P12">
        <v>104.36499999999999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23504</v>
      </c>
      <c r="C13" s="2">
        <v>682222.9</v>
      </c>
      <c r="D13" s="2">
        <v>632502.30000000005</v>
      </c>
      <c r="E13" s="2">
        <v>85418.51</v>
      </c>
      <c r="F13" s="2">
        <v>28197546</v>
      </c>
      <c r="G13" t="s">
        <v>19</v>
      </c>
      <c r="H13" s="1">
        <v>12262</v>
      </c>
      <c r="I13" s="2">
        <v>696051.4</v>
      </c>
      <c r="J13" s="2">
        <v>672699</v>
      </c>
      <c r="K13" s="2">
        <v>99684.44</v>
      </c>
      <c r="L13" s="2">
        <v>28197546</v>
      </c>
      <c r="M13" t="s">
        <v>19</v>
      </c>
      <c r="N13" s="1">
        <v>11242</v>
      </c>
      <c r="O13" s="2">
        <v>667139.80000000005</v>
      </c>
      <c r="P13" s="2">
        <v>585178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23504</v>
      </c>
      <c r="C14" s="2">
        <v>673338.1</v>
      </c>
      <c r="D14" s="2">
        <v>604964.1</v>
      </c>
      <c r="E14" s="2">
        <v>85418.51</v>
      </c>
      <c r="F14" s="2">
        <v>28197546</v>
      </c>
      <c r="G14" t="s">
        <v>20</v>
      </c>
      <c r="H14" s="1">
        <v>12262</v>
      </c>
      <c r="I14" s="2">
        <v>683463.2</v>
      </c>
      <c r="J14" s="2">
        <v>651051.80000000005</v>
      </c>
      <c r="K14" s="2">
        <v>118448.6</v>
      </c>
      <c r="L14" s="2">
        <v>28197546</v>
      </c>
      <c r="M14" t="s">
        <v>20</v>
      </c>
      <c r="N14" s="1">
        <v>11242</v>
      </c>
      <c r="O14" s="2">
        <v>662294.19999999995</v>
      </c>
      <c r="P14" s="2">
        <v>550128.1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23504</v>
      </c>
      <c r="C15" s="2">
        <v>7409.0110000000004</v>
      </c>
      <c r="D15" s="2">
        <v>50141.16</v>
      </c>
      <c r="E15" s="1">
        <v>-300000</v>
      </c>
      <c r="F15" s="1">
        <v>4750000</v>
      </c>
      <c r="G15" t="s">
        <v>190</v>
      </c>
      <c r="H15" s="1">
        <v>12262</v>
      </c>
      <c r="I15" s="2">
        <v>10357.34</v>
      </c>
      <c r="J15" s="2">
        <v>33715.1</v>
      </c>
      <c r="K15" s="1">
        <v>-152000</v>
      </c>
      <c r="L15" s="1">
        <v>750000</v>
      </c>
      <c r="M15" t="s">
        <v>190</v>
      </c>
      <c r="N15" s="1">
        <v>11242</v>
      </c>
      <c r="O15" s="2">
        <v>4193.1729999999998</v>
      </c>
      <c r="P15" s="2">
        <v>63221.440000000002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23504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12262</v>
      </c>
      <c r="I16">
        <v>1E-3</v>
      </c>
      <c r="J16">
        <v>3.1E-2</v>
      </c>
      <c r="K16">
        <v>0</v>
      </c>
      <c r="L16">
        <v>1</v>
      </c>
      <c r="M16" t="s">
        <v>21</v>
      </c>
      <c r="N16" s="1">
        <v>11242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23504</v>
      </c>
      <c r="C17">
        <v>2.7E-2</v>
      </c>
      <c r="D17">
        <v>0.161</v>
      </c>
      <c r="E17">
        <v>0</v>
      </c>
      <c r="F17">
        <v>1</v>
      </c>
      <c r="G17" t="s">
        <v>22</v>
      </c>
      <c r="H17" s="1">
        <v>12262</v>
      </c>
      <c r="I17">
        <v>2.8000000000000001E-2</v>
      </c>
      <c r="J17">
        <v>0.16400000000000001</v>
      </c>
      <c r="K17">
        <v>0</v>
      </c>
      <c r="L17">
        <v>1</v>
      </c>
      <c r="M17" t="s">
        <v>22</v>
      </c>
      <c r="N17" s="1">
        <v>11242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23504</v>
      </c>
      <c r="C18">
        <v>6.0000000000000001E-3</v>
      </c>
      <c r="D18">
        <v>7.6999999999999999E-2</v>
      </c>
      <c r="E18">
        <v>0</v>
      </c>
      <c r="F18">
        <v>1</v>
      </c>
      <c r="G18" t="s">
        <v>23</v>
      </c>
      <c r="H18" s="1">
        <v>12262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11242</v>
      </c>
      <c r="O18">
        <v>5.0000000000000001E-3</v>
      </c>
      <c r="P18">
        <v>7.0000000000000007E-2</v>
      </c>
      <c r="Q18">
        <v>0</v>
      </c>
      <c r="R18">
        <v>1</v>
      </c>
    </row>
    <row r="19" spans="1:18" x14ac:dyDescent="0.25">
      <c r="A19" t="s">
        <v>24</v>
      </c>
      <c r="B19" s="1">
        <v>23504</v>
      </c>
      <c r="C19">
        <v>0.16500000000000001</v>
      </c>
      <c r="D19">
        <v>0.371</v>
      </c>
      <c r="E19">
        <v>0</v>
      </c>
      <c r="F19">
        <v>1</v>
      </c>
      <c r="G19" t="s">
        <v>24</v>
      </c>
      <c r="H19" s="1">
        <v>12262</v>
      </c>
      <c r="I19">
        <v>0.17</v>
      </c>
      <c r="J19">
        <v>0.376</v>
      </c>
      <c r="K19">
        <v>0</v>
      </c>
      <c r="L19">
        <v>1</v>
      </c>
      <c r="M19" t="s">
        <v>24</v>
      </c>
      <c r="N19" s="1">
        <v>11242</v>
      </c>
      <c r="O19">
        <v>0.16</v>
      </c>
      <c r="P19">
        <v>0.36599999999999999</v>
      </c>
      <c r="Q19">
        <v>0</v>
      </c>
      <c r="R19">
        <v>1</v>
      </c>
    </row>
    <row r="20" spans="1:18" x14ac:dyDescent="0.25">
      <c r="A20" t="s">
        <v>25</v>
      </c>
      <c r="B20" s="1">
        <v>23504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12262</v>
      </c>
      <c r="I20">
        <v>0.54700000000000004</v>
      </c>
      <c r="J20">
        <v>0.498</v>
      </c>
      <c r="K20">
        <v>0</v>
      </c>
      <c r="L20">
        <v>1</v>
      </c>
      <c r="M20" t="s">
        <v>25</v>
      </c>
      <c r="N20" s="1">
        <v>11242</v>
      </c>
      <c r="O20">
        <v>0.54</v>
      </c>
      <c r="P20">
        <v>0.498</v>
      </c>
      <c r="Q20">
        <v>0</v>
      </c>
      <c r="R20">
        <v>1</v>
      </c>
    </row>
    <row r="21" spans="1:18" x14ac:dyDescent="0.25">
      <c r="A21" t="s">
        <v>26</v>
      </c>
      <c r="B21" s="1">
        <v>23504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12262</v>
      </c>
      <c r="I21">
        <v>0.28499999999999998</v>
      </c>
      <c r="J21">
        <v>0.45100000000000001</v>
      </c>
      <c r="K21">
        <v>0</v>
      </c>
      <c r="L21">
        <v>1</v>
      </c>
      <c r="M21" t="s">
        <v>26</v>
      </c>
      <c r="N21" s="1">
        <v>11242</v>
      </c>
      <c r="O21">
        <v>0.30099999999999999</v>
      </c>
      <c r="P21">
        <v>0.45900000000000002</v>
      </c>
      <c r="Q21">
        <v>0</v>
      </c>
      <c r="R21">
        <v>1</v>
      </c>
    </row>
    <row r="22" spans="1:18" x14ac:dyDescent="0.25">
      <c r="A22" t="s">
        <v>27</v>
      </c>
      <c r="B22" s="1">
        <v>23504</v>
      </c>
      <c r="C22">
        <v>6.7000000000000004E-2</v>
      </c>
      <c r="D22">
        <v>0.25</v>
      </c>
      <c r="E22">
        <v>0</v>
      </c>
      <c r="F22">
        <v>1</v>
      </c>
      <c r="G22" t="s">
        <v>27</v>
      </c>
      <c r="H22" s="1">
        <v>12262</v>
      </c>
      <c r="I22">
        <v>7.0000000000000007E-2</v>
      </c>
      <c r="J22">
        <v>0.25600000000000001</v>
      </c>
      <c r="K22">
        <v>0</v>
      </c>
      <c r="L22">
        <v>1</v>
      </c>
      <c r="M22" t="s">
        <v>27</v>
      </c>
      <c r="N22" s="1">
        <v>11242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23504</v>
      </c>
      <c r="C23">
        <v>2E-3</v>
      </c>
      <c r="D23">
        <v>0.05</v>
      </c>
      <c r="E23">
        <v>0</v>
      </c>
      <c r="F23">
        <v>1</v>
      </c>
      <c r="G23" t="s">
        <v>28</v>
      </c>
      <c r="H23" s="1">
        <v>12262</v>
      </c>
      <c r="I23">
        <v>3.0000000000000001E-3</v>
      </c>
      <c r="J23">
        <v>5.2999999999999999E-2</v>
      </c>
      <c r="K23">
        <v>0</v>
      </c>
      <c r="L23">
        <v>1</v>
      </c>
      <c r="M23" t="s">
        <v>28</v>
      </c>
      <c r="N23" s="1">
        <v>11242</v>
      </c>
      <c r="O23">
        <v>2E-3</v>
      </c>
      <c r="P23">
        <v>4.4999999999999998E-2</v>
      </c>
      <c r="Q23">
        <v>0</v>
      </c>
      <c r="R23">
        <v>1</v>
      </c>
    </row>
    <row r="24" spans="1:18" x14ac:dyDescent="0.25">
      <c r="A24" t="s">
        <v>29</v>
      </c>
      <c r="B24" s="1">
        <v>23504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12262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11242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23504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12262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11242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23504</v>
      </c>
      <c r="C26">
        <v>8.1000000000000003E-2</v>
      </c>
      <c r="D26">
        <v>0.27200000000000002</v>
      </c>
      <c r="E26">
        <v>0</v>
      </c>
      <c r="F26">
        <v>1</v>
      </c>
      <c r="G26" t="s">
        <v>31</v>
      </c>
      <c r="H26" s="1">
        <v>12262</v>
      </c>
      <c r="I26">
        <v>8.3000000000000004E-2</v>
      </c>
      <c r="J26">
        <v>0.27500000000000002</v>
      </c>
      <c r="K26">
        <v>0</v>
      </c>
      <c r="L26">
        <v>1</v>
      </c>
      <c r="M26" t="s">
        <v>31</v>
      </c>
      <c r="N26" s="1">
        <v>11242</v>
      </c>
      <c r="O26">
        <v>7.8E-2</v>
      </c>
      <c r="P26">
        <v>0.26900000000000002</v>
      </c>
      <c r="Q26">
        <v>0</v>
      </c>
      <c r="R26">
        <v>1</v>
      </c>
    </row>
    <row r="27" spans="1:18" x14ac:dyDescent="0.25">
      <c r="A27" t="s">
        <v>32</v>
      </c>
      <c r="B27" s="1">
        <v>23504</v>
      </c>
      <c r="C27">
        <v>1E-4</v>
      </c>
      <c r="D27">
        <v>1.0999999999999999E-2</v>
      </c>
      <c r="E27">
        <v>0</v>
      </c>
      <c r="F27">
        <v>1</v>
      </c>
      <c r="G27" t="s">
        <v>32</v>
      </c>
      <c r="H27" s="1">
        <v>12262</v>
      </c>
      <c r="I27">
        <v>2.0000000000000001E-4</v>
      </c>
      <c r="J27">
        <v>1.2999999999999999E-2</v>
      </c>
      <c r="K27">
        <v>0</v>
      </c>
      <c r="L27">
        <v>1</v>
      </c>
      <c r="M27" t="s">
        <v>32</v>
      </c>
      <c r="N27" s="1">
        <v>11242</v>
      </c>
      <c r="O27">
        <v>1E-4</v>
      </c>
      <c r="P27">
        <v>8.9999999999999993E-3</v>
      </c>
      <c r="Q27">
        <v>0</v>
      </c>
      <c r="R27">
        <v>1</v>
      </c>
    </row>
    <row r="28" spans="1:18" x14ac:dyDescent="0.25">
      <c r="A28" t="s">
        <v>33</v>
      </c>
      <c r="B28" s="1">
        <v>23504</v>
      </c>
      <c r="C28">
        <v>35.618000000000002</v>
      </c>
      <c r="D28">
        <v>16.286999999999999</v>
      </c>
      <c r="E28">
        <v>0</v>
      </c>
      <c r="F28">
        <v>90</v>
      </c>
      <c r="G28" t="s">
        <v>33</v>
      </c>
      <c r="H28" s="1">
        <v>12262</v>
      </c>
      <c r="I28">
        <v>34.234000000000002</v>
      </c>
      <c r="J28">
        <v>16.125</v>
      </c>
      <c r="K28">
        <v>0</v>
      </c>
      <c r="L28">
        <v>90</v>
      </c>
      <c r="M28" t="s">
        <v>33</v>
      </c>
      <c r="N28" s="1">
        <v>11242</v>
      </c>
      <c r="O28">
        <v>37.127000000000002</v>
      </c>
      <c r="P28">
        <v>16.329000000000001</v>
      </c>
      <c r="Q28">
        <v>0</v>
      </c>
      <c r="R28">
        <v>83</v>
      </c>
    </row>
    <row r="29" spans="1:18" x14ac:dyDescent="0.25">
      <c r="A29" t="s">
        <v>34</v>
      </c>
      <c r="B29" s="1">
        <v>23504</v>
      </c>
      <c r="C29">
        <v>1.534</v>
      </c>
      <c r="D29">
        <v>1.0269999999999999</v>
      </c>
      <c r="E29">
        <v>0</v>
      </c>
      <c r="F29">
        <v>8.1</v>
      </c>
      <c r="G29" t="s">
        <v>34</v>
      </c>
      <c r="H29" s="1">
        <v>12262</v>
      </c>
      <c r="I29">
        <v>1.4319999999999999</v>
      </c>
      <c r="J29">
        <v>0.98099999999999998</v>
      </c>
      <c r="K29">
        <v>0</v>
      </c>
      <c r="L29">
        <v>8.1</v>
      </c>
      <c r="M29" t="s">
        <v>34</v>
      </c>
      <c r="N29" s="1">
        <v>11242</v>
      </c>
      <c r="O29">
        <v>1.645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23504</v>
      </c>
      <c r="C30">
        <v>1.4550000000000001</v>
      </c>
      <c r="D30">
        <v>4.0350000000000001</v>
      </c>
      <c r="E30">
        <v>0</v>
      </c>
      <c r="F30">
        <v>57</v>
      </c>
      <c r="G30" t="s">
        <v>35</v>
      </c>
      <c r="H30" s="1">
        <v>12262</v>
      </c>
      <c r="I30">
        <v>1.375</v>
      </c>
      <c r="J30">
        <v>3.8290000000000002</v>
      </c>
      <c r="K30">
        <v>0</v>
      </c>
      <c r="L30">
        <v>57</v>
      </c>
      <c r="M30" t="s">
        <v>35</v>
      </c>
      <c r="N30" s="1">
        <v>11242</v>
      </c>
      <c r="O30">
        <v>1.5429999999999999</v>
      </c>
      <c r="P30">
        <v>4.2460000000000004</v>
      </c>
      <c r="Q30">
        <v>0</v>
      </c>
      <c r="R30">
        <v>45</v>
      </c>
    </row>
    <row r="31" spans="1:18" x14ac:dyDescent="0.25">
      <c r="A31" t="s">
        <v>18</v>
      </c>
      <c r="B31" s="1">
        <v>23504</v>
      </c>
      <c r="C31">
        <v>957.16600000000005</v>
      </c>
      <c r="D31">
        <v>441.15199999999999</v>
      </c>
      <c r="E31">
        <v>175</v>
      </c>
      <c r="F31" s="1">
        <v>11155</v>
      </c>
      <c r="G31" t="s">
        <v>18</v>
      </c>
      <c r="H31" s="1">
        <v>12262</v>
      </c>
      <c r="I31">
        <v>956.66099999999994</v>
      </c>
      <c r="J31">
        <v>441.62099999999998</v>
      </c>
      <c r="K31">
        <v>195</v>
      </c>
      <c r="L31" s="1">
        <v>7582</v>
      </c>
      <c r="M31" t="s">
        <v>18</v>
      </c>
      <c r="N31" s="1">
        <v>11242</v>
      </c>
      <c r="O31">
        <v>957.71699999999998</v>
      </c>
      <c r="P31">
        <v>440.65800000000002</v>
      </c>
      <c r="Q31">
        <v>175</v>
      </c>
      <c r="R31" s="1">
        <v>11155</v>
      </c>
    </row>
    <row r="32" spans="1:18" x14ac:dyDescent="0.25">
      <c r="A32" t="s">
        <v>37</v>
      </c>
      <c r="B32" s="1">
        <v>23504</v>
      </c>
      <c r="C32">
        <v>4.7720000000000002</v>
      </c>
      <c r="D32">
        <v>6.7729999999999997</v>
      </c>
      <c r="E32">
        <v>1.4E-2</v>
      </c>
      <c r="F32">
        <v>111.96899999999999</v>
      </c>
      <c r="G32" t="s">
        <v>37</v>
      </c>
      <c r="H32" s="1">
        <v>12262</v>
      </c>
      <c r="I32">
        <v>4.6059999999999999</v>
      </c>
      <c r="J32">
        <v>6.5890000000000004</v>
      </c>
      <c r="K32">
        <v>1.4E-2</v>
      </c>
      <c r="L32">
        <v>52.774999999999999</v>
      </c>
      <c r="M32" t="s">
        <v>37</v>
      </c>
      <c r="N32" s="1">
        <v>11242</v>
      </c>
      <c r="O32">
        <v>4.952</v>
      </c>
      <c r="P32">
        <v>6.9640000000000004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23504</v>
      </c>
      <c r="C33">
        <v>1.6970000000000001</v>
      </c>
      <c r="D33">
        <v>2.214</v>
      </c>
      <c r="E33">
        <v>0</v>
      </c>
      <c r="F33">
        <v>12.788</v>
      </c>
      <c r="G33" t="s">
        <v>164</v>
      </c>
      <c r="H33" s="1">
        <v>12262</v>
      </c>
      <c r="I33">
        <v>1.68</v>
      </c>
      <c r="J33">
        <v>2.2280000000000002</v>
      </c>
      <c r="K33">
        <v>0</v>
      </c>
      <c r="L33">
        <v>12.788</v>
      </c>
      <c r="M33" t="s">
        <v>164</v>
      </c>
      <c r="N33" s="1">
        <v>11242</v>
      </c>
      <c r="O33">
        <v>1.716</v>
      </c>
      <c r="P33">
        <v>2.198</v>
      </c>
      <c r="Q33">
        <v>0</v>
      </c>
      <c r="R33">
        <v>12.788</v>
      </c>
    </row>
    <row r="34" spans="1:18" x14ac:dyDescent="0.25">
      <c r="A34" t="s">
        <v>39</v>
      </c>
      <c r="B34" s="1">
        <v>23504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12262</v>
      </c>
      <c r="I34">
        <v>0.32800000000000001</v>
      </c>
      <c r="J34">
        <v>0.25600000000000001</v>
      </c>
      <c r="K34">
        <v>1.2E-2</v>
      </c>
      <c r="L34">
        <v>1.7529999999999999</v>
      </c>
      <c r="M34" t="s">
        <v>39</v>
      </c>
      <c r="N34" s="1">
        <v>11242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23504</v>
      </c>
      <c r="C35">
        <v>3.0939999999999999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12262</v>
      </c>
      <c r="I35">
        <v>2.964</v>
      </c>
      <c r="J35">
        <v>3.2669999999999999</v>
      </c>
      <c r="K35">
        <v>1.4999999999999999E-2</v>
      </c>
      <c r="L35">
        <v>20.402999999999999</v>
      </c>
      <c r="M35" t="s">
        <v>40</v>
      </c>
      <c r="N35" s="1">
        <v>11242</v>
      </c>
      <c r="O35">
        <v>3.2370000000000001</v>
      </c>
      <c r="P35">
        <v>3.6070000000000002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23504</v>
      </c>
      <c r="C36">
        <v>7.5389999999999997</v>
      </c>
      <c r="D36">
        <v>5.1429999999999998</v>
      </c>
      <c r="E36">
        <v>0.99299999999999999</v>
      </c>
      <c r="F36">
        <v>25.135999999999999</v>
      </c>
      <c r="G36" t="s">
        <v>41</v>
      </c>
      <c r="H36" s="1">
        <v>12262</v>
      </c>
      <c r="I36">
        <v>7.5110000000000001</v>
      </c>
      <c r="J36">
        <v>5.1429999999999998</v>
      </c>
      <c r="K36">
        <v>0.99299999999999999</v>
      </c>
      <c r="L36">
        <v>25.135999999999999</v>
      </c>
      <c r="M36" t="s">
        <v>41</v>
      </c>
      <c r="N36" s="1">
        <v>11242</v>
      </c>
      <c r="O36">
        <v>7.569</v>
      </c>
      <c r="P36">
        <v>5.1440000000000001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23504</v>
      </c>
      <c r="C37">
        <v>1.258</v>
      </c>
      <c r="D37">
        <v>6.1710000000000003</v>
      </c>
      <c r="E37">
        <v>4.2999999999999997E-2</v>
      </c>
      <c r="F37">
        <v>196.49</v>
      </c>
      <c r="G37" t="s">
        <v>173</v>
      </c>
      <c r="H37" s="1">
        <v>12262</v>
      </c>
      <c r="I37">
        <v>1.2769999999999999</v>
      </c>
      <c r="J37">
        <v>6.4189999999999996</v>
      </c>
      <c r="K37">
        <v>4.2999999999999997E-2</v>
      </c>
      <c r="L37">
        <v>196.49</v>
      </c>
      <c r="M37" t="s">
        <v>173</v>
      </c>
      <c r="N37" s="1">
        <v>11242</v>
      </c>
      <c r="O37">
        <v>1.2370000000000001</v>
      </c>
      <c r="P37">
        <v>5.8890000000000002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23504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12262</v>
      </c>
      <c r="I38">
        <v>1.9219999999999999</v>
      </c>
      <c r="J38">
        <v>1.298</v>
      </c>
      <c r="K38">
        <v>7.3999999999999996E-2</v>
      </c>
      <c r="L38">
        <v>7.2789999999999999</v>
      </c>
      <c r="M38" t="s">
        <v>174</v>
      </c>
      <c r="N38" s="1">
        <v>11242</v>
      </c>
      <c r="O38">
        <v>1.9670000000000001</v>
      </c>
      <c r="P38">
        <v>1.329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23504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12262</v>
      </c>
      <c r="I39">
        <v>1.778</v>
      </c>
      <c r="J39">
        <v>1.1819999999999999</v>
      </c>
      <c r="K39">
        <v>3.4000000000000002E-2</v>
      </c>
      <c r="L39">
        <v>6.8040000000000003</v>
      </c>
      <c r="M39" t="s">
        <v>175</v>
      </c>
      <c r="N39" s="1">
        <v>11242</v>
      </c>
      <c r="O39">
        <v>1.8129999999999999</v>
      </c>
      <c r="P39">
        <v>1.206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23504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12262</v>
      </c>
      <c r="I40">
        <v>0.27400000000000002</v>
      </c>
      <c r="J40">
        <v>0.19400000000000001</v>
      </c>
      <c r="K40">
        <v>0</v>
      </c>
      <c r="L40">
        <v>0.82799999999999996</v>
      </c>
      <c r="M40" t="s">
        <v>42</v>
      </c>
      <c r="N40" s="1">
        <v>11242</v>
      </c>
      <c r="O40">
        <v>0.26800000000000002</v>
      </c>
      <c r="P40">
        <v>0.18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23504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12262</v>
      </c>
      <c r="I41">
        <v>2.1000000000000001E-2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11242</v>
      </c>
      <c r="O41">
        <v>2.3E-2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23504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12262</v>
      </c>
      <c r="I42">
        <v>0.44900000000000001</v>
      </c>
      <c r="J42">
        <v>0.19700000000000001</v>
      </c>
      <c r="K42">
        <v>1.4E-2</v>
      </c>
      <c r="L42">
        <v>1</v>
      </c>
      <c r="M42" t="s">
        <v>44</v>
      </c>
      <c r="N42" s="1">
        <v>11242</v>
      </c>
      <c r="O42">
        <v>0.44400000000000001</v>
      </c>
      <c r="P42">
        <v>0.193</v>
      </c>
      <c r="Q42">
        <v>1.4E-2</v>
      </c>
      <c r="R42">
        <v>1</v>
      </c>
    </row>
    <row r="43" spans="1:18" x14ac:dyDescent="0.25">
      <c r="A43" t="s">
        <v>45</v>
      </c>
      <c r="B43" s="1">
        <v>23504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12262</v>
      </c>
      <c r="I43">
        <v>5.6000000000000001E-2</v>
      </c>
      <c r="J43">
        <v>8.4000000000000005E-2</v>
      </c>
      <c r="K43">
        <v>0</v>
      </c>
      <c r="L43">
        <v>0.64</v>
      </c>
      <c r="M43" t="s">
        <v>45</v>
      </c>
      <c r="N43" s="1">
        <v>11242</v>
      </c>
      <c r="O43">
        <v>5.8000000000000003E-2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23504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12262</v>
      </c>
      <c r="I44">
        <v>0.82799999999999996</v>
      </c>
      <c r="J44">
        <v>0.20300000000000001</v>
      </c>
      <c r="K44">
        <v>0.107</v>
      </c>
      <c r="L44">
        <v>1</v>
      </c>
      <c r="M44" t="s">
        <v>46</v>
      </c>
      <c r="N44" s="1">
        <v>11242</v>
      </c>
      <c r="O44">
        <v>0.83099999999999996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23504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12262</v>
      </c>
      <c r="I45">
        <v>0.17100000000000001</v>
      </c>
      <c r="J45">
        <v>0.20300000000000001</v>
      </c>
      <c r="K45">
        <v>0</v>
      </c>
      <c r="L45">
        <v>0.89300000000000002</v>
      </c>
      <c r="M45" t="s">
        <v>47</v>
      </c>
      <c r="N45" s="1">
        <v>11242</v>
      </c>
      <c r="O45">
        <v>0.16800000000000001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23504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12262</v>
      </c>
      <c r="I46">
        <v>0.57899999999999996</v>
      </c>
      <c r="J46">
        <v>0.188</v>
      </c>
      <c r="K46">
        <v>0.06</v>
      </c>
      <c r="L46">
        <v>0.98499999999999999</v>
      </c>
      <c r="M46" t="s">
        <v>48</v>
      </c>
      <c r="N46" s="1">
        <v>11242</v>
      </c>
      <c r="O46">
        <v>0.57399999999999995</v>
      </c>
      <c r="P46">
        <v>0.19600000000000001</v>
      </c>
      <c r="Q46">
        <v>2.8000000000000001E-2</v>
      </c>
      <c r="R46">
        <v>0.98099999999999998</v>
      </c>
    </row>
    <row r="47" spans="1:18" x14ac:dyDescent="0.25">
      <c r="A47" t="s">
        <v>49</v>
      </c>
      <c r="B47" s="1">
        <v>23504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12262</v>
      </c>
      <c r="I47">
        <v>0.42</v>
      </c>
      <c r="J47">
        <v>0.188</v>
      </c>
      <c r="K47">
        <v>1.4999999999999999E-2</v>
      </c>
      <c r="L47">
        <v>0.94</v>
      </c>
      <c r="M47" t="s">
        <v>49</v>
      </c>
      <c r="N47" s="1">
        <v>11242</v>
      </c>
      <c r="O47">
        <v>0.42499999999999999</v>
      </c>
      <c r="P47">
        <v>0.19500000000000001</v>
      </c>
      <c r="Q47">
        <v>1.9E-2</v>
      </c>
      <c r="R47">
        <v>0.97199999999999998</v>
      </c>
    </row>
    <row r="48" spans="1:18" x14ac:dyDescent="0.25">
      <c r="A48" t="s">
        <v>50</v>
      </c>
      <c r="B48" s="1">
        <v>23504</v>
      </c>
      <c r="C48">
        <v>11.516999999999999</v>
      </c>
      <c r="D48">
        <v>41.128</v>
      </c>
      <c r="E48">
        <v>0</v>
      </c>
      <c r="F48" s="1">
        <v>1000</v>
      </c>
      <c r="G48" t="s">
        <v>50</v>
      </c>
      <c r="H48" s="1">
        <v>12262</v>
      </c>
      <c r="I48">
        <v>10.282</v>
      </c>
      <c r="J48">
        <v>38.200000000000003</v>
      </c>
      <c r="K48">
        <v>0</v>
      </c>
      <c r="L48">
        <v>631</v>
      </c>
      <c r="M48" t="s">
        <v>50</v>
      </c>
      <c r="N48" s="1">
        <v>11242</v>
      </c>
      <c r="O48">
        <v>12.864000000000001</v>
      </c>
      <c r="P48">
        <v>44.063000000000002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23504</v>
      </c>
      <c r="C49">
        <v>1.3080000000000001</v>
      </c>
      <c r="D49">
        <v>1.8939999999999999</v>
      </c>
      <c r="E49">
        <v>0</v>
      </c>
      <c r="F49">
        <v>36</v>
      </c>
      <c r="G49" t="s">
        <v>51</v>
      </c>
      <c r="H49" s="1">
        <v>12262</v>
      </c>
      <c r="I49">
        <v>1.36</v>
      </c>
      <c r="J49">
        <v>1.9359999999999999</v>
      </c>
      <c r="K49">
        <v>0</v>
      </c>
      <c r="L49">
        <v>36</v>
      </c>
      <c r="M49" t="s">
        <v>51</v>
      </c>
      <c r="N49" s="1">
        <v>11242</v>
      </c>
      <c r="O49">
        <v>1.252</v>
      </c>
      <c r="P49">
        <v>1.8440000000000001</v>
      </c>
      <c r="Q49">
        <v>0</v>
      </c>
      <c r="R49">
        <v>23</v>
      </c>
    </row>
    <row r="50" spans="1:18" x14ac:dyDescent="0.25">
      <c r="A50" t="s">
        <v>52</v>
      </c>
      <c r="B50" s="1">
        <v>23504</v>
      </c>
      <c r="C50">
        <v>0.375</v>
      </c>
      <c r="D50">
        <v>0.48399999999999999</v>
      </c>
      <c r="E50">
        <v>0</v>
      </c>
      <c r="F50">
        <v>1</v>
      </c>
      <c r="G50" t="s">
        <v>52</v>
      </c>
      <c r="H50" s="1">
        <v>12262</v>
      </c>
      <c r="I50">
        <v>0.36199999999999999</v>
      </c>
      <c r="J50">
        <v>0.48099999999999998</v>
      </c>
      <c r="K50">
        <v>0</v>
      </c>
      <c r="L50">
        <v>1</v>
      </c>
      <c r="M50" t="s">
        <v>52</v>
      </c>
      <c r="N50" s="1">
        <v>11242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23504</v>
      </c>
      <c r="C51" s="2">
        <v>2359549</v>
      </c>
      <c r="D51" s="2">
        <v>6873.4809999999998</v>
      </c>
      <c r="E51" s="2">
        <v>2351113</v>
      </c>
      <c r="F51" s="2">
        <v>2400056</v>
      </c>
      <c r="G51" t="s">
        <v>53</v>
      </c>
      <c r="H51" s="1">
        <v>12262</v>
      </c>
      <c r="I51" s="2">
        <v>2359458</v>
      </c>
      <c r="J51" s="2">
        <v>6887.8220000000001</v>
      </c>
      <c r="K51" s="2">
        <v>2351113</v>
      </c>
      <c r="L51" s="2">
        <v>2400056</v>
      </c>
      <c r="M51" t="s">
        <v>53</v>
      </c>
      <c r="N51" s="1">
        <v>11242</v>
      </c>
      <c r="O51" s="2">
        <v>2359648</v>
      </c>
      <c r="P51" s="2">
        <v>6856.7349999999997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23504</v>
      </c>
      <c r="C52" s="2">
        <v>614681.30000000005</v>
      </c>
      <c r="D52" s="2">
        <v>11377.04</v>
      </c>
      <c r="E52" s="2">
        <v>580446.1</v>
      </c>
      <c r="F52" s="2">
        <v>637819.69999999995</v>
      </c>
      <c r="G52" t="s">
        <v>54</v>
      </c>
      <c r="H52" s="1">
        <v>12262</v>
      </c>
      <c r="I52" s="2">
        <v>615023.80000000005</v>
      </c>
      <c r="J52" s="2">
        <v>11023.52</v>
      </c>
      <c r="K52" s="2">
        <v>580446.1</v>
      </c>
      <c r="L52" s="2">
        <v>637819.69999999995</v>
      </c>
      <c r="M52" t="s">
        <v>54</v>
      </c>
      <c r="N52" s="1">
        <v>11242</v>
      </c>
      <c r="O52" s="2">
        <v>614307.80000000005</v>
      </c>
      <c r="P52" s="2">
        <v>11739.61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23504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12262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11242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23504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12262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11242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23504</v>
      </c>
      <c r="C55">
        <v>0.25900000000000001</v>
      </c>
      <c r="D55">
        <v>0.438</v>
      </c>
      <c r="E55">
        <v>0</v>
      </c>
      <c r="F55">
        <v>1</v>
      </c>
      <c r="G55" t="s">
        <v>58</v>
      </c>
      <c r="H55" s="1">
        <v>12262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11242</v>
      </c>
      <c r="O55">
        <v>0.245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23504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12262</v>
      </c>
      <c r="I56">
        <v>0.187</v>
      </c>
      <c r="J56">
        <v>0.39</v>
      </c>
      <c r="K56">
        <v>0</v>
      </c>
      <c r="L56">
        <v>1</v>
      </c>
      <c r="M56" t="s">
        <v>59</v>
      </c>
      <c r="N56" s="1">
        <v>11242</v>
      </c>
      <c r="O56">
        <v>0.20699999999999999</v>
      </c>
      <c r="P56">
        <v>0.40500000000000003</v>
      </c>
      <c r="Q56">
        <v>0</v>
      </c>
      <c r="R56">
        <v>1</v>
      </c>
    </row>
    <row r="57" spans="1:18" x14ac:dyDescent="0.25">
      <c r="A57" t="s">
        <v>60</v>
      </c>
      <c r="B57" s="1">
        <v>23504</v>
      </c>
      <c r="C57">
        <v>0.54500000000000004</v>
      </c>
      <c r="D57">
        <v>0.498</v>
      </c>
      <c r="E57">
        <v>0</v>
      </c>
      <c r="F57">
        <v>1</v>
      </c>
      <c r="G57" t="s">
        <v>60</v>
      </c>
      <c r="H57" s="1">
        <v>12262</v>
      </c>
      <c r="I57">
        <v>0.54200000000000004</v>
      </c>
      <c r="J57">
        <v>0.498</v>
      </c>
      <c r="K57">
        <v>0</v>
      </c>
      <c r="L57">
        <v>1</v>
      </c>
      <c r="M57" t="s">
        <v>60</v>
      </c>
      <c r="N57" s="1">
        <v>11242</v>
      </c>
      <c r="O57">
        <v>0.54900000000000004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23504</v>
      </c>
      <c r="C58" s="2">
        <v>2019.3</v>
      </c>
      <c r="D58">
        <v>1.9830000000000001</v>
      </c>
      <c r="E58" s="1">
        <v>2016</v>
      </c>
      <c r="F58" s="1">
        <v>2023</v>
      </c>
      <c r="G58" t="s">
        <v>61</v>
      </c>
      <c r="H58" s="1">
        <v>12262</v>
      </c>
      <c r="I58" s="2">
        <v>2017.652</v>
      </c>
      <c r="J58">
        <v>1.157</v>
      </c>
      <c r="K58" s="1">
        <v>2016</v>
      </c>
      <c r="L58" s="1">
        <v>2020</v>
      </c>
      <c r="M58" t="s">
        <v>61</v>
      </c>
      <c r="N58" s="1">
        <v>11242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23504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12262</v>
      </c>
      <c r="I59">
        <v>9.5000000000000001E-2</v>
      </c>
      <c r="J59">
        <v>0.29399999999999998</v>
      </c>
      <c r="K59">
        <v>0</v>
      </c>
      <c r="L59">
        <v>1</v>
      </c>
      <c r="M59" t="s">
        <v>62</v>
      </c>
      <c r="N59" s="1">
        <v>11242</v>
      </c>
      <c r="O59">
        <v>0.105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23504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12262</v>
      </c>
      <c r="I60">
        <v>2.0000000000000001E-4</v>
      </c>
      <c r="J60">
        <v>1.6E-2</v>
      </c>
      <c r="K60">
        <v>0</v>
      </c>
      <c r="L60">
        <v>1</v>
      </c>
      <c r="M60" t="s">
        <v>63</v>
      </c>
      <c r="N60" s="1">
        <v>11242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23504</v>
      </c>
      <c r="C61">
        <v>5.6000000000000001E-2</v>
      </c>
      <c r="D61">
        <v>0.22900000000000001</v>
      </c>
      <c r="E61">
        <v>0</v>
      </c>
      <c r="F61">
        <v>1</v>
      </c>
      <c r="G61" t="s">
        <v>64</v>
      </c>
      <c r="H61" s="1">
        <v>12262</v>
      </c>
      <c r="I61">
        <v>5.3999999999999999E-2</v>
      </c>
      <c r="J61">
        <v>0.22600000000000001</v>
      </c>
      <c r="K61">
        <v>0</v>
      </c>
      <c r="L61">
        <v>1</v>
      </c>
      <c r="M61" t="s">
        <v>64</v>
      </c>
      <c r="N61" s="1">
        <v>11242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23504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12262</v>
      </c>
      <c r="I62">
        <v>0.214</v>
      </c>
      <c r="J62">
        <v>0.41</v>
      </c>
      <c r="K62">
        <v>0</v>
      </c>
      <c r="L62">
        <v>1</v>
      </c>
      <c r="M62" t="s">
        <v>65</v>
      </c>
      <c r="N62" s="1">
        <v>11242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23504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12262</v>
      </c>
      <c r="I63">
        <v>0.28299999999999997</v>
      </c>
      <c r="J63">
        <v>0.45100000000000001</v>
      </c>
      <c r="K63">
        <v>0</v>
      </c>
      <c r="L63">
        <v>1</v>
      </c>
      <c r="M63" t="s">
        <v>66</v>
      </c>
      <c r="N63" s="1">
        <v>11242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23504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12262</v>
      </c>
      <c r="I64">
        <v>7.3999999999999996E-2</v>
      </c>
      <c r="J64">
        <v>0.26100000000000001</v>
      </c>
      <c r="K64">
        <v>0</v>
      </c>
      <c r="L64">
        <v>1</v>
      </c>
      <c r="M64" t="s">
        <v>67</v>
      </c>
      <c r="N64" s="1">
        <v>11242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23504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12262</v>
      </c>
      <c r="I65">
        <v>0.214</v>
      </c>
      <c r="J65">
        <v>0.41</v>
      </c>
      <c r="K65">
        <v>0</v>
      </c>
      <c r="L65">
        <v>1</v>
      </c>
      <c r="M65" t="s">
        <v>68</v>
      </c>
      <c r="N65" s="1">
        <v>11242</v>
      </c>
      <c r="O65">
        <v>0.20599999999999999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23504</v>
      </c>
      <c r="C66">
        <v>5.8000000000000003E-2</v>
      </c>
      <c r="D66">
        <v>0.23300000000000001</v>
      </c>
      <c r="E66">
        <v>0</v>
      </c>
      <c r="F66">
        <v>1</v>
      </c>
      <c r="G66" t="s">
        <v>69</v>
      </c>
      <c r="H66" s="1">
        <v>12262</v>
      </c>
      <c r="I66">
        <v>6.5000000000000002E-2</v>
      </c>
      <c r="J66">
        <v>0.246</v>
      </c>
      <c r="K66">
        <v>0</v>
      </c>
      <c r="L66">
        <v>1</v>
      </c>
      <c r="M66" t="s">
        <v>69</v>
      </c>
      <c r="N66" s="1">
        <v>11242</v>
      </c>
      <c r="O66">
        <v>0.05</v>
      </c>
      <c r="P66">
        <v>0.219</v>
      </c>
      <c r="Q66">
        <v>0</v>
      </c>
      <c r="R66">
        <v>1</v>
      </c>
    </row>
    <row r="67" spans="1:18" x14ac:dyDescent="0.25">
      <c r="A67" t="s">
        <v>70</v>
      </c>
      <c r="B67" s="1">
        <v>23504</v>
      </c>
      <c r="C67">
        <v>0.17199999999999999</v>
      </c>
      <c r="D67">
        <v>0.378</v>
      </c>
      <c r="E67">
        <v>0</v>
      </c>
      <c r="F67">
        <v>1</v>
      </c>
      <c r="G67" t="s">
        <v>70</v>
      </c>
      <c r="H67" s="1">
        <v>12262</v>
      </c>
      <c r="I67">
        <v>0.17100000000000001</v>
      </c>
      <c r="J67">
        <v>0.376</v>
      </c>
      <c r="K67">
        <v>0</v>
      </c>
      <c r="L67">
        <v>1</v>
      </c>
      <c r="M67" t="s">
        <v>70</v>
      </c>
      <c r="N67" s="1">
        <v>11242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23504</v>
      </c>
      <c r="C68">
        <v>0.36499999999999999</v>
      </c>
      <c r="D68">
        <v>0.48199999999999998</v>
      </c>
      <c r="E68">
        <v>0</v>
      </c>
      <c r="F68">
        <v>1</v>
      </c>
      <c r="G68" t="s">
        <v>71</v>
      </c>
      <c r="H68" s="1">
        <v>12262</v>
      </c>
      <c r="I68">
        <v>0.38800000000000001</v>
      </c>
      <c r="J68">
        <v>0.48699999999999999</v>
      </c>
      <c r="K68">
        <v>0</v>
      </c>
      <c r="L68">
        <v>1</v>
      </c>
      <c r="M68" t="s">
        <v>71</v>
      </c>
      <c r="N68" s="1">
        <v>11242</v>
      </c>
      <c r="O68">
        <v>0.34100000000000003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23504</v>
      </c>
      <c r="C69">
        <v>0.439</v>
      </c>
      <c r="D69">
        <v>0.496</v>
      </c>
      <c r="E69">
        <v>0</v>
      </c>
      <c r="F69">
        <v>1</v>
      </c>
      <c r="G69" t="s">
        <v>72</v>
      </c>
      <c r="H69" s="1">
        <v>12262</v>
      </c>
      <c r="I69">
        <v>0.41799999999999998</v>
      </c>
      <c r="J69">
        <v>0.49299999999999999</v>
      </c>
      <c r="K69">
        <v>0</v>
      </c>
      <c r="L69">
        <v>1</v>
      </c>
      <c r="M69" t="s">
        <v>72</v>
      </c>
      <c r="N69" s="1">
        <v>11242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23504</v>
      </c>
      <c r="C70">
        <v>2.3E-2</v>
      </c>
      <c r="D70">
        <v>0.151</v>
      </c>
      <c r="E70">
        <v>0</v>
      </c>
      <c r="F70">
        <v>1</v>
      </c>
      <c r="G70" t="s">
        <v>73</v>
      </c>
      <c r="H70" s="1">
        <v>12262</v>
      </c>
      <c r="I70">
        <v>2.3E-2</v>
      </c>
      <c r="J70">
        <v>0.151</v>
      </c>
      <c r="K70">
        <v>0</v>
      </c>
      <c r="L70">
        <v>1</v>
      </c>
      <c r="M70" t="s">
        <v>73</v>
      </c>
      <c r="N70" s="1">
        <v>11242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23504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12262</v>
      </c>
      <c r="I71">
        <v>0.107</v>
      </c>
      <c r="J71">
        <v>0.31</v>
      </c>
      <c r="K71">
        <v>0</v>
      </c>
      <c r="L71">
        <v>1</v>
      </c>
      <c r="M71" t="s">
        <v>165</v>
      </c>
      <c r="N71" s="1">
        <v>11242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23504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12262</v>
      </c>
      <c r="I72">
        <v>0.45800000000000002</v>
      </c>
      <c r="J72">
        <v>0.498</v>
      </c>
      <c r="K72">
        <v>0</v>
      </c>
      <c r="L72">
        <v>1</v>
      </c>
      <c r="M72" t="s">
        <v>166</v>
      </c>
      <c r="N72" s="1">
        <v>11242</v>
      </c>
      <c r="O72">
        <v>0.45400000000000001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23504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12262</v>
      </c>
      <c r="I73">
        <v>0.41699999999999998</v>
      </c>
      <c r="J73">
        <v>0.49299999999999999</v>
      </c>
      <c r="K73">
        <v>0</v>
      </c>
      <c r="L73">
        <v>1</v>
      </c>
      <c r="M73" t="s">
        <v>167</v>
      </c>
      <c r="N73" s="1">
        <v>11242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23504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12262</v>
      </c>
      <c r="I74">
        <v>8.9999999999999993E-3</v>
      </c>
      <c r="J74">
        <v>9.1999999999999998E-2</v>
      </c>
      <c r="K74">
        <v>0</v>
      </c>
      <c r="L74">
        <v>1</v>
      </c>
      <c r="M74" t="s">
        <v>168</v>
      </c>
      <c r="N74" s="1">
        <v>11242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23504</v>
      </c>
      <c r="C75">
        <v>8.9999999999999993E-3</v>
      </c>
      <c r="D75">
        <v>9.1999999999999998E-2</v>
      </c>
      <c r="E75">
        <v>0</v>
      </c>
      <c r="F75">
        <v>1</v>
      </c>
      <c r="G75" t="s">
        <v>169</v>
      </c>
      <c r="H75" s="1">
        <v>12262</v>
      </c>
      <c r="I75">
        <v>8.0000000000000002E-3</v>
      </c>
      <c r="J75">
        <v>8.6999999999999994E-2</v>
      </c>
      <c r="K75">
        <v>0</v>
      </c>
      <c r="L75">
        <v>1</v>
      </c>
      <c r="M75" t="s">
        <v>169</v>
      </c>
      <c r="N75" s="1">
        <v>11242</v>
      </c>
      <c r="O75">
        <v>8.9999999999999993E-3</v>
      </c>
      <c r="P75">
        <v>9.7000000000000003E-2</v>
      </c>
      <c r="Q75">
        <v>0</v>
      </c>
      <c r="R75">
        <v>1</v>
      </c>
    </row>
    <row r="76" spans="1:18" x14ac:dyDescent="0.25">
      <c r="A76" t="s">
        <v>170</v>
      </c>
      <c r="B76" s="1">
        <v>23504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12262</v>
      </c>
      <c r="I76">
        <v>1E-3</v>
      </c>
      <c r="J76">
        <v>3.5000000000000003E-2</v>
      </c>
      <c r="K76">
        <v>0</v>
      </c>
      <c r="L76">
        <v>1</v>
      </c>
      <c r="M76" t="s">
        <v>170</v>
      </c>
      <c r="N76" s="1">
        <v>11242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23504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12262</v>
      </c>
      <c r="I77">
        <v>0.22700000000000001</v>
      </c>
      <c r="J77">
        <v>0.41899999999999998</v>
      </c>
      <c r="K77">
        <v>0</v>
      </c>
      <c r="L77">
        <v>1</v>
      </c>
      <c r="M77" t="s">
        <v>79</v>
      </c>
      <c r="N77" s="1">
        <v>11242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23504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12262</v>
      </c>
      <c r="I78">
        <v>0.01</v>
      </c>
      <c r="J78">
        <v>9.8000000000000004E-2</v>
      </c>
      <c r="K78">
        <v>0</v>
      </c>
      <c r="L78">
        <v>1</v>
      </c>
      <c r="M78" t="s">
        <v>80</v>
      </c>
      <c r="N78" s="1">
        <v>11242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23504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12262</v>
      </c>
      <c r="I79">
        <v>1E-3</v>
      </c>
      <c r="J79">
        <v>2.7E-2</v>
      </c>
      <c r="K79">
        <v>0</v>
      </c>
      <c r="L79">
        <v>1</v>
      </c>
      <c r="M79" t="s">
        <v>81</v>
      </c>
      <c r="N79" s="1">
        <v>11242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23504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12262</v>
      </c>
      <c r="I80">
        <v>7.4999999999999997E-2</v>
      </c>
      <c r="J80">
        <v>0.26400000000000001</v>
      </c>
      <c r="K80">
        <v>0</v>
      </c>
      <c r="L80">
        <v>1</v>
      </c>
      <c r="M80" t="s">
        <v>82</v>
      </c>
      <c r="N80" s="1">
        <v>11242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23504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12262</v>
      </c>
      <c r="I81">
        <v>0.27100000000000002</v>
      </c>
      <c r="J81">
        <v>0.44400000000000001</v>
      </c>
      <c r="K81">
        <v>0</v>
      </c>
      <c r="L81">
        <v>1</v>
      </c>
      <c r="M81" t="s">
        <v>83</v>
      </c>
      <c r="N81" s="1">
        <v>11242</v>
      </c>
      <c r="O81">
        <v>0.30099999999999999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23504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12262</v>
      </c>
      <c r="I82">
        <v>8.0000000000000002E-3</v>
      </c>
      <c r="J82">
        <v>8.6999999999999994E-2</v>
      </c>
      <c r="K82">
        <v>0</v>
      </c>
      <c r="L82">
        <v>1</v>
      </c>
      <c r="M82" t="s">
        <v>84</v>
      </c>
      <c r="N82" s="1">
        <v>11242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23504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12262</v>
      </c>
      <c r="I83">
        <v>0.40899999999999997</v>
      </c>
      <c r="J83">
        <v>0.49199999999999999</v>
      </c>
      <c r="K83">
        <v>0</v>
      </c>
      <c r="L83">
        <v>1</v>
      </c>
      <c r="M83" t="s">
        <v>85</v>
      </c>
      <c r="N83" s="1">
        <v>11242</v>
      </c>
      <c r="O83">
        <v>0.40600000000000003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19915</v>
      </c>
      <c r="C3">
        <v>1.17</v>
      </c>
      <c r="D3">
        <v>0.41299999999999998</v>
      </c>
      <c r="E3">
        <v>1</v>
      </c>
      <c r="F3">
        <v>4</v>
      </c>
      <c r="G3" t="s">
        <v>10</v>
      </c>
      <c r="H3" s="1">
        <v>10578</v>
      </c>
      <c r="I3">
        <v>1.073</v>
      </c>
      <c r="J3">
        <v>0.26500000000000001</v>
      </c>
      <c r="K3">
        <v>1</v>
      </c>
      <c r="L3">
        <v>3</v>
      </c>
      <c r="M3" t="s">
        <v>10</v>
      </c>
      <c r="N3" s="1">
        <v>9337</v>
      </c>
      <c r="O3">
        <v>1.2789999999999999</v>
      </c>
      <c r="P3">
        <v>0.51100000000000001</v>
      </c>
      <c r="Q3">
        <v>1</v>
      </c>
      <c r="R3">
        <v>4</v>
      </c>
    </row>
    <row r="4" spans="1:18" x14ac:dyDescent="0.25">
      <c r="A4" t="s">
        <v>11</v>
      </c>
      <c r="B4" s="1">
        <v>19915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9337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19915</v>
      </c>
      <c r="C5">
        <v>0.40600000000000003</v>
      </c>
      <c r="D5">
        <v>0.49099999999999999</v>
      </c>
      <c r="E5">
        <v>0</v>
      </c>
      <c r="F5">
        <v>1</v>
      </c>
      <c r="G5" t="s">
        <v>12</v>
      </c>
      <c r="H5" s="1">
        <v>10578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9337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9337</v>
      </c>
      <c r="C6">
        <v>295.142</v>
      </c>
      <c r="D6">
        <v>549.64099999999996</v>
      </c>
      <c r="E6">
        <v>0</v>
      </c>
      <c r="F6" s="1">
        <v>4021</v>
      </c>
      <c r="H6" s="1"/>
      <c r="M6" t="s">
        <v>36</v>
      </c>
      <c r="N6" s="1">
        <v>9337</v>
      </c>
      <c r="O6">
        <v>295.142</v>
      </c>
      <c r="P6">
        <v>549.64099999999996</v>
      </c>
      <c r="Q6">
        <v>0</v>
      </c>
      <c r="R6" s="1">
        <v>4021</v>
      </c>
    </row>
    <row r="7" spans="1:18" x14ac:dyDescent="0.25">
      <c r="A7" t="s">
        <v>13</v>
      </c>
      <c r="B7" s="1">
        <v>19915</v>
      </c>
      <c r="C7">
        <v>2.4020000000000001</v>
      </c>
      <c r="D7">
        <v>0.98799999999999999</v>
      </c>
      <c r="E7">
        <v>0</v>
      </c>
      <c r="F7">
        <v>17</v>
      </c>
      <c r="G7" t="s">
        <v>13</v>
      </c>
      <c r="H7" s="1">
        <v>10578</v>
      </c>
      <c r="I7">
        <v>2.363</v>
      </c>
      <c r="J7">
        <v>0.95399999999999996</v>
      </c>
      <c r="K7">
        <v>0</v>
      </c>
      <c r="L7">
        <v>17</v>
      </c>
      <c r="M7" t="s">
        <v>13</v>
      </c>
      <c r="N7" s="1">
        <v>9337</v>
      </c>
      <c r="O7">
        <v>2.4460000000000002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19915</v>
      </c>
      <c r="C8">
        <v>0.38400000000000001</v>
      </c>
      <c r="D8">
        <v>0.52500000000000002</v>
      </c>
      <c r="E8">
        <v>0</v>
      </c>
      <c r="F8">
        <v>5</v>
      </c>
      <c r="G8" t="s">
        <v>14</v>
      </c>
      <c r="H8" s="1">
        <v>10578</v>
      </c>
      <c r="I8">
        <v>0.38100000000000001</v>
      </c>
      <c r="J8">
        <v>0.51900000000000002</v>
      </c>
      <c r="K8">
        <v>0</v>
      </c>
      <c r="L8">
        <v>5</v>
      </c>
      <c r="M8" t="s">
        <v>14</v>
      </c>
      <c r="N8" s="1">
        <v>9337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19915</v>
      </c>
      <c r="C9">
        <v>3.8149999999999999</v>
      </c>
      <c r="D9">
        <v>1.276</v>
      </c>
      <c r="E9">
        <v>0</v>
      </c>
      <c r="F9">
        <v>25</v>
      </c>
      <c r="G9" t="s">
        <v>15</v>
      </c>
      <c r="H9" s="1">
        <v>10578</v>
      </c>
      <c r="I9">
        <v>3.7719999999999998</v>
      </c>
      <c r="J9">
        <v>1.236</v>
      </c>
      <c r="K9">
        <v>0</v>
      </c>
      <c r="L9">
        <v>18</v>
      </c>
      <c r="M9" t="s">
        <v>15</v>
      </c>
      <c r="N9" s="1">
        <v>9337</v>
      </c>
      <c r="O9">
        <v>3.8639999999999999</v>
      </c>
      <c r="P9">
        <v>1.3169999999999999</v>
      </c>
      <c r="Q9">
        <v>0</v>
      </c>
      <c r="R9">
        <v>25</v>
      </c>
    </row>
    <row r="10" spans="1:18" x14ac:dyDescent="0.25">
      <c r="A10" t="s">
        <v>16</v>
      </c>
      <c r="B10" s="1">
        <v>19915</v>
      </c>
      <c r="C10">
        <v>41.134</v>
      </c>
      <c r="D10">
        <v>55.743000000000002</v>
      </c>
      <c r="E10">
        <v>0</v>
      </c>
      <c r="F10">
        <v>739</v>
      </c>
      <c r="G10" t="s">
        <v>16</v>
      </c>
      <c r="H10" s="1">
        <v>10578</v>
      </c>
      <c r="I10">
        <v>51.408999999999999</v>
      </c>
      <c r="J10">
        <v>59.311</v>
      </c>
      <c r="K10">
        <v>0</v>
      </c>
      <c r="L10">
        <v>739</v>
      </c>
      <c r="M10" t="s">
        <v>16</v>
      </c>
      <c r="N10" s="1">
        <v>9337</v>
      </c>
      <c r="O10">
        <v>29.494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19915</v>
      </c>
      <c r="C11" s="2">
        <v>1881.6489999999999</v>
      </c>
      <c r="D11">
        <v>914.43700000000001</v>
      </c>
      <c r="E11">
        <v>220</v>
      </c>
      <c r="F11" s="1">
        <v>17408</v>
      </c>
      <c r="G11" t="s">
        <v>163</v>
      </c>
      <c r="H11" s="1">
        <v>10578</v>
      </c>
      <c r="I11" s="2">
        <v>1856.4469999999999</v>
      </c>
      <c r="J11">
        <v>883.23500000000001</v>
      </c>
      <c r="K11">
        <v>420</v>
      </c>
      <c r="L11" s="1">
        <v>17408</v>
      </c>
      <c r="M11" t="s">
        <v>163</v>
      </c>
      <c r="N11" s="1">
        <v>9337</v>
      </c>
      <c r="O11" s="2">
        <v>1910.202</v>
      </c>
      <c r="P11">
        <v>947.78399999999999</v>
      </c>
      <c r="Q11">
        <v>220</v>
      </c>
      <c r="R11" s="1">
        <v>16703</v>
      </c>
    </row>
    <row r="12" spans="1:18" x14ac:dyDescent="0.25">
      <c r="A12" t="s">
        <v>17</v>
      </c>
      <c r="B12" s="1">
        <v>19915</v>
      </c>
      <c r="C12">
        <v>331.666</v>
      </c>
      <c r="D12">
        <v>231.548</v>
      </c>
      <c r="E12">
        <v>0</v>
      </c>
      <c r="F12" s="1">
        <v>4444</v>
      </c>
      <c r="G12" t="s">
        <v>17</v>
      </c>
      <c r="H12" s="1">
        <v>10578</v>
      </c>
      <c r="I12">
        <v>331.94</v>
      </c>
      <c r="J12">
        <v>230.23099999999999</v>
      </c>
      <c r="K12">
        <v>0</v>
      </c>
      <c r="L12" s="1">
        <v>4444</v>
      </c>
      <c r="M12" t="s">
        <v>17</v>
      </c>
      <c r="N12" s="1">
        <v>9337</v>
      </c>
      <c r="O12">
        <v>331.35500000000002</v>
      </c>
      <c r="P12">
        <v>233.042</v>
      </c>
      <c r="Q12">
        <v>0</v>
      </c>
      <c r="R12" s="1">
        <v>3200</v>
      </c>
    </row>
    <row r="13" spans="1:18" x14ac:dyDescent="0.25">
      <c r="A13" t="s">
        <v>19</v>
      </c>
      <c r="B13" s="1">
        <v>19915</v>
      </c>
      <c r="C13" s="2">
        <v>1291549</v>
      </c>
      <c r="D13" s="2">
        <v>1055709</v>
      </c>
      <c r="E13" s="2">
        <v>168375.1</v>
      </c>
      <c r="F13" s="2">
        <v>23293838</v>
      </c>
      <c r="G13" t="s">
        <v>19</v>
      </c>
      <c r="H13" s="1">
        <v>10578</v>
      </c>
      <c r="I13" s="2">
        <v>1215053</v>
      </c>
      <c r="J13" s="2">
        <v>1006619</v>
      </c>
      <c r="K13" s="2">
        <v>168375.1</v>
      </c>
      <c r="L13" s="2">
        <v>23293838</v>
      </c>
      <c r="M13" t="s">
        <v>19</v>
      </c>
      <c r="N13" s="1">
        <v>9337</v>
      </c>
      <c r="O13" s="2">
        <v>1378213</v>
      </c>
      <c r="P13" s="2">
        <v>1102360</v>
      </c>
      <c r="Q13" s="2">
        <v>322529.7</v>
      </c>
      <c r="R13" s="2">
        <v>22166108</v>
      </c>
    </row>
    <row r="14" spans="1:18" x14ac:dyDescent="0.25">
      <c r="A14" t="s">
        <v>20</v>
      </c>
      <c r="B14" s="1">
        <v>19915</v>
      </c>
      <c r="C14" s="2">
        <v>1279360</v>
      </c>
      <c r="D14" s="2">
        <v>981225.3</v>
      </c>
      <c r="E14" s="2">
        <v>180401.9</v>
      </c>
      <c r="F14" s="2">
        <v>22166108</v>
      </c>
      <c r="G14" t="s">
        <v>20</v>
      </c>
      <c r="H14" s="1">
        <v>10578</v>
      </c>
      <c r="I14" s="2">
        <v>1189751</v>
      </c>
      <c r="J14" s="2">
        <v>926722.5</v>
      </c>
      <c r="K14" s="2">
        <v>180401.9</v>
      </c>
      <c r="L14" s="2">
        <v>21058570</v>
      </c>
      <c r="M14" t="s">
        <v>20</v>
      </c>
      <c r="N14" s="1">
        <v>9337</v>
      </c>
      <c r="O14" s="2">
        <v>1380878</v>
      </c>
      <c r="P14" s="2">
        <v>1030200</v>
      </c>
      <c r="Q14" s="2">
        <v>310013.3</v>
      </c>
      <c r="R14" s="2">
        <v>22166108</v>
      </c>
    </row>
    <row r="15" spans="1:18" x14ac:dyDescent="0.25">
      <c r="A15" t="s">
        <v>190</v>
      </c>
      <c r="B15" s="1">
        <v>19915</v>
      </c>
      <c r="C15" s="2">
        <v>9764.0740000000005</v>
      </c>
      <c r="D15" s="2">
        <v>125143.1</v>
      </c>
      <c r="E15" s="2">
        <v>-2010000</v>
      </c>
      <c r="F15" s="2">
        <v>6900000</v>
      </c>
      <c r="G15" t="s">
        <v>190</v>
      </c>
      <c r="H15" s="1">
        <v>10578</v>
      </c>
      <c r="I15" s="2">
        <v>20807.72</v>
      </c>
      <c r="J15" s="2">
        <v>96865.89</v>
      </c>
      <c r="K15" s="1">
        <v>-1850000</v>
      </c>
      <c r="L15" s="1">
        <v>2950000</v>
      </c>
      <c r="M15" t="s">
        <v>190</v>
      </c>
      <c r="N15" s="1">
        <v>9337</v>
      </c>
      <c r="O15" s="2">
        <v>-2747.4029999999998</v>
      </c>
      <c r="P15" s="2">
        <v>149933.29999999999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19915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10578</v>
      </c>
      <c r="I16">
        <v>2.5000000000000001E-2</v>
      </c>
      <c r="J16">
        <v>0.157</v>
      </c>
      <c r="K16">
        <v>0</v>
      </c>
      <c r="L16">
        <v>1</v>
      </c>
      <c r="M16" t="s">
        <v>21</v>
      </c>
      <c r="N16" s="1">
        <v>9337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19915</v>
      </c>
      <c r="C17">
        <v>4.4999999999999998E-2</v>
      </c>
      <c r="D17">
        <v>0.20799999999999999</v>
      </c>
      <c r="E17">
        <v>0</v>
      </c>
      <c r="F17">
        <v>1</v>
      </c>
      <c r="G17" t="s">
        <v>22</v>
      </c>
      <c r="H17" s="1">
        <v>10578</v>
      </c>
      <c r="I17">
        <v>4.2999999999999997E-2</v>
      </c>
      <c r="J17">
        <v>0.20300000000000001</v>
      </c>
      <c r="K17">
        <v>0</v>
      </c>
      <c r="L17">
        <v>1</v>
      </c>
      <c r="M17" t="s">
        <v>22</v>
      </c>
      <c r="N17" s="1">
        <v>9337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19915</v>
      </c>
      <c r="C18">
        <v>8.9999999999999993E-3</v>
      </c>
      <c r="D18">
        <v>9.2999999999999999E-2</v>
      </c>
      <c r="E18">
        <v>0</v>
      </c>
      <c r="F18">
        <v>1</v>
      </c>
      <c r="G18" t="s">
        <v>23</v>
      </c>
      <c r="H18" s="1">
        <v>10578</v>
      </c>
      <c r="I18">
        <v>8.0000000000000002E-3</v>
      </c>
      <c r="J18">
        <v>0.09</v>
      </c>
      <c r="K18">
        <v>0</v>
      </c>
      <c r="L18">
        <v>1</v>
      </c>
      <c r="M18" t="s">
        <v>23</v>
      </c>
      <c r="N18" s="1">
        <v>9337</v>
      </c>
      <c r="O18">
        <v>8.9999999999999993E-3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19915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10578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9337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19915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10578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9337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19915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10578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9337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19915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10578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9337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19915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10578</v>
      </c>
      <c r="I23">
        <v>0.92200000000000004</v>
      </c>
      <c r="J23">
        <v>0.26900000000000002</v>
      </c>
      <c r="K23">
        <v>0</v>
      </c>
      <c r="L23">
        <v>1</v>
      </c>
      <c r="M23" t="s">
        <v>28</v>
      </c>
      <c r="N23" s="1">
        <v>9337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19915</v>
      </c>
      <c r="C24">
        <v>1.7999999999999999E-2</v>
      </c>
      <c r="D24">
        <v>0.13500000000000001</v>
      </c>
      <c r="E24">
        <v>0</v>
      </c>
      <c r="F24">
        <v>1</v>
      </c>
      <c r="G24" t="s">
        <v>29</v>
      </c>
      <c r="H24" s="1">
        <v>10578</v>
      </c>
      <c r="I24">
        <v>1.9E-2</v>
      </c>
      <c r="J24">
        <v>0.13600000000000001</v>
      </c>
      <c r="K24">
        <v>0</v>
      </c>
      <c r="L24">
        <v>1</v>
      </c>
      <c r="M24" t="s">
        <v>29</v>
      </c>
      <c r="N24" s="1">
        <v>9337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19915</v>
      </c>
      <c r="C25">
        <v>4.1000000000000002E-2</v>
      </c>
      <c r="D25">
        <v>0.19900000000000001</v>
      </c>
      <c r="E25">
        <v>0</v>
      </c>
      <c r="F25">
        <v>1</v>
      </c>
      <c r="G25" t="s">
        <v>30</v>
      </c>
      <c r="H25" s="1">
        <v>10578</v>
      </c>
      <c r="I25">
        <v>3.6999999999999998E-2</v>
      </c>
      <c r="J25">
        <v>0.188</v>
      </c>
      <c r="K25">
        <v>0</v>
      </c>
      <c r="L25">
        <v>1</v>
      </c>
      <c r="M25" t="s">
        <v>30</v>
      </c>
      <c r="N25" s="1">
        <v>9337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19915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10578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9337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19915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10578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9337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19915</v>
      </c>
      <c r="C28">
        <v>39.856000000000002</v>
      </c>
      <c r="D28">
        <v>22.977</v>
      </c>
      <c r="E28">
        <v>0</v>
      </c>
      <c r="F28">
        <v>123</v>
      </c>
      <c r="G28" t="s">
        <v>33</v>
      </c>
      <c r="H28" s="1">
        <v>10578</v>
      </c>
      <c r="I28">
        <v>38.298000000000002</v>
      </c>
      <c r="J28">
        <v>22.652000000000001</v>
      </c>
      <c r="K28">
        <v>0</v>
      </c>
      <c r="L28">
        <v>112</v>
      </c>
      <c r="M28" t="s">
        <v>33</v>
      </c>
      <c r="N28" s="1">
        <v>9337</v>
      </c>
      <c r="O28">
        <v>41.621000000000002</v>
      </c>
      <c r="P28">
        <v>23.213999999999999</v>
      </c>
      <c r="Q28">
        <v>0</v>
      </c>
      <c r="R28">
        <v>123</v>
      </c>
    </row>
    <row r="29" spans="1:18" x14ac:dyDescent="0.25">
      <c r="A29" t="s">
        <v>34</v>
      </c>
      <c r="B29" s="1">
        <v>19915</v>
      </c>
      <c r="C29">
        <v>2.1160000000000001</v>
      </c>
      <c r="D29">
        <v>1.996</v>
      </c>
      <c r="E29">
        <v>0</v>
      </c>
      <c r="F29">
        <v>15.129</v>
      </c>
      <c r="G29" t="s">
        <v>34</v>
      </c>
      <c r="H29" s="1">
        <v>10578</v>
      </c>
      <c r="I29">
        <v>1.98</v>
      </c>
      <c r="J29">
        <v>1.8939999999999999</v>
      </c>
      <c r="K29">
        <v>0</v>
      </c>
      <c r="L29">
        <v>12.544</v>
      </c>
      <c r="M29" t="s">
        <v>34</v>
      </c>
      <c r="N29" s="1">
        <v>9337</v>
      </c>
      <c r="O29">
        <v>2.2709999999999999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19915</v>
      </c>
      <c r="C30">
        <v>5.173</v>
      </c>
      <c r="D30">
        <v>12.856</v>
      </c>
      <c r="E30">
        <v>0</v>
      </c>
      <c r="F30">
        <v>94</v>
      </c>
      <c r="G30" t="s">
        <v>35</v>
      </c>
      <c r="H30" s="1">
        <v>10578</v>
      </c>
      <c r="I30">
        <v>4.883</v>
      </c>
      <c r="J30">
        <v>12.48</v>
      </c>
      <c r="K30">
        <v>0</v>
      </c>
      <c r="L30">
        <v>88</v>
      </c>
      <c r="M30" t="s">
        <v>35</v>
      </c>
      <c r="N30" s="1">
        <v>9337</v>
      </c>
      <c r="O30">
        <v>5.5010000000000003</v>
      </c>
      <c r="P30">
        <v>13.263</v>
      </c>
      <c r="Q30">
        <v>0</v>
      </c>
      <c r="R30">
        <v>94</v>
      </c>
    </row>
    <row r="31" spans="1:18" x14ac:dyDescent="0.25">
      <c r="A31" t="s">
        <v>18</v>
      </c>
      <c r="B31" s="1">
        <v>19915</v>
      </c>
      <c r="C31" s="2">
        <v>2103.6</v>
      </c>
      <c r="D31" s="2">
        <v>1115.6600000000001</v>
      </c>
      <c r="E31">
        <v>220</v>
      </c>
      <c r="F31" s="1">
        <v>23350</v>
      </c>
      <c r="G31" t="s">
        <v>18</v>
      </c>
      <c r="H31" s="1">
        <v>10578</v>
      </c>
      <c r="I31" s="2">
        <v>2074.1489999999999</v>
      </c>
      <c r="J31" s="2">
        <v>1081.2339999999999</v>
      </c>
      <c r="K31">
        <v>496</v>
      </c>
      <c r="L31" s="1">
        <v>23350</v>
      </c>
      <c r="M31" t="s">
        <v>18</v>
      </c>
      <c r="N31" s="1">
        <v>9337</v>
      </c>
      <c r="O31" s="2">
        <v>2136.9659999999999</v>
      </c>
      <c r="P31" s="2">
        <v>1152.57</v>
      </c>
      <c r="Q31">
        <v>220</v>
      </c>
      <c r="R31" s="1">
        <v>18919</v>
      </c>
    </row>
    <row r="32" spans="1:18" x14ac:dyDescent="0.25">
      <c r="A32" t="s">
        <v>37</v>
      </c>
      <c r="B32" s="1">
        <v>19915</v>
      </c>
      <c r="C32">
        <v>0.88700000000000001</v>
      </c>
      <c r="D32">
        <v>3.5270000000000001</v>
      </c>
      <c r="E32">
        <v>2.1000000000000001E-2</v>
      </c>
      <c r="F32">
        <v>128.91800000000001</v>
      </c>
      <c r="G32" t="s">
        <v>37</v>
      </c>
      <c r="H32" s="1">
        <v>10578</v>
      </c>
      <c r="I32">
        <v>0.86099999999999999</v>
      </c>
      <c r="J32">
        <v>3.4289999999999998</v>
      </c>
      <c r="K32">
        <v>2.9000000000000001E-2</v>
      </c>
      <c r="L32">
        <v>128.91800000000001</v>
      </c>
      <c r="M32" t="s">
        <v>37</v>
      </c>
      <c r="N32" s="1">
        <v>9337</v>
      </c>
      <c r="O32">
        <v>0.91700000000000004</v>
      </c>
      <c r="P32">
        <v>3.6349999999999998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19915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10578</v>
      </c>
      <c r="I33">
        <v>2.6120000000000001</v>
      </c>
      <c r="J33">
        <v>2.669</v>
      </c>
      <c r="K33">
        <v>0</v>
      </c>
      <c r="L33">
        <v>13.552</v>
      </c>
      <c r="M33" t="s">
        <v>164</v>
      </c>
      <c r="N33" s="1">
        <v>9337</v>
      </c>
      <c r="O33">
        <v>2.4329999999999998</v>
      </c>
      <c r="P33">
        <v>2.54</v>
      </c>
      <c r="Q33">
        <v>0</v>
      </c>
      <c r="R33">
        <v>13.477</v>
      </c>
    </row>
    <row r="34" spans="1:18" x14ac:dyDescent="0.25">
      <c r="A34" t="s">
        <v>39</v>
      </c>
      <c r="B34" s="1">
        <v>19915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10578</v>
      </c>
      <c r="I34">
        <v>0.52800000000000002</v>
      </c>
      <c r="J34">
        <v>0.32400000000000001</v>
      </c>
      <c r="K34">
        <v>0</v>
      </c>
      <c r="L34">
        <v>3.302</v>
      </c>
      <c r="M34" t="s">
        <v>39</v>
      </c>
      <c r="N34" s="1">
        <v>9337</v>
      </c>
      <c r="O34">
        <v>0.52500000000000002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19915</v>
      </c>
      <c r="C35">
        <v>5.15</v>
      </c>
      <c r="D35">
        <v>4.1840000000000002</v>
      </c>
      <c r="E35">
        <v>0.01</v>
      </c>
      <c r="F35">
        <v>20.997</v>
      </c>
      <c r="G35" t="s">
        <v>40</v>
      </c>
      <c r="H35" s="1">
        <v>10578</v>
      </c>
      <c r="I35">
        <v>5.0519999999999996</v>
      </c>
      <c r="J35">
        <v>4.1040000000000001</v>
      </c>
      <c r="K35">
        <v>2.1999999999999999E-2</v>
      </c>
      <c r="L35">
        <v>20.997</v>
      </c>
      <c r="M35" t="s">
        <v>40</v>
      </c>
      <c r="N35" s="1">
        <v>9337</v>
      </c>
      <c r="O35">
        <v>5.2619999999999996</v>
      </c>
      <c r="P35">
        <v>4.2699999999999996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19915</v>
      </c>
      <c r="C36">
        <v>10.901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10578</v>
      </c>
      <c r="I36">
        <v>10.893000000000001</v>
      </c>
      <c r="J36">
        <v>5.593</v>
      </c>
      <c r="K36">
        <v>1.296</v>
      </c>
      <c r="L36">
        <v>30.003</v>
      </c>
      <c r="M36" t="s">
        <v>41</v>
      </c>
      <c r="N36" s="1">
        <v>9337</v>
      </c>
      <c r="O36">
        <v>10.909000000000001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19915</v>
      </c>
      <c r="C37">
        <v>1.042</v>
      </c>
      <c r="D37">
        <v>0.80900000000000005</v>
      </c>
      <c r="E37">
        <v>1.6E-2</v>
      </c>
      <c r="F37">
        <v>7.4530000000000003</v>
      </c>
      <c r="G37" t="s">
        <v>173</v>
      </c>
      <c r="H37" s="1">
        <v>10578</v>
      </c>
      <c r="I37">
        <v>1.0229999999999999</v>
      </c>
      <c r="J37">
        <v>0.77400000000000002</v>
      </c>
      <c r="K37">
        <v>2.5999999999999999E-2</v>
      </c>
      <c r="L37">
        <v>7.1159999999999997</v>
      </c>
      <c r="M37" t="s">
        <v>173</v>
      </c>
      <c r="N37" s="1">
        <v>9337</v>
      </c>
      <c r="O37">
        <v>1.0629999999999999</v>
      </c>
      <c r="P37">
        <v>0.84699999999999998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19915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10578</v>
      </c>
      <c r="I38">
        <v>2.4580000000000002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9337</v>
      </c>
      <c r="O38">
        <v>2.5070000000000001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19915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10578</v>
      </c>
      <c r="I39">
        <v>2.5270000000000001</v>
      </c>
      <c r="J39">
        <v>1.704</v>
      </c>
      <c r="K39">
        <v>4.8000000000000001E-2</v>
      </c>
      <c r="L39">
        <v>17.684000000000001</v>
      </c>
      <c r="M39" t="s">
        <v>175</v>
      </c>
      <c r="N39" s="1">
        <v>9337</v>
      </c>
      <c r="O39">
        <v>2.6150000000000002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19915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10578</v>
      </c>
      <c r="I40">
        <v>0.20300000000000001</v>
      </c>
      <c r="J40">
        <v>0.154</v>
      </c>
      <c r="K40">
        <v>0</v>
      </c>
      <c r="L40">
        <v>0.85</v>
      </c>
      <c r="M40" t="s">
        <v>42</v>
      </c>
      <c r="N40" s="1">
        <v>9337</v>
      </c>
      <c r="O40">
        <v>0.215</v>
      </c>
      <c r="P40">
        <v>0.16300000000000001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19915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10578</v>
      </c>
      <c r="I41">
        <v>1.9E-2</v>
      </c>
      <c r="J41">
        <v>3.3000000000000002E-2</v>
      </c>
      <c r="K41">
        <v>0</v>
      </c>
      <c r="L41">
        <v>0.26100000000000001</v>
      </c>
      <c r="M41" t="s">
        <v>43</v>
      </c>
      <c r="N41" s="1">
        <v>9337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19915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10578</v>
      </c>
      <c r="I42">
        <v>0.42899999999999999</v>
      </c>
      <c r="J42">
        <v>0.19800000000000001</v>
      </c>
      <c r="K42">
        <v>2.0000000000000001E-4</v>
      </c>
      <c r="L42">
        <v>0.95699999999999996</v>
      </c>
      <c r="M42" t="s">
        <v>44</v>
      </c>
      <c r="N42" s="1">
        <v>9337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19915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10578</v>
      </c>
      <c r="I43">
        <v>8.2000000000000003E-2</v>
      </c>
      <c r="J43">
        <v>0.111</v>
      </c>
      <c r="K43">
        <v>0</v>
      </c>
      <c r="L43">
        <v>0.69499999999999995</v>
      </c>
      <c r="M43" t="s">
        <v>45</v>
      </c>
      <c r="N43" s="1">
        <v>9337</v>
      </c>
      <c r="O43">
        <v>8.4000000000000005E-2</v>
      </c>
      <c r="P43">
        <v>0.11700000000000001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19915</v>
      </c>
      <c r="C44">
        <v>0.93600000000000005</v>
      </c>
      <c r="D44">
        <v>8.7999999999999995E-2</v>
      </c>
      <c r="E44">
        <v>4.0000000000000002E-4</v>
      </c>
      <c r="F44">
        <v>1</v>
      </c>
      <c r="G44" t="s">
        <v>46</v>
      </c>
      <c r="H44" s="1">
        <v>10578</v>
      </c>
      <c r="I44">
        <v>0.93700000000000006</v>
      </c>
      <c r="J44">
        <v>8.5999999999999993E-2</v>
      </c>
      <c r="K44">
        <v>4.0000000000000002E-4</v>
      </c>
      <c r="L44">
        <v>1</v>
      </c>
      <c r="M44" t="s">
        <v>46</v>
      </c>
      <c r="N44" s="1">
        <v>9337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19915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10578</v>
      </c>
      <c r="I45">
        <v>6.0999999999999999E-2</v>
      </c>
      <c r="J45">
        <v>0.08</v>
      </c>
      <c r="K45">
        <v>0</v>
      </c>
      <c r="L45">
        <v>0.69899999999999995</v>
      </c>
      <c r="M45" t="s">
        <v>47</v>
      </c>
      <c r="N45" s="1">
        <v>9337</v>
      </c>
      <c r="O45">
        <v>6.4000000000000001E-2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19915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10578</v>
      </c>
      <c r="I46">
        <v>0.76800000000000002</v>
      </c>
      <c r="J46">
        <v>0.16700000000000001</v>
      </c>
      <c r="K46">
        <v>4.0000000000000002E-4</v>
      </c>
      <c r="L46">
        <v>1</v>
      </c>
      <c r="M46" t="s">
        <v>48</v>
      </c>
      <c r="N46" s="1">
        <v>9337</v>
      </c>
      <c r="O46">
        <v>0.76200000000000001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19915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10578</v>
      </c>
      <c r="I47">
        <v>0.23100000000000001</v>
      </c>
      <c r="J47">
        <v>0.16600000000000001</v>
      </c>
      <c r="K47">
        <v>0</v>
      </c>
      <c r="L47">
        <v>0.98599999999999999</v>
      </c>
      <c r="M47" t="s">
        <v>49</v>
      </c>
      <c r="N47" s="1">
        <v>9337</v>
      </c>
      <c r="O47">
        <v>0.23599999999999999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19915</v>
      </c>
      <c r="C48">
        <v>23.504999999999999</v>
      </c>
      <c r="D48">
        <v>52.029000000000003</v>
      </c>
      <c r="E48">
        <v>0</v>
      </c>
      <c r="F48">
        <v>667</v>
      </c>
      <c r="G48" t="s">
        <v>50</v>
      </c>
      <c r="H48" s="1">
        <v>10578</v>
      </c>
      <c r="I48">
        <v>22.664000000000001</v>
      </c>
      <c r="J48">
        <v>50.048000000000002</v>
      </c>
      <c r="K48">
        <v>0</v>
      </c>
      <c r="L48">
        <v>667</v>
      </c>
      <c r="M48" t="s">
        <v>50</v>
      </c>
      <c r="N48" s="1">
        <v>9337</v>
      </c>
      <c r="O48">
        <v>24.457999999999998</v>
      </c>
      <c r="P48">
        <v>54.173999999999999</v>
      </c>
      <c r="Q48">
        <v>0</v>
      </c>
      <c r="R48">
        <v>623</v>
      </c>
    </row>
    <row r="49" spans="1:18" x14ac:dyDescent="0.25">
      <c r="A49" t="s">
        <v>51</v>
      </c>
      <c r="B49" s="1">
        <v>19915</v>
      </c>
      <c r="C49">
        <v>2.4E-2</v>
      </c>
      <c r="D49">
        <v>0.154</v>
      </c>
      <c r="E49">
        <v>0</v>
      </c>
      <c r="F49">
        <v>1</v>
      </c>
      <c r="G49" t="s">
        <v>51</v>
      </c>
      <c r="H49" s="1">
        <v>10578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9337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19915</v>
      </c>
      <c r="C50">
        <v>0.45400000000000001</v>
      </c>
      <c r="D50">
        <v>0.498</v>
      </c>
      <c r="E50">
        <v>0</v>
      </c>
      <c r="F50">
        <v>1</v>
      </c>
      <c r="G50" t="s">
        <v>52</v>
      </c>
      <c r="H50" s="1">
        <v>10578</v>
      </c>
      <c r="I50">
        <v>0.42099999999999999</v>
      </c>
      <c r="J50">
        <v>0.49399999999999999</v>
      </c>
      <c r="K50">
        <v>0</v>
      </c>
      <c r="L50">
        <v>1</v>
      </c>
      <c r="M50" t="s">
        <v>52</v>
      </c>
      <c r="N50" s="1">
        <v>9337</v>
      </c>
      <c r="O50">
        <v>0.49099999999999999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19915</v>
      </c>
      <c r="C51" s="2">
        <v>2363533</v>
      </c>
      <c r="D51" s="2">
        <v>7931.2520000000004</v>
      </c>
      <c r="E51" s="2">
        <v>2350907</v>
      </c>
      <c r="F51" s="2">
        <v>2399920</v>
      </c>
      <c r="G51" t="s">
        <v>53</v>
      </c>
      <c r="H51" s="1">
        <v>10578</v>
      </c>
      <c r="I51" s="2">
        <v>2363561</v>
      </c>
      <c r="J51" s="2">
        <v>7779.7730000000001</v>
      </c>
      <c r="K51" s="2">
        <v>2350907</v>
      </c>
      <c r="L51" s="2">
        <v>2399920</v>
      </c>
      <c r="M51" t="s">
        <v>53</v>
      </c>
      <c r="N51" s="1">
        <v>9337</v>
      </c>
      <c r="O51" s="2">
        <v>2363502</v>
      </c>
      <c r="P51" s="2">
        <v>8099.7439999999997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19915</v>
      </c>
      <c r="C52" s="2">
        <v>611464.80000000005</v>
      </c>
      <c r="D52" s="2">
        <v>14765.7</v>
      </c>
      <c r="E52" s="2">
        <v>579824.19999999995</v>
      </c>
      <c r="F52" s="2">
        <v>638667.69999999995</v>
      </c>
      <c r="G52" t="s">
        <v>54</v>
      </c>
      <c r="H52" s="1">
        <v>10578</v>
      </c>
      <c r="I52" s="2">
        <v>611415.19999999995</v>
      </c>
      <c r="J52" s="2">
        <v>14568.25</v>
      </c>
      <c r="K52" s="2">
        <v>579824.19999999995</v>
      </c>
      <c r="L52" s="2">
        <v>638667.69999999995</v>
      </c>
      <c r="M52" t="s">
        <v>54</v>
      </c>
      <c r="N52" s="1">
        <v>9337</v>
      </c>
      <c r="O52" s="2">
        <v>611521</v>
      </c>
      <c r="P52" s="2">
        <v>14986.84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19915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10578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9337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19915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10578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9337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19915</v>
      </c>
      <c r="C55">
        <v>0.44900000000000001</v>
      </c>
      <c r="D55">
        <v>0.497</v>
      </c>
      <c r="E55">
        <v>0</v>
      </c>
      <c r="F55">
        <v>1</v>
      </c>
      <c r="G55" t="s">
        <v>58</v>
      </c>
      <c r="H55" s="1">
        <v>10578</v>
      </c>
      <c r="I55">
        <v>0.45800000000000002</v>
      </c>
      <c r="J55">
        <v>0.498</v>
      </c>
      <c r="K55">
        <v>0</v>
      </c>
      <c r="L55">
        <v>1</v>
      </c>
      <c r="M55" t="s">
        <v>58</v>
      </c>
      <c r="N55" s="1">
        <v>9337</v>
      </c>
      <c r="O55">
        <v>0.438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19915</v>
      </c>
      <c r="C56">
        <v>0.499</v>
      </c>
      <c r="D56">
        <v>0.5</v>
      </c>
      <c r="E56">
        <v>0</v>
      </c>
      <c r="F56">
        <v>1</v>
      </c>
      <c r="G56" t="s">
        <v>59</v>
      </c>
      <c r="H56" s="1">
        <v>10578</v>
      </c>
      <c r="I56">
        <v>0.49299999999999999</v>
      </c>
      <c r="J56">
        <v>0.5</v>
      </c>
      <c r="K56">
        <v>0</v>
      </c>
      <c r="L56">
        <v>1</v>
      </c>
      <c r="M56" t="s">
        <v>59</v>
      </c>
      <c r="N56" s="1">
        <v>9337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19915</v>
      </c>
      <c r="C57">
        <v>5.1999999999999998E-2</v>
      </c>
      <c r="D57">
        <v>0.222</v>
      </c>
      <c r="E57">
        <v>0</v>
      </c>
      <c r="F57">
        <v>1</v>
      </c>
      <c r="G57" t="s">
        <v>60</v>
      </c>
      <c r="H57" s="1">
        <v>10578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9337</v>
      </c>
      <c r="O57">
        <v>5.6000000000000001E-2</v>
      </c>
      <c r="P57">
        <v>0.23</v>
      </c>
      <c r="Q57">
        <v>0</v>
      </c>
      <c r="R57">
        <v>1</v>
      </c>
    </row>
    <row r="58" spans="1:18" x14ac:dyDescent="0.25">
      <c r="A58" t="s">
        <v>61</v>
      </c>
      <c r="B58" s="1">
        <v>19915</v>
      </c>
      <c r="C58" s="2">
        <v>2019.242</v>
      </c>
      <c r="D58">
        <v>2</v>
      </c>
      <c r="E58" s="1">
        <v>2016</v>
      </c>
      <c r="F58" s="1">
        <v>2023</v>
      </c>
      <c r="G58" t="s">
        <v>61</v>
      </c>
      <c r="H58" s="1">
        <v>10578</v>
      </c>
      <c r="I58" s="2">
        <v>2017.633</v>
      </c>
      <c r="J58">
        <v>1.1870000000000001</v>
      </c>
      <c r="K58" s="1">
        <v>2016</v>
      </c>
      <c r="L58" s="1">
        <v>2020</v>
      </c>
      <c r="M58" t="s">
        <v>61</v>
      </c>
      <c r="N58" s="1">
        <v>9337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19915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10578</v>
      </c>
      <c r="I59">
        <v>0.88300000000000001</v>
      </c>
      <c r="J59">
        <v>0.32100000000000001</v>
      </c>
      <c r="K59">
        <v>0</v>
      </c>
      <c r="L59">
        <v>1</v>
      </c>
      <c r="M59" t="s">
        <v>62</v>
      </c>
      <c r="N59" s="1">
        <v>9337</v>
      </c>
      <c r="O59">
        <v>0.878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19915</v>
      </c>
      <c r="C60">
        <v>1.7000000000000001E-2</v>
      </c>
      <c r="D60">
        <v>0.129</v>
      </c>
      <c r="E60">
        <v>0</v>
      </c>
      <c r="F60">
        <v>1</v>
      </c>
      <c r="G60" t="s">
        <v>63</v>
      </c>
      <c r="H60" s="1">
        <v>10578</v>
      </c>
      <c r="I60">
        <v>1.7000000000000001E-2</v>
      </c>
      <c r="J60">
        <v>0.13100000000000001</v>
      </c>
      <c r="K60">
        <v>0</v>
      </c>
      <c r="L60">
        <v>1</v>
      </c>
      <c r="M60" t="s">
        <v>63</v>
      </c>
      <c r="N60" s="1">
        <v>9337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19915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10578</v>
      </c>
      <c r="I61">
        <v>2.0000000000000001E-4</v>
      </c>
      <c r="J61">
        <v>1.4E-2</v>
      </c>
      <c r="K61">
        <v>0</v>
      </c>
      <c r="L61">
        <v>1</v>
      </c>
      <c r="M61" t="s">
        <v>64</v>
      </c>
      <c r="N61" s="1">
        <v>9337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19915</v>
      </c>
      <c r="C62">
        <v>7.0000000000000007E-2</v>
      </c>
      <c r="D62">
        <v>0.254</v>
      </c>
      <c r="E62">
        <v>0</v>
      </c>
      <c r="F62">
        <v>1</v>
      </c>
      <c r="G62" t="s">
        <v>65</v>
      </c>
      <c r="H62" s="1">
        <v>10578</v>
      </c>
      <c r="I62">
        <v>6.8000000000000005E-2</v>
      </c>
      <c r="J62">
        <v>0.251</v>
      </c>
      <c r="K62">
        <v>0</v>
      </c>
      <c r="L62">
        <v>1</v>
      </c>
      <c r="M62" t="s">
        <v>65</v>
      </c>
      <c r="N62" s="1">
        <v>9337</v>
      </c>
      <c r="O62">
        <v>7.1999999999999995E-2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19915</v>
      </c>
      <c r="C63">
        <v>1.7999999999999999E-2</v>
      </c>
      <c r="D63">
        <v>0.13200000000000001</v>
      </c>
      <c r="E63">
        <v>0</v>
      </c>
      <c r="F63">
        <v>1</v>
      </c>
      <c r="G63" t="s">
        <v>66</v>
      </c>
      <c r="H63" s="1">
        <v>10578</v>
      </c>
      <c r="I63">
        <v>1.7000000000000001E-2</v>
      </c>
      <c r="J63">
        <v>0.129</v>
      </c>
      <c r="K63">
        <v>0</v>
      </c>
      <c r="L63">
        <v>1</v>
      </c>
      <c r="M63" t="s">
        <v>66</v>
      </c>
      <c r="N63" s="1">
        <v>9337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19915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10578</v>
      </c>
      <c r="I64">
        <v>1E-3</v>
      </c>
      <c r="J64">
        <v>2.4E-2</v>
      </c>
      <c r="K64">
        <v>0</v>
      </c>
      <c r="L64">
        <v>1</v>
      </c>
      <c r="M64" t="s">
        <v>67</v>
      </c>
      <c r="N64" s="1">
        <v>9337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19915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10578</v>
      </c>
      <c r="I65">
        <v>1.4E-2</v>
      </c>
      <c r="J65">
        <v>0.11700000000000001</v>
      </c>
      <c r="K65">
        <v>0</v>
      </c>
      <c r="L65">
        <v>1</v>
      </c>
      <c r="M65" t="s">
        <v>68</v>
      </c>
      <c r="N65" s="1">
        <v>9337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19915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10578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9337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19915</v>
      </c>
      <c r="C67">
        <v>0.221</v>
      </c>
      <c r="D67">
        <v>0.41499999999999998</v>
      </c>
      <c r="E67">
        <v>0</v>
      </c>
      <c r="F67">
        <v>1</v>
      </c>
      <c r="G67" t="s">
        <v>70</v>
      </c>
      <c r="H67" s="1">
        <v>10578</v>
      </c>
      <c r="I67">
        <v>0.218</v>
      </c>
      <c r="J67">
        <v>0.41299999999999998</v>
      </c>
      <c r="K67">
        <v>0</v>
      </c>
      <c r="L67">
        <v>1</v>
      </c>
      <c r="M67" t="s">
        <v>70</v>
      </c>
      <c r="N67" s="1">
        <v>9337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19915</v>
      </c>
      <c r="C68">
        <v>0.29699999999999999</v>
      </c>
      <c r="D68">
        <v>0.45700000000000002</v>
      </c>
      <c r="E68">
        <v>0</v>
      </c>
      <c r="F68">
        <v>1</v>
      </c>
      <c r="G68" t="s">
        <v>71</v>
      </c>
      <c r="H68" s="1">
        <v>10578</v>
      </c>
      <c r="I68">
        <v>0.314</v>
      </c>
      <c r="J68">
        <v>0.46400000000000002</v>
      </c>
      <c r="K68">
        <v>0</v>
      </c>
      <c r="L68">
        <v>1</v>
      </c>
      <c r="M68" t="s">
        <v>71</v>
      </c>
      <c r="N68" s="1">
        <v>9337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19915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10578</v>
      </c>
      <c r="I69">
        <v>0.39300000000000002</v>
      </c>
      <c r="J69">
        <v>0.48799999999999999</v>
      </c>
      <c r="K69">
        <v>0</v>
      </c>
      <c r="L69">
        <v>1</v>
      </c>
      <c r="M69" t="s">
        <v>72</v>
      </c>
      <c r="N69" s="1">
        <v>9337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19915</v>
      </c>
      <c r="C70">
        <v>7.0000000000000007E-2</v>
      </c>
      <c r="D70">
        <v>0.254</v>
      </c>
      <c r="E70">
        <v>0</v>
      </c>
      <c r="F70">
        <v>1</v>
      </c>
      <c r="G70" t="s">
        <v>73</v>
      </c>
      <c r="H70" s="1">
        <v>10578</v>
      </c>
      <c r="I70">
        <v>7.3999999999999996E-2</v>
      </c>
      <c r="J70">
        <v>0.26300000000000001</v>
      </c>
      <c r="K70">
        <v>0</v>
      </c>
      <c r="L70">
        <v>1</v>
      </c>
      <c r="M70" t="s">
        <v>73</v>
      </c>
      <c r="N70" s="1">
        <v>9337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19915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10578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9337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19915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10578</v>
      </c>
      <c r="I72">
        <v>3.6999999999999998E-2</v>
      </c>
      <c r="J72">
        <v>0.189</v>
      </c>
      <c r="K72">
        <v>0</v>
      </c>
      <c r="L72">
        <v>1</v>
      </c>
      <c r="M72" t="s">
        <v>166</v>
      </c>
      <c r="N72" s="1">
        <v>9337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19915</v>
      </c>
      <c r="C73">
        <v>0.5</v>
      </c>
      <c r="D73">
        <v>0.5</v>
      </c>
      <c r="E73">
        <v>0</v>
      </c>
      <c r="F73">
        <v>1</v>
      </c>
      <c r="G73" t="s">
        <v>167</v>
      </c>
      <c r="H73" s="1">
        <v>10578</v>
      </c>
      <c r="I73">
        <v>0.52900000000000003</v>
      </c>
      <c r="J73">
        <v>0.499</v>
      </c>
      <c r="K73">
        <v>0</v>
      </c>
      <c r="L73">
        <v>1</v>
      </c>
      <c r="M73" t="s">
        <v>167</v>
      </c>
      <c r="N73" s="1">
        <v>9337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19915</v>
      </c>
      <c r="C74">
        <v>0.124</v>
      </c>
      <c r="D74">
        <v>0.32900000000000001</v>
      </c>
      <c r="E74">
        <v>0</v>
      </c>
      <c r="F74">
        <v>1</v>
      </c>
      <c r="G74" t="s">
        <v>168</v>
      </c>
      <c r="H74" s="1">
        <v>10578</v>
      </c>
      <c r="I74">
        <v>0.11899999999999999</v>
      </c>
      <c r="J74">
        <v>0.32300000000000001</v>
      </c>
      <c r="K74">
        <v>0</v>
      </c>
      <c r="L74">
        <v>1</v>
      </c>
      <c r="M74" t="s">
        <v>168</v>
      </c>
      <c r="N74" s="1">
        <v>9337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19915</v>
      </c>
      <c r="C75">
        <v>0.25800000000000001</v>
      </c>
      <c r="D75">
        <v>0.437</v>
      </c>
      <c r="E75">
        <v>0</v>
      </c>
      <c r="F75">
        <v>1</v>
      </c>
      <c r="G75" t="s">
        <v>169</v>
      </c>
      <c r="H75" s="1">
        <v>10578</v>
      </c>
      <c r="I75">
        <v>0.24</v>
      </c>
      <c r="J75">
        <v>0.42699999999999999</v>
      </c>
      <c r="K75">
        <v>0</v>
      </c>
      <c r="L75">
        <v>1</v>
      </c>
      <c r="M75" t="s">
        <v>169</v>
      </c>
      <c r="N75" s="1">
        <v>9337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19915</v>
      </c>
      <c r="C76">
        <v>8.3000000000000004E-2</v>
      </c>
      <c r="D76">
        <v>0.27600000000000002</v>
      </c>
      <c r="E76">
        <v>0</v>
      </c>
      <c r="F76">
        <v>1</v>
      </c>
      <c r="G76" t="s">
        <v>170</v>
      </c>
      <c r="H76" s="1">
        <v>10578</v>
      </c>
      <c r="I76">
        <v>7.0999999999999994E-2</v>
      </c>
      <c r="J76">
        <v>0.25700000000000001</v>
      </c>
      <c r="K76">
        <v>0</v>
      </c>
      <c r="L76">
        <v>1</v>
      </c>
      <c r="M76" t="s">
        <v>170</v>
      </c>
      <c r="N76" s="1">
        <v>9337</v>
      </c>
      <c r="O76">
        <v>9.6000000000000002E-2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19915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10578</v>
      </c>
      <c r="I77">
        <v>3.1E-2</v>
      </c>
      <c r="J77">
        <v>0.17199999999999999</v>
      </c>
      <c r="K77">
        <v>0</v>
      </c>
      <c r="L77">
        <v>1</v>
      </c>
      <c r="M77" t="s">
        <v>79</v>
      </c>
      <c r="N77" s="1">
        <v>9337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19915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10578</v>
      </c>
      <c r="I78">
        <v>1E-3</v>
      </c>
      <c r="J78">
        <v>2.4E-2</v>
      </c>
      <c r="K78">
        <v>0</v>
      </c>
      <c r="L78">
        <v>1</v>
      </c>
      <c r="M78" t="s">
        <v>80</v>
      </c>
      <c r="N78" s="1">
        <v>9337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19915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10578</v>
      </c>
      <c r="I79">
        <v>3.0000000000000001E-3</v>
      </c>
      <c r="J79">
        <v>5.2999999999999999E-2</v>
      </c>
      <c r="K79">
        <v>0</v>
      </c>
      <c r="L79">
        <v>1</v>
      </c>
      <c r="M79" t="s">
        <v>81</v>
      </c>
      <c r="N79" s="1">
        <v>9337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19915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10578</v>
      </c>
      <c r="I80">
        <v>4.0000000000000001E-3</v>
      </c>
      <c r="J80">
        <v>6.4000000000000001E-2</v>
      </c>
      <c r="K80">
        <v>0</v>
      </c>
      <c r="L80">
        <v>1</v>
      </c>
      <c r="M80" t="s">
        <v>82</v>
      </c>
      <c r="N80" s="1">
        <v>9337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19915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10578</v>
      </c>
      <c r="I81">
        <v>0.54500000000000004</v>
      </c>
      <c r="J81">
        <v>0.498</v>
      </c>
      <c r="K81">
        <v>0</v>
      </c>
      <c r="L81">
        <v>1</v>
      </c>
      <c r="M81" t="s">
        <v>83</v>
      </c>
      <c r="N81" s="1">
        <v>9337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19915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10578</v>
      </c>
      <c r="I82">
        <v>6.0000000000000001E-3</v>
      </c>
      <c r="J82">
        <v>7.8E-2</v>
      </c>
      <c r="K82">
        <v>0</v>
      </c>
      <c r="L82">
        <v>1</v>
      </c>
      <c r="M82" t="s">
        <v>84</v>
      </c>
      <c r="N82" s="1">
        <v>9337</v>
      </c>
      <c r="O82">
        <v>0.01</v>
      </c>
      <c r="P82">
        <v>9.8000000000000004E-2</v>
      </c>
      <c r="Q82">
        <v>0</v>
      </c>
      <c r="R82">
        <v>1</v>
      </c>
    </row>
    <row r="83" spans="1:18" x14ac:dyDescent="0.25">
      <c r="A83" t="s">
        <v>85</v>
      </c>
      <c r="B83" s="1">
        <v>19915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10578</v>
      </c>
      <c r="I83">
        <v>0.41099999999999998</v>
      </c>
      <c r="J83">
        <v>0.49199999999999999</v>
      </c>
      <c r="K83">
        <v>0</v>
      </c>
      <c r="L83">
        <v>1</v>
      </c>
      <c r="M83" t="s">
        <v>85</v>
      </c>
      <c r="N83" s="1">
        <v>9337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43419</v>
      </c>
      <c r="C3">
        <v>1.1739999999999999</v>
      </c>
      <c r="D3">
        <v>0.41899999999999998</v>
      </c>
      <c r="E3">
        <v>1</v>
      </c>
      <c r="F3">
        <v>5</v>
      </c>
      <c r="G3" t="s">
        <v>10</v>
      </c>
      <c r="H3" s="1">
        <v>27358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16061</v>
      </c>
      <c r="O3">
        <v>1.048</v>
      </c>
      <c r="P3">
        <v>0.217</v>
      </c>
      <c r="Q3">
        <v>1</v>
      </c>
      <c r="R3">
        <v>3</v>
      </c>
    </row>
    <row r="4" spans="1:18" x14ac:dyDescent="0.25">
      <c r="A4" t="s">
        <v>11</v>
      </c>
      <c r="B4" s="1">
        <v>43419</v>
      </c>
      <c r="C4">
        <v>0.37</v>
      </c>
      <c r="D4">
        <v>0.48299999999999998</v>
      </c>
      <c r="E4">
        <v>0</v>
      </c>
      <c r="F4">
        <v>1</v>
      </c>
      <c r="G4" t="s">
        <v>11</v>
      </c>
      <c r="H4" s="1">
        <v>27358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16061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43419</v>
      </c>
      <c r="C5">
        <v>0.33</v>
      </c>
      <c r="D5">
        <v>0.47</v>
      </c>
      <c r="E5">
        <v>0</v>
      </c>
      <c r="F5">
        <v>1</v>
      </c>
      <c r="G5" t="s">
        <v>12</v>
      </c>
      <c r="H5" s="1">
        <v>27358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16061</v>
      </c>
      <c r="O5">
        <v>0.88900000000000001</v>
      </c>
      <c r="P5">
        <v>0.314</v>
      </c>
      <c r="Q5">
        <v>0</v>
      </c>
      <c r="R5">
        <v>1</v>
      </c>
    </row>
    <row r="6" spans="1:18" x14ac:dyDescent="0.25">
      <c r="A6" t="s">
        <v>36</v>
      </c>
      <c r="B6" s="1">
        <v>16061</v>
      </c>
      <c r="C6">
        <v>296.94900000000001</v>
      </c>
      <c r="D6">
        <v>555.55899999999997</v>
      </c>
      <c r="E6">
        <v>0</v>
      </c>
      <c r="F6" s="1">
        <v>4021</v>
      </c>
      <c r="H6" s="1"/>
      <c r="M6" t="s">
        <v>36</v>
      </c>
      <c r="N6" s="1">
        <v>16061</v>
      </c>
      <c r="O6">
        <v>296.94900000000001</v>
      </c>
      <c r="P6">
        <v>555.55899999999997</v>
      </c>
      <c r="Q6">
        <v>0</v>
      </c>
      <c r="R6" s="1">
        <v>4021</v>
      </c>
    </row>
    <row r="7" spans="1:18" x14ac:dyDescent="0.25">
      <c r="A7" t="s">
        <v>13</v>
      </c>
      <c r="B7" s="1">
        <v>43419</v>
      </c>
      <c r="C7">
        <v>1.903</v>
      </c>
      <c r="D7">
        <v>0.89800000000000002</v>
      </c>
      <c r="E7">
        <v>0</v>
      </c>
      <c r="F7">
        <v>17</v>
      </c>
      <c r="G7" t="s">
        <v>13</v>
      </c>
      <c r="H7" s="1">
        <v>27358</v>
      </c>
      <c r="I7">
        <v>1.891</v>
      </c>
      <c r="J7">
        <v>0.86599999999999999</v>
      </c>
      <c r="K7">
        <v>0</v>
      </c>
      <c r="L7">
        <v>17</v>
      </c>
      <c r="M7" t="s">
        <v>13</v>
      </c>
      <c r="N7" s="1">
        <v>16061</v>
      </c>
      <c r="O7">
        <v>1.9239999999999999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43419</v>
      </c>
      <c r="C8">
        <v>0.26700000000000002</v>
      </c>
      <c r="D8">
        <v>0.46400000000000002</v>
      </c>
      <c r="E8">
        <v>0</v>
      </c>
      <c r="F8">
        <v>5</v>
      </c>
      <c r="G8" t="s">
        <v>14</v>
      </c>
      <c r="H8" s="1">
        <v>27358</v>
      </c>
      <c r="I8">
        <v>0.27300000000000002</v>
      </c>
      <c r="J8">
        <v>0.46400000000000002</v>
      </c>
      <c r="K8">
        <v>0</v>
      </c>
      <c r="L8">
        <v>5</v>
      </c>
      <c r="M8" t="s">
        <v>14</v>
      </c>
      <c r="N8" s="1">
        <v>16061</v>
      </c>
      <c r="O8">
        <v>0.255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43419</v>
      </c>
      <c r="C9">
        <v>2.7130000000000001</v>
      </c>
      <c r="D9">
        <v>1.484</v>
      </c>
      <c r="E9">
        <v>0</v>
      </c>
      <c r="F9">
        <v>25</v>
      </c>
      <c r="G9" t="s">
        <v>15</v>
      </c>
      <c r="H9" s="1">
        <v>27358</v>
      </c>
      <c r="I9">
        <v>2.694</v>
      </c>
      <c r="J9">
        <v>1.427</v>
      </c>
      <c r="K9">
        <v>0</v>
      </c>
      <c r="L9">
        <v>18</v>
      </c>
      <c r="M9" t="s">
        <v>15</v>
      </c>
      <c r="N9" s="1">
        <v>16061</v>
      </c>
      <c r="O9">
        <v>2.7440000000000002</v>
      </c>
      <c r="P9">
        <v>1.575</v>
      </c>
      <c r="Q9">
        <v>0</v>
      </c>
      <c r="R9">
        <v>25</v>
      </c>
    </row>
    <row r="10" spans="1:18" x14ac:dyDescent="0.25">
      <c r="A10" t="s">
        <v>16</v>
      </c>
      <c r="B10" s="1">
        <v>43419</v>
      </c>
      <c r="C10">
        <v>46.415999999999997</v>
      </c>
      <c r="D10">
        <v>60.515999999999998</v>
      </c>
      <c r="E10">
        <v>0</v>
      </c>
      <c r="F10" s="1">
        <v>1402</v>
      </c>
      <c r="G10" t="s">
        <v>16</v>
      </c>
      <c r="H10" s="1">
        <v>27358</v>
      </c>
      <c r="I10">
        <v>51.673000000000002</v>
      </c>
      <c r="J10">
        <v>59.811</v>
      </c>
      <c r="K10">
        <v>0</v>
      </c>
      <c r="L10" s="1">
        <v>1402</v>
      </c>
      <c r="M10" t="s">
        <v>16</v>
      </c>
      <c r="N10" s="1">
        <v>16061</v>
      </c>
      <c r="O10">
        <v>37.462000000000003</v>
      </c>
      <c r="P10">
        <v>60.66</v>
      </c>
      <c r="Q10">
        <v>0</v>
      </c>
      <c r="R10">
        <v>946</v>
      </c>
    </row>
    <row r="11" spans="1:18" x14ac:dyDescent="0.25">
      <c r="A11" t="s">
        <v>163</v>
      </c>
      <c r="B11" s="1">
        <v>43419</v>
      </c>
      <c r="C11" s="2">
        <v>1334.7729999999999</v>
      </c>
      <c r="D11">
        <v>843.44899999999996</v>
      </c>
      <c r="E11">
        <v>120</v>
      </c>
      <c r="F11" s="1">
        <v>17408</v>
      </c>
      <c r="G11" t="s">
        <v>163</v>
      </c>
      <c r="H11" s="1">
        <v>27358</v>
      </c>
      <c r="I11" s="2">
        <v>1322.4280000000001</v>
      </c>
      <c r="J11">
        <v>809.577</v>
      </c>
      <c r="K11">
        <v>160</v>
      </c>
      <c r="L11" s="1">
        <v>17408</v>
      </c>
      <c r="M11" t="s">
        <v>163</v>
      </c>
      <c r="N11" s="1">
        <v>16061</v>
      </c>
      <c r="O11" s="2">
        <v>1355.8019999999999</v>
      </c>
      <c r="P11">
        <v>897.84299999999996</v>
      </c>
      <c r="Q11">
        <v>120</v>
      </c>
      <c r="R11" s="1">
        <v>16703</v>
      </c>
    </row>
    <row r="12" spans="1:18" x14ac:dyDescent="0.25">
      <c r="A12" t="s">
        <v>17</v>
      </c>
      <c r="B12" s="1">
        <v>43419</v>
      </c>
      <c r="C12">
        <v>163.82400000000001</v>
      </c>
      <c r="D12">
        <v>230.345</v>
      </c>
      <c r="E12">
        <v>0</v>
      </c>
      <c r="F12" s="1">
        <v>5000</v>
      </c>
      <c r="G12" t="s">
        <v>17</v>
      </c>
      <c r="H12" s="1">
        <v>27358</v>
      </c>
      <c r="I12">
        <v>161.12299999999999</v>
      </c>
      <c r="J12">
        <v>229</v>
      </c>
      <c r="K12">
        <v>0</v>
      </c>
      <c r="L12" s="1">
        <v>5000</v>
      </c>
      <c r="M12" t="s">
        <v>17</v>
      </c>
      <c r="N12" s="1">
        <v>16061</v>
      </c>
      <c r="O12">
        <v>168.42500000000001</v>
      </c>
      <c r="P12">
        <v>232.55500000000001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43419</v>
      </c>
      <c r="C13" s="2">
        <v>946930</v>
      </c>
      <c r="D13" s="2">
        <v>894159.5</v>
      </c>
      <c r="E13" s="2">
        <v>85418.51</v>
      </c>
      <c r="F13" s="2">
        <v>28197546</v>
      </c>
      <c r="G13" t="s">
        <v>19</v>
      </c>
      <c r="H13" s="1">
        <v>27358</v>
      </c>
      <c r="I13" s="2">
        <v>915255.7</v>
      </c>
      <c r="J13" s="2">
        <v>844893.6</v>
      </c>
      <c r="K13" s="2">
        <v>99684.44</v>
      </c>
      <c r="L13" s="2">
        <v>28197546</v>
      </c>
      <c r="M13" t="s">
        <v>19</v>
      </c>
      <c r="N13" s="1">
        <v>16061</v>
      </c>
      <c r="O13" s="2">
        <v>1000883</v>
      </c>
      <c r="P13" s="2">
        <v>969996.7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43419</v>
      </c>
      <c r="C14" s="2">
        <v>933946.1</v>
      </c>
      <c r="D14" s="2">
        <v>840772.2</v>
      </c>
      <c r="E14" s="2">
        <v>85418.51</v>
      </c>
      <c r="F14" s="2">
        <v>28197546</v>
      </c>
      <c r="G14" t="s">
        <v>20</v>
      </c>
      <c r="H14" s="1">
        <v>27358</v>
      </c>
      <c r="I14" s="2">
        <v>897238.3</v>
      </c>
      <c r="J14" s="2">
        <v>792180</v>
      </c>
      <c r="K14" s="2">
        <v>118448.6</v>
      </c>
      <c r="L14" s="2">
        <v>28197546</v>
      </c>
      <c r="M14" t="s">
        <v>20</v>
      </c>
      <c r="N14" s="1">
        <v>16061</v>
      </c>
      <c r="O14" s="2">
        <v>996473.4</v>
      </c>
      <c r="P14" s="2">
        <v>914276.4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43419</v>
      </c>
      <c r="C15" s="2">
        <v>10682.65</v>
      </c>
      <c r="D15" s="2">
        <v>92486.2</v>
      </c>
      <c r="E15" s="2">
        <v>-2010000</v>
      </c>
      <c r="F15" s="2">
        <v>6900000</v>
      </c>
      <c r="G15" t="s">
        <v>190</v>
      </c>
      <c r="H15" s="1">
        <v>27358</v>
      </c>
      <c r="I15" s="2">
        <v>14787.56</v>
      </c>
      <c r="J15" s="2">
        <v>70064.94</v>
      </c>
      <c r="K15" s="1">
        <v>-1850000</v>
      </c>
      <c r="L15" s="1">
        <v>2950000</v>
      </c>
      <c r="M15" t="s">
        <v>190</v>
      </c>
      <c r="N15" s="1">
        <v>16061</v>
      </c>
      <c r="O15" s="2">
        <v>3690.4070000000002</v>
      </c>
      <c r="P15" s="2">
        <v>121181.4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43419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27358</v>
      </c>
      <c r="I16">
        <v>1.2E-2</v>
      </c>
      <c r="J16">
        <v>0.107</v>
      </c>
      <c r="K16">
        <v>0</v>
      </c>
      <c r="L16">
        <v>1</v>
      </c>
      <c r="M16" t="s">
        <v>21</v>
      </c>
      <c r="N16" s="1">
        <v>16061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43419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27358</v>
      </c>
      <c r="I17">
        <v>3.5999999999999997E-2</v>
      </c>
      <c r="J17">
        <v>0.187</v>
      </c>
      <c r="K17">
        <v>0</v>
      </c>
      <c r="L17">
        <v>1</v>
      </c>
      <c r="M17" t="s">
        <v>22</v>
      </c>
      <c r="N17" s="1">
        <v>16061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43419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27358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16061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43419</v>
      </c>
      <c r="C19">
        <v>0.09</v>
      </c>
      <c r="D19">
        <v>0.28699999999999998</v>
      </c>
      <c r="E19">
        <v>0</v>
      </c>
      <c r="F19">
        <v>1</v>
      </c>
      <c r="G19" t="s">
        <v>24</v>
      </c>
      <c r="H19" s="1">
        <v>27358</v>
      </c>
      <c r="I19">
        <v>9.4E-2</v>
      </c>
      <c r="J19">
        <v>0.29199999999999998</v>
      </c>
      <c r="K19">
        <v>0</v>
      </c>
      <c r="L19">
        <v>1</v>
      </c>
      <c r="M19" t="s">
        <v>24</v>
      </c>
      <c r="N19" s="1">
        <v>16061</v>
      </c>
      <c r="O19">
        <v>8.4000000000000005E-2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43419</v>
      </c>
      <c r="C20">
        <v>0.29399999999999998</v>
      </c>
      <c r="D20">
        <v>0.45600000000000002</v>
      </c>
      <c r="E20">
        <v>0</v>
      </c>
      <c r="F20">
        <v>1</v>
      </c>
      <c r="G20" t="s">
        <v>25</v>
      </c>
      <c r="H20" s="1">
        <v>27358</v>
      </c>
      <c r="I20">
        <v>0.28499999999999998</v>
      </c>
      <c r="J20">
        <v>0.45100000000000001</v>
      </c>
      <c r="K20">
        <v>0</v>
      </c>
      <c r="L20">
        <v>1</v>
      </c>
      <c r="M20" t="s">
        <v>25</v>
      </c>
      <c r="N20" s="1">
        <v>16061</v>
      </c>
      <c r="O20">
        <v>0.311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43419</v>
      </c>
      <c r="C21">
        <v>0.159</v>
      </c>
      <c r="D21">
        <v>0.36599999999999999</v>
      </c>
      <c r="E21">
        <v>0</v>
      </c>
      <c r="F21">
        <v>1</v>
      </c>
      <c r="G21" t="s">
        <v>26</v>
      </c>
      <c r="H21" s="1">
        <v>27358</v>
      </c>
      <c r="I21">
        <v>0.17</v>
      </c>
      <c r="J21">
        <v>0.375</v>
      </c>
      <c r="K21">
        <v>0</v>
      </c>
      <c r="L21">
        <v>1</v>
      </c>
      <c r="M21" t="s">
        <v>26</v>
      </c>
      <c r="N21" s="1">
        <v>16061</v>
      </c>
      <c r="O21">
        <v>0.14099999999999999</v>
      </c>
      <c r="P21">
        <v>0.34799999999999998</v>
      </c>
      <c r="Q21">
        <v>0</v>
      </c>
      <c r="R21">
        <v>1</v>
      </c>
    </row>
    <row r="22" spans="1:18" x14ac:dyDescent="0.25">
      <c r="A22" t="s">
        <v>27</v>
      </c>
      <c r="B22" s="1">
        <v>43419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27358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16061</v>
      </c>
      <c r="O22">
        <v>3.6999999999999998E-2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43419</v>
      </c>
      <c r="C23">
        <v>0.42399999999999999</v>
      </c>
      <c r="D23">
        <v>0.49399999999999999</v>
      </c>
      <c r="E23">
        <v>0</v>
      </c>
      <c r="F23">
        <v>1</v>
      </c>
      <c r="G23" t="s">
        <v>28</v>
      </c>
      <c r="H23" s="1">
        <v>27358</v>
      </c>
      <c r="I23">
        <v>0.42</v>
      </c>
      <c r="J23">
        <v>0.49399999999999999</v>
      </c>
      <c r="K23">
        <v>0</v>
      </c>
      <c r="L23">
        <v>1</v>
      </c>
      <c r="M23" t="s">
        <v>28</v>
      </c>
      <c r="N23" s="1">
        <v>16061</v>
      </c>
      <c r="O23">
        <v>0.43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43419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27358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16061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43419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27358</v>
      </c>
      <c r="I25">
        <v>1.6E-2</v>
      </c>
      <c r="J25">
        <v>0.124</v>
      </c>
      <c r="K25">
        <v>0</v>
      </c>
      <c r="L25">
        <v>1</v>
      </c>
      <c r="M25" t="s">
        <v>30</v>
      </c>
      <c r="N25" s="1">
        <v>16061</v>
      </c>
      <c r="O25">
        <v>2.4E-2</v>
      </c>
      <c r="P25">
        <v>0.152</v>
      </c>
      <c r="Q25">
        <v>0</v>
      </c>
      <c r="R25">
        <v>1</v>
      </c>
    </row>
    <row r="26" spans="1:18" x14ac:dyDescent="0.25">
      <c r="A26" t="s">
        <v>31</v>
      </c>
      <c r="B26" s="1">
        <v>43419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27358</v>
      </c>
      <c r="I26">
        <v>4.5999999999999999E-2</v>
      </c>
      <c r="J26">
        <v>0.20899999999999999</v>
      </c>
      <c r="K26">
        <v>0</v>
      </c>
      <c r="L26">
        <v>1</v>
      </c>
      <c r="M26" t="s">
        <v>31</v>
      </c>
      <c r="N26" s="1">
        <v>16061</v>
      </c>
      <c r="O26">
        <v>4.1000000000000002E-2</v>
      </c>
      <c r="P26">
        <v>0.19800000000000001</v>
      </c>
      <c r="Q26">
        <v>0</v>
      </c>
      <c r="R26">
        <v>1</v>
      </c>
    </row>
    <row r="27" spans="1:18" x14ac:dyDescent="0.25">
      <c r="A27" t="s">
        <v>32</v>
      </c>
      <c r="B27" s="1">
        <v>43419</v>
      </c>
      <c r="C27">
        <v>0.45800000000000002</v>
      </c>
      <c r="D27">
        <v>0.498</v>
      </c>
      <c r="E27">
        <v>0</v>
      </c>
      <c r="F27">
        <v>1</v>
      </c>
      <c r="G27" t="s">
        <v>32</v>
      </c>
      <c r="H27" s="1">
        <v>27358</v>
      </c>
      <c r="I27">
        <v>0.45500000000000002</v>
      </c>
      <c r="J27">
        <v>0.498</v>
      </c>
      <c r="K27">
        <v>0</v>
      </c>
      <c r="L27">
        <v>1</v>
      </c>
      <c r="M27" t="s">
        <v>32</v>
      </c>
      <c r="N27" s="1">
        <v>16061</v>
      </c>
      <c r="O27">
        <v>0.46400000000000002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43419</v>
      </c>
      <c r="C28">
        <v>37.128</v>
      </c>
      <c r="D28">
        <v>19.867999999999999</v>
      </c>
      <c r="E28">
        <v>0</v>
      </c>
      <c r="F28">
        <v>123</v>
      </c>
      <c r="G28" t="s">
        <v>33</v>
      </c>
      <c r="H28" s="1">
        <v>27358</v>
      </c>
      <c r="I28">
        <v>35.146999999999998</v>
      </c>
      <c r="J28">
        <v>19.565999999999999</v>
      </c>
      <c r="K28">
        <v>0</v>
      </c>
      <c r="L28">
        <v>112</v>
      </c>
      <c r="M28" t="s">
        <v>33</v>
      </c>
      <c r="N28" s="1">
        <v>16061</v>
      </c>
      <c r="O28">
        <v>40.502000000000002</v>
      </c>
      <c r="P28">
        <v>19.925000000000001</v>
      </c>
      <c r="Q28">
        <v>0</v>
      </c>
      <c r="R28">
        <v>123</v>
      </c>
    </row>
    <row r="29" spans="1:18" x14ac:dyDescent="0.25">
      <c r="A29" t="s">
        <v>34</v>
      </c>
      <c r="B29" s="1">
        <v>43419</v>
      </c>
      <c r="C29">
        <v>1.7729999999999999</v>
      </c>
      <c r="D29">
        <v>1.57</v>
      </c>
      <c r="E29">
        <v>0</v>
      </c>
      <c r="F29">
        <v>15.129</v>
      </c>
      <c r="G29" t="s">
        <v>34</v>
      </c>
      <c r="H29" s="1">
        <v>27358</v>
      </c>
      <c r="I29">
        <v>1.6180000000000001</v>
      </c>
      <c r="J29">
        <v>1.4850000000000001</v>
      </c>
      <c r="K29">
        <v>0</v>
      </c>
      <c r="L29">
        <v>12.544</v>
      </c>
      <c r="M29" t="s">
        <v>34</v>
      </c>
      <c r="N29" s="1">
        <v>16061</v>
      </c>
      <c r="O29">
        <v>2.0369999999999999</v>
      </c>
      <c r="P29">
        <v>1.6719999999999999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43419</v>
      </c>
      <c r="C30">
        <v>3.2040000000000002</v>
      </c>
      <c r="D30">
        <v>9.5879999999999992</v>
      </c>
      <c r="E30">
        <v>0</v>
      </c>
      <c r="F30">
        <v>94</v>
      </c>
      <c r="G30" t="s">
        <v>35</v>
      </c>
      <c r="H30" s="1">
        <v>27358</v>
      </c>
      <c r="I30">
        <v>2.8889999999999998</v>
      </c>
      <c r="J30">
        <v>8.9250000000000007</v>
      </c>
      <c r="K30">
        <v>0</v>
      </c>
      <c r="L30">
        <v>88</v>
      </c>
      <c r="M30" t="s">
        <v>35</v>
      </c>
      <c r="N30" s="1">
        <v>16061</v>
      </c>
      <c r="O30">
        <v>3.7389999999999999</v>
      </c>
      <c r="P30">
        <v>10.601000000000001</v>
      </c>
      <c r="Q30">
        <v>0</v>
      </c>
      <c r="R30">
        <v>94</v>
      </c>
    </row>
    <row r="31" spans="1:18" x14ac:dyDescent="0.25">
      <c r="A31" t="s">
        <v>18</v>
      </c>
      <c r="B31" s="1">
        <v>43419</v>
      </c>
      <c r="C31" s="2">
        <v>1479.421</v>
      </c>
      <c r="D31">
        <v>997.70799999999997</v>
      </c>
      <c r="E31">
        <v>175</v>
      </c>
      <c r="F31" s="1">
        <v>23350</v>
      </c>
      <c r="G31" t="s">
        <v>18</v>
      </c>
      <c r="H31" s="1">
        <v>27358</v>
      </c>
      <c r="I31" s="2">
        <v>1462.528</v>
      </c>
      <c r="J31">
        <v>956.28200000000004</v>
      </c>
      <c r="K31">
        <v>195</v>
      </c>
      <c r="L31" s="1">
        <v>23350</v>
      </c>
      <c r="M31" t="s">
        <v>18</v>
      </c>
      <c r="N31" s="1">
        <v>16061</v>
      </c>
      <c r="O31" s="2">
        <v>1508.1959999999999</v>
      </c>
      <c r="P31" s="2">
        <v>1063.981</v>
      </c>
      <c r="Q31">
        <v>175</v>
      </c>
      <c r="R31" s="1">
        <v>18919</v>
      </c>
    </row>
    <row r="32" spans="1:18" x14ac:dyDescent="0.25">
      <c r="A32" t="s">
        <v>37</v>
      </c>
      <c r="B32" s="1">
        <v>43419</v>
      </c>
      <c r="C32">
        <v>2.99</v>
      </c>
      <c r="D32">
        <v>5.8550000000000004</v>
      </c>
      <c r="E32">
        <v>1.4E-2</v>
      </c>
      <c r="F32">
        <v>128.91800000000001</v>
      </c>
      <c r="G32" t="s">
        <v>37</v>
      </c>
      <c r="H32" s="1">
        <v>27358</v>
      </c>
      <c r="I32">
        <v>3.0649999999999999</v>
      </c>
      <c r="J32">
        <v>5.859</v>
      </c>
      <c r="K32">
        <v>1.4E-2</v>
      </c>
      <c r="L32">
        <v>128.91800000000001</v>
      </c>
      <c r="M32" t="s">
        <v>37</v>
      </c>
      <c r="N32" s="1">
        <v>16061</v>
      </c>
      <c r="O32">
        <v>2.863</v>
      </c>
      <c r="P32">
        <v>5.8470000000000004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43419</v>
      </c>
      <c r="C33">
        <v>2.0779999999999998</v>
      </c>
      <c r="D33">
        <v>2.4390000000000001</v>
      </c>
      <c r="E33">
        <v>0</v>
      </c>
      <c r="F33">
        <v>13.552</v>
      </c>
      <c r="G33" t="s">
        <v>164</v>
      </c>
      <c r="H33" s="1">
        <v>27358</v>
      </c>
      <c r="I33">
        <v>2.1280000000000001</v>
      </c>
      <c r="J33">
        <v>2.4929999999999999</v>
      </c>
      <c r="K33">
        <v>0</v>
      </c>
      <c r="L33">
        <v>13.552</v>
      </c>
      <c r="M33" t="s">
        <v>164</v>
      </c>
      <c r="N33" s="1">
        <v>16061</v>
      </c>
      <c r="O33">
        <v>1.994</v>
      </c>
      <c r="P33">
        <v>2.3439999999999999</v>
      </c>
      <c r="Q33">
        <v>0</v>
      </c>
      <c r="R33">
        <v>13.477</v>
      </c>
    </row>
    <row r="34" spans="1:18" x14ac:dyDescent="0.25">
      <c r="A34" t="s">
        <v>39</v>
      </c>
      <c r="B34" s="1">
        <v>43419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27358</v>
      </c>
      <c r="I34">
        <v>0.42499999999999999</v>
      </c>
      <c r="J34">
        <v>0.308</v>
      </c>
      <c r="K34">
        <v>0</v>
      </c>
      <c r="L34">
        <v>3.302</v>
      </c>
      <c r="M34" t="s">
        <v>39</v>
      </c>
      <c r="N34" s="1">
        <v>16061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43419</v>
      </c>
      <c r="C35">
        <v>4.0369999999999999</v>
      </c>
      <c r="D35">
        <v>3.9329999999999998</v>
      </c>
      <c r="E35">
        <v>0.01</v>
      </c>
      <c r="F35">
        <v>20.997</v>
      </c>
      <c r="G35" t="s">
        <v>40</v>
      </c>
      <c r="H35" s="1">
        <v>27358</v>
      </c>
      <c r="I35">
        <v>4.0430000000000001</v>
      </c>
      <c r="J35">
        <v>3.8769999999999998</v>
      </c>
      <c r="K35">
        <v>0.01</v>
      </c>
      <c r="L35">
        <v>20.997</v>
      </c>
      <c r="M35" t="s">
        <v>40</v>
      </c>
      <c r="N35" s="1">
        <v>16061</v>
      </c>
      <c r="O35">
        <v>4.0289999999999999</v>
      </c>
      <c r="P35">
        <v>4.0279999999999996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43419</v>
      </c>
      <c r="C36">
        <v>9.0809999999999995</v>
      </c>
      <c r="D36">
        <v>5.6109999999999998</v>
      </c>
      <c r="E36">
        <v>0.99299999999999999</v>
      </c>
      <c r="F36">
        <v>30.986000000000001</v>
      </c>
      <c r="G36" t="s">
        <v>41</v>
      </c>
      <c r="H36" s="1">
        <v>27358</v>
      </c>
      <c r="I36">
        <v>9.0609999999999999</v>
      </c>
      <c r="J36">
        <v>5.6120000000000001</v>
      </c>
      <c r="K36">
        <v>0.99299999999999999</v>
      </c>
      <c r="L36">
        <v>30.003</v>
      </c>
      <c r="M36" t="s">
        <v>41</v>
      </c>
      <c r="N36" s="1">
        <v>16061</v>
      </c>
      <c r="O36">
        <v>9.1140000000000008</v>
      </c>
      <c r="P36">
        <v>5.609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43419</v>
      </c>
      <c r="C37">
        <v>1.159</v>
      </c>
      <c r="D37">
        <v>4.5750000000000002</v>
      </c>
      <c r="E37">
        <v>1.6E-2</v>
      </c>
      <c r="F37">
        <v>196.49</v>
      </c>
      <c r="G37" t="s">
        <v>173</v>
      </c>
      <c r="H37" s="1">
        <v>27358</v>
      </c>
      <c r="I37">
        <v>1.179</v>
      </c>
      <c r="J37">
        <v>4.8</v>
      </c>
      <c r="K37">
        <v>2.5999999999999999E-2</v>
      </c>
      <c r="L37">
        <v>196.49</v>
      </c>
      <c r="M37" t="s">
        <v>173</v>
      </c>
      <c r="N37" s="1">
        <v>16061</v>
      </c>
      <c r="O37">
        <v>1.123</v>
      </c>
      <c r="P37">
        <v>4.1619999999999999</v>
      </c>
      <c r="Q37">
        <v>1.6E-2</v>
      </c>
      <c r="R37">
        <v>196.49</v>
      </c>
    </row>
    <row r="38" spans="1:18" x14ac:dyDescent="0.25">
      <c r="A38" t="s">
        <v>174</v>
      </c>
      <c r="B38" s="1">
        <v>43419</v>
      </c>
      <c r="C38">
        <v>2.19</v>
      </c>
      <c r="D38">
        <v>1.59</v>
      </c>
      <c r="E38">
        <v>3.6999999999999998E-2</v>
      </c>
      <c r="F38">
        <v>17.684000000000001</v>
      </c>
      <c r="G38" t="s">
        <v>174</v>
      </c>
      <c r="H38" s="1">
        <v>27358</v>
      </c>
      <c r="I38">
        <v>2.1850000000000001</v>
      </c>
      <c r="J38">
        <v>1.5760000000000001</v>
      </c>
      <c r="K38">
        <v>4.2999999999999997E-2</v>
      </c>
      <c r="L38">
        <v>17.684000000000001</v>
      </c>
      <c r="M38" t="s">
        <v>174</v>
      </c>
      <c r="N38" s="1">
        <v>16061</v>
      </c>
      <c r="O38">
        <v>2.2000000000000002</v>
      </c>
      <c r="P38">
        <v>1.6140000000000001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43419</v>
      </c>
      <c r="C39">
        <v>2.15</v>
      </c>
      <c r="D39">
        <v>1.5169999999999999</v>
      </c>
      <c r="E39">
        <v>3.4000000000000002E-2</v>
      </c>
      <c r="F39">
        <v>17.684000000000001</v>
      </c>
      <c r="G39" t="s">
        <v>175</v>
      </c>
      <c r="H39" s="1">
        <v>27358</v>
      </c>
      <c r="I39">
        <v>2.1539999999999999</v>
      </c>
      <c r="J39">
        <v>1.494</v>
      </c>
      <c r="K39">
        <v>3.4000000000000002E-2</v>
      </c>
      <c r="L39">
        <v>17.684000000000001</v>
      </c>
      <c r="M39" t="s">
        <v>175</v>
      </c>
      <c r="N39" s="1">
        <v>16061</v>
      </c>
      <c r="O39">
        <v>2.1419999999999999</v>
      </c>
      <c r="P39">
        <v>1.556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43419</v>
      </c>
      <c r="C40">
        <v>0.24199999999999999</v>
      </c>
      <c r="D40">
        <v>0.17799999999999999</v>
      </c>
      <c r="E40">
        <v>0</v>
      </c>
      <c r="F40">
        <v>0.85</v>
      </c>
      <c r="G40" t="s">
        <v>42</v>
      </c>
      <c r="H40" s="1">
        <v>27358</v>
      </c>
      <c r="I40">
        <v>0.24399999999999999</v>
      </c>
      <c r="J40">
        <v>0.17899999999999999</v>
      </c>
      <c r="K40">
        <v>0</v>
      </c>
      <c r="L40">
        <v>0.85</v>
      </c>
      <c r="M40" t="s">
        <v>42</v>
      </c>
      <c r="N40" s="1">
        <v>16061</v>
      </c>
      <c r="O40">
        <v>0.24</v>
      </c>
      <c r="P40">
        <v>0.17499999999999999</v>
      </c>
      <c r="Q40">
        <v>0</v>
      </c>
      <c r="R40">
        <v>0.85</v>
      </c>
    </row>
    <row r="41" spans="1:18" x14ac:dyDescent="0.25">
      <c r="A41" t="s">
        <v>43</v>
      </c>
      <c r="B41" s="1">
        <v>43419</v>
      </c>
      <c r="C41">
        <v>0.02</v>
      </c>
      <c r="D41">
        <v>3.4000000000000002E-2</v>
      </c>
      <c r="E41">
        <v>0</v>
      </c>
      <c r="F41">
        <v>0.26100000000000001</v>
      </c>
      <c r="G41" t="s">
        <v>43</v>
      </c>
      <c r="H41" s="1">
        <v>27358</v>
      </c>
      <c r="I41">
        <v>2.1000000000000001E-2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16061</v>
      </c>
      <c r="O41">
        <v>1.9E-2</v>
      </c>
      <c r="P41">
        <v>3.3000000000000002E-2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43419</v>
      </c>
      <c r="C42">
        <v>0.435</v>
      </c>
      <c r="D42">
        <v>0.19800000000000001</v>
      </c>
      <c r="E42">
        <v>0</v>
      </c>
      <c r="F42">
        <v>1</v>
      </c>
      <c r="G42" t="s">
        <v>44</v>
      </c>
      <c r="H42" s="1">
        <v>27358</v>
      </c>
      <c r="I42">
        <v>0.432</v>
      </c>
      <c r="J42">
        <v>0.19600000000000001</v>
      </c>
      <c r="K42">
        <v>2.0000000000000001E-4</v>
      </c>
      <c r="L42">
        <v>1</v>
      </c>
      <c r="M42" t="s">
        <v>44</v>
      </c>
      <c r="N42" s="1">
        <v>16061</v>
      </c>
      <c r="O42">
        <v>0.441</v>
      </c>
      <c r="P42">
        <v>0.19900000000000001</v>
      </c>
      <c r="Q42">
        <v>0</v>
      </c>
      <c r="R42">
        <v>1</v>
      </c>
    </row>
    <row r="43" spans="1:18" x14ac:dyDescent="0.25">
      <c r="A43" t="s">
        <v>45</v>
      </c>
      <c r="B43" s="1">
        <v>43419</v>
      </c>
      <c r="C43">
        <v>6.9000000000000006E-2</v>
      </c>
      <c r="D43">
        <v>0.1</v>
      </c>
      <c r="E43">
        <v>0</v>
      </c>
      <c r="F43">
        <v>0.69499999999999995</v>
      </c>
      <c r="G43" t="s">
        <v>45</v>
      </c>
      <c r="H43" s="1">
        <v>27358</v>
      </c>
      <c r="I43">
        <v>6.9000000000000006E-2</v>
      </c>
      <c r="J43">
        <v>0.1</v>
      </c>
      <c r="K43">
        <v>0</v>
      </c>
      <c r="L43">
        <v>0.69499999999999995</v>
      </c>
      <c r="M43" t="s">
        <v>45</v>
      </c>
      <c r="N43" s="1">
        <v>16061</v>
      </c>
      <c r="O43">
        <v>6.8000000000000005E-2</v>
      </c>
      <c r="P43">
        <v>0.10100000000000001</v>
      </c>
      <c r="Q43">
        <v>0</v>
      </c>
      <c r="R43">
        <v>0.69499999999999995</v>
      </c>
    </row>
    <row r="44" spans="1:18" x14ac:dyDescent="0.25">
      <c r="A44" t="s">
        <v>46</v>
      </c>
      <c r="B44" s="1">
        <v>43419</v>
      </c>
      <c r="C44">
        <v>0.878</v>
      </c>
      <c r="D44">
        <v>0.16600000000000001</v>
      </c>
      <c r="E44">
        <v>4.0000000000000002E-4</v>
      </c>
      <c r="F44">
        <v>1</v>
      </c>
      <c r="G44" t="s">
        <v>46</v>
      </c>
      <c r="H44" s="1">
        <v>27358</v>
      </c>
      <c r="I44">
        <v>0.88100000000000001</v>
      </c>
      <c r="J44">
        <v>0.16800000000000001</v>
      </c>
      <c r="K44">
        <v>4.0000000000000002E-4</v>
      </c>
      <c r="L44">
        <v>1</v>
      </c>
      <c r="M44" t="s">
        <v>46</v>
      </c>
      <c r="N44" s="1">
        <v>16061</v>
      </c>
      <c r="O44">
        <v>0.874</v>
      </c>
      <c r="P44">
        <v>0.16200000000000001</v>
      </c>
      <c r="Q44">
        <v>0.107</v>
      </c>
      <c r="R44">
        <v>1</v>
      </c>
    </row>
    <row r="45" spans="1:18" x14ac:dyDescent="0.25">
      <c r="A45" t="s">
        <v>47</v>
      </c>
      <c r="B45" s="1">
        <v>43419</v>
      </c>
      <c r="C45">
        <v>0.121</v>
      </c>
      <c r="D45">
        <v>0.16400000000000001</v>
      </c>
      <c r="E45">
        <v>0</v>
      </c>
      <c r="F45">
        <v>0.89300000000000002</v>
      </c>
      <c r="G45" t="s">
        <v>47</v>
      </c>
      <c r="H45" s="1">
        <v>27358</v>
      </c>
      <c r="I45">
        <v>0.11799999999999999</v>
      </c>
      <c r="J45">
        <v>0.16600000000000001</v>
      </c>
      <c r="K45">
        <v>0</v>
      </c>
      <c r="L45">
        <v>0.89300000000000002</v>
      </c>
      <c r="M45" t="s">
        <v>47</v>
      </c>
      <c r="N45" s="1">
        <v>16061</v>
      </c>
      <c r="O45">
        <v>0.125</v>
      </c>
      <c r="P45">
        <v>0.16</v>
      </c>
      <c r="Q45">
        <v>0</v>
      </c>
      <c r="R45">
        <v>0.89300000000000002</v>
      </c>
    </row>
    <row r="46" spans="1:18" x14ac:dyDescent="0.25">
      <c r="A46" t="s">
        <v>48</v>
      </c>
      <c r="B46" s="1">
        <v>43419</v>
      </c>
      <c r="C46">
        <v>0.66300000000000003</v>
      </c>
      <c r="D46">
        <v>0.20499999999999999</v>
      </c>
      <c r="E46">
        <v>0</v>
      </c>
      <c r="F46">
        <v>1</v>
      </c>
      <c r="G46" t="s">
        <v>48</v>
      </c>
      <c r="H46" s="1">
        <v>27358</v>
      </c>
      <c r="I46">
        <v>0.66800000000000004</v>
      </c>
      <c r="J46">
        <v>0.20100000000000001</v>
      </c>
      <c r="K46">
        <v>4.0000000000000002E-4</v>
      </c>
      <c r="L46">
        <v>1</v>
      </c>
      <c r="M46" t="s">
        <v>48</v>
      </c>
      <c r="N46" s="1">
        <v>16061</v>
      </c>
      <c r="O46">
        <v>0.65500000000000003</v>
      </c>
      <c r="P46">
        <v>0.21099999999999999</v>
      </c>
      <c r="Q46">
        <v>0</v>
      </c>
      <c r="R46">
        <v>1</v>
      </c>
    </row>
    <row r="47" spans="1:18" x14ac:dyDescent="0.25">
      <c r="A47" t="s">
        <v>49</v>
      </c>
      <c r="B47" s="1">
        <v>43419</v>
      </c>
      <c r="C47">
        <v>0.33600000000000002</v>
      </c>
      <c r="D47">
        <v>0.20399999999999999</v>
      </c>
      <c r="E47">
        <v>0</v>
      </c>
      <c r="F47">
        <v>1</v>
      </c>
      <c r="G47" t="s">
        <v>49</v>
      </c>
      <c r="H47" s="1">
        <v>27358</v>
      </c>
      <c r="I47">
        <v>0.33100000000000002</v>
      </c>
      <c r="J47">
        <v>0.20100000000000001</v>
      </c>
      <c r="K47">
        <v>0</v>
      </c>
      <c r="L47">
        <v>0.98599999999999999</v>
      </c>
      <c r="M47" t="s">
        <v>49</v>
      </c>
      <c r="N47" s="1">
        <v>16061</v>
      </c>
      <c r="O47">
        <v>0.34399999999999997</v>
      </c>
      <c r="P47">
        <v>0.21</v>
      </c>
      <c r="Q47">
        <v>0</v>
      </c>
      <c r="R47">
        <v>1</v>
      </c>
    </row>
    <row r="48" spans="1:18" x14ac:dyDescent="0.25">
      <c r="A48" t="s">
        <v>50</v>
      </c>
      <c r="B48" s="1">
        <v>43419</v>
      </c>
      <c r="C48">
        <v>16.683</v>
      </c>
      <c r="D48">
        <v>45.975999999999999</v>
      </c>
      <c r="E48">
        <v>0</v>
      </c>
      <c r="F48" s="1">
        <v>1000</v>
      </c>
      <c r="G48" t="s">
        <v>50</v>
      </c>
      <c r="H48" s="1">
        <v>27358</v>
      </c>
      <c r="I48">
        <v>17.324999999999999</v>
      </c>
      <c r="J48">
        <v>45.284999999999997</v>
      </c>
      <c r="K48">
        <v>0</v>
      </c>
      <c r="L48">
        <v>667</v>
      </c>
      <c r="M48" t="s">
        <v>50</v>
      </c>
      <c r="N48" s="1">
        <v>16061</v>
      </c>
      <c r="O48">
        <v>15.589</v>
      </c>
      <c r="P48">
        <v>47.112000000000002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43419</v>
      </c>
      <c r="C49">
        <v>0.73</v>
      </c>
      <c r="D49">
        <v>1.5649999999999999</v>
      </c>
      <c r="E49">
        <v>0</v>
      </c>
      <c r="F49">
        <v>36</v>
      </c>
      <c r="G49" t="s">
        <v>51</v>
      </c>
      <c r="H49" s="1">
        <v>27358</v>
      </c>
      <c r="I49">
        <v>0.71799999999999997</v>
      </c>
      <c r="J49">
        <v>1.577</v>
      </c>
      <c r="K49">
        <v>0</v>
      </c>
      <c r="L49">
        <v>36</v>
      </c>
      <c r="M49" t="s">
        <v>51</v>
      </c>
      <c r="N49" s="1">
        <v>16061</v>
      </c>
      <c r="O49">
        <v>0.75</v>
      </c>
      <c r="P49">
        <v>1.544</v>
      </c>
      <c r="Q49">
        <v>0</v>
      </c>
      <c r="R49">
        <v>23</v>
      </c>
    </row>
    <row r="50" spans="1:18" x14ac:dyDescent="0.25">
      <c r="A50" t="s">
        <v>52</v>
      </c>
      <c r="B50" s="1">
        <v>43419</v>
      </c>
      <c r="C50">
        <v>0.38700000000000001</v>
      </c>
      <c r="D50">
        <v>0.48699999999999999</v>
      </c>
      <c r="E50">
        <v>0</v>
      </c>
      <c r="F50">
        <v>1</v>
      </c>
      <c r="G50" t="s">
        <v>52</v>
      </c>
      <c r="H50" s="1">
        <v>27358</v>
      </c>
      <c r="I50">
        <v>0.372</v>
      </c>
      <c r="J50">
        <v>0.48299999999999998</v>
      </c>
      <c r="K50">
        <v>0</v>
      </c>
      <c r="L50">
        <v>1</v>
      </c>
      <c r="M50" t="s">
        <v>52</v>
      </c>
      <c r="N50" s="1">
        <v>16061</v>
      </c>
      <c r="O50">
        <v>0.41399999999999998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43419</v>
      </c>
      <c r="C51" s="2">
        <v>2361376</v>
      </c>
      <c r="D51" s="2">
        <v>7639.9489999999996</v>
      </c>
      <c r="E51" s="2">
        <v>2350907</v>
      </c>
      <c r="F51" s="2">
        <v>2400056</v>
      </c>
      <c r="G51" t="s">
        <v>53</v>
      </c>
      <c r="H51" s="1">
        <v>27358</v>
      </c>
      <c r="I51" s="2">
        <v>2361425</v>
      </c>
      <c r="J51" s="2">
        <v>7559.9160000000002</v>
      </c>
      <c r="K51" s="2">
        <v>2350907</v>
      </c>
      <c r="L51" s="2">
        <v>2400056</v>
      </c>
      <c r="M51" t="s">
        <v>53</v>
      </c>
      <c r="N51" s="1">
        <v>16061</v>
      </c>
      <c r="O51" s="2">
        <v>2361293</v>
      </c>
      <c r="P51" s="2">
        <v>7773.9030000000002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43419</v>
      </c>
      <c r="C52" s="2">
        <v>613206</v>
      </c>
      <c r="D52" s="2">
        <v>13139.06</v>
      </c>
      <c r="E52" s="2">
        <v>579824.19999999995</v>
      </c>
      <c r="F52" s="2">
        <v>638667.69999999995</v>
      </c>
      <c r="G52" t="s">
        <v>54</v>
      </c>
      <c r="H52" s="1">
        <v>27358</v>
      </c>
      <c r="I52" s="2">
        <v>612782.69999999995</v>
      </c>
      <c r="J52" s="2">
        <v>13110.52</v>
      </c>
      <c r="K52" s="2">
        <v>579824.19999999995</v>
      </c>
      <c r="L52" s="2">
        <v>638667.69999999995</v>
      </c>
      <c r="M52" t="s">
        <v>54</v>
      </c>
      <c r="N52" s="1">
        <v>16061</v>
      </c>
      <c r="O52" s="2">
        <v>613927</v>
      </c>
      <c r="P52" s="2">
        <v>13156.63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43419</v>
      </c>
      <c r="C53">
        <v>0.54200000000000004</v>
      </c>
      <c r="D53">
        <v>0.498</v>
      </c>
      <c r="E53">
        <v>0</v>
      </c>
      <c r="F53">
        <v>1</v>
      </c>
      <c r="G53" t="s">
        <v>56</v>
      </c>
      <c r="H53" s="1">
        <v>27358</v>
      </c>
      <c r="I53">
        <v>0.54500000000000004</v>
      </c>
      <c r="J53">
        <v>0.498</v>
      </c>
      <c r="K53">
        <v>0</v>
      </c>
      <c r="L53">
        <v>1</v>
      </c>
      <c r="M53" t="s">
        <v>56</v>
      </c>
      <c r="N53" s="1">
        <v>16061</v>
      </c>
      <c r="O53">
        <v>0.53600000000000003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43419</v>
      </c>
      <c r="C54">
        <v>0.45800000000000002</v>
      </c>
      <c r="D54">
        <v>0.498</v>
      </c>
      <c r="E54">
        <v>0</v>
      </c>
      <c r="F54">
        <v>1</v>
      </c>
      <c r="G54" t="s">
        <v>57</v>
      </c>
      <c r="H54" s="1">
        <v>27358</v>
      </c>
      <c r="I54">
        <v>0.45500000000000002</v>
      </c>
      <c r="J54">
        <v>0.498</v>
      </c>
      <c r="K54">
        <v>0</v>
      </c>
      <c r="L54">
        <v>1</v>
      </c>
      <c r="M54" t="s">
        <v>57</v>
      </c>
      <c r="N54" s="1">
        <v>16061</v>
      </c>
      <c r="O54">
        <v>0.46400000000000002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43419</v>
      </c>
      <c r="C55">
        <v>0.34799999999999998</v>
      </c>
      <c r="D55">
        <v>0.47599999999999998</v>
      </c>
      <c r="E55">
        <v>0</v>
      </c>
      <c r="F55">
        <v>1</v>
      </c>
      <c r="G55" t="s">
        <v>58</v>
      </c>
      <c r="H55" s="1">
        <v>27358</v>
      </c>
      <c r="I55">
        <v>0.34799999999999998</v>
      </c>
      <c r="J55">
        <v>0.47599999999999998</v>
      </c>
      <c r="K55">
        <v>0</v>
      </c>
      <c r="L55">
        <v>1</v>
      </c>
      <c r="M55" t="s">
        <v>58</v>
      </c>
      <c r="N55" s="1">
        <v>16061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43419</v>
      </c>
      <c r="C56">
        <v>0.33400000000000002</v>
      </c>
      <c r="D56">
        <v>0.47199999999999998</v>
      </c>
      <c r="E56">
        <v>0</v>
      </c>
      <c r="F56">
        <v>1</v>
      </c>
      <c r="G56" t="s">
        <v>59</v>
      </c>
      <c r="H56" s="1">
        <v>27358</v>
      </c>
      <c r="I56">
        <v>0.34499999999999997</v>
      </c>
      <c r="J56">
        <v>0.47499999999999998</v>
      </c>
      <c r="K56">
        <v>0</v>
      </c>
      <c r="L56">
        <v>1</v>
      </c>
      <c r="M56" t="s">
        <v>59</v>
      </c>
      <c r="N56" s="1">
        <v>16061</v>
      </c>
      <c r="O56">
        <v>0.315</v>
      </c>
      <c r="P56">
        <v>0.46500000000000002</v>
      </c>
      <c r="Q56">
        <v>0</v>
      </c>
      <c r="R56">
        <v>1</v>
      </c>
    </row>
    <row r="57" spans="1:18" x14ac:dyDescent="0.25">
      <c r="A57" t="s">
        <v>60</v>
      </c>
      <c r="B57" s="1">
        <v>43419</v>
      </c>
      <c r="C57">
        <v>0.318</v>
      </c>
      <c r="D57">
        <v>0.46600000000000003</v>
      </c>
      <c r="E57">
        <v>0</v>
      </c>
      <c r="F57">
        <v>1</v>
      </c>
      <c r="G57" t="s">
        <v>60</v>
      </c>
      <c r="H57" s="1">
        <v>27358</v>
      </c>
      <c r="I57">
        <v>0.307</v>
      </c>
      <c r="J57">
        <v>0.46100000000000002</v>
      </c>
      <c r="K57">
        <v>0</v>
      </c>
      <c r="L57">
        <v>1</v>
      </c>
      <c r="M57" t="s">
        <v>60</v>
      </c>
      <c r="N57" s="1">
        <v>16061</v>
      </c>
      <c r="O57">
        <v>0.33700000000000002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43419</v>
      </c>
      <c r="C58" s="2">
        <v>2018.806</v>
      </c>
      <c r="D58">
        <v>1.9990000000000001</v>
      </c>
      <c r="E58" s="1">
        <v>2016</v>
      </c>
      <c r="F58" s="1">
        <v>2023</v>
      </c>
      <c r="G58" t="s">
        <v>61</v>
      </c>
      <c r="H58" s="1">
        <v>27358</v>
      </c>
      <c r="I58" s="2">
        <v>2017.4960000000001</v>
      </c>
      <c r="J58">
        <v>1.159</v>
      </c>
      <c r="K58" s="1">
        <v>2016</v>
      </c>
      <c r="L58" s="1">
        <v>2020</v>
      </c>
      <c r="M58" t="s">
        <v>61</v>
      </c>
      <c r="N58" s="1">
        <v>16061</v>
      </c>
      <c r="O58" s="2">
        <v>2021.0360000000001</v>
      </c>
      <c r="P58">
        <v>0.79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43419</v>
      </c>
      <c r="C59">
        <v>0.45800000000000002</v>
      </c>
      <c r="D59">
        <v>0.498</v>
      </c>
      <c r="E59">
        <v>0</v>
      </c>
      <c r="F59">
        <v>1</v>
      </c>
      <c r="G59" t="s">
        <v>62</v>
      </c>
      <c r="H59" s="1">
        <v>27358</v>
      </c>
      <c r="I59">
        <v>0.45600000000000002</v>
      </c>
      <c r="J59">
        <v>0.498</v>
      </c>
      <c r="K59">
        <v>0</v>
      </c>
      <c r="L59">
        <v>1</v>
      </c>
      <c r="M59" t="s">
        <v>62</v>
      </c>
      <c r="N59" s="1">
        <v>16061</v>
      </c>
      <c r="O59">
        <v>0.46100000000000002</v>
      </c>
      <c r="P59">
        <v>0.499</v>
      </c>
      <c r="Q59">
        <v>0</v>
      </c>
      <c r="R59">
        <v>1</v>
      </c>
    </row>
    <row r="60" spans="1:18" x14ac:dyDescent="0.25">
      <c r="A60" t="s">
        <v>63</v>
      </c>
      <c r="B60" s="1">
        <v>43419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27358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16061</v>
      </c>
      <c r="O60">
        <v>8.0000000000000002E-3</v>
      </c>
      <c r="P60">
        <v>8.8999999999999996E-2</v>
      </c>
      <c r="Q60">
        <v>0</v>
      </c>
      <c r="R60">
        <v>1</v>
      </c>
    </row>
    <row r="61" spans="1:18" x14ac:dyDescent="0.25">
      <c r="A61" t="s">
        <v>64</v>
      </c>
      <c r="B61" s="1">
        <v>43419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27358</v>
      </c>
      <c r="I61">
        <v>2.8000000000000001E-2</v>
      </c>
      <c r="J61">
        <v>0.16500000000000001</v>
      </c>
      <c r="K61">
        <v>0</v>
      </c>
      <c r="L61">
        <v>1</v>
      </c>
      <c r="M61" t="s">
        <v>64</v>
      </c>
      <c r="N61" s="1">
        <v>16061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43419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27358</v>
      </c>
      <c r="I62">
        <v>0.159</v>
      </c>
      <c r="J62">
        <v>0.36599999999999999</v>
      </c>
      <c r="K62">
        <v>0</v>
      </c>
      <c r="L62">
        <v>1</v>
      </c>
      <c r="M62" t="s">
        <v>65</v>
      </c>
      <c r="N62" s="1">
        <v>16061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43419</v>
      </c>
      <c r="C63">
        <v>0.16500000000000001</v>
      </c>
      <c r="D63">
        <v>0.371</v>
      </c>
      <c r="E63">
        <v>0</v>
      </c>
      <c r="F63">
        <v>1</v>
      </c>
      <c r="G63" t="s">
        <v>66</v>
      </c>
      <c r="H63" s="1">
        <v>27358</v>
      </c>
      <c r="I63">
        <v>0.159</v>
      </c>
      <c r="J63">
        <v>0.36499999999999999</v>
      </c>
      <c r="K63">
        <v>0</v>
      </c>
      <c r="L63">
        <v>1</v>
      </c>
      <c r="M63" t="s">
        <v>66</v>
      </c>
      <c r="N63" s="1">
        <v>16061</v>
      </c>
      <c r="O63">
        <v>0.17599999999999999</v>
      </c>
      <c r="P63">
        <v>0.38100000000000001</v>
      </c>
      <c r="Q63">
        <v>0</v>
      </c>
      <c r="R63">
        <v>1</v>
      </c>
    </row>
    <row r="64" spans="1:18" x14ac:dyDescent="0.25">
      <c r="A64" t="s">
        <v>67</v>
      </c>
      <c r="B64" s="1">
        <v>43419</v>
      </c>
      <c r="C64">
        <v>3.7999999999999999E-2</v>
      </c>
      <c r="D64">
        <v>0.191</v>
      </c>
      <c r="E64">
        <v>0</v>
      </c>
      <c r="F64">
        <v>1</v>
      </c>
      <c r="G64" t="s">
        <v>67</v>
      </c>
      <c r="H64" s="1">
        <v>27358</v>
      </c>
      <c r="I64">
        <v>3.6999999999999998E-2</v>
      </c>
      <c r="J64">
        <v>0.19</v>
      </c>
      <c r="K64">
        <v>0</v>
      </c>
      <c r="L64">
        <v>1</v>
      </c>
      <c r="M64" t="s">
        <v>67</v>
      </c>
      <c r="N64" s="1">
        <v>16061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43419</v>
      </c>
      <c r="C65">
        <v>0.12</v>
      </c>
      <c r="D65">
        <v>0.32500000000000001</v>
      </c>
      <c r="E65">
        <v>0</v>
      </c>
      <c r="F65">
        <v>1</v>
      </c>
      <c r="G65" t="s">
        <v>68</v>
      </c>
      <c r="H65" s="1">
        <v>27358</v>
      </c>
      <c r="I65">
        <v>0.11899999999999999</v>
      </c>
      <c r="J65">
        <v>0.32300000000000001</v>
      </c>
      <c r="K65">
        <v>0</v>
      </c>
      <c r="L65">
        <v>1</v>
      </c>
      <c r="M65" t="s">
        <v>68</v>
      </c>
      <c r="N65" s="1">
        <v>16061</v>
      </c>
      <c r="O65">
        <v>0.123</v>
      </c>
      <c r="P65">
        <v>0.32800000000000001</v>
      </c>
      <c r="Q65">
        <v>0</v>
      </c>
      <c r="R65">
        <v>1</v>
      </c>
    </row>
    <row r="66" spans="1:18" x14ac:dyDescent="0.25">
      <c r="A66" t="s">
        <v>69</v>
      </c>
      <c r="B66" s="1">
        <v>43419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27358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16061</v>
      </c>
      <c r="O66">
        <v>2.8000000000000001E-2</v>
      </c>
      <c r="P66">
        <v>0.16500000000000001</v>
      </c>
      <c r="Q66">
        <v>0</v>
      </c>
      <c r="R66">
        <v>1</v>
      </c>
    </row>
    <row r="67" spans="1:18" x14ac:dyDescent="0.25">
      <c r="A67" t="s">
        <v>70</v>
      </c>
      <c r="B67" s="1">
        <v>43419</v>
      </c>
      <c r="C67">
        <v>0.20599999999999999</v>
      </c>
      <c r="D67">
        <v>0.40500000000000003</v>
      </c>
      <c r="E67">
        <v>0</v>
      </c>
      <c r="F67">
        <v>1</v>
      </c>
      <c r="G67" t="s">
        <v>70</v>
      </c>
      <c r="H67" s="1">
        <v>27358</v>
      </c>
      <c r="I67">
        <v>0.19600000000000001</v>
      </c>
      <c r="J67">
        <v>0.39700000000000002</v>
      </c>
      <c r="K67">
        <v>0</v>
      </c>
      <c r="L67">
        <v>1</v>
      </c>
      <c r="M67" t="s">
        <v>70</v>
      </c>
      <c r="N67" s="1">
        <v>16061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43419</v>
      </c>
      <c r="C68">
        <v>0.32800000000000001</v>
      </c>
      <c r="D68">
        <v>0.47</v>
      </c>
      <c r="E68">
        <v>0</v>
      </c>
      <c r="F68">
        <v>1</v>
      </c>
      <c r="G68" t="s">
        <v>71</v>
      </c>
      <c r="H68" s="1">
        <v>27358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16061</v>
      </c>
      <c r="O68">
        <v>0.29499999999999998</v>
      </c>
      <c r="P68">
        <v>0.45600000000000002</v>
      </c>
      <c r="Q68">
        <v>0</v>
      </c>
      <c r="R68">
        <v>1</v>
      </c>
    </row>
    <row r="69" spans="1:18" x14ac:dyDescent="0.25">
      <c r="A69" t="s">
        <v>72</v>
      </c>
      <c r="B69" s="1">
        <v>43419</v>
      </c>
      <c r="C69">
        <v>0.41199999999999998</v>
      </c>
      <c r="D69">
        <v>0.49199999999999999</v>
      </c>
      <c r="E69">
        <v>0</v>
      </c>
      <c r="F69">
        <v>1</v>
      </c>
      <c r="G69" t="s">
        <v>72</v>
      </c>
      <c r="H69" s="1">
        <v>27358</v>
      </c>
      <c r="I69">
        <v>0.40500000000000003</v>
      </c>
      <c r="J69">
        <v>0.49099999999999999</v>
      </c>
      <c r="K69">
        <v>0</v>
      </c>
      <c r="L69">
        <v>1</v>
      </c>
      <c r="M69" t="s">
        <v>72</v>
      </c>
      <c r="N69" s="1">
        <v>16061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43419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27358</v>
      </c>
      <c r="I70">
        <v>5.0999999999999997E-2</v>
      </c>
      <c r="J70">
        <v>0.22</v>
      </c>
      <c r="K70">
        <v>0</v>
      </c>
      <c r="L70">
        <v>1</v>
      </c>
      <c r="M70" t="s">
        <v>73</v>
      </c>
      <c r="N70" s="1">
        <v>16061</v>
      </c>
      <c r="O70">
        <v>5.8000000000000003E-2</v>
      </c>
      <c r="P70">
        <v>0.23499999999999999</v>
      </c>
      <c r="Q70">
        <v>0</v>
      </c>
      <c r="R70">
        <v>1</v>
      </c>
    </row>
    <row r="71" spans="1:18" x14ac:dyDescent="0.25">
      <c r="A71" t="s">
        <v>165</v>
      </c>
      <c r="B71" s="1">
        <v>43419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27358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16061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43419</v>
      </c>
      <c r="C72">
        <v>0.26200000000000001</v>
      </c>
      <c r="D72">
        <v>0.44</v>
      </c>
      <c r="E72">
        <v>0</v>
      </c>
      <c r="F72">
        <v>1</v>
      </c>
      <c r="G72" t="s">
        <v>166</v>
      </c>
      <c r="H72" s="1">
        <v>27358</v>
      </c>
      <c r="I72">
        <v>0.25700000000000001</v>
      </c>
      <c r="J72">
        <v>0.437</v>
      </c>
      <c r="K72">
        <v>0</v>
      </c>
      <c r="L72">
        <v>1</v>
      </c>
      <c r="M72" t="s">
        <v>166</v>
      </c>
      <c r="N72" s="1">
        <v>16061</v>
      </c>
      <c r="O72">
        <v>0.27200000000000002</v>
      </c>
      <c r="P72">
        <v>0.44500000000000001</v>
      </c>
      <c r="Q72">
        <v>0</v>
      </c>
      <c r="R72">
        <v>1</v>
      </c>
    </row>
    <row r="73" spans="1:18" x14ac:dyDescent="0.25">
      <c r="A73" t="s">
        <v>167</v>
      </c>
      <c r="B73" s="1">
        <v>43419</v>
      </c>
      <c r="C73">
        <v>0.46600000000000003</v>
      </c>
      <c r="D73">
        <v>0.499</v>
      </c>
      <c r="E73">
        <v>0</v>
      </c>
      <c r="F73">
        <v>1</v>
      </c>
      <c r="G73" t="s">
        <v>167</v>
      </c>
      <c r="H73" s="1">
        <v>27358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16061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43419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27358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16061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43419</v>
      </c>
      <c r="C75">
        <v>0.11700000000000001</v>
      </c>
      <c r="D75">
        <v>0.32200000000000001</v>
      </c>
      <c r="E75">
        <v>0</v>
      </c>
      <c r="F75">
        <v>1</v>
      </c>
      <c r="G75" t="s">
        <v>169</v>
      </c>
      <c r="H75" s="1">
        <v>27358</v>
      </c>
      <c r="I75">
        <v>0.11</v>
      </c>
      <c r="J75">
        <v>0.313</v>
      </c>
      <c r="K75">
        <v>0</v>
      </c>
      <c r="L75">
        <v>1</v>
      </c>
      <c r="M75" t="s">
        <v>169</v>
      </c>
      <c r="N75" s="1">
        <v>16061</v>
      </c>
      <c r="O75">
        <v>0.13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43419</v>
      </c>
      <c r="C76">
        <v>3.6999999999999998E-2</v>
      </c>
      <c r="D76">
        <v>0.19</v>
      </c>
      <c r="E76">
        <v>0</v>
      </c>
      <c r="F76">
        <v>1</v>
      </c>
      <c r="G76" t="s">
        <v>170</v>
      </c>
      <c r="H76" s="1">
        <v>27358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16061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43419</v>
      </c>
      <c r="C77">
        <v>0.13</v>
      </c>
      <c r="D77">
        <v>0.33600000000000002</v>
      </c>
      <c r="E77">
        <v>0</v>
      </c>
      <c r="F77">
        <v>1</v>
      </c>
      <c r="G77" t="s">
        <v>79</v>
      </c>
      <c r="H77" s="1">
        <v>27358</v>
      </c>
      <c r="I77">
        <v>0.13300000000000001</v>
      </c>
      <c r="J77">
        <v>0.33900000000000002</v>
      </c>
      <c r="K77">
        <v>0</v>
      </c>
      <c r="L77">
        <v>1</v>
      </c>
      <c r="M77" t="s">
        <v>79</v>
      </c>
      <c r="N77" s="1">
        <v>16061</v>
      </c>
      <c r="O77">
        <v>0.126</v>
      </c>
      <c r="P77">
        <v>0.33100000000000002</v>
      </c>
      <c r="Q77">
        <v>0</v>
      </c>
      <c r="R77">
        <v>1</v>
      </c>
    </row>
    <row r="78" spans="1:18" x14ac:dyDescent="0.25">
      <c r="A78" t="s">
        <v>80</v>
      </c>
      <c r="B78" s="1">
        <v>43419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27358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16061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43419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27358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16061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43419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27358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16061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43419</v>
      </c>
      <c r="C81">
        <v>0.40100000000000002</v>
      </c>
      <c r="D81">
        <v>0.49</v>
      </c>
      <c r="E81">
        <v>0</v>
      </c>
      <c r="F81">
        <v>1</v>
      </c>
      <c r="G81" t="s">
        <v>83</v>
      </c>
      <c r="H81" s="1">
        <v>27358</v>
      </c>
      <c r="I81">
        <v>0.41699999999999998</v>
      </c>
      <c r="J81">
        <v>0.49299999999999999</v>
      </c>
      <c r="K81">
        <v>0</v>
      </c>
      <c r="L81">
        <v>1</v>
      </c>
      <c r="M81" t="s">
        <v>83</v>
      </c>
      <c r="N81" s="1">
        <v>16061</v>
      </c>
      <c r="O81">
        <v>0.375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43419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27358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16061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43419</v>
      </c>
      <c r="C83">
        <v>0.41099999999999998</v>
      </c>
      <c r="D83">
        <v>0.49199999999999999</v>
      </c>
      <c r="E83">
        <v>0</v>
      </c>
      <c r="F83">
        <v>1</v>
      </c>
      <c r="G83" t="s">
        <v>85</v>
      </c>
      <c r="H83" s="1">
        <v>27358</v>
      </c>
      <c r="I83">
        <v>0.39500000000000002</v>
      </c>
      <c r="J83">
        <v>0.48899999999999999</v>
      </c>
      <c r="K83">
        <v>0</v>
      </c>
      <c r="L83">
        <v>1</v>
      </c>
      <c r="M83" t="s">
        <v>85</v>
      </c>
      <c r="N83" s="1">
        <v>16061</v>
      </c>
      <c r="O83">
        <v>0.437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23513</v>
      </c>
      <c r="C3">
        <v>1.1779999999999999</v>
      </c>
      <c r="D3">
        <v>0.42599999999999999</v>
      </c>
      <c r="E3">
        <v>1</v>
      </c>
      <c r="F3">
        <v>5</v>
      </c>
      <c r="G3" t="s">
        <v>10</v>
      </c>
      <c r="H3" s="1">
        <v>14899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8614</v>
      </c>
      <c r="O3">
        <v>1.036</v>
      </c>
      <c r="P3">
        <v>0.189</v>
      </c>
      <c r="Q3">
        <v>1</v>
      </c>
      <c r="R3">
        <v>3</v>
      </c>
    </row>
    <row r="4" spans="1:18" x14ac:dyDescent="0.25">
      <c r="A4" t="s">
        <v>11</v>
      </c>
      <c r="B4" s="1">
        <v>23513</v>
      </c>
      <c r="C4">
        <v>0.36599999999999999</v>
      </c>
      <c r="D4">
        <v>0.48199999999999998</v>
      </c>
      <c r="E4">
        <v>0</v>
      </c>
      <c r="F4">
        <v>1</v>
      </c>
      <c r="G4" t="s">
        <v>11</v>
      </c>
      <c r="H4" s="1">
        <v>14899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8614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23513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14899</v>
      </c>
      <c r="I5">
        <v>2E-3</v>
      </c>
      <c r="J5">
        <v>3.9E-2</v>
      </c>
      <c r="K5">
        <v>0</v>
      </c>
      <c r="L5">
        <v>1</v>
      </c>
      <c r="M5" t="s">
        <v>12</v>
      </c>
      <c r="N5" s="1">
        <v>8614</v>
      </c>
      <c r="O5">
        <v>0.90400000000000003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8614</v>
      </c>
      <c r="C6">
        <v>305.15199999999999</v>
      </c>
      <c r="D6">
        <v>566.29100000000005</v>
      </c>
      <c r="E6">
        <v>0</v>
      </c>
      <c r="F6" s="1">
        <v>4021</v>
      </c>
      <c r="H6" s="1"/>
      <c r="M6" t="s">
        <v>36</v>
      </c>
      <c r="N6" s="1">
        <v>8614</v>
      </c>
      <c r="O6">
        <v>305.15199999999999</v>
      </c>
      <c r="P6">
        <v>566.29100000000005</v>
      </c>
      <c r="Q6">
        <v>0</v>
      </c>
      <c r="R6" s="1">
        <v>4021</v>
      </c>
    </row>
    <row r="7" spans="1:18" x14ac:dyDescent="0.25">
      <c r="A7" t="s">
        <v>13</v>
      </c>
      <c r="B7" s="1">
        <v>23513</v>
      </c>
      <c r="C7">
        <v>1.4930000000000001</v>
      </c>
      <c r="D7">
        <v>0.55600000000000005</v>
      </c>
      <c r="E7">
        <v>0</v>
      </c>
      <c r="F7">
        <v>6</v>
      </c>
      <c r="G7" t="s">
        <v>13</v>
      </c>
      <c r="H7" s="1">
        <v>14899</v>
      </c>
      <c r="I7">
        <v>1.504</v>
      </c>
      <c r="J7">
        <v>0.55800000000000005</v>
      </c>
      <c r="K7">
        <v>0</v>
      </c>
      <c r="L7">
        <v>5</v>
      </c>
      <c r="M7" t="s">
        <v>13</v>
      </c>
      <c r="N7" s="1">
        <v>8614</v>
      </c>
      <c r="O7">
        <v>1.474</v>
      </c>
      <c r="P7">
        <v>0.55200000000000005</v>
      </c>
      <c r="Q7">
        <v>1</v>
      </c>
      <c r="R7">
        <v>6</v>
      </c>
    </row>
    <row r="8" spans="1:18" x14ac:dyDescent="0.25">
      <c r="A8" t="s">
        <v>14</v>
      </c>
      <c r="B8" s="1">
        <v>23513</v>
      </c>
      <c r="C8">
        <v>0.16700000000000001</v>
      </c>
      <c r="D8">
        <v>0.378</v>
      </c>
      <c r="E8">
        <v>0</v>
      </c>
      <c r="F8">
        <v>5</v>
      </c>
      <c r="G8" t="s">
        <v>14</v>
      </c>
      <c r="H8" s="1">
        <v>14899</v>
      </c>
      <c r="I8">
        <v>0.17299999999999999</v>
      </c>
      <c r="J8">
        <v>0.38500000000000001</v>
      </c>
      <c r="K8">
        <v>0</v>
      </c>
      <c r="L8">
        <v>5</v>
      </c>
      <c r="M8" t="s">
        <v>14</v>
      </c>
      <c r="N8" s="1">
        <v>8614</v>
      </c>
      <c r="O8">
        <v>0.155</v>
      </c>
      <c r="P8">
        <v>0.36599999999999999</v>
      </c>
      <c r="Q8">
        <v>0</v>
      </c>
      <c r="R8">
        <v>2</v>
      </c>
    </row>
    <row r="9" spans="1:18" x14ac:dyDescent="0.25">
      <c r="A9" t="s">
        <v>15</v>
      </c>
      <c r="B9" s="1">
        <v>23513</v>
      </c>
      <c r="C9">
        <v>1.79</v>
      </c>
      <c r="D9">
        <v>0.91900000000000004</v>
      </c>
      <c r="E9">
        <v>0</v>
      </c>
      <c r="F9">
        <v>8</v>
      </c>
      <c r="G9" t="s">
        <v>15</v>
      </c>
      <c r="H9" s="1">
        <v>14899</v>
      </c>
      <c r="I9">
        <v>1.8160000000000001</v>
      </c>
      <c r="J9">
        <v>0.91600000000000004</v>
      </c>
      <c r="K9">
        <v>0</v>
      </c>
      <c r="L9">
        <v>5</v>
      </c>
      <c r="M9" t="s">
        <v>15</v>
      </c>
      <c r="N9" s="1">
        <v>8614</v>
      </c>
      <c r="O9">
        <v>1.7470000000000001</v>
      </c>
      <c r="P9">
        <v>0.92200000000000004</v>
      </c>
      <c r="Q9">
        <v>0</v>
      </c>
      <c r="R9">
        <v>8</v>
      </c>
    </row>
    <row r="10" spans="1:18" x14ac:dyDescent="0.25">
      <c r="A10" t="s">
        <v>16</v>
      </c>
      <c r="B10" s="1">
        <v>23513</v>
      </c>
      <c r="C10">
        <v>47.966999999999999</v>
      </c>
      <c r="D10">
        <v>62.305</v>
      </c>
      <c r="E10">
        <v>0</v>
      </c>
      <c r="F10">
        <v>946</v>
      </c>
      <c r="G10" t="s">
        <v>16</v>
      </c>
      <c r="H10" s="1">
        <v>14899</v>
      </c>
      <c r="I10">
        <v>51.073999999999998</v>
      </c>
      <c r="J10">
        <v>59.235999999999997</v>
      </c>
      <c r="K10">
        <v>0</v>
      </c>
      <c r="L10">
        <v>785</v>
      </c>
      <c r="M10" t="s">
        <v>16</v>
      </c>
      <c r="N10" s="1">
        <v>8614</v>
      </c>
      <c r="O10">
        <v>42.593000000000004</v>
      </c>
      <c r="P10">
        <v>66.947000000000003</v>
      </c>
      <c r="Q10">
        <v>0</v>
      </c>
      <c r="R10">
        <v>946</v>
      </c>
    </row>
    <row r="11" spans="1:18" x14ac:dyDescent="0.25">
      <c r="A11" t="s">
        <v>163</v>
      </c>
      <c r="B11" s="1">
        <v>23513</v>
      </c>
      <c r="C11">
        <v>877.23</v>
      </c>
      <c r="D11">
        <v>392.27699999999999</v>
      </c>
      <c r="E11">
        <v>120</v>
      </c>
      <c r="F11" s="1">
        <v>10740</v>
      </c>
      <c r="G11" t="s">
        <v>163</v>
      </c>
      <c r="H11" s="1">
        <v>14899</v>
      </c>
      <c r="I11">
        <v>887.00400000000002</v>
      </c>
      <c r="J11">
        <v>389.63400000000001</v>
      </c>
      <c r="K11">
        <v>160</v>
      </c>
      <c r="L11" s="1">
        <v>6273</v>
      </c>
      <c r="M11" t="s">
        <v>163</v>
      </c>
      <c r="N11" s="1">
        <v>8614</v>
      </c>
      <c r="O11">
        <v>860.32500000000005</v>
      </c>
      <c r="P11">
        <v>396.26100000000002</v>
      </c>
      <c r="Q11">
        <v>120</v>
      </c>
      <c r="R11" s="1">
        <v>10740</v>
      </c>
    </row>
    <row r="12" spans="1:18" x14ac:dyDescent="0.25">
      <c r="A12" t="s">
        <v>17</v>
      </c>
      <c r="B12" s="1">
        <v>23513</v>
      </c>
      <c r="C12">
        <v>21.773</v>
      </c>
      <c r="D12">
        <v>87.962000000000003</v>
      </c>
      <c r="E12">
        <v>0</v>
      </c>
      <c r="F12" s="1">
        <v>1042</v>
      </c>
      <c r="G12" t="s">
        <v>17</v>
      </c>
      <c r="H12" s="1">
        <v>14899</v>
      </c>
      <c r="I12">
        <v>19.73</v>
      </c>
      <c r="J12">
        <v>83.569000000000003</v>
      </c>
      <c r="K12">
        <v>0</v>
      </c>
      <c r="L12">
        <v>942</v>
      </c>
      <c r="M12" t="s">
        <v>17</v>
      </c>
      <c r="N12" s="1">
        <v>8614</v>
      </c>
      <c r="O12">
        <v>25.306999999999999</v>
      </c>
      <c r="P12">
        <v>94.983999999999995</v>
      </c>
      <c r="Q12">
        <v>0</v>
      </c>
      <c r="R12" s="1">
        <v>1042</v>
      </c>
    </row>
    <row r="13" spans="1:18" x14ac:dyDescent="0.25">
      <c r="A13" t="s">
        <v>19</v>
      </c>
      <c r="B13" s="1">
        <v>23513</v>
      </c>
      <c r="C13" s="2">
        <v>676394</v>
      </c>
      <c r="D13" s="2">
        <v>632199.30000000005</v>
      </c>
      <c r="E13" s="2">
        <v>85418.51</v>
      </c>
      <c r="F13" s="2">
        <v>28197546</v>
      </c>
      <c r="G13" t="s">
        <v>19</v>
      </c>
      <c r="H13" s="1">
        <v>14899</v>
      </c>
      <c r="I13" s="2">
        <v>683730.8</v>
      </c>
      <c r="J13" s="2">
        <v>644167.5</v>
      </c>
      <c r="K13" s="2">
        <v>99684.44</v>
      </c>
      <c r="L13" s="2">
        <v>28197546</v>
      </c>
      <c r="M13" t="s">
        <v>19</v>
      </c>
      <c r="N13" s="1">
        <v>8614</v>
      </c>
      <c r="O13" s="2">
        <v>663704</v>
      </c>
      <c r="P13" s="2">
        <v>610774.5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23513</v>
      </c>
      <c r="C14" s="2">
        <v>666354.4</v>
      </c>
      <c r="D14" s="2">
        <v>605137.69999999995</v>
      </c>
      <c r="E14" s="2">
        <v>85418.51</v>
      </c>
      <c r="F14" s="2">
        <v>28197546</v>
      </c>
      <c r="G14" t="s">
        <v>20</v>
      </c>
      <c r="H14" s="1">
        <v>14899</v>
      </c>
      <c r="I14" s="2">
        <v>671895.9</v>
      </c>
      <c r="J14" s="2">
        <v>622943.6</v>
      </c>
      <c r="K14" s="2">
        <v>118448.6</v>
      </c>
      <c r="L14" s="2">
        <v>28197546</v>
      </c>
      <c r="M14" t="s">
        <v>20</v>
      </c>
      <c r="N14" s="1">
        <v>8614</v>
      </c>
      <c r="O14" s="2">
        <v>656769.6</v>
      </c>
      <c r="P14" s="2">
        <v>572944.6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23513</v>
      </c>
      <c r="C15" s="2">
        <v>8374.7119999999995</v>
      </c>
      <c r="D15" s="2">
        <v>47901.36</v>
      </c>
      <c r="E15" s="1">
        <v>-300000</v>
      </c>
      <c r="F15" s="1">
        <v>4750000</v>
      </c>
      <c r="G15" t="s">
        <v>190</v>
      </c>
      <c r="H15" s="1">
        <v>14899</v>
      </c>
      <c r="I15" s="2">
        <v>9712.7950000000001</v>
      </c>
      <c r="J15" s="2">
        <v>32753.94</v>
      </c>
      <c r="K15" s="1">
        <v>-152000</v>
      </c>
      <c r="L15" s="1">
        <v>750000</v>
      </c>
      <c r="M15" t="s">
        <v>190</v>
      </c>
      <c r="N15" s="1">
        <v>8614</v>
      </c>
      <c r="O15" s="2">
        <v>6060.3280000000004</v>
      </c>
      <c r="P15" s="2">
        <v>66329.289999999994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23513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14899</v>
      </c>
      <c r="I16">
        <v>1E-3</v>
      </c>
      <c r="J16">
        <v>3.4000000000000002E-2</v>
      </c>
      <c r="K16">
        <v>0</v>
      </c>
      <c r="L16">
        <v>1</v>
      </c>
      <c r="M16" t="s">
        <v>21</v>
      </c>
      <c r="N16" s="1">
        <v>8614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23513</v>
      </c>
      <c r="C17">
        <v>2.7E-2</v>
      </c>
      <c r="D17">
        <v>0.16300000000000001</v>
      </c>
      <c r="E17">
        <v>0</v>
      </c>
      <c r="F17">
        <v>1</v>
      </c>
      <c r="G17" t="s">
        <v>22</v>
      </c>
      <c r="H17" s="1">
        <v>14899</v>
      </c>
      <c r="I17">
        <v>0.03</v>
      </c>
      <c r="J17">
        <v>0.17</v>
      </c>
      <c r="K17">
        <v>0</v>
      </c>
      <c r="L17">
        <v>1</v>
      </c>
      <c r="M17" t="s">
        <v>22</v>
      </c>
      <c r="N17" s="1">
        <v>8614</v>
      </c>
      <c r="O17">
        <v>2.3E-2</v>
      </c>
      <c r="P17">
        <v>0.151</v>
      </c>
      <c r="Q17">
        <v>0</v>
      </c>
      <c r="R17">
        <v>1</v>
      </c>
    </row>
    <row r="18" spans="1:18" x14ac:dyDescent="0.25">
      <c r="A18" t="s">
        <v>23</v>
      </c>
      <c r="B18" s="1">
        <v>23513</v>
      </c>
      <c r="C18">
        <v>6.0000000000000001E-3</v>
      </c>
      <c r="D18">
        <v>7.5999999999999998E-2</v>
      </c>
      <c r="E18">
        <v>0</v>
      </c>
      <c r="F18">
        <v>1</v>
      </c>
      <c r="G18" t="s">
        <v>23</v>
      </c>
      <c r="H18" s="1">
        <v>14899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8614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23513</v>
      </c>
      <c r="C19">
        <v>0.16700000000000001</v>
      </c>
      <c r="D19">
        <v>0.373</v>
      </c>
      <c r="E19">
        <v>0</v>
      </c>
      <c r="F19">
        <v>1</v>
      </c>
      <c r="G19" t="s">
        <v>24</v>
      </c>
      <c r="H19" s="1">
        <v>14899</v>
      </c>
      <c r="I19">
        <v>0.17199999999999999</v>
      </c>
      <c r="J19">
        <v>0.378</v>
      </c>
      <c r="K19">
        <v>0</v>
      </c>
      <c r="L19">
        <v>1</v>
      </c>
      <c r="M19" t="s">
        <v>24</v>
      </c>
      <c r="N19" s="1">
        <v>8614</v>
      </c>
      <c r="O19">
        <v>0.157</v>
      </c>
      <c r="P19">
        <v>0.36399999999999999</v>
      </c>
      <c r="Q19">
        <v>0</v>
      </c>
      <c r="R19">
        <v>1</v>
      </c>
    </row>
    <row r="20" spans="1:18" x14ac:dyDescent="0.25">
      <c r="A20" t="s">
        <v>25</v>
      </c>
      <c r="B20" s="1">
        <v>23513</v>
      </c>
      <c r="C20">
        <v>0.54400000000000004</v>
      </c>
      <c r="D20">
        <v>0.498</v>
      </c>
      <c r="E20">
        <v>0</v>
      </c>
      <c r="F20">
        <v>1</v>
      </c>
      <c r="G20" t="s">
        <v>25</v>
      </c>
      <c r="H20" s="1">
        <v>14899</v>
      </c>
      <c r="I20">
        <v>0.52300000000000002</v>
      </c>
      <c r="J20">
        <v>0.499</v>
      </c>
      <c r="K20">
        <v>0</v>
      </c>
      <c r="L20">
        <v>1</v>
      </c>
      <c r="M20" t="s">
        <v>25</v>
      </c>
      <c r="N20" s="1">
        <v>8614</v>
      </c>
      <c r="O20">
        <v>0.57999999999999996</v>
      </c>
      <c r="P20">
        <v>0.49399999999999999</v>
      </c>
      <c r="Q20">
        <v>0</v>
      </c>
      <c r="R20">
        <v>1</v>
      </c>
    </row>
    <row r="21" spans="1:18" x14ac:dyDescent="0.25">
      <c r="A21" t="s">
        <v>26</v>
      </c>
      <c r="B21" s="1">
        <v>23513</v>
      </c>
      <c r="C21">
        <v>0.29399999999999998</v>
      </c>
      <c r="D21">
        <v>0.45500000000000002</v>
      </c>
      <c r="E21">
        <v>0</v>
      </c>
      <c r="F21">
        <v>1</v>
      </c>
      <c r="G21" t="s">
        <v>26</v>
      </c>
      <c r="H21" s="1">
        <v>14899</v>
      </c>
      <c r="I21">
        <v>0.312</v>
      </c>
      <c r="J21">
        <v>0.46300000000000002</v>
      </c>
      <c r="K21">
        <v>0</v>
      </c>
      <c r="L21">
        <v>1</v>
      </c>
      <c r="M21" t="s">
        <v>26</v>
      </c>
      <c r="N21" s="1">
        <v>8614</v>
      </c>
      <c r="O21">
        <v>0.26200000000000001</v>
      </c>
      <c r="P21">
        <v>0.44</v>
      </c>
      <c r="Q21">
        <v>0</v>
      </c>
      <c r="R21">
        <v>1</v>
      </c>
    </row>
    <row r="22" spans="1:18" x14ac:dyDescent="0.25">
      <c r="A22" t="s">
        <v>27</v>
      </c>
      <c r="B22" s="1">
        <v>23513</v>
      </c>
      <c r="C22">
        <v>6.7000000000000004E-2</v>
      </c>
      <c r="D22">
        <v>0.249</v>
      </c>
      <c r="E22">
        <v>0</v>
      </c>
      <c r="F22">
        <v>1</v>
      </c>
      <c r="G22" t="s">
        <v>27</v>
      </c>
      <c r="H22" s="1">
        <v>14899</v>
      </c>
      <c r="I22">
        <v>6.6000000000000003E-2</v>
      </c>
      <c r="J22">
        <v>0.248</v>
      </c>
      <c r="K22">
        <v>0</v>
      </c>
      <c r="L22">
        <v>1</v>
      </c>
      <c r="M22" t="s">
        <v>27</v>
      </c>
      <c r="N22" s="1">
        <v>8614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23513</v>
      </c>
      <c r="C23">
        <v>3.0000000000000001E-3</v>
      </c>
      <c r="D23">
        <v>5.1999999999999998E-2</v>
      </c>
      <c r="E23">
        <v>0</v>
      </c>
      <c r="F23">
        <v>1</v>
      </c>
      <c r="G23" t="s">
        <v>28</v>
      </c>
      <c r="H23" s="1">
        <v>14899</v>
      </c>
      <c r="I23">
        <v>3.0000000000000001E-3</v>
      </c>
      <c r="J23">
        <v>5.6000000000000001E-2</v>
      </c>
      <c r="K23">
        <v>0</v>
      </c>
      <c r="L23">
        <v>1</v>
      </c>
      <c r="M23" t="s">
        <v>28</v>
      </c>
      <c r="N23" s="1">
        <v>8614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23513</v>
      </c>
      <c r="C24">
        <v>0</v>
      </c>
      <c r="D24">
        <v>0</v>
      </c>
      <c r="E24">
        <v>0</v>
      </c>
      <c r="F24">
        <v>0</v>
      </c>
      <c r="G24" t="s">
        <v>29</v>
      </c>
      <c r="H24" s="1">
        <v>14899</v>
      </c>
      <c r="I24">
        <v>0</v>
      </c>
      <c r="J24">
        <v>0</v>
      </c>
      <c r="K24">
        <v>0</v>
      </c>
      <c r="L24">
        <v>0</v>
      </c>
      <c r="M24" t="s">
        <v>29</v>
      </c>
      <c r="N24" s="1">
        <v>8614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23513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14899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8614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23513</v>
      </c>
      <c r="C26">
        <v>8.1000000000000003E-2</v>
      </c>
      <c r="D26">
        <v>0.27300000000000002</v>
      </c>
      <c r="E26">
        <v>0</v>
      </c>
      <c r="F26">
        <v>1</v>
      </c>
      <c r="G26" t="s">
        <v>31</v>
      </c>
      <c r="H26" s="1">
        <v>14899</v>
      </c>
      <c r="I26">
        <v>8.4000000000000005E-2</v>
      </c>
      <c r="J26">
        <v>0.27800000000000002</v>
      </c>
      <c r="K26">
        <v>0</v>
      </c>
      <c r="L26">
        <v>1</v>
      </c>
      <c r="M26" t="s">
        <v>31</v>
      </c>
      <c r="N26" s="1">
        <v>8614</v>
      </c>
      <c r="O26">
        <v>7.5999999999999998E-2</v>
      </c>
      <c r="P26">
        <v>0.26600000000000001</v>
      </c>
      <c r="Q26">
        <v>0</v>
      </c>
      <c r="R26">
        <v>1</v>
      </c>
    </row>
    <row r="27" spans="1:18" x14ac:dyDescent="0.25">
      <c r="A27" t="s">
        <v>32</v>
      </c>
      <c r="B27" s="1">
        <v>23513</v>
      </c>
      <c r="C27">
        <v>4.0000000000000003E-5</v>
      </c>
      <c r="D27">
        <v>7.0000000000000001E-3</v>
      </c>
      <c r="E27">
        <v>0</v>
      </c>
      <c r="F27">
        <v>1</v>
      </c>
      <c r="G27" t="s">
        <v>32</v>
      </c>
      <c r="H27" s="1">
        <v>14899</v>
      </c>
      <c r="I27">
        <v>1E-4</v>
      </c>
      <c r="J27">
        <v>8.0000000000000002E-3</v>
      </c>
      <c r="K27">
        <v>0</v>
      </c>
      <c r="L27">
        <v>1</v>
      </c>
      <c r="M27" t="s">
        <v>32</v>
      </c>
      <c r="N27" s="1">
        <v>8614</v>
      </c>
      <c r="O27">
        <v>0</v>
      </c>
      <c r="P27">
        <v>0</v>
      </c>
      <c r="Q27">
        <v>0</v>
      </c>
      <c r="R27">
        <v>0</v>
      </c>
    </row>
    <row r="28" spans="1:18" x14ac:dyDescent="0.25">
      <c r="A28" t="s">
        <v>33</v>
      </c>
      <c r="B28" s="1">
        <v>23513</v>
      </c>
      <c r="C28">
        <v>35.106000000000002</v>
      </c>
      <c r="D28">
        <v>16.350000000000001</v>
      </c>
      <c r="E28">
        <v>0</v>
      </c>
      <c r="F28">
        <v>90</v>
      </c>
      <c r="G28" t="s">
        <v>33</v>
      </c>
      <c r="H28" s="1">
        <v>14899</v>
      </c>
      <c r="I28">
        <v>33.661000000000001</v>
      </c>
      <c r="J28">
        <v>16.100999999999999</v>
      </c>
      <c r="K28">
        <v>0</v>
      </c>
      <c r="L28">
        <v>90</v>
      </c>
      <c r="M28" t="s">
        <v>33</v>
      </c>
      <c r="N28" s="1">
        <v>8614</v>
      </c>
      <c r="O28">
        <v>37.606000000000002</v>
      </c>
      <c r="P28">
        <v>16.475999999999999</v>
      </c>
      <c r="Q28">
        <v>0</v>
      </c>
      <c r="R28">
        <v>83</v>
      </c>
    </row>
    <row r="29" spans="1:18" x14ac:dyDescent="0.25">
      <c r="A29" t="s">
        <v>34</v>
      </c>
      <c r="B29" s="1">
        <v>23513</v>
      </c>
      <c r="C29">
        <v>1.5</v>
      </c>
      <c r="D29">
        <v>1.0169999999999999</v>
      </c>
      <c r="E29">
        <v>0</v>
      </c>
      <c r="F29">
        <v>8.1</v>
      </c>
      <c r="G29" t="s">
        <v>34</v>
      </c>
      <c r="H29" s="1">
        <v>14899</v>
      </c>
      <c r="I29">
        <v>1.3919999999999999</v>
      </c>
      <c r="J29">
        <v>0.97099999999999997</v>
      </c>
      <c r="K29">
        <v>0</v>
      </c>
      <c r="L29">
        <v>8.1</v>
      </c>
      <c r="M29" t="s">
        <v>34</v>
      </c>
      <c r="N29" s="1">
        <v>8614</v>
      </c>
      <c r="O29">
        <v>1.6859999999999999</v>
      </c>
      <c r="P29">
        <v>1.0680000000000001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23513</v>
      </c>
      <c r="C30">
        <v>1.4279999999999999</v>
      </c>
      <c r="D30">
        <v>4.0570000000000004</v>
      </c>
      <c r="E30">
        <v>0</v>
      </c>
      <c r="F30">
        <v>57</v>
      </c>
      <c r="G30" t="s">
        <v>35</v>
      </c>
      <c r="H30" s="1">
        <v>14899</v>
      </c>
      <c r="I30">
        <v>1.3740000000000001</v>
      </c>
      <c r="J30">
        <v>3.8679999999999999</v>
      </c>
      <c r="K30">
        <v>0</v>
      </c>
      <c r="L30">
        <v>57</v>
      </c>
      <c r="M30" t="s">
        <v>35</v>
      </c>
      <c r="N30" s="1">
        <v>8614</v>
      </c>
      <c r="O30">
        <v>1.5209999999999999</v>
      </c>
      <c r="P30">
        <v>4.3639999999999999</v>
      </c>
      <c r="Q30">
        <v>0</v>
      </c>
      <c r="R30">
        <v>45</v>
      </c>
    </row>
    <row r="31" spans="1:18" x14ac:dyDescent="0.25">
      <c r="A31" t="s">
        <v>18</v>
      </c>
      <c r="B31" s="1">
        <v>23513</v>
      </c>
      <c r="C31">
        <v>957.16099999999994</v>
      </c>
      <c r="D31">
        <v>441.86900000000003</v>
      </c>
      <c r="E31">
        <v>175</v>
      </c>
      <c r="F31" s="1">
        <v>11155</v>
      </c>
      <c r="G31" t="s">
        <v>18</v>
      </c>
      <c r="H31" s="1">
        <v>14899</v>
      </c>
      <c r="I31">
        <v>967.23699999999997</v>
      </c>
      <c r="J31">
        <v>439.84399999999999</v>
      </c>
      <c r="K31">
        <v>195</v>
      </c>
      <c r="L31" s="1">
        <v>7582</v>
      </c>
      <c r="M31" t="s">
        <v>18</v>
      </c>
      <c r="N31" s="1">
        <v>8614</v>
      </c>
      <c r="O31">
        <v>939.73299999999995</v>
      </c>
      <c r="P31">
        <v>444.83600000000001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23513</v>
      </c>
      <c r="C32">
        <v>4.7690000000000001</v>
      </c>
      <c r="D32">
        <v>6.7720000000000002</v>
      </c>
      <c r="E32">
        <v>1.4E-2</v>
      </c>
      <c r="F32">
        <v>111.96899999999999</v>
      </c>
      <c r="G32" t="s">
        <v>37</v>
      </c>
      <c r="H32" s="1">
        <v>14899</v>
      </c>
      <c r="I32">
        <v>4.8259999999999996</v>
      </c>
      <c r="J32">
        <v>6.7750000000000004</v>
      </c>
      <c r="K32">
        <v>1.4E-2</v>
      </c>
      <c r="L32">
        <v>52.774999999999999</v>
      </c>
      <c r="M32" t="s">
        <v>37</v>
      </c>
      <c r="N32" s="1">
        <v>8614</v>
      </c>
      <c r="O32">
        <v>4.6710000000000003</v>
      </c>
      <c r="P32">
        <v>6.7649999999999997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23513</v>
      </c>
      <c r="C33">
        <v>1.698</v>
      </c>
      <c r="D33">
        <v>2.214</v>
      </c>
      <c r="E33">
        <v>0</v>
      </c>
      <c r="F33">
        <v>12.788</v>
      </c>
      <c r="G33" t="s">
        <v>164</v>
      </c>
      <c r="H33" s="1">
        <v>14899</v>
      </c>
      <c r="I33">
        <v>1.7629999999999999</v>
      </c>
      <c r="J33">
        <v>2.3050000000000002</v>
      </c>
      <c r="K33">
        <v>0</v>
      </c>
      <c r="L33">
        <v>12.788</v>
      </c>
      <c r="M33" t="s">
        <v>164</v>
      </c>
      <c r="N33" s="1">
        <v>8614</v>
      </c>
      <c r="O33">
        <v>1.5860000000000001</v>
      </c>
      <c r="P33">
        <v>2.0430000000000001</v>
      </c>
      <c r="Q33">
        <v>0</v>
      </c>
      <c r="R33">
        <v>12.788</v>
      </c>
    </row>
    <row r="34" spans="1:18" x14ac:dyDescent="0.25">
      <c r="A34" t="s">
        <v>39</v>
      </c>
      <c r="B34" s="1">
        <v>23513</v>
      </c>
      <c r="C34">
        <v>0.33700000000000002</v>
      </c>
      <c r="D34">
        <v>0.26700000000000002</v>
      </c>
      <c r="E34">
        <v>0</v>
      </c>
      <c r="F34">
        <v>2.165</v>
      </c>
      <c r="G34" t="s">
        <v>39</v>
      </c>
      <c r="H34" s="1">
        <v>14899</v>
      </c>
      <c r="I34">
        <v>0.33700000000000002</v>
      </c>
      <c r="J34">
        <v>0.26300000000000001</v>
      </c>
      <c r="K34">
        <v>1.2E-2</v>
      </c>
      <c r="L34">
        <v>1.7529999999999999</v>
      </c>
      <c r="M34" t="s">
        <v>39</v>
      </c>
      <c r="N34" s="1">
        <v>8614</v>
      </c>
      <c r="O34">
        <v>0.33800000000000002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23513</v>
      </c>
      <c r="C35">
        <v>3.0950000000000002</v>
      </c>
      <c r="D35">
        <v>3.4359999999999999</v>
      </c>
      <c r="E35">
        <v>1.4999999999999999E-2</v>
      </c>
      <c r="F35">
        <v>20.402999999999999</v>
      </c>
      <c r="G35" t="s">
        <v>40</v>
      </c>
      <c r="H35" s="1">
        <v>14899</v>
      </c>
      <c r="I35">
        <v>3.0790000000000002</v>
      </c>
      <c r="J35">
        <v>3.32</v>
      </c>
      <c r="K35">
        <v>1.4999999999999999E-2</v>
      </c>
      <c r="L35">
        <v>20.402999999999999</v>
      </c>
      <c r="M35" t="s">
        <v>40</v>
      </c>
      <c r="N35" s="1">
        <v>8614</v>
      </c>
      <c r="O35">
        <v>3.1230000000000002</v>
      </c>
      <c r="P35">
        <v>3.6280000000000001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23513</v>
      </c>
      <c r="C36">
        <v>7.5410000000000004</v>
      </c>
      <c r="D36">
        <v>5.1440000000000001</v>
      </c>
      <c r="E36">
        <v>0.99299999999999999</v>
      </c>
      <c r="F36">
        <v>25.135999999999999</v>
      </c>
      <c r="G36" t="s">
        <v>41</v>
      </c>
      <c r="H36" s="1">
        <v>14899</v>
      </c>
      <c r="I36">
        <v>7.617</v>
      </c>
      <c r="J36">
        <v>5.194</v>
      </c>
      <c r="K36">
        <v>0.99299999999999999</v>
      </c>
      <c r="L36">
        <v>25.135999999999999</v>
      </c>
      <c r="M36" t="s">
        <v>41</v>
      </c>
      <c r="N36" s="1">
        <v>8614</v>
      </c>
      <c r="O36">
        <v>7.4080000000000004</v>
      </c>
      <c r="P36">
        <v>5.056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23513</v>
      </c>
      <c r="C37">
        <v>1.2569999999999999</v>
      </c>
      <c r="D37">
        <v>6.17</v>
      </c>
      <c r="E37">
        <v>4.2999999999999997E-2</v>
      </c>
      <c r="F37">
        <v>196.49</v>
      </c>
      <c r="G37" t="s">
        <v>173</v>
      </c>
      <c r="H37" s="1">
        <v>14899</v>
      </c>
      <c r="I37">
        <v>1.2909999999999999</v>
      </c>
      <c r="J37">
        <v>6.4619999999999997</v>
      </c>
      <c r="K37">
        <v>4.2999999999999997E-2</v>
      </c>
      <c r="L37">
        <v>196.49</v>
      </c>
      <c r="M37" t="s">
        <v>173</v>
      </c>
      <c r="N37" s="1">
        <v>8614</v>
      </c>
      <c r="O37">
        <v>1.1990000000000001</v>
      </c>
      <c r="P37">
        <v>5.63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23513</v>
      </c>
      <c r="C38">
        <v>1.944</v>
      </c>
      <c r="D38">
        <v>1.3129999999999999</v>
      </c>
      <c r="E38">
        <v>7.0999999999999994E-2</v>
      </c>
      <c r="F38">
        <v>7.2789999999999999</v>
      </c>
      <c r="G38" t="s">
        <v>174</v>
      </c>
      <c r="H38" s="1">
        <v>14899</v>
      </c>
      <c r="I38">
        <v>1.95</v>
      </c>
      <c r="J38">
        <v>1.32</v>
      </c>
      <c r="K38">
        <v>7.3999999999999996E-2</v>
      </c>
      <c r="L38">
        <v>7.2789999999999999</v>
      </c>
      <c r="M38" t="s">
        <v>174</v>
      </c>
      <c r="N38" s="1">
        <v>8614</v>
      </c>
      <c r="O38">
        <v>1.9330000000000001</v>
      </c>
      <c r="P38">
        <v>1.302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23513</v>
      </c>
      <c r="C39">
        <v>1.7949999999999999</v>
      </c>
      <c r="D39">
        <v>1.194</v>
      </c>
      <c r="E39">
        <v>3.4000000000000002E-2</v>
      </c>
      <c r="F39">
        <v>6.8040000000000003</v>
      </c>
      <c r="G39" t="s">
        <v>175</v>
      </c>
      <c r="H39" s="1">
        <v>14899</v>
      </c>
      <c r="I39">
        <v>1.8220000000000001</v>
      </c>
      <c r="J39">
        <v>1.2010000000000001</v>
      </c>
      <c r="K39">
        <v>3.4000000000000002E-2</v>
      </c>
      <c r="L39">
        <v>6.8040000000000003</v>
      </c>
      <c r="M39" t="s">
        <v>175</v>
      </c>
      <c r="N39" s="1">
        <v>8614</v>
      </c>
      <c r="O39">
        <v>1.7490000000000001</v>
      </c>
      <c r="P39">
        <v>1.179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23513</v>
      </c>
      <c r="C40">
        <v>0.27100000000000002</v>
      </c>
      <c r="D40">
        <v>0.187</v>
      </c>
      <c r="E40">
        <v>0</v>
      </c>
      <c r="F40">
        <v>0.82799999999999996</v>
      </c>
      <c r="G40" t="s">
        <v>42</v>
      </c>
      <c r="H40" s="1">
        <v>14899</v>
      </c>
      <c r="I40">
        <v>0.27500000000000002</v>
      </c>
      <c r="J40">
        <v>0.192</v>
      </c>
      <c r="K40">
        <v>0</v>
      </c>
      <c r="L40">
        <v>0.82799999999999996</v>
      </c>
      <c r="M40" t="s">
        <v>42</v>
      </c>
      <c r="N40" s="1">
        <v>8614</v>
      </c>
      <c r="O40">
        <v>0.26400000000000001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23513</v>
      </c>
      <c r="C41">
        <v>2.1999999999999999E-2</v>
      </c>
      <c r="D41">
        <v>3.5000000000000003E-2</v>
      </c>
      <c r="E41">
        <v>0</v>
      </c>
      <c r="F41">
        <v>0.24099999999999999</v>
      </c>
      <c r="G41" t="s">
        <v>43</v>
      </c>
      <c r="H41" s="1">
        <v>14899</v>
      </c>
      <c r="I41">
        <v>2.1999999999999999E-2</v>
      </c>
      <c r="J41">
        <v>3.5000000000000003E-2</v>
      </c>
      <c r="K41">
        <v>0</v>
      </c>
      <c r="L41">
        <v>0.24099999999999999</v>
      </c>
      <c r="M41" t="s">
        <v>43</v>
      </c>
      <c r="N41" s="1">
        <v>8614</v>
      </c>
      <c r="O41">
        <v>2.1999999999999999E-2</v>
      </c>
      <c r="P41">
        <v>3.5000000000000003E-2</v>
      </c>
      <c r="Q41">
        <v>0</v>
      </c>
      <c r="R41">
        <v>0.24099999999999999</v>
      </c>
    </row>
    <row r="42" spans="1:18" x14ac:dyDescent="0.25">
      <c r="A42" t="s">
        <v>44</v>
      </c>
      <c r="B42" s="1">
        <v>23513</v>
      </c>
      <c r="C42">
        <v>0.44700000000000001</v>
      </c>
      <c r="D42">
        <v>0.19500000000000001</v>
      </c>
      <c r="E42">
        <v>1.4E-2</v>
      </c>
      <c r="F42">
        <v>1</v>
      </c>
      <c r="G42" t="s">
        <v>44</v>
      </c>
      <c r="H42" s="1">
        <v>14899</v>
      </c>
      <c r="I42">
        <v>0.441</v>
      </c>
      <c r="J42">
        <v>0.19500000000000001</v>
      </c>
      <c r="K42">
        <v>1.4E-2</v>
      </c>
      <c r="L42">
        <v>1</v>
      </c>
      <c r="M42" t="s">
        <v>44</v>
      </c>
      <c r="N42" s="1">
        <v>8614</v>
      </c>
      <c r="O42">
        <v>0.45600000000000002</v>
      </c>
      <c r="P42">
        <v>0.19400000000000001</v>
      </c>
      <c r="Q42">
        <v>1.4E-2</v>
      </c>
      <c r="R42">
        <v>1</v>
      </c>
    </row>
    <row r="43" spans="1:18" x14ac:dyDescent="0.25">
      <c r="A43" t="s">
        <v>45</v>
      </c>
      <c r="B43" s="1">
        <v>23513</v>
      </c>
      <c r="C43">
        <v>5.7000000000000002E-2</v>
      </c>
      <c r="D43">
        <v>8.5000000000000006E-2</v>
      </c>
      <c r="E43">
        <v>0</v>
      </c>
      <c r="F43">
        <v>0.64</v>
      </c>
      <c r="G43" t="s">
        <v>45</v>
      </c>
      <c r="H43" s="1">
        <v>14899</v>
      </c>
      <c r="I43">
        <v>5.7000000000000002E-2</v>
      </c>
      <c r="J43">
        <v>8.5000000000000006E-2</v>
      </c>
      <c r="K43">
        <v>0</v>
      </c>
      <c r="L43">
        <v>0.64</v>
      </c>
      <c r="M43" t="s">
        <v>45</v>
      </c>
      <c r="N43" s="1">
        <v>8614</v>
      </c>
      <c r="O43">
        <v>5.6000000000000001E-2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23513</v>
      </c>
      <c r="C44">
        <v>0.82899999999999996</v>
      </c>
      <c r="D44">
        <v>0.19700000000000001</v>
      </c>
      <c r="E44">
        <v>0.107</v>
      </c>
      <c r="F44">
        <v>1</v>
      </c>
      <c r="G44" t="s">
        <v>46</v>
      </c>
      <c r="H44" s="1">
        <v>14899</v>
      </c>
      <c r="I44">
        <v>0.83299999999999996</v>
      </c>
      <c r="J44">
        <v>0.20100000000000001</v>
      </c>
      <c r="K44">
        <v>0.107</v>
      </c>
      <c r="L44">
        <v>1</v>
      </c>
      <c r="M44" t="s">
        <v>46</v>
      </c>
      <c r="N44" s="1">
        <v>8614</v>
      </c>
      <c r="O44">
        <v>0.82299999999999995</v>
      </c>
      <c r="P44">
        <v>0.191</v>
      </c>
      <c r="Q44">
        <v>0.107</v>
      </c>
      <c r="R44">
        <v>1</v>
      </c>
    </row>
    <row r="45" spans="1:18" x14ac:dyDescent="0.25">
      <c r="A45" t="s">
        <v>47</v>
      </c>
      <c r="B45" s="1">
        <v>23513</v>
      </c>
      <c r="C45">
        <v>0.17</v>
      </c>
      <c r="D45">
        <v>0.19700000000000001</v>
      </c>
      <c r="E45">
        <v>0</v>
      </c>
      <c r="F45">
        <v>0.89300000000000002</v>
      </c>
      <c r="G45" t="s">
        <v>47</v>
      </c>
      <c r="H45" s="1">
        <v>14899</v>
      </c>
      <c r="I45">
        <v>0.16700000000000001</v>
      </c>
      <c r="J45">
        <v>0.2</v>
      </c>
      <c r="K45">
        <v>0</v>
      </c>
      <c r="L45">
        <v>0.89300000000000002</v>
      </c>
      <c r="M45" t="s">
        <v>47</v>
      </c>
      <c r="N45" s="1">
        <v>8614</v>
      </c>
      <c r="O45">
        <v>0.17499999999999999</v>
      </c>
      <c r="P45">
        <v>0.19</v>
      </c>
      <c r="Q45">
        <v>0</v>
      </c>
      <c r="R45">
        <v>0.89300000000000002</v>
      </c>
    </row>
    <row r="46" spans="1:18" x14ac:dyDescent="0.25">
      <c r="A46" t="s">
        <v>48</v>
      </c>
      <c r="B46" s="1">
        <v>23513</v>
      </c>
      <c r="C46">
        <v>0.57699999999999996</v>
      </c>
      <c r="D46">
        <v>0.192</v>
      </c>
      <c r="E46">
        <v>2.8000000000000001E-2</v>
      </c>
      <c r="F46">
        <v>0.98499999999999999</v>
      </c>
      <c r="G46" t="s">
        <v>48</v>
      </c>
      <c r="H46" s="1">
        <v>14899</v>
      </c>
      <c r="I46">
        <v>0.58399999999999996</v>
      </c>
      <c r="J46">
        <v>0.188</v>
      </c>
      <c r="K46">
        <v>2.8000000000000001E-2</v>
      </c>
      <c r="L46">
        <v>0.98499999999999999</v>
      </c>
      <c r="M46" t="s">
        <v>48</v>
      </c>
      <c r="N46" s="1">
        <v>8614</v>
      </c>
      <c r="O46">
        <v>0.56499999999999995</v>
      </c>
      <c r="P46">
        <v>0.19700000000000001</v>
      </c>
      <c r="Q46">
        <v>0.06</v>
      </c>
      <c r="R46">
        <v>0.98099999999999998</v>
      </c>
    </row>
    <row r="47" spans="1:18" x14ac:dyDescent="0.25">
      <c r="A47" t="s">
        <v>49</v>
      </c>
      <c r="B47" s="1">
        <v>23513</v>
      </c>
      <c r="C47">
        <v>0.42199999999999999</v>
      </c>
      <c r="D47">
        <v>0.191</v>
      </c>
      <c r="E47">
        <v>1.4999999999999999E-2</v>
      </c>
      <c r="F47">
        <v>0.97199999999999998</v>
      </c>
      <c r="G47" t="s">
        <v>49</v>
      </c>
      <c r="H47" s="1">
        <v>14899</v>
      </c>
      <c r="I47">
        <v>0.41599999999999998</v>
      </c>
      <c r="J47">
        <v>0.188</v>
      </c>
      <c r="K47">
        <v>1.4999999999999999E-2</v>
      </c>
      <c r="L47">
        <v>0.97199999999999998</v>
      </c>
      <c r="M47" t="s">
        <v>49</v>
      </c>
      <c r="N47" s="1">
        <v>8614</v>
      </c>
      <c r="O47">
        <v>0.434</v>
      </c>
      <c r="P47">
        <v>0.19600000000000001</v>
      </c>
      <c r="Q47">
        <v>1.9E-2</v>
      </c>
      <c r="R47">
        <v>0.94</v>
      </c>
    </row>
    <row r="48" spans="1:18" x14ac:dyDescent="0.25">
      <c r="A48" t="s">
        <v>50</v>
      </c>
      <c r="B48" s="1">
        <v>23513</v>
      </c>
      <c r="C48">
        <v>11.193</v>
      </c>
      <c r="D48">
        <v>40.249000000000002</v>
      </c>
      <c r="E48">
        <v>0</v>
      </c>
      <c r="F48" s="1">
        <v>1000</v>
      </c>
      <c r="G48" t="s">
        <v>50</v>
      </c>
      <c r="H48" s="1">
        <v>14899</v>
      </c>
      <c r="I48">
        <v>11.281000000000001</v>
      </c>
      <c r="J48">
        <v>38.826999999999998</v>
      </c>
      <c r="K48">
        <v>0</v>
      </c>
      <c r="L48">
        <v>651</v>
      </c>
      <c r="M48" t="s">
        <v>50</v>
      </c>
      <c r="N48" s="1">
        <v>8614</v>
      </c>
      <c r="O48">
        <v>11.04</v>
      </c>
      <c r="P48">
        <v>42.6</v>
      </c>
      <c r="Q48">
        <v>0</v>
      </c>
      <c r="R48" s="1">
        <v>1000</v>
      </c>
    </row>
    <row r="49" spans="1:18" x14ac:dyDescent="0.25">
      <c r="A49" t="s">
        <v>51</v>
      </c>
      <c r="B49" s="1">
        <v>23513</v>
      </c>
      <c r="C49">
        <v>1.3320000000000001</v>
      </c>
      <c r="D49">
        <v>1.9279999999999999</v>
      </c>
      <c r="E49">
        <v>0</v>
      </c>
      <c r="F49">
        <v>36</v>
      </c>
      <c r="G49" t="s">
        <v>51</v>
      </c>
      <c r="H49" s="1">
        <v>14899</v>
      </c>
      <c r="I49">
        <v>1.3180000000000001</v>
      </c>
      <c r="J49">
        <v>1.9430000000000001</v>
      </c>
      <c r="K49">
        <v>0</v>
      </c>
      <c r="L49">
        <v>36</v>
      </c>
      <c r="M49" t="s">
        <v>51</v>
      </c>
      <c r="N49" s="1">
        <v>8614</v>
      </c>
      <c r="O49">
        <v>1.355</v>
      </c>
      <c r="P49">
        <v>1.901</v>
      </c>
      <c r="Q49">
        <v>0</v>
      </c>
      <c r="R49">
        <v>23</v>
      </c>
    </row>
    <row r="50" spans="1:18" x14ac:dyDescent="0.25">
      <c r="A50" t="s">
        <v>52</v>
      </c>
      <c r="B50" s="1">
        <v>23513</v>
      </c>
      <c r="C50">
        <v>0.35499999999999998</v>
      </c>
      <c r="D50">
        <v>0.47799999999999998</v>
      </c>
      <c r="E50">
        <v>0</v>
      </c>
      <c r="F50">
        <v>1</v>
      </c>
      <c r="G50" t="s">
        <v>52</v>
      </c>
      <c r="H50" s="1">
        <v>14899</v>
      </c>
      <c r="I50">
        <v>0.35099999999999998</v>
      </c>
      <c r="J50">
        <v>0.47699999999999998</v>
      </c>
      <c r="K50">
        <v>0</v>
      </c>
      <c r="L50">
        <v>1</v>
      </c>
      <c r="M50" t="s">
        <v>52</v>
      </c>
      <c r="N50" s="1">
        <v>8614</v>
      </c>
      <c r="O50">
        <v>0.36199999999999999</v>
      </c>
      <c r="P50">
        <v>0.48099999999999998</v>
      </c>
      <c r="Q50">
        <v>0</v>
      </c>
      <c r="R50">
        <v>1</v>
      </c>
    </row>
    <row r="51" spans="1:18" x14ac:dyDescent="0.25">
      <c r="A51" t="s">
        <v>53</v>
      </c>
      <c r="B51" s="1">
        <v>23513</v>
      </c>
      <c r="C51" s="2">
        <v>2359551</v>
      </c>
      <c r="D51" s="2">
        <v>6874.5780000000004</v>
      </c>
      <c r="E51" s="2">
        <v>2351041</v>
      </c>
      <c r="F51" s="2">
        <v>2400056</v>
      </c>
      <c r="G51" t="s">
        <v>53</v>
      </c>
      <c r="H51" s="1">
        <v>14899</v>
      </c>
      <c r="I51" s="2">
        <v>2359711</v>
      </c>
      <c r="J51" s="2">
        <v>6950.8329999999996</v>
      </c>
      <c r="K51" s="2">
        <v>2351041</v>
      </c>
      <c r="L51" s="2">
        <v>2400056</v>
      </c>
      <c r="M51" t="s">
        <v>53</v>
      </c>
      <c r="N51" s="1">
        <v>8614</v>
      </c>
      <c r="O51" s="2">
        <v>2359275</v>
      </c>
      <c r="P51" s="2">
        <v>6732.1040000000003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23513</v>
      </c>
      <c r="C52" s="2">
        <v>614679.1</v>
      </c>
      <c r="D52" s="2">
        <v>11377.33</v>
      </c>
      <c r="E52" s="2">
        <v>580446.1</v>
      </c>
      <c r="F52" s="2">
        <v>637819.69999999995</v>
      </c>
      <c r="G52" t="s">
        <v>54</v>
      </c>
      <c r="H52" s="1">
        <v>14899</v>
      </c>
      <c r="I52" s="2">
        <v>614420.30000000005</v>
      </c>
      <c r="J52" s="2">
        <v>11358.05</v>
      </c>
      <c r="K52" s="2">
        <v>580446.1</v>
      </c>
      <c r="L52" s="2">
        <v>637819.69999999995</v>
      </c>
      <c r="M52" t="s">
        <v>54</v>
      </c>
      <c r="N52" s="1">
        <v>8614</v>
      </c>
      <c r="O52" s="2">
        <v>615126.80000000005</v>
      </c>
      <c r="P52" s="2">
        <v>11397.4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23513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14899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8614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23513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14899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8614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23513</v>
      </c>
      <c r="C55">
        <v>0.26100000000000001</v>
      </c>
      <c r="D55">
        <v>0.439</v>
      </c>
      <c r="E55">
        <v>0</v>
      </c>
      <c r="F55">
        <v>1</v>
      </c>
      <c r="G55" t="s">
        <v>58</v>
      </c>
      <c r="H55" s="1">
        <v>14899</v>
      </c>
      <c r="I55">
        <v>0.27200000000000002</v>
      </c>
      <c r="J55">
        <v>0.44500000000000001</v>
      </c>
      <c r="K55">
        <v>0</v>
      </c>
      <c r="L55">
        <v>1</v>
      </c>
      <c r="M55" t="s">
        <v>58</v>
      </c>
      <c r="N55" s="1">
        <v>8614</v>
      </c>
      <c r="O55">
        <v>0.24299999999999999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23513</v>
      </c>
      <c r="C56">
        <v>0.19600000000000001</v>
      </c>
      <c r="D56">
        <v>0.39700000000000002</v>
      </c>
      <c r="E56">
        <v>0</v>
      </c>
      <c r="F56">
        <v>1</v>
      </c>
      <c r="G56" t="s">
        <v>59</v>
      </c>
      <c r="H56" s="1">
        <v>14899</v>
      </c>
      <c r="I56">
        <v>0.20499999999999999</v>
      </c>
      <c r="J56">
        <v>0.40400000000000003</v>
      </c>
      <c r="K56">
        <v>0</v>
      </c>
      <c r="L56">
        <v>1</v>
      </c>
      <c r="M56" t="s">
        <v>59</v>
      </c>
      <c r="N56" s="1">
        <v>8614</v>
      </c>
      <c r="O56">
        <v>0.17899999999999999</v>
      </c>
      <c r="P56">
        <v>0.38300000000000001</v>
      </c>
      <c r="Q56">
        <v>0</v>
      </c>
      <c r="R56">
        <v>1</v>
      </c>
    </row>
    <row r="57" spans="1:18" x14ac:dyDescent="0.25">
      <c r="A57" t="s">
        <v>60</v>
      </c>
      <c r="B57" s="1">
        <v>23513</v>
      </c>
      <c r="C57">
        <v>0.54300000000000004</v>
      </c>
      <c r="D57">
        <v>0.498</v>
      </c>
      <c r="E57">
        <v>0</v>
      </c>
      <c r="F57">
        <v>1</v>
      </c>
      <c r="G57" t="s">
        <v>60</v>
      </c>
      <c r="H57" s="1">
        <v>14899</v>
      </c>
      <c r="I57">
        <v>0.52300000000000002</v>
      </c>
      <c r="J57">
        <v>0.499</v>
      </c>
      <c r="K57">
        <v>0</v>
      </c>
      <c r="L57">
        <v>1</v>
      </c>
      <c r="M57" t="s">
        <v>60</v>
      </c>
      <c r="N57" s="1">
        <v>8614</v>
      </c>
      <c r="O57">
        <v>0.57899999999999996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23513</v>
      </c>
      <c r="C58" s="2">
        <v>2018.7940000000001</v>
      </c>
      <c r="D58">
        <v>1.9990000000000001</v>
      </c>
      <c r="E58" s="1">
        <v>2016</v>
      </c>
      <c r="F58" s="1">
        <v>2023</v>
      </c>
      <c r="G58" t="s">
        <v>61</v>
      </c>
      <c r="H58" s="1">
        <v>14899</v>
      </c>
      <c r="I58" s="2">
        <v>2017.4880000000001</v>
      </c>
      <c r="J58">
        <v>1.1499999999999999</v>
      </c>
      <c r="K58" s="1">
        <v>2016</v>
      </c>
      <c r="L58" s="1">
        <v>2020</v>
      </c>
      <c r="M58" t="s">
        <v>61</v>
      </c>
      <c r="N58" s="1">
        <v>8614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23513</v>
      </c>
      <c r="C59">
        <v>0.1</v>
      </c>
      <c r="D59">
        <v>0.3</v>
      </c>
      <c r="E59">
        <v>0</v>
      </c>
      <c r="F59">
        <v>1</v>
      </c>
      <c r="G59" t="s">
        <v>62</v>
      </c>
      <c r="H59" s="1">
        <v>14899</v>
      </c>
      <c r="I59">
        <v>0.108</v>
      </c>
      <c r="J59">
        <v>0.311</v>
      </c>
      <c r="K59">
        <v>0</v>
      </c>
      <c r="L59">
        <v>1</v>
      </c>
      <c r="M59" t="s">
        <v>62</v>
      </c>
      <c r="N59" s="1">
        <v>8614</v>
      </c>
      <c r="O59">
        <v>8.5999999999999993E-2</v>
      </c>
      <c r="P59">
        <v>0.28100000000000003</v>
      </c>
      <c r="Q59">
        <v>0</v>
      </c>
      <c r="R59">
        <v>1</v>
      </c>
    </row>
    <row r="60" spans="1:18" x14ac:dyDescent="0.25">
      <c r="A60" t="s">
        <v>63</v>
      </c>
      <c r="B60" s="1">
        <v>23513</v>
      </c>
      <c r="C60">
        <v>4.0000000000000002E-4</v>
      </c>
      <c r="D60">
        <v>2.1000000000000001E-2</v>
      </c>
      <c r="E60">
        <v>0</v>
      </c>
      <c r="F60">
        <v>1</v>
      </c>
      <c r="G60" t="s">
        <v>63</v>
      </c>
      <c r="H60" s="1">
        <v>14899</v>
      </c>
      <c r="I60">
        <v>2.9999999999999997E-4</v>
      </c>
      <c r="J60">
        <v>1.7999999999999999E-2</v>
      </c>
      <c r="K60">
        <v>0</v>
      </c>
      <c r="L60">
        <v>1</v>
      </c>
      <c r="M60" t="s">
        <v>63</v>
      </c>
      <c r="N60" s="1">
        <v>8614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23513</v>
      </c>
      <c r="C61">
        <v>5.6000000000000001E-2</v>
      </c>
      <c r="D61">
        <v>0.23</v>
      </c>
      <c r="E61">
        <v>0</v>
      </c>
      <c r="F61">
        <v>1</v>
      </c>
      <c r="G61" t="s">
        <v>64</v>
      </c>
      <c r="H61" s="1">
        <v>14899</v>
      </c>
      <c r="I61">
        <v>5.1999999999999998E-2</v>
      </c>
      <c r="J61">
        <v>0.221</v>
      </c>
      <c r="K61">
        <v>0</v>
      </c>
      <c r="L61">
        <v>1</v>
      </c>
      <c r="M61" t="s">
        <v>64</v>
      </c>
      <c r="N61" s="1">
        <v>8614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23513</v>
      </c>
      <c r="C62">
        <v>0.216</v>
      </c>
      <c r="D62">
        <v>0.41099999999999998</v>
      </c>
      <c r="E62">
        <v>0</v>
      </c>
      <c r="F62">
        <v>1</v>
      </c>
      <c r="G62" t="s">
        <v>65</v>
      </c>
      <c r="H62" s="1">
        <v>14899</v>
      </c>
      <c r="I62">
        <v>0.22700000000000001</v>
      </c>
      <c r="J62">
        <v>0.41899999999999998</v>
      </c>
      <c r="K62">
        <v>0</v>
      </c>
      <c r="L62">
        <v>1</v>
      </c>
      <c r="M62" t="s">
        <v>65</v>
      </c>
      <c r="N62" s="1">
        <v>8614</v>
      </c>
      <c r="O62">
        <v>0.19700000000000001</v>
      </c>
      <c r="P62">
        <v>0.39800000000000002</v>
      </c>
      <c r="Q62">
        <v>0</v>
      </c>
      <c r="R62">
        <v>1</v>
      </c>
    </row>
    <row r="63" spans="1:18" x14ac:dyDescent="0.25">
      <c r="A63" t="s">
        <v>66</v>
      </c>
      <c r="B63" s="1">
        <v>23513</v>
      </c>
      <c r="C63">
        <v>0.28999999999999998</v>
      </c>
      <c r="D63">
        <v>0.45400000000000001</v>
      </c>
      <c r="E63">
        <v>0</v>
      </c>
      <c r="F63">
        <v>1</v>
      </c>
      <c r="G63" t="s">
        <v>66</v>
      </c>
      <c r="H63" s="1">
        <v>14899</v>
      </c>
      <c r="I63">
        <v>0.27600000000000002</v>
      </c>
      <c r="J63">
        <v>0.44700000000000001</v>
      </c>
      <c r="K63">
        <v>0</v>
      </c>
      <c r="L63">
        <v>1</v>
      </c>
      <c r="M63" t="s">
        <v>66</v>
      </c>
      <c r="N63" s="1">
        <v>8614</v>
      </c>
      <c r="O63">
        <v>0.313</v>
      </c>
      <c r="P63">
        <v>0.46400000000000002</v>
      </c>
      <c r="Q63">
        <v>0</v>
      </c>
      <c r="R63">
        <v>1</v>
      </c>
    </row>
    <row r="64" spans="1:18" x14ac:dyDescent="0.25">
      <c r="A64" t="s">
        <v>67</v>
      </c>
      <c r="B64" s="1">
        <v>23513</v>
      </c>
      <c r="C64">
        <v>7.0000000000000007E-2</v>
      </c>
      <c r="D64">
        <v>0.255</v>
      </c>
      <c r="E64">
        <v>0</v>
      </c>
      <c r="F64">
        <v>1</v>
      </c>
      <c r="G64" t="s">
        <v>67</v>
      </c>
      <c r="H64" s="1">
        <v>14899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8614</v>
      </c>
      <c r="O64">
        <v>7.2999999999999995E-2</v>
      </c>
      <c r="P64">
        <v>0.26</v>
      </c>
      <c r="Q64">
        <v>0</v>
      </c>
      <c r="R64">
        <v>1</v>
      </c>
    </row>
    <row r="65" spans="1:18" x14ac:dyDescent="0.25">
      <c r="A65" t="s">
        <v>68</v>
      </c>
      <c r="B65" s="1">
        <v>23513</v>
      </c>
      <c r="C65">
        <v>0.21</v>
      </c>
      <c r="D65">
        <v>0.40699999999999997</v>
      </c>
      <c r="E65">
        <v>0</v>
      </c>
      <c r="F65">
        <v>1</v>
      </c>
      <c r="G65" t="s">
        <v>68</v>
      </c>
      <c r="H65" s="1">
        <v>14899</v>
      </c>
      <c r="I65">
        <v>0.20699999999999999</v>
      </c>
      <c r="J65">
        <v>0.40500000000000003</v>
      </c>
      <c r="K65">
        <v>0</v>
      </c>
      <c r="L65">
        <v>1</v>
      </c>
      <c r="M65" t="s">
        <v>68</v>
      </c>
      <c r="N65" s="1">
        <v>8614</v>
      </c>
      <c r="O65">
        <v>0.216</v>
      </c>
      <c r="P65">
        <v>0.41099999999999998</v>
      </c>
      <c r="Q65">
        <v>0</v>
      </c>
      <c r="R65">
        <v>1</v>
      </c>
    </row>
    <row r="66" spans="1:18" x14ac:dyDescent="0.25">
      <c r="A66" t="s">
        <v>69</v>
      </c>
      <c r="B66" s="1">
        <v>23513</v>
      </c>
      <c r="C66">
        <v>5.8000000000000003E-2</v>
      </c>
      <c r="D66">
        <v>0.23400000000000001</v>
      </c>
      <c r="E66">
        <v>0</v>
      </c>
      <c r="F66">
        <v>1</v>
      </c>
      <c r="G66" t="s">
        <v>69</v>
      </c>
      <c r="H66" s="1">
        <v>14899</v>
      </c>
      <c r="I66">
        <v>6.2E-2</v>
      </c>
      <c r="J66">
        <v>0.24099999999999999</v>
      </c>
      <c r="K66">
        <v>0</v>
      </c>
      <c r="L66">
        <v>1</v>
      </c>
      <c r="M66" t="s">
        <v>69</v>
      </c>
      <c r="N66" s="1">
        <v>8614</v>
      </c>
      <c r="O66">
        <v>5.1999999999999998E-2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23513</v>
      </c>
      <c r="C67">
        <v>0.183</v>
      </c>
      <c r="D67">
        <v>0.38700000000000001</v>
      </c>
      <c r="E67">
        <v>0</v>
      </c>
      <c r="F67">
        <v>1</v>
      </c>
      <c r="G67" t="s">
        <v>70</v>
      </c>
      <c r="H67" s="1">
        <v>14899</v>
      </c>
      <c r="I67">
        <v>0.17699999999999999</v>
      </c>
      <c r="J67">
        <v>0.38200000000000001</v>
      </c>
      <c r="K67">
        <v>0</v>
      </c>
      <c r="L67">
        <v>1</v>
      </c>
      <c r="M67" t="s">
        <v>70</v>
      </c>
      <c r="N67" s="1">
        <v>8614</v>
      </c>
      <c r="O67">
        <v>0.19400000000000001</v>
      </c>
      <c r="P67">
        <v>0.39600000000000002</v>
      </c>
      <c r="Q67">
        <v>0</v>
      </c>
      <c r="R67">
        <v>1</v>
      </c>
    </row>
    <row r="68" spans="1:18" x14ac:dyDescent="0.25">
      <c r="A68" t="s">
        <v>71</v>
      </c>
      <c r="B68" s="1">
        <v>23513</v>
      </c>
      <c r="C68">
        <v>0.36299999999999999</v>
      </c>
      <c r="D68">
        <v>0.48099999999999998</v>
      </c>
      <c r="E68">
        <v>0</v>
      </c>
      <c r="F68">
        <v>1</v>
      </c>
      <c r="G68" t="s">
        <v>71</v>
      </c>
      <c r="H68" s="1">
        <v>14899</v>
      </c>
      <c r="I68">
        <v>0.38100000000000001</v>
      </c>
      <c r="J68">
        <v>0.48599999999999999</v>
      </c>
      <c r="K68">
        <v>0</v>
      </c>
      <c r="L68">
        <v>1</v>
      </c>
      <c r="M68" t="s">
        <v>71</v>
      </c>
      <c r="N68" s="1">
        <v>8614</v>
      </c>
      <c r="O68">
        <v>0.33200000000000002</v>
      </c>
      <c r="P68">
        <v>0.47099999999999997</v>
      </c>
      <c r="Q68">
        <v>0</v>
      </c>
      <c r="R68">
        <v>1</v>
      </c>
    </row>
    <row r="69" spans="1:18" x14ac:dyDescent="0.25">
      <c r="A69" t="s">
        <v>72</v>
      </c>
      <c r="B69" s="1">
        <v>23513</v>
      </c>
      <c r="C69">
        <v>0.42499999999999999</v>
      </c>
      <c r="D69">
        <v>0.49399999999999999</v>
      </c>
      <c r="E69">
        <v>0</v>
      </c>
      <c r="F69">
        <v>1</v>
      </c>
      <c r="G69" t="s">
        <v>72</v>
      </c>
      <c r="H69" s="1">
        <v>14899</v>
      </c>
      <c r="I69">
        <v>0.41599999999999998</v>
      </c>
      <c r="J69">
        <v>0.49299999999999999</v>
      </c>
      <c r="K69">
        <v>0</v>
      </c>
      <c r="L69">
        <v>1</v>
      </c>
      <c r="M69" t="s">
        <v>72</v>
      </c>
      <c r="N69" s="1">
        <v>8614</v>
      </c>
      <c r="O69">
        <v>0.443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23513</v>
      </c>
      <c r="C70">
        <v>2.8000000000000001E-2</v>
      </c>
      <c r="D70">
        <v>0.16600000000000001</v>
      </c>
      <c r="E70">
        <v>0</v>
      </c>
      <c r="F70">
        <v>1</v>
      </c>
      <c r="G70" t="s">
        <v>73</v>
      </c>
      <c r="H70" s="1">
        <v>14899</v>
      </c>
      <c r="I70">
        <v>2.7E-2</v>
      </c>
      <c r="J70">
        <v>0.161</v>
      </c>
      <c r="K70">
        <v>0</v>
      </c>
      <c r="L70">
        <v>1</v>
      </c>
      <c r="M70" t="s">
        <v>73</v>
      </c>
      <c r="N70" s="1">
        <v>8614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23513</v>
      </c>
      <c r="C71">
        <v>0.10299999999999999</v>
      </c>
      <c r="D71">
        <v>0.30299999999999999</v>
      </c>
      <c r="E71">
        <v>0</v>
      </c>
      <c r="F71">
        <v>1</v>
      </c>
      <c r="G71" t="s">
        <v>165</v>
      </c>
      <c r="H71" s="1">
        <v>14899</v>
      </c>
      <c r="I71">
        <v>0.10299999999999999</v>
      </c>
      <c r="J71">
        <v>0.30399999999999999</v>
      </c>
      <c r="K71">
        <v>0</v>
      </c>
      <c r="L71">
        <v>1</v>
      </c>
      <c r="M71" t="s">
        <v>165</v>
      </c>
      <c r="N71" s="1">
        <v>8614</v>
      </c>
      <c r="O71">
        <v>0.10199999999999999</v>
      </c>
      <c r="P71">
        <v>0.30299999999999999</v>
      </c>
      <c r="Q71">
        <v>0</v>
      </c>
      <c r="R71">
        <v>1</v>
      </c>
    </row>
    <row r="72" spans="1:18" x14ac:dyDescent="0.25">
      <c r="A72" t="s">
        <v>166</v>
      </c>
      <c r="B72" s="1">
        <v>23513</v>
      </c>
      <c r="C72">
        <v>0.45600000000000002</v>
      </c>
      <c r="D72">
        <v>0.498</v>
      </c>
      <c r="E72">
        <v>0</v>
      </c>
      <c r="F72">
        <v>1</v>
      </c>
      <c r="G72" t="s">
        <v>166</v>
      </c>
      <c r="H72" s="1">
        <v>14899</v>
      </c>
      <c r="I72">
        <v>0.441</v>
      </c>
      <c r="J72">
        <v>0.496</v>
      </c>
      <c r="K72">
        <v>0</v>
      </c>
      <c r="L72">
        <v>1</v>
      </c>
      <c r="M72" t="s">
        <v>166</v>
      </c>
      <c r="N72" s="1">
        <v>8614</v>
      </c>
      <c r="O72">
        <v>0.48099999999999998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23513</v>
      </c>
      <c r="C73">
        <v>0.42399999999999999</v>
      </c>
      <c r="D73">
        <v>0.49399999999999999</v>
      </c>
      <c r="E73">
        <v>0</v>
      </c>
      <c r="F73">
        <v>1</v>
      </c>
      <c r="G73" t="s">
        <v>167</v>
      </c>
      <c r="H73" s="1">
        <v>14899</v>
      </c>
      <c r="I73">
        <v>0.439</v>
      </c>
      <c r="J73">
        <v>0.496</v>
      </c>
      <c r="K73">
        <v>0</v>
      </c>
      <c r="L73">
        <v>1</v>
      </c>
      <c r="M73" t="s">
        <v>167</v>
      </c>
      <c r="N73" s="1">
        <v>8614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23513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14899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8614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23513</v>
      </c>
      <c r="C75">
        <v>8.0000000000000002E-3</v>
      </c>
      <c r="D75">
        <v>8.8999999999999996E-2</v>
      </c>
      <c r="E75">
        <v>0</v>
      </c>
      <c r="F75">
        <v>1</v>
      </c>
      <c r="G75" t="s">
        <v>169</v>
      </c>
      <c r="H75" s="1">
        <v>14899</v>
      </c>
      <c r="I75">
        <v>8.0000000000000002E-3</v>
      </c>
      <c r="J75">
        <v>8.7999999999999995E-2</v>
      </c>
      <c r="K75">
        <v>0</v>
      </c>
      <c r="L75">
        <v>1</v>
      </c>
      <c r="M75" t="s">
        <v>169</v>
      </c>
      <c r="N75" s="1">
        <v>8614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23513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14899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8614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23513</v>
      </c>
      <c r="C77">
        <v>0.21199999999999999</v>
      </c>
      <c r="D77">
        <v>0.40899999999999997</v>
      </c>
      <c r="E77">
        <v>0</v>
      </c>
      <c r="F77">
        <v>1</v>
      </c>
      <c r="G77" t="s">
        <v>79</v>
      </c>
      <c r="H77" s="1">
        <v>14899</v>
      </c>
      <c r="I77">
        <v>0.218</v>
      </c>
      <c r="J77">
        <v>0.41299999999999998</v>
      </c>
      <c r="K77">
        <v>0</v>
      </c>
      <c r="L77">
        <v>1</v>
      </c>
      <c r="M77" t="s">
        <v>79</v>
      </c>
      <c r="N77" s="1">
        <v>8614</v>
      </c>
      <c r="O77">
        <v>0.20300000000000001</v>
      </c>
      <c r="P77">
        <v>0.40200000000000002</v>
      </c>
      <c r="Q77">
        <v>0</v>
      </c>
      <c r="R77">
        <v>1</v>
      </c>
    </row>
    <row r="78" spans="1:18" x14ac:dyDescent="0.25">
      <c r="A78" t="s">
        <v>80</v>
      </c>
      <c r="B78" s="1">
        <v>23513</v>
      </c>
      <c r="C78">
        <v>1.0999999999999999E-2</v>
      </c>
      <c r="D78">
        <v>0.104</v>
      </c>
      <c r="E78">
        <v>0</v>
      </c>
      <c r="F78">
        <v>1</v>
      </c>
      <c r="G78" t="s">
        <v>80</v>
      </c>
      <c r="H78" s="1">
        <v>14899</v>
      </c>
      <c r="I78">
        <v>8.9999999999999993E-3</v>
      </c>
      <c r="J78">
        <v>9.6000000000000002E-2</v>
      </c>
      <c r="K78">
        <v>0</v>
      </c>
      <c r="L78">
        <v>1</v>
      </c>
      <c r="M78" t="s">
        <v>80</v>
      </c>
      <c r="N78" s="1">
        <v>8614</v>
      </c>
      <c r="O78">
        <v>1.4E-2</v>
      </c>
      <c r="P78">
        <v>0.11700000000000001</v>
      </c>
      <c r="Q78">
        <v>0</v>
      </c>
      <c r="R78">
        <v>1</v>
      </c>
    </row>
    <row r="79" spans="1:18" x14ac:dyDescent="0.25">
      <c r="A79" t="s">
        <v>81</v>
      </c>
      <c r="B79" s="1">
        <v>23513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14899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8614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23513</v>
      </c>
      <c r="C80">
        <v>7.4999999999999997E-2</v>
      </c>
      <c r="D80">
        <v>0.26400000000000001</v>
      </c>
      <c r="E80">
        <v>0</v>
      </c>
      <c r="F80">
        <v>1</v>
      </c>
      <c r="G80" t="s">
        <v>82</v>
      </c>
      <c r="H80" s="1">
        <v>14899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8614</v>
      </c>
      <c r="O80">
        <v>7.6999999999999999E-2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23513</v>
      </c>
      <c r="C81">
        <v>0.28499999999999998</v>
      </c>
      <c r="D81">
        <v>0.45200000000000001</v>
      </c>
      <c r="E81">
        <v>0</v>
      </c>
      <c r="F81">
        <v>1</v>
      </c>
      <c r="G81" t="s">
        <v>83</v>
      </c>
      <c r="H81" s="1">
        <v>14899</v>
      </c>
      <c r="I81">
        <v>0.29699999999999999</v>
      </c>
      <c r="J81">
        <v>0.45700000000000002</v>
      </c>
      <c r="K81">
        <v>0</v>
      </c>
      <c r="L81">
        <v>1</v>
      </c>
      <c r="M81" t="s">
        <v>83</v>
      </c>
      <c r="N81" s="1">
        <v>8614</v>
      </c>
      <c r="O81">
        <v>0.26500000000000001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23513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14899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8614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23513</v>
      </c>
      <c r="C83">
        <v>0.40699999999999997</v>
      </c>
      <c r="D83">
        <v>0.49099999999999999</v>
      </c>
      <c r="E83">
        <v>0</v>
      </c>
      <c r="F83">
        <v>1</v>
      </c>
      <c r="G83" t="s">
        <v>85</v>
      </c>
      <c r="H83" s="1">
        <v>14899</v>
      </c>
      <c r="I83">
        <v>0.39300000000000002</v>
      </c>
      <c r="J83">
        <v>0.48899999999999999</v>
      </c>
      <c r="K83">
        <v>0</v>
      </c>
      <c r="L83">
        <v>1</v>
      </c>
      <c r="M83" t="s">
        <v>85</v>
      </c>
      <c r="N83" s="1">
        <v>8614</v>
      </c>
      <c r="O83">
        <v>0.43099999999999999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4"/>
  <sheetViews>
    <sheetView workbookViewId="0">
      <selection activeCell="G6" sqref="G6:L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19906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12459</v>
      </c>
      <c r="I3">
        <v>1.234</v>
      </c>
      <c r="J3">
        <v>0.47299999999999998</v>
      </c>
      <c r="K3">
        <v>1</v>
      </c>
      <c r="L3">
        <v>4</v>
      </c>
      <c r="M3" t="s">
        <v>10</v>
      </c>
      <c r="N3" s="1">
        <v>7447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19906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12459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19906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12459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7447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7447</v>
      </c>
      <c r="C6">
        <v>287.45999999999998</v>
      </c>
      <c r="D6">
        <v>542.76499999999999</v>
      </c>
      <c r="E6">
        <v>0</v>
      </c>
      <c r="F6" s="1">
        <v>4021</v>
      </c>
      <c r="H6" s="1"/>
      <c r="M6" t="s">
        <v>36</v>
      </c>
      <c r="N6" s="1">
        <v>7447</v>
      </c>
      <c r="O6">
        <v>287.45999999999998</v>
      </c>
      <c r="P6">
        <v>542.76499999999999</v>
      </c>
      <c r="Q6">
        <v>0</v>
      </c>
      <c r="R6" s="1">
        <v>4021</v>
      </c>
    </row>
    <row r="7" spans="1:18" x14ac:dyDescent="0.25">
      <c r="A7" t="s">
        <v>13</v>
      </c>
      <c r="B7" s="1">
        <v>19906</v>
      </c>
      <c r="C7">
        <v>2.3879999999999999</v>
      </c>
      <c r="D7">
        <v>0.97899999999999998</v>
      </c>
      <c r="E7">
        <v>0</v>
      </c>
      <c r="F7">
        <v>17</v>
      </c>
      <c r="G7" t="s">
        <v>13</v>
      </c>
      <c r="H7" s="1">
        <v>12459</v>
      </c>
      <c r="I7">
        <v>2.3540000000000001</v>
      </c>
      <c r="J7">
        <v>0.94</v>
      </c>
      <c r="K7">
        <v>0</v>
      </c>
      <c r="L7">
        <v>17</v>
      </c>
      <c r="M7" t="s">
        <v>13</v>
      </c>
      <c r="N7" s="1">
        <v>7447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19906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12459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7447</v>
      </c>
      <c r="O8">
        <v>0.371</v>
      </c>
      <c r="P8">
        <v>0.53400000000000003</v>
      </c>
      <c r="Q8">
        <v>0</v>
      </c>
      <c r="R8">
        <v>5</v>
      </c>
    </row>
    <row r="9" spans="1:18" x14ac:dyDescent="0.25">
      <c r="A9" t="s">
        <v>15</v>
      </c>
      <c r="B9" s="1">
        <v>19906</v>
      </c>
      <c r="C9">
        <v>3.802</v>
      </c>
      <c r="D9">
        <v>1.2689999999999999</v>
      </c>
      <c r="E9">
        <v>0</v>
      </c>
      <c r="F9">
        <v>25</v>
      </c>
      <c r="G9" t="s">
        <v>15</v>
      </c>
      <c r="H9" s="1">
        <v>12459</v>
      </c>
      <c r="I9">
        <v>3.7450000000000001</v>
      </c>
      <c r="J9">
        <v>1.2</v>
      </c>
      <c r="K9">
        <v>0</v>
      </c>
      <c r="L9">
        <v>18</v>
      </c>
      <c r="M9" t="s">
        <v>15</v>
      </c>
      <c r="N9" s="1">
        <v>7447</v>
      </c>
      <c r="O9">
        <v>3.8980000000000001</v>
      </c>
      <c r="P9">
        <v>1.3720000000000001</v>
      </c>
      <c r="Q9">
        <v>0</v>
      </c>
      <c r="R9">
        <v>25</v>
      </c>
    </row>
    <row r="10" spans="1:18" x14ac:dyDescent="0.25">
      <c r="A10" t="s">
        <v>16</v>
      </c>
      <c r="B10" s="1">
        <v>19906</v>
      </c>
      <c r="C10">
        <v>44.585000000000001</v>
      </c>
      <c r="D10">
        <v>58.28</v>
      </c>
      <c r="E10">
        <v>0</v>
      </c>
      <c r="F10" s="1">
        <v>1402</v>
      </c>
      <c r="G10" t="s">
        <v>16</v>
      </c>
      <c r="H10" s="1">
        <v>12459</v>
      </c>
      <c r="I10">
        <v>52.39</v>
      </c>
      <c r="J10">
        <v>60.484999999999999</v>
      </c>
      <c r="K10">
        <v>0</v>
      </c>
      <c r="L10" s="1">
        <v>1402</v>
      </c>
      <c r="M10" t="s">
        <v>16</v>
      </c>
      <c r="N10" s="1">
        <v>7447</v>
      </c>
      <c r="O10">
        <v>31.526</v>
      </c>
      <c r="P10">
        <v>51.831000000000003</v>
      </c>
      <c r="Q10">
        <v>0</v>
      </c>
      <c r="R10">
        <v>593</v>
      </c>
    </row>
    <row r="11" spans="1:18" x14ac:dyDescent="0.25">
      <c r="A11" t="s">
        <v>163</v>
      </c>
      <c r="B11" s="1">
        <v>19906</v>
      </c>
      <c r="C11" s="2">
        <v>1875.2239999999999</v>
      </c>
      <c r="D11">
        <v>911.37300000000005</v>
      </c>
      <c r="E11">
        <v>220</v>
      </c>
      <c r="F11" s="1">
        <v>17408</v>
      </c>
      <c r="G11" t="s">
        <v>163</v>
      </c>
      <c r="H11" s="1">
        <v>12459</v>
      </c>
      <c r="I11" s="2">
        <v>1843.125</v>
      </c>
      <c r="J11">
        <v>871.673</v>
      </c>
      <c r="K11">
        <v>420</v>
      </c>
      <c r="L11" s="1">
        <v>17408</v>
      </c>
      <c r="M11" t="s">
        <v>163</v>
      </c>
      <c r="N11" s="1">
        <v>7447</v>
      </c>
      <c r="O11" s="2">
        <v>1928.925</v>
      </c>
      <c r="P11">
        <v>971.875</v>
      </c>
      <c r="Q11">
        <v>220</v>
      </c>
      <c r="R11" s="1">
        <v>16703</v>
      </c>
    </row>
    <row r="12" spans="1:18" x14ac:dyDescent="0.25">
      <c r="A12" t="s">
        <v>17</v>
      </c>
      <c r="B12" s="1">
        <v>19906</v>
      </c>
      <c r="C12">
        <v>331.61500000000001</v>
      </c>
      <c r="D12">
        <v>233.67699999999999</v>
      </c>
      <c r="E12">
        <v>0</v>
      </c>
      <c r="F12" s="1">
        <v>5000</v>
      </c>
      <c r="G12" t="s">
        <v>17</v>
      </c>
      <c r="H12" s="1">
        <v>12459</v>
      </c>
      <c r="I12">
        <v>330.20699999999999</v>
      </c>
      <c r="J12">
        <v>233.03399999999999</v>
      </c>
      <c r="K12">
        <v>0</v>
      </c>
      <c r="L12" s="1">
        <v>5000</v>
      </c>
      <c r="M12" t="s">
        <v>17</v>
      </c>
      <c r="N12" s="1">
        <v>7447</v>
      </c>
      <c r="O12">
        <v>333.97199999999998</v>
      </c>
      <c r="P12">
        <v>234.745</v>
      </c>
      <c r="Q12">
        <v>0</v>
      </c>
      <c r="R12" s="1">
        <v>3200</v>
      </c>
    </row>
    <row r="13" spans="1:18" x14ac:dyDescent="0.25">
      <c r="A13" t="s">
        <v>19</v>
      </c>
      <c r="B13" s="1">
        <v>19906</v>
      </c>
      <c r="C13" s="2">
        <v>1266487</v>
      </c>
      <c r="D13" s="2">
        <v>1040810</v>
      </c>
      <c r="E13" s="2">
        <v>168375.1</v>
      </c>
      <c r="F13" s="2">
        <v>23293838</v>
      </c>
      <c r="G13" t="s">
        <v>19</v>
      </c>
      <c r="H13" s="1">
        <v>12459</v>
      </c>
      <c r="I13" s="2">
        <v>1192123</v>
      </c>
      <c r="J13" s="2">
        <v>964659.6</v>
      </c>
      <c r="K13" s="2">
        <v>168375.1</v>
      </c>
      <c r="L13" s="2">
        <v>23293838</v>
      </c>
      <c r="M13" t="s">
        <v>19</v>
      </c>
      <c r="N13" s="1">
        <v>7447</v>
      </c>
      <c r="O13" s="2">
        <v>1390901</v>
      </c>
      <c r="P13" s="2">
        <v>1146389</v>
      </c>
      <c r="Q13" s="2">
        <v>294931.09999999998</v>
      </c>
      <c r="R13" s="2">
        <v>22166108</v>
      </c>
    </row>
    <row r="14" spans="1:18" x14ac:dyDescent="0.25">
      <c r="A14" t="s">
        <v>20</v>
      </c>
      <c r="B14" s="1">
        <v>19906</v>
      </c>
      <c r="C14" s="2">
        <v>1250026</v>
      </c>
      <c r="D14" s="2">
        <v>961708.6</v>
      </c>
      <c r="E14" s="2">
        <v>180401.9</v>
      </c>
      <c r="F14" s="2">
        <v>22166108</v>
      </c>
      <c r="G14" t="s">
        <v>20</v>
      </c>
      <c r="H14" s="1">
        <v>12459</v>
      </c>
      <c r="I14" s="2">
        <v>1166712</v>
      </c>
      <c r="J14" s="2">
        <v>883541.3</v>
      </c>
      <c r="K14" s="2">
        <v>180401.9</v>
      </c>
      <c r="L14" s="2">
        <v>21058570</v>
      </c>
      <c r="M14" t="s">
        <v>20</v>
      </c>
      <c r="N14" s="1">
        <v>7447</v>
      </c>
      <c r="O14" s="2">
        <v>1389411</v>
      </c>
      <c r="P14" s="2">
        <v>1065499</v>
      </c>
      <c r="Q14" s="2">
        <v>278558</v>
      </c>
      <c r="R14" s="2">
        <v>22166108</v>
      </c>
    </row>
    <row r="15" spans="1:18" x14ac:dyDescent="0.25">
      <c r="A15" t="s">
        <v>190</v>
      </c>
      <c r="B15" s="1">
        <v>19906</v>
      </c>
      <c r="C15" s="2">
        <v>13408.78</v>
      </c>
      <c r="D15" s="2">
        <v>126229.1</v>
      </c>
      <c r="E15" s="2">
        <v>-2010000</v>
      </c>
      <c r="F15" s="2">
        <v>6900000</v>
      </c>
      <c r="G15" t="s">
        <v>190</v>
      </c>
      <c r="H15" s="1">
        <v>12459</v>
      </c>
      <c r="I15" s="2">
        <v>20856.18</v>
      </c>
      <c r="J15" s="2">
        <v>97105.61</v>
      </c>
      <c r="K15" s="1">
        <v>-1850000</v>
      </c>
      <c r="L15" s="1">
        <v>2950000</v>
      </c>
      <c r="M15" t="s">
        <v>190</v>
      </c>
      <c r="N15" s="1">
        <v>7447</v>
      </c>
      <c r="O15">
        <v>949.10299999999995</v>
      </c>
      <c r="P15" s="2">
        <v>163003.9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19906</v>
      </c>
      <c r="C16">
        <v>2.7E-2</v>
      </c>
      <c r="D16">
        <v>0.16300000000000001</v>
      </c>
      <c r="E16">
        <v>0</v>
      </c>
      <c r="F16">
        <v>1</v>
      </c>
      <c r="G16" t="s">
        <v>21</v>
      </c>
      <c r="H16" s="1">
        <v>12459</v>
      </c>
      <c r="I16">
        <v>2.4E-2</v>
      </c>
      <c r="J16">
        <v>0.154</v>
      </c>
      <c r="K16">
        <v>0</v>
      </c>
      <c r="L16">
        <v>1</v>
      </c>
      <c r="M16" t="s">
        <v>21</v>
      </c>
      <c r="N16" s="1">
        <v>7447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19906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12459</v>
      </c>
      <c r="I17">
        <v>4.3999999999999997E-2</v>
      </c>
      <c r="J17">
        <v>0.20499999999999999</v>
      </c>
      <c r="K17">
        <v>0</v>
      </c>
      <c r="L17">
        <v>1</v>
      </c>
      <c r="M17" t="s">
        <v>22</v>
      </c>
      <c r="N17" s="1">
        <v>7447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19906</v>
      </c>
      <c r="C18">
        <v>8.0000000000000002E-3</v>
      </c>
      <c r="D18">
        <v>9.1999999999999998E-2</v>
      </c>
      <c r="E18">
        <v>0</v>
      </c>
      <c r="F18">
        <v>1</v>
      </c>
      <c r="G18" t="s">
        <v>23</v>
      </c>
      <c r="H18" s="1">
        <v>12459</v>
      </c>
      <c r="I18">
        <v>8.0000000000000002E-3</v>
      </c>
      <c r="J18">
        <v>9.0999999999999998E-2</v>
      </c>
      <c r="K18">
        <v>0</v>
      </c>
      <c r="L18">
        <v>1</v>
      </c>
      <c r="M18" t="s">
        <v>23</v>
      </c>
      <c r="N18" s="1">
        <v>7447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19906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12459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7447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19906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12459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7447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19906</v>
      </c>
      <c r="C21">
        <v>0</v>
      </c>
      <c r="D21">
        <v>0</v>
      </c>
      <c r="E21">
        <v>0</v>
      </c>
      <c r="F21">
        <v>0</v>
      </c>
      <c r="G21" t="s">
        <v>26</v>
      </c>
      <c r="H21" s="1">
        <v>12459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7447</v>
      </c>
      <c r="O21">
        <v>0</v>
      </c>
      <c r="P21">
        <v>0</v>
      </c>
      <c r="Q21">
        <v>0</v>
      </c>
      <c r="R21">
        <v>0</v>
      </c>
    </row>
    <row r="22" spans="1:18" x14ac:dyDescent="0.25">
      <c r="A22" t="s">
        <v>27</v>
      </c>
      <c r="B22" s="1">
        <v>19906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12459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7447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19906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12459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7447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19906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12459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7447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19906</v>
      </c>
      <c r="C25">
        <v>0.04</v>
      </c>
      <c r="D25">
        <v>0.19700000000000001</v>
      </c>
      <c r="E25">
        <v>0</v>
      </c>
      <c r="F25">
        <v>1</v>
      </c>
      <c r="G25" t="s">
        <v>30</v>
      </c>
      <c r="H25" s="1">
        <v>12459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7447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19906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12459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7447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19906</v>
      </c>
      <c r="C27">
        <v>1</v>
      </c>
      <c r="D27">
        <v>0</v>
      </c>
      <c r="E27">
        <v>1</v>
      </c>
      <c r="F27">
        <v>1</v>
      </c>
      <c r="G27" t="s">
        <v>32</v>
      </c>
      <c r="H27" s="1">
        <v>12459</v>
      </c>
      <c r="I27">
        <v>1</v>
      </c>
      <c r="J27">
        <v>0</v>
      </c>
      <c r="K27">
        <v>1</v>
      </c>
      <c r="L27">
        <v>1</v>
      </c>
      <c r="M27" t="s">
        <v>32</v>
      </c>
      <c r="N27" s="1">
        <v>7447</v>
      </c>
      <c r="O27">
        <v>1</v>
      </c>
      <c r="P27">
        <v>0</v>
      </c>
      <c r="Q27">
        <v>1</v>
      </c>
      <c r="R27">
        <v>1</v>
      </c>
    </row>
    <row r="28" spans="1:18" x14ac:dyDescent="0.25">
      <c r="A28" t="s">
        <v>33</v>
      </c>
      <c r="B28" s="1">
        <v>19906</v>
      </c>
      <c r="C28">
        <v>39.515999999999998</v>
      </c>
      <c r="D28">
        <v>23.125</v>
      </c>
      <c r="E28">
        <v>0</v>
      </c>
      <c r="F28">
        <v>123</v>
      </c>
      <c r="G28" t="s">
        <v>33</v>
      </c>
      <c r="H28" s="1">
        <v>12459</v>
      </c>
      <c r="I28">
        <v>36.923999999999999</v>
      </c>
      <c r="J28">
        <v>22.908999999999999</v>
      </c>
      <c r="K28">
        <v>0</v>
      </c>
      <c r="L28">
        <v>112</v>
      </c>
      <c r="M28" t="s">
        <v>33</v>
      </c>
      <c r="N28" s="1">
        <v>7447</v>
      </c>
      <c r="O28">
        <v>43.851999999999997</v>
      </c>
      <c r="P28">
        <v>22.834</v>
      </c>
      <c r="Q28">
        <v>0</v>
      </c>
      <c r="R28">
        <v>123</v>
      </c>
    </row>
    <row r="29" spans="1:18" x14ac:dyDescent="0.25">
      <c r="A29" t="s">
        <v>34</v>
      </c>
      <c r="B29" s="1">
        <v>19906</v>
      </c>
      <c r="C29">
        <v>2.0960000000000001</v>
      </c>
      <c r="D29">
        <v>1.9910000000000001</v>
      </c>
      <c r="E29">
        <v>0</v>
      </c>
      <c r="F29">
        <v>15.129</v>
      </c>
      <c r="G29" t="s">
        <v>34</v>
      </c>
      <c r="H29" s="1">
        <v>12459</v>
      </c>
      <c r="I29">
        <v>1.8879999999999999</v>
      </c>
      <c r="J29">
        <v>1.893</v>
      </c>
      <c r="K29">
        <v>0</v>
      </c>
      <c r="L29">
        <v>12.544</v>
      </c>
      <c r="M29" t="s">
        <v>34</v>
      </c>
      <c r="N29" s="1">
        <v>7447</v>
      </c>
      <c r="O29">
        <v>2.444</v>
      </c>
      <c r="P29">
        <v>2.0990000000000002</v>
      </c>
      <c r="Q29">
        <v>0</v>
      </c>
      <c r="R29">
        <v>15.129</v>
      </c>
    </row>
    <row r="30" spans="1:18" x14ac:dyDescent="0.25">
      <c r="A30" t="s">
        <v>35</v>
      </c>
      <c r="B30" s="1">
        <v>19906</v>
      </c>
      <c r="C30">
        <v>5.3010000000000002</v>
      </c>
      <c r="D30">
        <v>13.151</v>
      </c>
      <c r="E30">
        <v>0</v>
      </c>
      <c r="F30">
        <v>94</v>
      </c>
      <c r="G30" t="s">
        <v>35</v>
      </c>
      <c r="H30" s="1">
        <v>12459</v>
      </c>
      <c r="I30">
        <v>4.7009999999999996</v>
      </c>
      <c r="J30">
        <v>12.288</v>
      </c>
      <c r="K30">
        <v>0</v>
      </c>
      <c r="L30">
        <v>88</v>
      </c>
      <c r="M30" t="s">
        <v>35</v>
      </c>
      <c r="N30" s="1">
        <v>7447</v>
      </c>
      <c r="O30">
        <v>6.3049999999999997</v>
      </c>
      <c r="P30">
        <v>14.425000000000001</v>
      </c>
      <c r="Q30">
        <v>0</v>
      </c>
      <c r="R30">
        <v>94</v>
      </c>
    </row>
    <row r="31" spans="1:18" x14ac:dyDescent="0.25">
      <c r="A31" t="s">
        <v>18</v>
      </c>
      <c r="B31" s="1">
        <v>19906</v>
      </c>
      <c r="C31" s="2">
        <v>2096.3150000000001</v>
      </c>
      <c r="D31" s="2">
        <v>1112.597</v>
      </c>
      <c r="E31">
        <v>220</v>
      </c>
      <c r="F31" s="1">
        <v>23350</v>
      </c>
      <c r="G31" t="s">
        <v>18</v>
      </c>
      <c r="H31" s="1">
        <v>12459</v>
      </c>
      <c r="I31" s="2">
        <v>2054.8180000000002</v>
      </c>
      <c r="J31" s="2">
        <v>1064.2190000000001</v>
      </c>
      <c r="K31">
        <v>455</v>
      </c>
      <c r="L31" s="1">
        <v>23350</v>
      </c>
      <c r="M31" t="s">
        <v>18</v>
      </c>
      <c r="N31" s="1">
        <v>7447</v>
      </c>
      <c r="O31" s="2">
        <v>2165.741</v>
      </c>
      <c r="P31" s="2">
        <v>1185.9739999999999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19906</v>
      </c>
      <c r="C32">
        <v>0.88800000000000001</v>
      </c>
      <c r="D32">
        <v>3.53</v>
      </c>
      <c r="E32">
        <v>2.1000000000000001E-2</v>
      </c>
      <c r="F32">
        <v>128.91800000000001</v>
      </c>
      <c r="G32" t="s">
        <v>37</v>
      </c>
      <c r="H32" s="1">
        <v>12459</v>
      </c>
      <c r="I32">
        <v>0.95899999999999996</v>
      </c>
      <c r="J32">
        <v>3.5129999999999999</v>
      </c>
      <c r="K32">
        <v>2.1000000000000001E-2</v>
      </c>
      <c r="L32">
        <v>128.91800000000001</v>
      </c>
      <c r="M32" t="s">
        <v>37</v>
      </c>
      <c r="N32" s="1">
        <v>7447</v>
      </c>
      <c r="O32">
        <v>0.77100000000000002</v>
      </c>
      <c r="P32">
        <v>3.5550000000000002</v>
      </c>
      <c r="Q32">
        <v>0.03</v>
      </c>
      <c r="R32">
        <v>103.124</v>
      </c>
    </row>
    <row r="33" spans="1:18" x14ac:dyDescent="0.25">
      <c r="A33" t="s">
        <v>164</v>
      </c>
      <c r="B33" s="1">
        <v>19906</v>
      </c>
      <c r="C33">
        <v>2.528</v>
      </c>
      <c r="D33">
        <v>2.61</v>
      </c>
      <c r="E33">
        <v>0</v>
      </c>
      <c r="F33">
        <v>13.552</v>
      </c>
      <c r="G33" t="s">
        <v>164</v>
      </c>
      <c r="H33" s="1">
        <v>12459</v>
      </c>
      <c r="I33">
        <v>2.5649999999999999</v>
      </c>
      <c r="J33">
        <v>2.6339999999999999</v>
      </c>
      <c r="K33">
        <v>0</v>
      </c>
      <c r="L33">
        <v>13.552</v>
      </c>
      <c r="M33" t="s">
        <v>164</v>
      </c>
      <c r="N33" s="1">
        <v>7447</v>
      </c>
      <c r="O33">
        <v>2.4660000000000002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19906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12459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7447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19906</v>
      </c>
      <c r="C35">
        <v>5.1509999999999998</v>
      </c>
      <c r="D35">
        <v>4.1840000000000002</v>
      </c>
      <c r="E35">
        <v>0.01</v>
      </c>
      <c r="F35">
        <v>20.997</v>
      </c>
      <c r="G35" t="s">
        <v>40</v>
      </c>
      <c r="H35" s="1">
        <v>12459</v>
      </c>
      <c r="I35">
        <v>5.1950000000000003</v>
      </c>
      <c r="J35">
        <v>4.1689999999999996</v>
      </c>
      <c r="K35">
        <v>0.01</v>
      </c>
      <c r="L35">
        <v>20.997</v>
      </c>
      <c r="M35" t="s">
        <v>40</v>
      </c>
      <c r="N35" s="1">
        <v>7447</v>
      </c>
      <c r="O35">
        <v>5.077</v>
      </c>
      <c r="P35">
        <v>4.2089999999999996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19906</v>
      </c>
      <c r="C36">
        <v>10.9</v>
      </c>
      <c r="D36">
        <v>5.5940000000000003</v>
      </c>
      <c r="E36">
        <v>1.274</v>
      </c>
      <c r="F36">
        <v>30.986000000000001</v>
      </c>
      <c r="G36" t="s">
        <v>41</v>
      </c>
      <c r="H36" s="1">
        <v>12459</v>
      </c>
      <c r="I36">
        <v>10.789</v>
      </c>
      <c r="J36">
        <v>5.6050000000000004</v>
      </c>
      <c r="K36">
        <v>1.274</v>
      </c>
      <c r="L36">
        <v>30.003</v>
      </c>
      <c r="M36" t="s">
        <v>41</v>
      </c>
      <c r="N36" s="1">
        <v>7447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19906</v>
      </c>
      <c r="C37">
        <v>1.042</v>
      </c>
      <c r="D37">
        <v>0.81</v>
      </c>
      <c r="E37">
        <v>1.6E-2</v>
      </c>
      <c r="F37">
        <v>7.4530000000000003</v>
      </c>
      <c r="G37" t="s">
        <v>173</v>
      </c>
      <c r="H37" s="1">
        <v>12459</v>
      </c>
      <c r="I37">
        <v>1.046</v>
      </c>
      <c r="J37">
        <v>0.79700000000000004</v>
      </c>
      <c r="K37">
        <v>2.5999999999999999E-2</v>
      </c>
      <c r="L37">
        <v>7.14</v>
      </c>
      <c r="M37" t="s">
        <v>173</v>
      </c>
      <c r="N37" s="1">
        <v>7447</v>
      </c>
      <c r="O37">
        <v>1.0349999999999999</v>
      </c>
      <c r="P37">
        <v>0.83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19906</v>
      </c>
      <c r="C38">
        <v>2.4809999999999999</v>
      </c>
      <c r="D38">
        <v>1.8220000000000001</v>
      </c>
      <c r="E38">
        <v>3.6999999999999998E-2</v>
      </c>
      <c r="F38">
        <v>17.684000000000001</v>
      </c>
      <c r="G38" t="s">
        <v>174</v>
      </c>
      <c r="H38" s="1">
        <v>12459</v>
      </c>
      <c r="I38">
        <v>2.4649999999999999</v>
      </c>
      <c r="J38">
        <v>1.796</v>
      </c>
      <c r="K38">
        <v>4.2999999999999997E-2</v>
      </c>
      <c r="L38">
        <v>17.684000000000001</v>
      </c>
      <c r="M38" t="s">
        <v>174</v>
      </c>
      <c r="N38" s="1">
        <v>7447</v>
      </c>
      <c r="O38">
        <v>2.5089999999999999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19906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12459</v>
      </c>
      <c r="I39">
        <v>2.5510000000000002</v>
      </c>
      <c r="J39">
        <v>1.698</v>
      </c>
      <c r="K39">
        <v>4.8000000000000001E-2</v>
      </c>
      <c r="L39">
        <v>17.684000000000001</v>
      </c>
      <c r="M39" t="s">
        <v>175</v>
      </c>
      <c r="N39" s="1">
        <v>7447</v>
      </c>
      <c r="O39">
        <v>2.597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19906</v>
      </c>
      <c r="C40">
        <v>0.20799999999999999</v>
      </c>
      <c r="D40">
        <v>0.159</v>
      </c>
      <c r="E40">
        <v>0</v>
      </c>
      <c r="F40">
        <v>0.85</v>
      </c>
      <c r="G40" t="s">
        <v>42</v>
      </c>
      <c r="H40" s="1">
        <v>12459</v>
      </c>
      <c r="I40">
        <v>0.20599999999999999</v>
      </c>
      <c r="J40">
        <v>0.154</v>
      </c>
      <c r="K40">
        <v>0</v>
      </c>
      <c r="L40">
        <v>0.85</v>
      </c>
      <c r="M40" t="s">
        <v>42</v>
      </c>
      <c r="N40" s="1">
        <v>7447</v>
      </c>
      <c r="O40">
        <v>0.21199999999999999</v>
      </c>
      <c r="P40">
        <v>0.16600000000000001</v>
      </c>
      <c r="Q40">
        <v>0</v>
      </c>
      <c r="R40">
        <v>0.85</v>
      </c>
    </row>
    <row r="41" spans="1:18" x14ac:dyDescent="0.25">
      <c r="A41" t="s">
        <v>43</v>
      </c>
      <c r="B41" s="1">
        <v>19906</v>
      </c>
      <c r="C41">
        <v>1.9E-2</v>
      </c>
      <c r="D41">
        <v>3.3000000000000002E-2</v>
      </c>
      <c r="E41">
        <v>0</v>
      </c>
      <c r="F41">
        <v>0.26100000000000001</v>
      </c>
      <c r="G41" t="s">
        <v>43</v>
      </c>
      <c r="H41" s="1">
        <v>12459</v>
      </c>
      <c r="I41">
        <v>0.02</v>
      </c>
      <c r="J41">
        <v>3.4000000000000002E-2</v>
      </c>
      <c r="K41">
        <v>0</v>
      </c>
      <c r="L41">
        <v>0.26100000000000001</v>
      </c>
      <c r="M41" t="s">
        <v>43</v>
      </c>
      <c r="N41" s="1">
        <v>7447</v>
      </c>
      <c r="O41">
        <v>1.6E-2</v>
      </c>
      <c r="P41">
        <v>3.1E-2</v>
      </c>
      <c r="Q41">
        <v>0</v>
      </c>
      <c r="R41">
        <v>0.26100000000000001</v>
      </c>
    </row>
    <row r="42" spans="1:18" x14ac:dyDescent="0.25">
      <c r="A42" t="s">
        <v>44</v>
      </c>
      <c r="B42" s="1">
        <v>19906</v>
      </c>
      <c r="C42">
        <v>0.42199999999999999</v>
      </c>
      <c r="D42">
        <v>0.2</v>
      </c>
      <c r="E42">
        <v>0</v>
      </c>
      <c r="F42">
        <v>0.95699999999999996</v>
      </c>
      <c r="G42" t="s">
        <v>44</v>
      </c>
      <c r="H42" s="1">
        <v>12459</v>
      </c>
      <c r="I42">
        <v>0.42099999999999999</v>
      </c>
      <c r="J42">
        <v>0.19700000000000001</v>
      </c>
      <c r="K42">
        <v>2.0000000000000001E-4</v>
      </c>
      <c r="L42">
        <v>0.95699999999999996</v>
      </c>
      <c r="M42" t="s">
        <v>44</v>
      </c>
      <c r="N42" s="1">
        <v>7447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19906</v>
      </c>
      <c r="C43">
        <v>8.3000000000000004E-2</v>
      </c>
      <c r="D43">
        <v>0.114</v>
      </c>
      <c r="E43">
        <v>0</v>
      </c>
      <c r="F43">
        <v>0.69499999999999995</v>
      </c>
      <c r="G43" t="s">
        <v>45</v>
      </c>
      <c r="H43" s="1">
        <v>12459</v>
      </c>
      <c r="I43">
        <v>8.3000000000000004E-2</v>
      </c>
      <c r="J43">
        <v>0.114</v>
      </c>
      <c r="K43">
        <v>0</v>
      </c>
      <c r="L43">
        <v>0.69499999999999995</v>
      </c>
      <c r="M43" t="s">
        <v>45</v>
      </c>
      <c r="N43" s="1">
        <v>7447</v>
      </c>
      <c r="O43">
        <v>8.2000000000000003E-2</v>
      </c>
      <c r="P43">
        <v>0.115</v>
      </c>
      <c r="Q43">
        <v>0</v>
      </c>
      <c r="R43">
        <v>0.69499999999999995</v>
      </c>
    </row>
    <row r="44" spans="1:18" x14ac:dyDescent="0.25">
      <c r="A44" t="s">
        <v>46</v>
      </c>
      <c r="B44" s="1">
        <v>19906</v>
      </c>
      <c r="C44">
        <v>0.93600000000000005</v>
      </c>
      <c r="D44">
        <v>8.6999999999999994E-2</v>
      </c>
      <c r="E44">
        <v>4.0000000000000002E-4</v>
      </c>
      <c r="F44">
        <v>1</v>
      </c>
      <c r="G44" t="s">
        <v>46</v>
      </c>
      <c r="H44" s="1">
        <v>12459</v>
      </c>
      <c r="I44">
        <v>0.93799999999999994</v>
      </c>
      <c r="J44">
        <v>8.5000000000000006E-2</v>
      </c>
      <c r="K44">
        <v>4.0000000000000002E-4</v>
      </c>
      <c r="L44">
        <v>1</v>
      </c>
      <c r="M44" t="s">
        <v>46</v>
      </c>
      <c r="N44" s="1">
        <v>7447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19906</v>
      </c>
      <c r="C45">
        <v>6.3E-2</v>
      </c>
      <c r="D45">
        <v>8.3000000000000004E-2</v>
      </c>
      <c r="E45">
        <v>0</v>
      </c>
      <c r="F45">
        <v>0.69899999999999995</v>
      </c>
      <c r="G45" t="s">
        <v>47</v>
      </c>
      <c r="H45" s="1">
        <v>12459</v>
      </c>
      <c r="I45">
        <v>0.06</v>
      </c>
      <c r="J45">
        <v>0.08</v>
      </c>
      <c r="K45">
        <v>0</v>
      </c>
      <c r="L45">
        <v>0.69899999999999995</v>
      </c>
      <c r="M45" t="s">
        <v>47</v>
      </c>
      <c r="N45" s="1">
        <v>7447</v>
      </c>
      <c r="O45">
        <v>6.6000000000000003E-2</v>
      </c>
      <c r="P45">
        <v>8.5999999999999993E-2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19906</v>
      </c>
      <c r="C46">
        <v>0.76500000000000001</v>
      </c>
      <c r="D46">
        <v>0.16900000000000001</v>
      </c>
      <c r="E46">
        <v>0</v>
      </c>
      <c r="F46">
        <v>1</v>
      </c>
      <c r="G46" t="s">
        <v>48</v>
      </c>
      <c r="H46" s="1">
        <v>12459</v>
      </c>
      <c r="I46">
        <v>0.76900000000000002</v>
      </c>
      <c r="J46">
        <v>0.16600000000000001</v>
      </c>
      <c r="K46">
        <v>4.0000000000000002E-4</v>
      </c>
      <c r="L46">
        <v>1</v>
      </c>
      <c r="M46" t="s">
        <v>48</v>
      </c>
      <c r="N46" s="1">
        <v>7447</v>
      </c>
      <c r="O46">
        <v>0.75900000000000001</v>
      </c>
      <c r="P46">
        <v>0.17499999999999999</v>
      </c>
      <c r="Q46">
        <v>0</v>
      </c>
      <c r="R46">
        <v>1</v>
      </c>
    </row>
    <row r="47" spans="1:18" x14ac:dyDescent="0.25">
      <c r="A47" t="s">
        <v>49</v>
      </c>
      <c r="B47" s="1">
        <v>19906</v>
      </c>
      <c r="C47">
        <v>0.23300000000000001</v>
      </c>
      <c r="D47">
        <v>0.16800000000000001</v>
      </c>
      <c r="E47">
        <v>0</v>
      </c>
      <c r="F47">
        <v>1</v>
      </c>
      <c r="G47" t="s">
        <v>49</v>
      </c>
      <c r="H47" s="1">
        <v>12459</v>
      </c>
      <c r="I47">
        <v>0.23</v>
      </c>
      <c r="J47">
        <v>0.16400000000000001</v>
      </c>
      <c r="K47">
        <v>0</v>
      </c>
      <c r="L47">
        <v>0.98599999999999999</v>
      </c>
      <c r="M47" t="s">
        <v>49</v>
      </c>
      <c r="N47" s="1">
        <v>7447</v>
      </c>
      <c r="O47">
        <v>0.24</v>
      </c>
      <c r="P47">
        <v>0.17399999999999999</v>
      </c>
      <c r="Q47">
        <v>0</v>
      </c>
      <c r="R47">
        <v>1</v>
      </c>
    </row>
    <row r="48" spans="1:18" x14ac:dyDescent="0.25">
      <c r="A48" t="s">
        <v>50</v>
      </c>
      <c r="B48" s="1">
        <v>19906</v>
      </c>
      <c r="C48">
        <v>23.167000000000002</v>
      </c>
      <c r="D48">
        <v>51.182000000000002</v>
      </c>
      <c r="E48">
        <v>0</v>
      </c>
      <c r="F48">
        <v>667</v>
      </c>
      <c r="G48" t="s">
        <v>50</v>
      </c>
      <c r="H48" s="1">
        <v>12459</v>
      </c>
      <c r="I48">
        <v>24.552</v>
      </c>
      <c r="J48">
        <v>51.036000000000001</v>
      </c>
      <c r="K48">
        <v>0</v>
      </c>
      <c r="L48">
        <v>667</v>
      </c>
      <c r="M48" t="s">
        <v>50</v>
      </c>
      <c r="N48" s="1">
        <v>7447</v>
      </c>
      <c r="O48">
        <v>20.85</v>
      </c>
      <c r="P48">
        <v>51.345999999999997</v>
      </c>
      <c r="Q48">
        <v>0</v>
      </c>
      <c r="R48">
        <v>550</v>
      </c>
    </row>
    <row r="49" spans="1:18" x14ac:dyDescent="0.25">
      <c r="A49" t="s">
        <v>51</v>
      </c>
      <c r="B49" s="1">
        <v>19906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12459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7447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19906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12459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7447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19906</v>
      </c>
      <c r="C51" s="2">
        <v>2363532</v>
      </c>
      <c r="D51" s="2">
        <v>7931.5619999999999</v>
      </c>
      <c r="E51" s="2">
        <v>2350907</v>
      </c>
      <c r="F51" s="2">
        <v>2399920</v>
      </c>
      <c r="G51" t="s">
        <v>53</v>
      </c>
      <c r="H51" s="1">
        <v>12459</v>
      </c>
      <c r="I51" s="2">
        <v>2363476</v>
      </c>
      <c r="J51" s="2">
        <v>7746.3860000000004</v>
      </c>
      <c r="K51" s="2">
        <v>2350907</v>
      </c>
      <c r="L51" s="2">
        <v>2399920</v>
      </c>
      <c r="M51" t="s">
        <v>53</v>
      </c>
      <c r="N51" s="1">
        <v>7447</v>
      </c>
      <c r="O51" s="2">
        <v>2363627</v>
      </c>
      <c r="P51" s="2">
        <v>8231.7139999999999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19906</v>
      </c>
      <c r="C52" s="2">
        <v>611466</v>
      </c>
      <c r="D52" s="2">
        <v>14767.2</v>
      </c>
      <c r="E52" s="2">
        <v>579824.19999999995</v>
      </c>
      <c r="F52" s="2">
        <v>638667.69999999995</v>
      </c>
      <c r="G52" t="s">
        <v>54</v>
      </c>
      <c r="H52" s="1">
        <v>12459</v>
      </c>
      <c r="I52" s="2">
        <v>610824.4</v>
      </c>
      <c r="J52" s="2">
        <v>14701.56</v>
      </c>
      <c r="K52" s="2">
        <v>579824.19999999995</v>
      </c>
      <c r="L52" s="2">
        <v>638667.69999999995</v>
      </c>
      <c r="M52" t="s">
        <v>54</v>
      </c>
      <c r="N52" s="1">
        <v>7447</v>
      </c>
      <c r="O52" s="2">
        <v>612539.30000000005</v>
      </c>
      <c r="P52" s="2">
        <v>14815.36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19906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12459</v>
      </c>
      <c r="I53">
        <v>0</v>
      </c>
      <c r="J53">
        <v>0</v>
      </c>
      <c r="K53">
        <v>0</v>
      </c>
      <c r="L53">
        <v>0</v>
      </c>
      <c r="M53" t="s">
        <v>56</v>
      </c>
      <c r="N53" s="1">
        <v>7447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19906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12459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7447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19906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12459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7447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19906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12459</v>
      </c>
      <c r="I56">
        <v>0.51100000000000001</v>
      </c>
      <c r="J56">
        <v>0.5</v>
      </c>
      <c r="K56">
        <v>0</v>
      </c>
      <c r="L56">
        <v>1</v>
      </c>
      <c r="M56" t="s">
        <v>59</v>
      </c>
      <c r="N56" s="1">
        <v>7447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19906</v>
      </c>
      <c r="C57">
        <v>5.2999999999999999E-2</v>
      </c>
      <c r="D57">
        <v>0.223</v>
      </c>
      <c r="E57">
        <v>0</v>
      </c>
      <c r="F57">
        <v>1</v>
      </c>
      <c r="G57" t="s">
        <v>60</v>
      </c>
      <c r="H57" s="1">
        <v>12459</v>
      </c>
      <c r="I57">
        <v>4.9000000000000002E-2</v>
      </c>
      <c r="J57">
        <v>0.217</v>
      </c>
      <c r="K57">
        <v>0</v>
      </c>
      <c r="L57">
        <v>1</v>
      </c>
      <c r="M57" t="s">
        <v>60</v>
      </c>
      <c r="N57" s="1">
        <v>7447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19906</v>
      </c>
      <c r="C58" s="2">
        <v>2018.82</v>
      </c>
      <c r="D58">
        <v>2</v>
      </c>
      <c r="E58" s="1">
        <v>2016</v>
      </c>
      <c r="F58" s="1">
        <v>2023</v>
      </c>
      <c r="G58" t="s">
        <v>61</v>
      </c>
      <c r="H58" s="1">
        <v>12459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7447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19906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12459</v>
      </c>
      <c r="I59">
        <v>0.872</v>
      </c>
      <c r="J59">
        <v>0.33400000000000002</v>
      </c>
      <c r="K59">
        <v>0</v>
      </c>
      <c r="L59">
        <v>1</v>
      </c>
      <c r="M59" t="s">
        <v>62</v>
      </c>
      <c r="N59" s="1">
        <v>7447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19906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12459</v>
      </c>
      <c r="I60">
        <v>1.7999999999999999E-2</v>
      </c>
      <c r="J60">
        <v>0.13100000000000001</v>
      </c>
      <c r="K60">
        <v>0</v>
      </c>
      <c r="L60">
        <v>1</v>
      </c>
      <c r="M60" t="s">
        <v>63</v>
      </c>
      <c r="N60" s="1">
        <v>7447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19906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12459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7447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19906</v>
      </c>
      <c r="C62">
        <v>7.0000000000000007E-2</v>
      </c>
      <c r="D62">
        <v>0.255</v>
      </c>
      <c r="E62">
        <v>0</v>
      </c>
      <c r="F62">
        <v>1</v>
      </c>
      <c r="G62" t="s">
        <v>65</v>
      </c>
      <c r="H62" s="1">
        <v>12459</v>
      </c>
      <c r="I62">
        <v>7.9000000000000001E-2</v>
      </c>
      <c r="J62">
        <v>0.26900000000000002</v>
      </c>
      <c r="K62">
        <v>0</v>
      </c>
      <c r="L62">
        <v>1</v>
      </c>
      <c r="M62" t="s">
        <v>65</v>
      </c>
      <c r="N62" s="1">
        <v>7447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19906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12459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7447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19906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12459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7447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19906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12459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7447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19906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12459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7447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19906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12459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7447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19906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12459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7447</v>
      </c>
      <c r="O68">
        <v>0.252</v>
      </c>
      <c r="P68">
        <v>0.434</v>
      </c>
      <c r="Q68">
        <v>0</v>
      </c>
      <c r="R68">
        <v>1</v>
      </c>
    </row>
    <row r="69" spans="1:18" x14ac:dyDescent="0.25">
      <c r="A69" t="s">
        <v>72</v>
      </c>
      <c r="B69" s="1">
        <v>19906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12459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7447</v>
      </c>
      <c r="O69">
        <v>0.40100000000000002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19906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12459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7447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19906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12459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7447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19906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12459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7447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19906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12459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7447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19906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12459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7447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19906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12459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7447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19906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12459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7447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19906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12459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7447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19906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12459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7447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19906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12459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7447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19906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12459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7447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19906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12459</v>
      </c>
      <c r="I81">
        <v>0.55900000000000005</v>
      </c>
      <c r="J81">
        <v>0.496</v>
      </c>
      <c r="K81">
        <v>0</v>
      </c>
      <c r="L81">
        <v>1</v>
      </c>
      <c r="M81" t="s">
        <v>83</v>
      </c>
      <c r="N81" s="1">
        <v>7447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19906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12459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7447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19906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12459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7447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topLeftCell="A44" workbookViewId="0">
      <selection activeCell="AM66" sqref="AM6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51" t="s">
        <v>188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40" ht="23.25" x14ac:dyDescent="0.35">
      <c r="A3" s="69" t="s">
        <v>426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4" spans="1:40" ht="29.25" customHeight="1" x14ac:dyDescent="0.25">
      <c r="C4" s="62" t="s">
        <v>92</v>
      </c>
      <c r="D4" s="63"/>
      <c r="E4" s="63"/>
      <c r="F4" s="63"/>
      <c r="G4" s="63"/>
      <c r="H4" s="63"/>
      <c r="I4" s="63"/>
      <c r="J4" s="63"/>
      <c r="K4" s="63"/>
      <c r="L4" s="63"/>
      <c r="M4" s="37"/>
      <c r="N4" s="38"/>
      <c r="O4" s="62" t="s">
        <v>421</v>
      </c>
      <c r="P4" s="63"/>
      <c r="Q4" s="63"/>
      <c r="R4" s="63"/>
      <c r="S4" s="63"/>
      <c r="T4" s="63"/>
      <c r="U4" s="63"/>
      <c r="V4" s="63"/>
      <c r="W4" s="63"/>
      <c r="X4" s="63"/>
      <c r="Y4" s="68"/>
      <c r="Z4" s="68"/>
      <c r="AA4" s="62" t="s">
        <v>422</v>
      </c>
      <c r="AB4" s="63"/>
      <c r="AC4" s="63"/>
      <c r="AD4" s="63"/>
      <c r="AE4" s="63"/>
      <c r="AF4" s="63"/>
      <c r="AG4" s="63"/>
      <c r="AH4" s="63"/>
      <c r="AI4" s="63"/>
      <c r="AJ4" s="63"/>
    </row>
    <row r="5" spans="1:40" x14ac:dyDescent="0.25">
      <c r="A5" s="5"/>
      <c r="B5" s="5"/>
      <c r="C5" s="62" t="s">
        <v>92</v>
      </c>
      <c r="D5" s="63"/>
      <c r="E5" s="63"/>
      <c r="F5" s="63"/>
      <c r="G5" s="64" t="s">
        <v>419</v>
      </c>
      <c r="H5" s="65"/>
      <c r="I5" s="65"/>
      <c r="J5" s="66"/>
      <c r="K5" s="62" t="s">
        <v>420</v>
      </c>
      <c r="L5" s="63"/>
      <c r="M5" s="63"/>
      <c r="N5" s="67"/>
      <c r="O5" s="62" t="s">
        <v>92</v>
      </c>
      <c r="P5" s="63"/>
      <c r="Q5" s="63"/>
      <c r="R5" s="63"/>
      <c r="S5" s="64" t="s">
        <v>419</v>
      </c>
      <c r="T5" s="65"/>
      <c r="U5" s="65"/>
      <c r="V5" s="66"/>
      <c r="W5" s="62" t="s">
        <v>420</v>
      </c>
      <c r="X5" s="63"/>
      <c r="Y5" s="63"/>
      <c r="Z5" s="67"/>
      <c r="AA5" s="62" t="s">
        <v>92</v>
      </c>
      <c r="AB5" s="63"/>
      <c r="AC5" s="63"/>
      <c r="AD5" s="63"/>
      <c r="AE5" s="64" t="s">
        <v>419</v>
      </c>
      <c r="AF5" s="65"/>
      <c r="AG5" s="65"/>
      <c r="AH5" s="66"/>
      <c r="AI5" s="62" t="s">
        <v>420</v>
      </c>
      <c r="AJ5" s="63"/>
      <c r="AK5" s="63"/>
      <c r="AL5" s="67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417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5.83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6.59</v>
      </c>
      <c r="X7" s="3" t="str">
        <f>FIXED(VLOOKUP($A7,'Full Sample-Townhouse'!$A:$R,X$1,0)/100000,2)</f>
        <v>5.43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12.52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10.23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AN92*0.013</f>
        <v>12434.941999999999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1.31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1.30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60.56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50.13</v>
      </c>
      <c r="T11" s="3" t="str">
        <f>FIXED(VLOOKUP($A11,'Full Sample-Townhouse'!$A:$R,T$1,0),2)</f>
        <v>58.36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62.99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42.30</v>
      </c>
      <c r="AB11" s="3" t="str">
        <f>FIXED(VLOOKUP($A11,'Full Sample-Single Family'!$A:$R,AB$1,0),2)</f>
        <v>56.56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51.56</v>
      </c>
      <c r="AF11" s="3" t="str">
        <f>FIXED(VLOOKUP($A11,'Full Sample-Single Family'!$A:$R,AF$1,0),2)</f>
        <v>59.83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49.02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0.97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1.30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0.22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418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965.64</v>
      </c>
      <c r="P18" s="3" t="str">
        <f>FIXED(VLOOKUP($A18,'Full Sample-Townhouse'!$A:$R,P$1,0),2)</f>
        <v>439.05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970.37</v>
      </c>
      <c r="T18" s="3" t="str">
        <f>FIXED(VLOOKUP($A18,'Full Sample-Townhouse'!$A:$R,T$1,0),2)</f>
        <v>438.34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959.11</v>
      </c>
      <c r="X18" s="3" t="str">
        <f>FIXED(VLOOKUP($A18,'Full Sample-Townhouse'!$A:$R,X$1,0),2)</f>
        <v>439.96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2,081.46</v>
      </c>
      <c r="AB18" s="3" t="str">
        <f>FIXED(VLOOKUP($A18,'Full Sample-Single Family'!$A:$R,AB$1,0),2)</f>
        <v>1,097.37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2,045.57</v>
      </c>
      <c r="AF18" s="3" t="str">
        <f>FIXED(VLOOKUP($A18,'Full Sample-Single Family'!$A:$R,AF$1,0),2)</f>
        <v>1,056.80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2,130.49</v>
      </c>
      <c r="AJ18" s="3" t="str">
        <f>FIXED(VLOOKUP($A18,'Full Sample-Single Family'!$A:$R,AJ$1,0),2)</f>
        <v>1,148.75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35.05</v>
      </c>
      <c r="P19" s="3" t="str">
        <f>FIXED(VLOOKUP($A19,'Full Sample-Townhouse'!$A:$R,P$1,0),2)</f>
        <v>16.27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33.56</v>
      </c>
      <c r="T19" s="3" t="str">
        <f>FIXED(VLOOKUP($A19,'Full Sample-Townhouse'!$A:$R,T$1,0),2)</f>
        <v>16.09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16.30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38.71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36.57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41.62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1.39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0.34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0.36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0.37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0.39</v>
      </c>
      <c r="T22" s="3" t="str">
        <f>FIXED(VLOOKUP($A22,'Full Sample-Townhouse'!$A:$R,T$1,0),2)</f>
        <v>0.49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0.42</v>
      </c>
      <c r="D23" s="3" t="str">
        <f>FIXED(VLOOKUP($A23,'Full Sample-No Sub'!$A:$R,D$1,0),2)</f>
        <v>0.49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0.42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0.39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0.39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0.09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415</v>
      </c>
      <c r="AB28" s="3" t="s">
        <v>415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0.54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415</v>
      </c>
      <c r="AB29" s="3" t="s">
        <v>415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415</v>
      </c>
      <c r="AB30" s="3" t="s">
        <v>415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0.00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0.00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0.00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0.00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415</v>
      </c>
      <c r="AB31" s="3" t="s">
        <v>415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0.05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0.05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0.28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415</v>
      </c>
      <c r="P33" s="3" t="s">
        <v>415</v>
      </c>
      <c r="Q33" s="3" t="str">
        <f>FIXED(VLOOKUP($A33,'Full Sample-Townhouse'!$A:$R,Q$1,0),2)</f>
        <v>0.00</v>
      </c>
      <c r="R33" s="3" t="str">
        <f>FIXED(VLOOKUP($A33,'Full Sample-Townhouse'!$A:$R,R$1,0),2)</f>
        <v>0.00</v>
      </c>
      <c r="S33" s="9" t="str">
        <f>FIXED(VLOOKUP($A33,'Full Sample-Townhouse'!$A:$R,S$1,0),2)</f>
        <v>0.00</v>
      </c>
      <c r="T33" s="3" t="str">
        <f>FIXED(VLOOKUP($A33,'Full Sample-Townhouse'!$A:$R,T$1,0),2)</f>
        <v>0.00</v>
      </c>
      <c r="U33" s="3" t="str">
        <f>FIXED(VLOOKUP($A33,'Full Sample-Townhouse'!$A:$R,U$1,0),2)</f>
        <v>0.00</v>
      </c>
      <c r="V33" s="13" t="str">
        <f>FIXED(VLOOKUP($A33,'Full Sample-Townhouse'!$A:$R,V$1,0),2)</f>
        <v>0.00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415</v>
      </c>
      <c r="P34" s="3" t="s">
        <v>415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0.28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0.21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12.36</v>
      </c>
      <c r="P44" s="3" t="str">
        <f>FIXED(VLOOKUP($A44,'Full Sample-Townhouse'!$A:$R,P$1,0),2)</f>
        <v>41.83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11.80</v>
      </c>
      <c r="T44" s="3" t="str">
        <f>FIXED(VLOOKUP($A44,'Full Sample-Townhouse'!$A:$R,T$1,0),2)</f>
        <v>39.65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44.65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52.40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50.89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24.60</v>
      </c>
      <c r="AJ44" s="3" t="str">
        <f>FIXED(VLOOKUP($A44,'Full Sample-Single Family'!$A:$R,AJ$1,0),2)</f>
        <v>54.40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2.55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3.18</v>
      </c>
      <c r="P55" s="3" t="str">
        <f>FIXED(VLOOKUP($A55,'Full Sample-Townhouse'!$A:$R,P$1,0),2)</f>
        <v>3.45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3.12</v>
      </c>
      <c r="T55" s="3" t="str">
        <f>FIXED(VLOOKUP($A55,'Full Sample-Townhouse'!$A:$R,T$1,0),2)</f>
        <v>3.33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7.64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10.75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10.91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6.06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5.80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1.83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47">
        <f>'Full Sample-No Sub'!B3</f>
        <v>50625</v>
      </c>
      <c r="D76" s="48"/>
      <c r="E76" s="48"/>
      <c r="F76" s="48"/>
      <c r="G76" s="47">
        <f>'Full Sample-No Sub'!H3</f>
        <v>29295</v>
      </c>
      <c r="H76" s="48"/>
      <c r="I76" s="48"/>
      <c r="J76" s="49"/>
      <c r="K76" s="47">
        <f>'Full Sample-No Sub'!N3</f>
        <v>21330</v>
      </c>
      <c r="L76" s="48"/>
      <c r="M76" s="48"/>
      <c r="N76" s="49"/>
      <c r="O76" s="47">
        <f>'Full Sample-Townhouse'!B3</f>
        <v>27632</v>
      </c>
      <c r="P76" s="48"/>
      <c r="Q76" s="48"/>
      <c r="R76" s="48"/>
      <c r="S76" s="47">
        <f>'Full Sample-Townhouse'!H3</f>
        <v>16018</v>
      </c>
      <c r="T76" s="48"/>
      <c r="U76" s="48"/>
      <c r="V76" s="49"/>
      <c r="W76" s="47">
        <f>'Full Sample-Townhouse'!N3</f>
        <v>11614</v>
      </c>
      <c r="X76" s="48"/>
      <c r="Y76" s="48"/>
      <c r="Z76" s="48"/>
      <c r="AA76" s="47">
        <f>'Full Sample-Single Family'!B3</f>
        <v>22993</v>
      </c>
      <c r="AB76" s="48"/>
      <c r="AC76" s="48"/>
      <c r="AD76" s="48"/>
      <c r="AE76" s="47">
        <f>'Full Sample-Single Family'!H3</f>
        <v>13277</v>
      </c>
      <c r="AF76" s="48"/>
      <c r="AG76" s="48"/>
      <c r="AH76" s="49"/>
      <c r="AI76" s="47">
        <f>'Full Sample-Single Family'!N3</f>
        <v>9716</v>
      </c>
      <c r="AJ76" s="48"/>
      <c r="AK76" s="48"/>
      <c r="AL76" s="48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25.98</v>
      </c>
      <c r="P80" s="3" t="str">
        <f>FIXED(VLOOKUP($A80,'Full Sample-Townhouse'!$A:$R,P$1,0),2)</f>
        <v>95.88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21.90</v>
      </c>
      <c r="T80" s="3" t="str">
        <f>FIXED(VLOOKUP($A80,'Full Sample-Townhouse'!$A:$R,T$1,0),2)</f>
        <v>88.03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31.61</v>
      </c>
      <c r="X80" s="3" t="str">
        <f>FIXED(VLOOKUP($A80,'Full Sample-Townhouse'!$A:$R,X$1,0),2)</f>
        <v>105.52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232.76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328.97</v>
      </c>
      <c r="AF80" s="3" t="str">
        <f>FIXED(VLOOKUP($A80,'Full Sample-Single Family'!$A:$R,AF$1,0),2)</f>
        <v>232.86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330.76</v>
      </c>
      <c r="AJ80" s="3" t="str">
        <f>FIXED(VLOOKUP($A80,'Full Sample-Single Family'!$A:$R,AJ$1,0),2)</f>
        <v>232.62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0.01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0.01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0.01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0.00</v>
      </c>
      <c r="AC81" s="3" t="str">
        <f>FIXED(VLOOKUP($A81,'Full Sample-Single Family'!$A:$R,AC$1,0),2)</f>
        <v>1.00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0.00</v>
      </c>
      <c r="AG81" s="3" t="str">
        <f>FIXED(VLOOKUP($A81,'Full Sample-Single Family'!$A:$R,AG$1,0),2)</f>
        <v>1.00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0.00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3.83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12.60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13.29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0.96</v>
      </c>
      <c r="AB83" s="3" t="str">
        <f>FIXED(VLOOKUP($A83,'Full Sample-Single Family'!$A:$R,AB$1,0),2)</f>
        <v>3.58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0.98</v>
      </c>
      <c r="AF83" s="3" t="str">
        <f>FIXED(VLOOKUP($A83,'Full Sample-Single Family'!$A:$R,AF$1,0),2)</f>
        <v>3.52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0.93</v>
      </c>
      <c r="AJ83" s="3" t="str">
        <f>FIXED(VLOOKUP($A83,'Full Sample-Single Family'!$A:$R,AJ$1,0),2)</f>
        <v>3.67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311.73</v>
      </c>
      <c r="P84" s="3" t="str">
        <f>FIXED(VLOOKUP($A84,'Full Sample-Townhouse'!$A:$R,P$1,0),2)</f>
        <v>571.62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311.73</v>
      </c>
      <c r="X84" s="3" t="str">
        <f>FIXED(VLOOKUP($A84,'Full Sample-Townhouse'!$A:$R,X$1,0),2)</f>
        <v>571.62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289.77</v>
      </c>
      <c r="AB84" s="3" t="str">
        <f>FIXED(VLOOKUP($A84,'Full Sample-Single Family'!$A:$R,AB$1,0),2)</f>
        <v>543.24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289.77</v>
      </c>
      <c r="AJ84" s="3" t="str">
        <f>FIXED(VLOOKUP($A84,'Full Sample-Single Family'!$A:$R,AJ$1,0),2)</f>
        <v>543.24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0.54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6,913.32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6,959.87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2,359,673.00</v>
      </c>
      <c r="X88" s="3" t="str">
        <f>FIXED(VLOOKUP($A88,'Full Sample-Townhouse'!$A:$R,X$1,0),2)</f>
        <v>6,848.42</v>
      </c>
      <c r="Y88" s="3" t="str">
        <f>FIXED(VLOOKUP($A88,'Full Sample-Townhouse'!$A:$R,Y$1,0),2)</f>
        <v>2,351,215.00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2,363,460.00</v>
      </c>
      <c r="AB88" s="3" t="str">
        <f>FIXED(VLOOKUP($A88,'Full Sample-Single Family'!$A:$R,AB$1,0),2)</f>
        <v>7,868.63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2,363,449.00</v>
      </c>
      <c r="AF88" s="3" t="str">
        <f>FIXED(VLOOKUP($A88,'Full Sample-Single Family'!$A:$R,AF$1,0),2)</f>
        <v>7,709.37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2,363,477.00</v>
      </c>
      <c r="AJ88" s="3" t="str">
        <f>FIXED(VLOOKUP($A88,'Full Sample-Single Family'!$A:$R,AJ$1,0),2)</f>
        <v>8,081.54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614,194.20</v>
      </c>
      <c r="P89" s="3" t="str">
        <f>FIXED(VLOOKUP($A89,'Full Sample-Townhouse'!$A:$R,P$1,0),2)</f>
        <v>11,605.60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614,172.60</v>
      </c>
      <c r="T89" s="3" t="str">
        <f>FIXED(VLOOKUP($A89,'Full Sample-Townhouse'!$A:$R,T$1,0),2)</f>
        <v>11,466.60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614,224.00</v>
      </c>
      <c r="X89" s="3" t="str">
        <f>FIXED(VLOOKUP($A89,'Full Sample-Townhouse'!$A:$R,X$1,0),2)</f>
        <v>11,795.07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610,974.40</v>
      </c>
      <c r="AB89" s="3" t="str">
        <f>FIXED(VLOOKUP($A89,'Full Sample-Single Family'!$A:$R,AB$1,0),2)</f>
        <v>14,875.09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610,574.40</v>
      </c>
      <c r="AF89" s="3" t="str">
        <f>FIXED(VLOOKUP($A89,'Full Sample-Single Family'!$A:$R,AF$1,0),2)</f>
        <v>14,742.05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611,521.10</v>
      </c>
      <c r="AJ89" s="3" t="str">
        <f>FIXED(VLOOKUP($A89,'Full Sample-Single Family'!$A:$R,AJ$1,0),2)</f>
        <v>15,038.57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414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7,343.64</v>
      </c>
      <c r="P91" s="3" t="str">
        <f>FIXED(VLOOKUP($A91,'Full Sample-Townhouse'!$A:$R,P$1,0),2)</f>
        <v>47,380.98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9,584.31</v>
      </c>
      <c r="T91" s="3" t="str">
        <f>FIXED(VLOOKUP($A91,'Full Sample-Townhouse'!$A:$R,T$1,0),2)</f>
        <v>32,192.00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4,253.32</v>
      </c>
      <c r="X91" s="3" t="str">
        <f>FIXED(VLOOKUP($A91,'Full Sample-Townhouse'!$A:$R,X$1,0),2)</f>
        <v>62,415.19</v>
      </c>
      <c r="Y91" s="3"/>
      <c r="Z91" s="3"/>
      <c r="AA91" s="9" t="str">
        <f>FIXED(VLOOKUP($A91,'Full Sample-Single Family'!$A:$R,AA$1,0),2)</f>
        <v>10,872.10</v>
      </c>
      <c r="AB91" s="3" t="str">
        <f>FIXED(VLOOKUP($A91,'Full Sample-Single Family'!$A:$R,AB$1,0),2)</f>
        <v>121,175.90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20,419.64</v>
      </c>
      <c r="AF91" s="3" t="str">
        <f>FIXED(VLOOKUP($A91,'Full Sample-Single Family'!$A:$R,AF$1,0),2)</f>
        <v>94,698.16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-2,174.69</v>
      </c>
      <c r="AJ91" s="3" t="str">
        <f>FIXED(VLOOKUP($A91,'Full Sample-Single Family'!$A:$R,AJ$1,0),2)</f>
        <v>149,000.90</v>
      </c>
      <c r="AK91" s="3"/>
      <c r="AL91" s="3"/>
    </row>
    <row r="92" spans="1:40" x14ac:dyDescent="0.25">
      <c r="A92" t="s">
        <v>19</v>
      </c>
      <c r="B92" t="s">
        <v>416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674,415.50</v>
      </c>
      <c r="P92" s="3" t="str">
        <f>FIXED(VLOOKUP($A92,'Full Sample-Townhouse'!$A:$R,P$1,0),2)</f>
        <v>609,027.30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681,806.20</v>
      </c>
      <c r="T92" s="3" t="str">
        <f>FIXED(VLOOKUP($A92,'Full Sample-Townhouse'!$A:$R,T$1,0),2)</f>
        <v>630,690.90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664,222.20</v>
      </c>
      <c r="X92" s="3" t="str">
        <f>FIXED(VLOOKUP($A92,'Full Sample-Townhouse'!$A:$R,X$1,0),2)</f>
        <v>577,689.50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1,265,700.00</v>
      </c>
      <c r="AB92" s="3" t="str">
        <f>FIXED(VLOOKUP($A92,'Full Sample-Single Family'!$A:$R,AB$1,0),2)</f>
        <v>1,031,113.00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1,188,475.00</v>
      </c>
      <c r="AF92" s="3" t="str">
        <f>FIXED(VLOOKUP($A92,'Full Sample-Single Family'!$A:$R,AF$1,0),2)</f>
        <v>975,934.10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1,371,229.00</v>
      </c>
      <c r="AJ92" s="3" t="str">
        <f>FIXED(VLOOKUP($A92,'Full Sample-Single Family'!$A:$R,AJ$1,0),2)</f>
        <v>1,093,323.00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309</v>
      </c>
    </row>
  </sheetData>
  <mergeCells count="23">
    <mergeCell ref="A2:AJ2"/>
    <mergeCell ref="A3:AJ3"/>
    <mergeCell ref="C4:L4"/>
    <mergeCell ref="O4:X4"/>
    <mergeCell ref="O5:R5"/>
    <mergeCell ref="S5:V5"/>
    <mergeCell ref="W5:Z5"/>
    <mergeCell ref="O76:R76"/>
    <mergeCell ref="S76:V76"/>
    <mergeCell ref="W76:Z76"/>
    <mergeCell ref="C5:F5"/>
    <mergeCell ref="G5:J5"/>
    <mergeCell ref="K5:N5"/>
    <mergeCell ref="C76:F76"/>
    <mergeCell ref="G76:J76"/>
    <mergeCell ref="K76:N76"/>
    <mergeCell ref="AA4:AJ4"/>
    <mergeCell ref="AA5:AD5"/>
    <mergeCell ref="AE5:AH5"/>
    <mergeCell ref="AI5:AL5"/>
    <mergeCell ref="AA76:AD76"/>
    <mergeCell ref="AE76:AH76"/>
    <mergeCell ref="AI76:AL76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workbookViewId="0">
      <selection activeCell="AN7" sqref="AN7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51" t="s">
        <v>273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40" ht="23.25" x14ac:dyDescent="0.35">
      <c r="A3" s="69" t="s">
        <v>425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423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424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x14ac:dyDescent="0.25">
      <c r="A5" s="5"/>
      <c r="B5" s="5"/>
      <c r="C5" s="62" t="s">
        <v>92</v>
      </c>
      <c r="D5" s="63"/>
      <c r="E5" s="63"/>
      <c r="F5" s="63"/>
      <c r="G5" s="64" t="s">
        <v>419</v>
      </c>
      <c r="H5" s="65"/>
      <c r="I5" s="65"/>
      <c r="J5" s="66"/>
      <c r="K5" s="62" t="s">
        <v>420</v>
      </c>
      <c r="L5" s="63"/>
      <c r="M5" s="63"/>
      <c r="N5" s="67"/>
      <c r="O5" s="62" t="s">
        <v>92</v>
      </c>
      <c r="P5" s="63"/>
      <c r="Q5" s="63"/>
      <c r="R5" s="63"/>
      <c r="S5" s="64" t="s">
        <v>419</v>
      </c>
      <c r="T5" s="65"/>
      <c r="U5" s="65"/>
      <c r="V5" s="66"/>
      <c r="W5" s="62" t="s">
        <v>420</v>
      </c>
      <c r="X5" s="63"/>
      <c r="Y5" s="63"/>
      <c r="Z5" s="67"/>
      <c r="AA5" s="62" t="s">
        <v>92</v>
      </c>
      <c r="AB5" s="63"/>
      <c r="AC5" s="63"/>
      <c r="AD5" s="63"/>
      <c r="AE5" s="64" t="s">
        <v>419</v>
      </c>
      <c r="AF5" s="65"/>
      <c r="AG5" s="65"/>
      <c r="AH5" s="66"/>
      <c r="AI5" s="62" t="s">
        <v>420</v>
      </c>
      <c r="AJ5" s="63"/>
      <c r="AK5" s="63"/>
      <c r="AL5" s="67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417</v>
      </c>
      <c r="C7" s="9" t="str">
        <f>FIXED(VLOOKUP($A7,'Full Sample-No Sub'!$A:$R,C$1,0)/100000,2)</f>
        <v>9.32</v>
      </c>
      <c r="D7" s="3" t="str">
        <f>FIXED(VLOOKUP($A7,'Full Sample-No Sub'!$A:$R,D$1,0)/100000,2)</f>
        <v>8.29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8.94</v>
      </c>
      <c r="H7" s="3" t="str">
        <f>FIXED(VLOOKUP($A7,'Full Sample-No Sub'!$A:$R,H$1,0)/100000,2)</f>
        <v>7.93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9.85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6.66</v>
      </c>
      <c r="P7" s="3" t="str">
        <f>FIXED(VLOOKUP($A7,'Full Sample-Townhouse'!$A:$R,P$1,0)/100000,2)</f>
        <v>5.83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6.70</v>
      </c>
      <c r="T7" s="3" t="str">
        <f>FIXED(VLOOKUP($A7,'Full Sample-Townhouse'!$A:$R,T$1,0)/100000,2)</f>
        <v>6.10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6.59</v>
      </c>
      <c r="X7" s="3" t="str">
        <f>FIXED(VLOOKUP($A7,'Full Sample-Townhouse'!$A:$R,X$1,0)/100000,2)</f>
        <v>5.43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12.52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8.99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10.23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AN92*0.013</f>
        <v>12434.941999999999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0.57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1.31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1.30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0.37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44.20</v>
      </c>
      <c r="D11" s="3" t="str">
        <f>FIXED(VLOOKUP($A11,'Full Sample-No Sub'!$A:$R,D$1,0),2)</f>
        <v>58.81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50.78</v>
      </c>
      <c r="H11" s="3" t="str">
        <f>FIXED(VLOOKUP($A11,'Full Sample-No Sub'!$A:$R,H$1,0),2)</f>
        <v>59.03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57.27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45.78</v>
      </c>
      <c r="P11" s="3" t="str">
        <f>FIXED(VLOOKUP($A11,'Full Sample-Townhouse'!$A:$R,P$1,0),2)</f>
        <v>60.56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50.13</v>
      </c>
      <c r="T11" s="3" t="str">
        <f>FIXED(VLOOKUP($A11,'Full Sample-Townhouse'!$A:$R,T$1,0),2)</f>
        <v>58.36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62.99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42.30</v>
      </c>
      <c r="AB11" s="3" t="str">
        <f>FIXED(VLOOKUP($A11,'Full Sample-Single Family'!$A:$R,AB$1,0),2)</f>
        <v>56.56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51.56</v>
      </c>
      <c r="AF11" s="3" t="str">
        <f>FIXED(VLOOKUP($A11,'Full Sample-Single Family'!$A:$R,AF$1,0),2)</f>
        <v>59.83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29.65</v>
      </c>
      <c r="AJ11" s="3" t="str">
        <f>FIXED(VLOOKUP($A11,'Full Sample-Single Family'!$A:$R,AJ$1,0),2)</f>
        <v>49.02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0.56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0.97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2.71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2.69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1.30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0.27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0.21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0.53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0.52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0.22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418</v>
      </c>
      <c r="C18" s="9" t="str">
        <f>FIXED(VLOOKUP($A18,'Full Sample-No Sub'!$A:$R,C$1,0),2)</f>
        <v>1,472.42</v>
      </c>
      <c r="D18" s="3" t="str">
        <f>FIXED(VLOOKUP($A18,'Full Sample-No Sub'!$A:$R,D$1,0),2)</f>
        <v>980.20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1,457.67</v>
      </c>
      <c r="H18" s="3" t="str">
        <f>FIXED(VLOOKUP($A18,'Full Sample-No Sub'!$A:$R,H$1,0),2)</f>
        <v>947.47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1,492.68</v>
      </c>
      <c r="L18" s="3" t="str">
        <f>FIXED(VLOOKUP($A18,'Full Sample-No Sub'!$A:$R,L$1,0),2)</f>
        <v>1,023.13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965.64</v>
      </c>
      <c r="P18" s="3" t="str">
        <f>FIXED(VLOOKUP($A18,'Full Sample-Townhouse'!$A:$R,P$1,0),2)</f>
        <v>439.05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970.37</v>
      </c>
      <c r="T18" s="3" t="str">
        <f>FIXED(VLOOKUP($A18,'Full Sample-Townhouse'!$A:$R,T$1,0),2)</f>
        <v>438.34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959.11</v>
      </c>
      <c r="X18" s="3" t="str">
        <f>FIXED(VLOOKUP($A18,'Full Sample-Townhouse'!$A:$R,X$1,0),2)</f>
        <v>439.96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2,081.46</v>
      </c>
      <c r="AB18" s="3" t="str">
        <f>FIXED(VLOOKUP($A18,'Full Sample-Single Family'!$A:$R,AB$1,0),2)</f>
        <v>1,097.37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2,045.57</v>
      </c>
      <c r="AF18" s="3" t="str">
        <f>FIXED(VLOOKUP($A18,'Full Sample-Single Family'!$A:$R,AF$1,0),2)</f>
        <v>1,056.80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2,130.49</v>
      </c>
      <c r="AJ18" s="3" t="str">
        <f>FIXED(VLOOKUP($A18,'Full Sample-Single Family'!$A:$R,AJ$1,0),2)</f>
        <v>1,148.75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36.71</v>
      </c>
      <c r="D19" s="3" t="str">
        <f>FIXED(VLOOKUP($A19,'Full Sample-No Sub'!$A:$R,D$1,0),2)</f>
        <v>19.79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34.92</v>
      </c>
      <c r="H19" s="3" t="str">
        <f>FIXED(VLOOKUP($A19,'Full Sample-No Sub'!$A:$R,H$1,0),2)</f>
        <v>19.53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35.05</v>
      </c>
      <c r="P19" s="3" t="str">
        <f>FIXED(VLOOKUP($A19,'Full Sample-Townhouse'!$A:$R,P$1,0),2)</f>
        <v>16.27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33.56</v>
      </c>
      <c r="T19" s="3" t="str">
        <f>FIXED(VLOOKUP($A19,'Full Sample-Townhouse'!$A:$R,T$1,0),2)</f>
        <v>16.09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37.10</v>
      </c>
      <c r="X19" s="3" t="str">
        <f>FIXED(VLOOKUP($A19,'Full Sample-Townhouse'!$A:$R,X$1,0),2)</f>
        <v>16.30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38.71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36.57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41.62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1.74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1.60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1.49</v>
      </c>
      <c r="P20" s="3" t="str">
        <f>FIXED(VLOOKUP($A20,'Full Sample-Townhouse'!$A:$R,P$1,0),2)</f>
        <v>1.02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1.39</v>
      </c>
      <c r="T20" s="3" t="str">
        <f>FIXED(VLOOKUP($A20,'Full Sample-Townhouse'!$A:$R,T$1,0),2)</f>
        <v>0.97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0.39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0.34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0.36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0.37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0.39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0.42</v>
      </c>
      <c r="D24" s="3" t="str">
        <f>FIXED(VLOOKUP($A24,'Full Sample-No Sub'!$A:$R,D$1,0),2)</f>
        <v>0.49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0.42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0.39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0.21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0.08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0.09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0.09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0.37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0.17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0.29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0.28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0.51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0.54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0.00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0.00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0.00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0.00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0.00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0.06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0.05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0.05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0.28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0.00</v>
      </c>
      <c r="Q33" s="3" t="str">
        <f>FIXED(VLOOKUP($A33,'Full Sample-Townhouse'!$A:$R,Q$1,0),2)</f>
        <v>0.00</v>
      </c>
      <c r="R33" s="3" t="str">
        <f>FIXED(VLOOKUP($A33,'Full Sample-Townhouse'!$A:$R,R$1,0),2)</f>
        <v>0.00</v>
      </c>
      <c r="S33" s="9" t="str">
        <f>FIXED(VLOOKUP($A33,'Full Sample-Townhouse'!$A:$R,S$1,0),2)</f>
        <v>0.00</v>
      </c>
      <c r="T33" s="3" t="str">
        <f>FIXED(VLOOKUP($A33,'Full Sample-Townhouse'!$A:$R,T$1,0),2)</f>
        <v>0.00</v>
      </c>
      <c r="U33" s="3" t="str">
        <f>FIXED(VLOOKUP($A33,'Full Sample-Townhouse'!$A:$R,U$1,0),2)</f>
        <v>0.00</v>
      </c>
      <c r="V33" s="13" t="str">
        <f>FIXED(VLOOKUP($A33,'Full Sample-Townhouse'!$A:$R,V$1,0),2)</f>
        <v>0.00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0.27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0.08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0.22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0.23</v>
      </c>
      <c r="T39" s="3" t="str">
        <f>FIXED(VLOOKUP($A39,'Full Sample-Townhouse'!$A:$R,T$1,0),2)</f>
        <v>0.42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0.28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0.36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0.28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0.27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0.12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0.12</v>
      </c>
      <c r="H42" s="3" t="str">
        <f>FIXED(VLOOKUP($A42,'Full Sample-No Sub'!$A:$R,H$1,0),2)</f>
        <v>0.32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0.21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0.21</v>
      </c>
      <c r="T42" s="3" t="str">
        <f>FIXED(VLOOKUP($A42,'Full Sample-Townhouse'!$A:$R,T$1,0),2)</f>
        <v>0.40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18.01</v>
      </c>
      <c r="D44" s="3" t="str">
        <f>FIXED(VLOOKUP($A44,'Full Sample-No Sub'!$A:$R,D$1,0),2)</f>
        <v>47.33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17.76</v>
      </c>
      <c r="H44" s="3" t="str">
        <f>FIXED(VLOOKUP($A44,'Full Sample-No Sub'!$A:$R,H$1,0),2)</f>
        <v>45.57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12.36</v>
      </c>
      <c r="P44" s="3" t="str">
        <f>FIXED(VLOOKUP($A44,'Full Sample-Townhouse'!$A:$R,P$1,0),2)</f>
        <v>41.83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11.80</v>
      </c>
      <c r="T44" s="3" t="str">
        <f>FIXED(VLOOKUP($A44,'Full Sample-Townhouse'!$A:$R,T$1,0),2)</f>
        <v>39.65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44.65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52.40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50.89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24.60</v>
      </c>
      <c r="AJ44" s="3" t="str">
        <f>FIXED(VLOOKUP($A44,'Full Sample-Single Family'!$A:$R,AJ$1,0),2)</f>
        <v>54.40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0.30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0.26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0.44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0.32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0.31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0.17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0.70</v>
      </c>
      <c r="D52" s="3" t="str">
        <f>FIXED(VLOOKUP($A52,'Full Sample-No Sub'!$A:$R,D$1,0),2)</f>
        <v>1.53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0.71</v>
      </c>
      <c r="H52" s="3" t="str">
        <f>FIXED(VLOOKUP($A52,'Full Sample-No Sub'!$A:$R,H$1,0),2)</f>
        <v>1.57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1.27</v>
      </c>
      <c r="P52" s="3" t="str">
        <f>FIXED(VLOOKUP($A52,'Full Sample-Townhouse'!$A:$R,P$1,0),2)</f>
        <v>1.89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1.29</v>
      </c>
      <c r="T52" s="3" t="str">
        <f>FIXED(VLOOKUP($A52,'Full Sample-Townhouse'!$A:$R,T$1,0),2)</f>
        <v>1.93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2.09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2.13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1.76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1.78</v>
      </c>
      <c r="T53" s="3" t="str">
        <f>FIXED(VLOOKUP($A53,'Full Sample-Townhouse'!$A:$R,T$1,0),2)</f>
        <v>2.31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2.55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4.13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4.09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3.18</v>
      </c>
      <c r="P55" s="3" t="str">
        <f>FIXED(VLOOKUP($A55,'Full Sample-Townhouse'!$A:$R,P$1,0),2)</f>
        <v>3.45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3.12</v>
      </c>
      <c r="T55" s="3" t="str">
        <f>FIXED(VLOOKUP($A55,'Full Sample-Townhouse'!$A:$R,T$1,0),2)</f>
        <v>3.33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3.26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4.23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9.07</v>
      </c>
      <c r="D56" s="3" t="str">
        <f>FIXED(VLOOKUP($A56,'Full Sample-No Sub'!$A:$R,D$1,0),2)</f>
        <v>5.60</v>
      </c>
      <c r="E56" s="3" t="str">
        <f>FIXED(VLOOKUP($A56,'Full Sample-No Sub'!$A:$R,E$1,0),2)</f>
        <v>0.99</v>
      </c>
      <c r="F56" s="3" t="str">
        <f>FIXED(VLOOKUP($A56,'Full Sample-No Sub'!$A:$R,F$1,0),2)</f>
        <v>30.99</v>
      </c>
      <c r="G56" s="9" t="str">
        <f>FIXED(VLOOKUP($A56,'Full Sample-No Sub'!$A:$R,G$1,0),2)</f>
        <v>9.05</v>
      </c>
      <c r="H56" s="3" t="str">
        <f>FIXED(VLOOKUP($A56,'Full Sample-No Sub'!$A:$R,H$1,0),2)</f>
        <v>5.60</v>
      </c>
      <c r="I56" s="3" t="str">
        <f>FIXED(VLOOKUP($A56,'Full Sample-No Sub'!$A:$R,I$1,0),2)</f>
        <v>0.99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7.62</v>
      </c>
      <c r="P56" s="3" t="str">
        <f>FIXED(VLOOKUP($A56,'Full Sample-Townhouse'!$A:$R,P$1,0),2)</f>
        <v>5.17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7.64</v>
      </c>
      <c r="T56" s="3" t="str">
        <f>FIXED(VLOOKUP($A56,'Full Sample-Townhouse'!$A:$R,T$1,0),2)</f>
        <v>5.19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1.27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10.75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1.27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10.91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4.51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4.65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6.06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6.24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1.23</v>
      </c>
      <c r="X57" s="3" t="str">
        <f>FIXED(VLOOKUP($A57,'Full Sample-Townhouse'!$A:$R,X$1,0),2)</f>
        <v>5.80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7.45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7.14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1.59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1.58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1.33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1.33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2.17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2.17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1.83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1.84</v>
      </c>
      <c r="T59" s="3" t="str">
        <f>FIXED(VLOOKUP($A59,'Full Sample-Townhouse'!$A:$R,T$1,0),2)</f>
        <v>1.21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0.13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0.13</v>
      </c>
      <c r="H60" s="3" t="str">
        <f>FIXED(VLOOKUP($A60,'Full Sample-No Sub'!$A:$R,H$1,0),2)</f>
        <v>0.34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0.21</v>
      </c>
      <c r="P60" s="3" t="str">
        <f>FIXED(VLOOKUP($A60,'Full Sample-Townhouse'!$A:$R,P$1,0),2)</f>
        <v>0.41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0.22</v>
      </c>
      <c r="T60" s="3" t="str">
        <f>FIXED(VLOOKUP($A60,'Full Sample-Townhouse'!$A:$R,T$1,0),2)</f>
        <v>0.41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0.09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0.07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0.42</v>
      </c>
      <c r="H64" s="3" t="str">
        <f>FIXED(VLOOKUP($A64,'Full Sample-No Sub'!$A:$R,H$1,0),2)</f>
        <v>0.49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0.39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0.18</v>
      </c>
      <c r="E67" s="3" t="str">
        <f>FIXED(VLOOKUP($A67,'Full Sample-No Sub'!$A:$R,E$1,0),2)</f>
        <v>0.00</v>
      </c>
      <c r="F67" s="3" t="str">
        <f>FIXED(VLOOKUP($A67,'Full Sample-No Sub'!$A:$R,F$1,0),2)</f>
        <v>0.85</v>
      </c>
      <c r="G67" s="9" t="str">
        <f>FIXED(VLOOKUP($A67,'Full Sample-No Sub'!$A:$R,G$1,0),2)</f>
        <v>0.25</v>
      </c>
      <c r="H67" s="3" t="str">
        <f>FIXED(VLOOKUP($A67,'Full Sample-No Sub'!$A:$R,H$1,0),2)</f>
        <v>0.18</v>
      </c>
      <c r="I67" s="3" t="str">
        <f>FIXED(VLOOKUP($A67,'Full Sample-No Sub'!$A:$R,I$1,0),2)</f>
        <v>0.00</v>
      </c>
      <c r="J67" s="13" t="str">
        <f>FIXED(VLOOKUP($A67,'Full Sample-No Sub'!$A:$R,J$1,0),2)</f>
        <v>0.85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0.85</v>
      </c>
      <c r="O67" s="9" t="str">
        <f>FIXED(VLOOKUP($A67,'Full Sample-Townhouse'!$A:$R,O$1,0),2)</f>
        <v>0.27</v>
      </c>
      <c r="P67" s="3" t="str">
        <f>FIXED(VLOOKUP($A67,'Full Sample-Townhouse'!$A:$R,P$1,0),2)</f>
        <v>0.19</v>
      </c>
      <c r="Q67" s="3" t="str">
        <f>FIXED(VLOOKUP($A67,'Full Sample-Townhouse'!$A:$R,Q$1,0),2)</f>
        <v>0.00</v>
      </c>
      <c r="R67" s="3" t="str">
        <f>FIXED(VLOOKUP($A67,'Full Sample-Townhouse'!$A:$R,R$1,0),2)</f>
        <v>0.83</v>
      </c>
      <c r="S67" s="9" t="str">
        <f>FIXED(VLOOKUP($A67,'Full Sample-Townhouse'!$A:$R,S$1,0),2)</f>
        <v>0.28</v>
      </c>
      <c r="T67" s="3" t="str">
        <f>FIXED(VLOOKUP($A67,'Full Sample-Townhouse'!$A:$R,T$1,0),2)</f>
        <v>0.19</v>
      </c>
      <c r="U67" s="3" t="str">
        <f>FIXED(VLOOKUP($A67,'Full Sample-Townhouse'!$A:$R,U$1,0),2)</f>
        <v>0.00</v>
      </c>
      <c r="V67" s="13" t="str">
        <f>FIXED(VLOOKUP($A67,'Full Sample-Townhouse'!$A:$R,V$1,0),2)</f>
        <v>0.83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0.21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0.85</v>
      </c>
      <c r="AE67" s="9" t="str">
        <f>FIXED(VLOOKUP($A67,'Full Sample-Single Family'!$A:$R,AE$1,0),2)</f>
        <v>0.21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0.85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0.03</v>
      </c>
      <c r="E68" s="3" t="str">
        <f>FIXED(VLOOKUP($A68,'Full Sample-No Sub'!$A:$R,E$1,0),2)</f>
        <v>0.00</v>
      </c>
      <c r="F68" s="3" t="str">
        <f>FIXED(VLOOKUP($A68,'Full Sample-No Sub'!$A:$R,F$1,0),2)</f>
        <v>0.26</v>
      </c>
      <c r="G68" s="9" t="str">
        <f>FIXED(VLOOKUP($A68,'Full Sample-No Sub'!$A:$R,G$1,0),2)</f>
        <v>0.02</v>
      </c>
      <c r="H68" s="3" t="str">
        <f>FIXED(VLOOKUP($A68,'Full Sample-No Sub'!$A:$R,H$1,0),2)</f>
        <v>0.04</v>
      </c>
      <c r="I68" s="3" t="str">
        <f>FIXED(VLOOKUP($A68,'Full Sample-No Sub'!$A:$R,I$1,0),2)</f>
        <v>0.00</v>
      </c>
      <c r="J68" s="13" t="str">
        <f>FIXED(VLOOKUP($A68,'Full Sample-No Sub'!$A:$R,J$1,0),2)</f>
        <v>0.26</v>
      </c>
      <c r="K68" s="9" t="str">
        <f>FIXED(VLOOKUP($A68,'Full Sample-No Sub'!$A:$R,K$1,0),2)</f>
        <v>0.02</v>
      </c>
      <c r="L68" s="3" t="str">
        <f>FIXED(VLOOKUP($A68,'Full Sample-No Sub'!$A:$R,L$1,0),2)</f>
        <v>0.03</v>
      </c>
      <c r="M68" s="3" t="str">
        <f>FIXED(VLOOKUP($A68,'Full Sample-No Sub'!$A:$R,M$1,0),2)</f>
        <v>0.00</v>
      </c>
      <c r="N68" s="13" t="str">
        <f>FIXED(VLOOKUP($A68,'Full Sample-No Sub'!$A:$R,N$1,0),2)</f>
        <v>0.26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0.24</v>
      </c>
      <c r="S68" s="9" t="str">
        <f>FIXED(VLOOKUP($A68,'Full Sample-Townhouse'!$A:$R,S$1,0),2)</f>
        <v>0.02</v>
      </c>
      <c r="T68" s="3" t="str">
        <f>FIXED(VLOOKUP($A68,'Full Sample-Townhouse'!$A:$R,T$1,0),2)</f>
        <v>0.04</v>
      </c>
      <c r="U68" s="3" t="str">
        <f>FIXED(VLOOKUP($A68,'Full Sample-Townhouse'!$A:$R,U$1,0),2)</f>
        <v>0.00</v>
      </c>
      <c r="V68" s="13" t="str">
        <f>FIXED(VLOOKUP($A68,'Full Sample-Townhouse'!$A:$R,V$1,0),2)</f>
        <v>0.24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0.24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0.26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0.26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0.03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0.20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0.43</v>
      </c>
      <c r="H69" s="3" t="str">
        <f>FIXED(VLOOKUP($A69,'Full Sample-No Sub'!$A:$R,H$1,0),2)</f>
        <v>0.20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0.44</v>
      </c>
      <c r="P69" s="3" t="str">
        <f>FIXED(VLOOKUP($A69,'Full Sample-Townhouse'!$A:$R,P$1,0),2)</f>
        <v>0.19</v>
      </c>
      <c r="Q69" s="3" t="str">
        <f>FIXED(VLOOKUP($A69,'Full Sample-Townhouse'!$A:$R,Q$1,0),2)</f>
        <v>0.01</v>
      </c>
      <c r="R69" s="3" t="str">
        <f>FIXED(VLOOKUP($A69,'Full Sample-Townhouse'!$A:$R,R$1,0),2)</f>
        <v>1.00</v>
      </c>
      <c r="S69" s="9" t="str">
        <f>FIXED(VLOOKUP($A69,'Full Sample-Townhouse'!$A:$R,S$1,0),2)</f>
        <v>0.44</v>
      </c>
      <c r="T69" s="3" t="str">
        <f>FIXED(VLOOKUP($A69,'Full Sample-Townhouse'!$A:$R,T$1,0),2)</f>
        <v>0.20</v>
      </c>
      <c r="U69" s="3" t="str">
        <f>FIXED(VLOOKUP($A69,'Full Sample-Townhouse'!$A:$R,U$1,0),2)</f>
        <v>0.01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0.42</v>
      </c>
      <c r="AB69" s="3" t="str">
        <f>FIXED(VLOOKUP($A69,'Full Sample-Single Family'!$A:$R,AB$1,0),2)</f>
        <v>0.20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0.96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0.20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0.96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0.10</v>
      </c>
      <c r="E70" s="3" t="str">
        <f>FIXED(VLOOKUP($A70,'Full Sample-No Sub'!$A:$R,E$1,0),2)</f>
        <v>0.00</v>
      </c>
      <c r="F70" s="3" t="str">
        <f>FIXED(VLOOKUP($A70,'Full Sample-No Sub'!$A:$R,F$1,0),2)</f>
        <v>0.70</v>
      </c>
      <c r="G70" s="9" t="str">
        <f>FIXED(VLOOKUP($A70,'Full Sample-No Sub'!$A:$R,G$1,0),2)</f>
        <v>0.07</v>
      </c>
      <c r="H70" s="3" t="str">
        <f>FIXED(VLOOKUP($A70,'Full Sample-No Sub'!$A:$R,H$1,0),2)</f>
        <v>0.10</v>
      </c>
      <c r="I70" s="3" t="str">
        <f>FIXED(VLOOKUP($A70,'Full Sample-No Sub'!$A:$R,I$1,0),2)</f>
        <v>0.00</v>
      </c>
      <c r="J70" s="13" t="str">
        <f>FIXED(VLOOKUP($A70,'Full Sample-No Sub'!$A:$R,J$1,0),2)</f>
        <v>0.70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0.70</v>
      </c>
      <c r="O70" s="9" t="str">
        <f>FIXED(VLOOKUP($A70,'Full Sample-Townhouse'!$A:$R,O$1,0),2)</f>
        <v>0.06</v>
      </c>
      <c r="P70" s="3" t="str">
        <f>FIXED(VLOOKUP($A70,'Full Sample-Townhouse'!$A:$R,P$1,0),2)</f>
        <v>0.09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0.09</v>
      </c>
      <c r="U70" s="3" t="str">
        <f>FIXED(VLOOKUP($A70,'Full Sample-Townhouse'!$A:$R,U$1,0),2)</f>
        <v>0.00</v>
      </c>
      <c r="V70" s="13" t="str">
        <f>FIXED(VLOOKUP($A70,'Full Sample-Townhouse'!$A:$R,V$1,0),2)</f>
        <v>0.64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0.12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0.70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0.12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0.70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0.88</v>
      </c>
      <c r="D71" s="3" t="str">
        <f>FIXED(VLOOKUP($A71,'Full Sample-No Sub'!$A:$R,D$1,0),2)</f>
        <v>0.17</v>
      </c>
      <c r="E71" s="3" t="str">
        <f>FIXED(VLOOKUP($A71,'Full Sample-No Sub'!$A:$R,E$1,0),2)</f>
        <v>0.00</v>
      </c>
      <c r="F71" s="3" t="str">
        <f>FIXED(VLOOKUP($A71,'Full Sample-No Sub'!$A:$R,F$1,0),2)</f>
        <v>1.00</v>
      </c>
      <c r="G71" s="9" t="str">
        <f>FIXED(VLOOKUP($A71,'Full Sample-No Sub'!$A:$R,G$1,0),2)</f>
        <v>0.88</v>
      </c>
      <c r="H71" s="3" t="str">
        <f>FIXED(VLOOKUP($A71,'Full Sample-No Sub'!$A:$R,H$1,0),2)</f>
        <v>0.17</v>
      </c>
      <c r="I71" s="3" t="str">
        <f>FIXED(VLOOKUP($A71,'Full Sample-No Sub'!$A:$R,I$1,0),2)</f>
        <v>0.00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0.11</v>
      </c>
      <c r="N71" s="13" t="str">
        <f>FIXED(VLOOKUP($A71,'Full Sample-No Sub'!$A:$R,N$1,0),2)</f>
        <v>1.00</v>
      </c>
      <c r="O71" s="9" t="str">
        <f>FIXED(VLOOKUP($A71,'Full Sample-Townhouse'!$A:$R,O$1,0),2)</f>
        <v>0.83</v>
      </c>
      <c r="P71" s="3" t="str">
        <f>FIXED(VLOOKUP($A71,'Full Sample-Townhouse'!$A:$R,P$1,0),2)</f>
        <v>0.20</v>
      </c>
      <c r="Q71" s="3" t="str">
        <f>FIXED(VLOOKUP($A71,'Full Sample-Townhouse'!$A:$R,Q$1,0),2)</f>
        <v>0.11</v>
      </c>
      <c r="R71" s="3" t="str">
        <f>FIXED(VLOOKUP($A71,'Full Sample-Townhouse'!$A:$R,R$1,0),2)</f>
        <v>1.00</v>
      </c>
      <c r="S71" s="9" t="str">
        <f>FIXED(VLOOKUP($A71,'Full Sample-Townhouse'!$A:$R,S$1,0),2)</f>
        <v>0.84</v>
      </c>
      <c r="T71" s="3" t="str">
        <f>FIXED(VLOOKUP($A71,'Full Sample-Townhouse'!$A:$R,T$1,0),2)</f>
        <v>0.20</v>
      </c>
      <c r="U71" s="3" t="str">
        <f>FIXED(VLOOKUP($A71,'Full Sample-Townhouse'!$A:$R,U$1,0),2)</f>
        <v>0.11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0.11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0.09</v>
      </c>
      <c r="AC71" s="3" t="str">
        <f>FIXED(VLOOKUP($A71,'Full Sample-Single Family'!$A:$R,AC$1,0),2)</f>
        <v>0.00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0.09</v>
      </c>
      <c r="AG71" s="3" t="str">
        <f>FIXED(VLOOKUP($A71,'Full Sample-Single Family'!$A:$R,AG$1,0),2)</f>
        <v>0.00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0.12</v>
      </c>
      <c r="D72" s="3" t="str">
        <f>FIXED(VLOOKUP($A72,'Full Sample-No Sub'!$A:$R,D$1,0),2)</f>
        <v>0.16</v>
      </c>
      <c r="E72" s="3" t="str">
        <f>FIXED(VLOOKUP($A72,'Full Sample-No Sub'!$A:$R,E$1,0),2)</f>
        <v>0.00</v>
      </c>
      <c r="F72" s="3" t="str">
        <f>FIXED(VLOOKUP($A72,'Full Sample-No Sub'!$A:$R,F$1,0),2)</f>
        <v>0.89</v>
      </c>
      <c r="G72" s="9" t="str">
        <f>FIXED(VLOOKUP($A72,'Full Sample-No Sub'!$A:$R,G$1,0),2)</f>
        <v>0.12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0.89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0.89</v>
      </c>
      <c r="O72" s="9" t="str">
        <f>FIXED(VLOOKUP($A72,'Full Sample-Townhouse'!$A:$R,O$1,0),2)</f>
        <v>0.17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0.89</v>
      </c>
      <c r="S72" s="9" t="str">
        <f>FIXED(VLOOKUP($A72,'Full Sample-Townhouse'!$A:$R,S$1,0),2)</f>
        <v>0.16</v>
      </c>
      <c r="T72" s="3" t="str">
        <f>FIXED(VLOOKUP($A72,'Full Sample-Townhouse'!$A:$R,T$1,0),2)</f>
        <v>0.20</v>
      </c>
      <c r="U72" s="3" t="str">
        <f>FIXED(VLOOKUP($A72,'Full Sample-Townhouse'!$A:$R,U$1,0),2)</f>
        <v>0.00</v>
      </c>
      <c r="V72" s="13" t="str">
        <f>FIXED(VLOOKUP($A72,'Full Sample-Townhouse'!$A:$R,V$1,0),2)</f>
        <v>0.89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0.89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0.08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0.09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0.67</v>
      </c>
      <c r="D73" s="3" t="str">
        <f>FIXED(VLOOKUP($A73,'Full Sample-No Sub'!$A:$R,D$1,0),2)</f>
        <v>0.20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0.67</v>
      </c>
      <c r="H73" s="3" t="str">
        <f>FIXED(VLOOKUP($A73,'Full Sample-No Sub'!$A:$R,H$1,0),2)</f>
        <v>0.20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0.58</v>
      </c>
      <c r="P73" s="3" t="str">
        <f>FIXED(VLOOKUP($A73,'Full Sample-Townhouse'!$A:$R,P$1,0),2)</f>
        <v>0.19</v>
      </c>
      <c r="Q73" s="3" t="str">
        <f>FIXED(VLOOKUP($A73,'Full Sample-Townhouse'!$A:$R,Q$1,0),2)</f>
        <v>0.03</v>
      </c>
      <c r="R73" s="3" t="str">
        <f>FIXED(VLOOKUP($A73,'Full Sample-Townhouse'!$A:$R,R$1,0),2)</f>
        <v>0.99</v>
      </c>
      <c r="S73" s="9" t="str">
        <f>FIXED(VLOOKUP($A73,'Full Sample-Townhouse'!$A:$R,S$1,0),2)</f>
        <v>0.59</v>
      </c>
      <c r="T73" s="3" t="str">
        <f>FIXED(VLOOKUP($A73,'Full Sample-Townhouse'!$A:$R,T$1,0),2)</f>
        <v>0.19</v>
      </c>
      <c r="U73" s="3" t="str">
        <f>FIXED(VLOOKUP($A73,'Full Sample-Townhouse'!$A:$R,U$1,0),2)</f>
        <v>0.03</v>
      </c>
      <c r="V73" s="13" t="str">
        <f>FIXED(VLOOKUP($A73,'Full Sample-Townhouse'!$A:$R,V$1,0),2)</f>
        <v>0.99</v>
      </c>
      <c r="W73" s="9" t="str">
        <f>FIXED(VLOOKUP($A73,'Full Sample-Townhouse'!$A:$R,W$1,0),2)</f>
        <v>0.58</v>
      </c>
      <c r="X73" s="3" t="str">
        <f>FIXED(VLOOKUP($A73,'Full Sample-Townhouse'!$A:$R,X$1,0),2)</f>
        <v>0.20</v>
      </c>
      <c r="Y73" s="3" t="str">
        <f>FIXED(VLOOKUP($A73,'Full Sample-Townhouse'!$A:$R,Y$1,0),2)</f>
        <v>0.03</v>
      </c>
      <c r="Z73" s="3" t="str">
        <f>FIXED(VLOOKUP($A73,'Full Sample-Townhouse'!$A:$R,Z$1,0),2)</f>
        <v>0.98</v>
      </c>
      <c r="AA73" s="9" t="str">
        <f>FIXED(VLOOKUP($A73,'Full Sample-Single Family'!$A:$R,AA$1,0),2)</f>
        <v>0.77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0.77</v>
      </c>
      <c r="AF73" s="3" t="str">
        <f>FIXED(VLOOKUP($A73,'Full Sample-Single Family'!$A:$R,AF$1,0),2)</f>
        <v>0.17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0.33</v>
      </c>
      <c r="D74" s="3" t="str">
        <f>FIXED(VLOOKUP($A74,'Full Sample-No Sub'!$A:$R,D$1,0),2)</f>
        <v>0.20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0.33</v>
      </c>
      <c r="H74" s="3" t="str">
        <f>FIXED(VLOOKUP($A74,'Full Sample-No Sub'!$A:$R,H$1,0),2)</f>
        <v>0.20</v>
      </c>
      <c r="I74" s="3" t="str">
        <f>FIXED(VLOOKUP($A74,'Full Sample-No Sub'!$A:$R,I$1,0),2)</f>
        <v>0.00</v>
      </c>
      <c r="J74" s="13" t="str">
        <f>FIXED(VLOOKUP($A74,'Full Sample-No Sub'!$A:$R,J$1,0),2)</f>
        <v>0.99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0.42</v>
      </c>
      <c r="P74" s="3" t="str">
        <f>FIXED(VLOOKUP($A74,'Full Sample-Townhouse'!$A:$R,P$1,0),2)</f>
        <v>0.19</v>
      </c>
      <c r="Q74" s="3" t="str">
        <f>FIXED(VLOOKUP($A74,'Full Sample-Townhouse'!$A:$R,Q$1,0),2)</f>
        <v>0.02</v>
      </c>
      <c r="R74" s="3" t="str">
        <f>FIXED(VLOOKUP($A74,'Full Sample-Townhouse'!$A:$R,R$1,0),2)</f>
        <v>0.97</v>
      </c>
      <c r="S74" s="9" t="str">
        <f>FIXED(VLOOKUP($A74,'Full Sample-Townhouse'!$A:$R,S$1,0),2)</f>
        <v>0.41</v>
      </c>
      <c r="T74" s="3" t="str">
        <f>FIXED(VLOOKUP($A74,'Full Sample-Townhouse'!$A:$R,T$1,0),2)</f>
        <v>0.19</v>
      </c>
      <c r="U74" s="3" t="str">
        <f>FIXED(VLOOKUP($A74,'Full Sample-Townhouse'!$A:$R,U$1,0),2)</f>
        <v>0.02</v>
      </c>
      <c r="V74" s="13" t="str">
        <f>FIXED(VLOOKUP($A74,'Full Sample-Townhouse'!$A:$R,V$1,0),2)</f>
        <v>0.97</v>
      </c>
      <c r="W74" s="9" t="str">
        <f>FIXED(VLOOKUP($A74,'Full Sample-Townhouse'!$A:$R,W$1,0),2)</f>
        <v>0.42</v>
      </c>
      <c r="X74" s="3" t="str">
        <f>FIXED(VLOOKUP($A74,'Full Sample-Townhouse'!$A:$R,X$1,0),2)</f>
        <v>0.20</v>
      </c>
      <c r="Y74" s="3" t="str">
        <f>FIXED(VLOOKUP($A74,'Full Sample-Townhouse'!$A:$R,Y$1,0),2)</f>
        <v>0.02</v>
      </c>
      <c r="Z74" s="3" t="str">
        <f>FIXED(VLOOKUP($A74,'Full Sample-Townhouse'!$A:$R,Z$1,0),2)</f>
        <v>0.97</v>
      </c>
      <c r="AA74" s="9" t="str">
        <f>FIXED(VLOOKUP($A74,'Full Sample-Single Family'!$A:$R,AA$1,0),2)</f>
        <v>0.23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0.23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0.99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47">
        <f>'Full Sample-No Sub'!B3</f>
        <v>50625</v>
      </c>
      <c r="D76" s="48"/>
      <c r="E76" s="48"/>
      <c r="F76" s="48"/>
      <c r="G76" s="47">
        <f>'Full Sample-No Sub'!H3</f>
        <v>29295</v>
      </c>
      <c r="H76" s="48"/>
      <c r="I76" s="48"/>
      <c r="J76" s="49"/>
      <c r="K76" s="47">
        <f>'Full Sample-No Sub'!N3</f>
        <v>21330</v>
      </c>
      <c r="L76" s="48"/>
      <c r="M76" s="48"/>
      <c r="N76" s="49"/>
      <c r="O76" s="47">
        <f>'Full Sample-Townhouse'!B3</f>
        <v>27632</v>
      </c>
      <c r="P76" s="48"/>
      <c r="Q76" s="48"/>
      <c r="R76" s="48"/>
      <c r="S76" s="47">
        <f>'Full Sample-Townhouse'!H3</f>
        <v>16018</v>
      </c>
      <c r="T76" s="48"/>
      <c r="U76" s="48"/>
      <c r="V76" s="49"/>
      <c r="W76" s="47">
        <f>'Full Sample-Townhouse'!N3</f>
        <v>11614</v>
      </c>
      <c r="X76" s="48"/>
      <c r="Y76" s="48"/>
      <c r="Z76" s="48"/>
      <c r="AA76" s="47">
        <f>'Full Sample-Single Family'!B3</f>
        <v>22993</v>
      </c>
      <c r="AB76" s="48"/>
      <c r="AC76" s="48"/>
      <c r="AD76" s="48"/>
      <c r="AE76" s="47">
        <f>'Full Sample-Single Family'!H3</f>
        <v>13277</v>
      </c>
      <c r="AF76" s="48"/>
      <c r="AG76" s="48"/>
      <c r="AH76" s="49"/>
      <c r="AI76" s="47">
        <f>'Full Sample-Single Family'!N3</f>
        <v>9716</v>
      </c>
      <c r="AJ76" s="48"/>
      <c r="AK76" s="48"/>
      <c r="AL76" s="48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163.94</v>
      </c>
      <c r="D80" s="3" t="str">
        <f>FIXED(VLOOKUP($A80,'Full Sample-No Sub'!$A:$R,D$1,0),2)</f>
        <v>229.12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161.07</v>
      </c>
      <c r="H80" s="3" t="str">
        <f>FIXED(VLOOKUP($A80,'Full Sample-No Sub'!$A:$R,H$1,0),2)</f>
        <v>228.43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230.01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25.98</v>
      </c>
      <c r="P80" s="3" t="str">
        <f>FIXED(VLOOKUP($A80,'Full Sample-Townhouse'!$A:$R,P$1,0),2)</f>
        <v>95.88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21.90</v>
      </c>
      <c r="T80" s="3" t="str">
        <f>FIXED(VLOOKUP($A80,'Full Sample-Townhouse'!$A:$R,T$1,0),2)</f>
        <v>88.03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31.61</v>
      </c>
      <c r="X80" s="3" t="str">
        <f>FIXED(VLOOKUP($A80,'Full Sample-Townhouse'!$A:$R,X$1,0),2)</f>
        <v>105.52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329.73</v>
      </c>
      <c r="AB80" s="3" t="str">
        <f>FIXED(VLOOKUP($A80,'Full Sample-Single Family'!$A:$R,AB$1,0),2)</f>
        <v>232.76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328.97</v>
      </c>
      <c r="AF80" s="3" t="str">
        <f>FIXED(VLOOKUP($A80,'Full Sample-Single Family'!$A:$R,AF$1,0),2)</f>
        <v>232.86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330.76</v>
      </c>
      <c r="AJ80" s="3" t="str">
        <f>FIXED(VLOOKUP($A80,'Full Sample-Single Family'!$A:$R,AJ$1,0),2)</f>
        <v>232.62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0.45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0.45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0.01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0.01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0.01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0.00</v>
      </c>
      <c r="AC81" s="3" t="str">
        <f>FIXED(VLOOKUP($A81,'Full Sample-Single Family'!$A:$R,AC$1,0),2)</f>
        <v>1.00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0.00</v>
      </c>
      <c r="AG81" s="3" t="str">
        <f>FIXED(VLOOKUP($A81,'Full Sample-Single Family'!$A:$R,AG$1,0),2)</f>
        <v>1.00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0.00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3.02</v>
      </c>
      <c r="D82" s="3" t="str">
        <f>FIXED(VLOOKUP($A82,'Full Sample-No Sub'!$A:$R,D$1,0),2)</f>
        <v>9.17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2.79</v>
      </c>
      <c r="H82" s="3" t="str">
        <f>FIXED(VLOOKUP($A82,'Full Sample-No Sub'!$A:$R,H$1,0),2)</f>
        <v>8.74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9.71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1.43</v>
      </c>
      <c r="P82" s="3" t="str">
        <f>FIXED(VLOOKUP($A82,'Full Sample-Townhouse'!$A:$R,P$1,0),2)</f>
        <v>4.02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1.35</v>
      </c>
      <c r="T82" s="3" t="str">
        <f>FIXED(VLOOKUP($A82,'Full Sample-Townhouse'!$A:$R,T$1,0),2)</f>
        <v>3.83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12.60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13.29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3.13</v>
      </c>
      <c r="D83" s="3" t="str">
        <f>FIXED(VLOOKUP($A83,'Full Sample-No Sub'!$A:$R,D$1,0),2)</f>
        <v>5.97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3.13</v>
      </c>
      <c r="H83" s="3" t="str">
        <f>FIXED(VLOOKUP($A83,'Full Sample-No Sub'!$A:$R,H$1,0),2)</f>
        <v>5.90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4.94</v>
      </c>
      <c r="P83" s="3" t="str">
        <f>FIXED(VLOOKUP($A83,'Full Sample-Townhouse'!$A:$R,P$1,0),2)</f>
        <v>6.89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4.90</v>
      </c>
      <c r="T83" s="3" t="str">
        <f>FIXED(VLOOKUP($A83,'Full Sample-Townhouse'!$A:$R,T$1,0),2)</f>
        <v>6.81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0.96</v>
      </c>
      <c r="AB83" s="3" t="str">
        <f>FIXED(VLOOKUP($A83,'Full Sample-Single Family'!$A:$R,AB$1,0),2)</f>
        <v>3.58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0.98</v>
      </c>
      <c r="AF83" s="3" t="str">
        <f>FIXED(VLOOKUP($A83,'Full Sample-Single Family'!$A:$R,AF$1,0),2)</f>
        <v>3.52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0.93</v>
      </c>
      <c r="AJ83" s="3" t="str">
        <f>FIXED(VLOOKUP($A83,'Full Sample-Single Family'!$A:$R,AJ$1,0),2)</f>
        <v>3.67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301.73</v>
      </c>
      <c r="D84" s="3" t="str">
        <f>FIXED(VLOOKUP($A84,'Full Sample-No Sub'!$A:$R,D$1,0),2)</f>
        <v>558.96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301.73</v>
      </c>
      <c r="L84" s="3" t="str">
        <f>FIXED(VLOOKUP($A84,'Full Sample-No Sub'!$A:$R,L$1,0),2)</f>
        <v>558.96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311.73</v>
      </c>
      <c r="P84" s="3" t="str">
        <f>FIXED(VLOOKUP($A84,'Full Sample-Townhouse'!$A:$R,P$1,0),2)</f>
        <v>571.62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311.73</v>
      </c>
      <c r="X84" s="3" t="str">
        <f>FIXED(VLOOKUP($A84,'Full Sample-Townhouse'!$A:$R,X$1,0),2)</f>
        <v>571.62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289.77</v>
      </c>
      <c r="AB84" s="3" t="str">
        <f>FIXED(VLOOKUP($A84,'Full Sample-Single Family'!$A:$R,AB$1,0),2)</f>
        <v>543.24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289.77</v>
      </c>
      <c r="AJ84" s="3" t="str">
        <f>FIXED(VLOOKUP($A84,'Full Sample-Single Family'!$A:$R,AJ$1,0),2)</f>
        <v>543.24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0.55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0.55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0.54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0.45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0.45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2,361,427.00</v>
      </c>
      <c r="D88" s="3" t="str">
        <f>FIXED(VLOOKUP($A88,'Full Sample-No Sub'!$A:$R,D$1,0),2)</f>
        <v>7,592.60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2,361,443.00</v>
      </c>
      <c r="H88" s="3" t="str">
        <f>FIXED(VLOOKUP($A88,'Full Sample-No Sub'!$A:$R,H$1,0),2)</f>
        <v>7,533.68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7,672.91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2,359,735.00</v>
      </c>
      <c r="P88" s="3" t="str">
        <f>FIXED(VLOOKUP($A88,'Full Sample-Townhouse'!$A:$R,P$1,0),2)</f>
        <v>6,913.32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2,359,780.00</v>
      </c>
      <c r="T88" s="3" t="str">
        <f>FIXED(VLOOKUP($A88,'Full Sample-Townhouse'!$A:$R,T$1,0),2)</f>
        <v>6,959.87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2,359,673.00</v>
      </c>
      <c r="X88" s="3" t="str">
        <f>FIXED(VLOOKUP($A88,'Full Sample-Townhouse'!$A:$R,X$1,0),2)</f>
        <v>6,848.42</v>
      </c>
      <c r="Y88" s="3" t="str">
        <f>FIXED(VLOOKUP($A88,'Full Sample-Townhouse'!$A:$R,Y$1,0),2)</f>
        <v>2,351,215.00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2,363,460.00</v>
      </c>
      <c r="AB88" s="3" t="str">
        <f>FIXED(VLOOKUP($A88,'Full Sample-Single Family'!$A:$R,AB$1,0),2)</f>
        <v>7,868.63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2,363,449.00</v>
      </c>
      <c r="AF88" s="3" t="str">
        <f>FIXED(VLOOKUP($A88,'Full Sample-Single Family'!$A:$R,AF$1,0),2)</f>
        <v>7,709.37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2,363,477.00</v>
      </c>
      <c r="AJ88" s="3" t="str">
        <f>FIXED(VLOOKUP($A88,'Full Sample-Single Family'!$A:$R,AJ$1,0),2)</f>
        <v>8,081.54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612,731.90</v>
      </c>
      <c r="D89" s="3" t="str">
        <f>FIXED(VLOOKUP($A89,'Full Sample-No Sub'!$A:$R,D$1,0),2)</f>
        <v>13,288.30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612,541.90</v>
      </c>
      <c r="H89" s="3" t="str">
        <f>FIXED(VLOOKUP($A89,'Full Sample-No Sub'!$A:$R,H$1,0),2)</f>
        <v>13,175.42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612,992.80</v>
      </c>
      <c r="L89" s="3" t="str">
        <f>FIXED(VLOOKUP($A89,'Full Sample-No Sub'!$A:$R,L$1,0),2)</f>
        <v>13,437.71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614,194.20</v>
      </c>
      <c r="P89" s="3" t="str">
        <f>FIXED(VLOOKUP($A89,'Full Sample-Townhouse'!$A:$R,P$1,0),2)</f>
        <v>11,605.60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614,172.60</v>
      </c>
      <c r="T89" s="3" t="str">
        <f>FIXED(VLOOKUP($A89,'Full Sample-Townhouse'!$A:$R,T$1,0),2)</f>
        <v>11,466.60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614,224.00</v>
      </c>
      <c r="X89" s="3" t="str">
        <f>FIXED(VLOOKUP($A89,'Full Sample-Townhouse'!$A:$R,X$1,0),2)</f>
        <v>11,795.07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610,974.40</v>
      </c>
      <c r="AB89" s="3" t="str">
        <f>FIXED(VLOOKUP($A89,'Full Sample-Single Family'!$A:$R,AB$1,0),2)</f>
        <v>14,875.09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610,574.40</v>
      </c>
      <c r="AF89" s="3" t="str">
        <f>FIXED(VLOOKUP($A89,'Full Sample-Single Family'!$A:$R,AF$1,0),2)</f>
        <v>14,742.05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611,521.10</v>
      </c>
      <c r="AJ89" s="3" t="str">
        <f>FIXED(VLOOKUP($A89,'Full Sample-Single Family'!$A:$R,AJ$1,0),2)</f>
        <v>15,038.57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414</v>
      </c>
      <c r="C90" s="9" t="str">
        <f>FIXED(VLOOKUP($A90,'Full Sample-No Sub'!$A:$R,C$1,0),2)</f>
        <v>2,019.04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2,017.56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2,019.04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2,017.56</v>
      </c>
      <c r="T90" s="3" t="str">
        <f>FIXED(VLOOKUP($A90,'Full Sample-Townhouse'!$A:$R,T$1,0),2)</f>
        <v>1.16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8,946.21</v>
      </c>
      <c r="D91" s="3" t="str">
        <f>FIXED(VLOOKUP($A91,'Full Sample-No Sub'!$A:$R,D$1,0),2)</f>
        <v>88,866.63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14,495.07</v>
      </c>
      <c r="H91" s="3" t="str">
        <f>FIXED(VLOOKUP($A91,'Full Sample-No Sub'!$A:$R,H$1,0),2)</f>
        <v>68,263.40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1,325.31</v>
      </c>
      <c r="L91" s="3" t="str">
        <f>FIXED(VLOOKUP($A91,'Full Sample-No Sub'!$A:$R,L$1,0),2)</f>
        <v>110,650.90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7,343.64</v>
      </c>
      <c r="P91" s="3" t="str">
        <f>FIXED(VLOOKUP($A91,'Full Sample-Townhouse'!$A:$R,P$1,0),2)</f>
        <v>47,380.98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9,584.31</v>
      </c>
      <c r="T91" s="3" t="str">
        <f>FIXED(VLOOKUP($A91,'Full Sample-Townhouse'!$A:$R,T$1,0),2)</f>
        <v>32,192.00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4,253.32</v>
      </c>
      <c r="X91" s="3" t="str">
        <f>FIXED(VLOOKUP($A91,'Full Sample-Townhouse'!$A:$R,X$1,0),2)</f>
        <v>62,415.19</v>
      </c>
      <c r="Y91" s="3"/>
      <c r="Z91" s="3"/>
      <c r="AA91" s="9" t="str">
        <f>FIXED(VLOOKUP($A91,'Full Sample-Single Family'!$A:$R,AA$1,0),2)</f>
        <v>10,872.10</v>
      </c>
      <c r="AB91" s="3" t="str">
        <f>FIXED(VLOOKUP($A91,'Full Sample-Single Family'!$A:$R,AB$1,0),2)</f>
        <v>121,175.90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20,419.64</v>
      </c>
      <c r="AF91" s="3" t="str">
        <f>FIXED(VLOOKUP($A91,'Full Sample-Single Family'!$A:$R,AF$1,0),2)</f>
        <v>94,698.16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-2,174.69</v>
      </c>
      <c r="AJ91" s="3" t="str">
        <f>FIXED(VLOOKUP($A91,'Full Sample-Single Family'!$A:$R,AJ$1,0),2)</f>
        <v>149,000.90</v>
      </c>
      <c r="AK91" s="3"/>
      <c r="AL91" s="3"/>
    </row>
    <row r="92" spans="1:40" x14ac:dyDescent="0.25">
      <c r="A92" t="s">
        <v>19</v>
      </c>
      <c r="B92" t="s">
        <v>416</v>
      </c>
      <c r="C92" s="9" t="str">
        <f>FIXED(VLOOKUP($A92,'Full Sample-No Sub'!$A:$R,C$1,0)/100000,2)</f>
        <v>9.43</v>
      </c>
      <c r="D92" s="3" t="str">
        <f>FIXED(VLOOKUP($A92,'Full Sample-No Sub'!$A:$R,D$1,0),2)</f>
        <v>878,631.40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911,437.50</v>
      </c>
      <c r="H92" s="3" t="str">
        <f>FIXED(VLOOKUP($A92,'Full Sample-No Sub'!$A:$R,H$1,0),2)</f>
        <v>844,248.00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986,269.80</v>
      </c>
      <c r="L92" s="3" t="str">
        <f>FIXED(VLOOKUP($A92,'Full Sample-No Sub'!$A:$R,L$1,0),2)</f>
        <v>922,035.20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674,415.50</v>
      </c>
      <c r="P92" s="3" t="str">
        <f>FIXED(VLOOKUP($A92,'Full Sample-Townhouse'!$A:$R,P$1,0),2)</f>
        <v>609,027.30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681,806.20</v>
      </c>
      <c r="T92" s="3" t="str">
        <f>FIXED(VLOOKUP($A92,'Full Sample-Townhouse'!$A:$R,T$1,0),2)</f>
        <v>630,690.90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664,222.20</v>
      </c>
      <c r="X92" s="3" t="str">
        <f>FIXED(VLOOKUP($A92,'Full Sample-Townhouse'!$A:$R,X$1,0),2)</f>
        <v>577,689.50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1,265,700.00</v>
      </c>
      <c r="AB92" s="3" t="str">
        <f>FIXED(VLOOKUP($A92,'Full Sample-Single Family'!$A:$R,AB$1,0),2)</f>
        <v>1,031,113.00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1,188,475.00</v>
      </c>
      <c r="AF92" s="3" t="str">
        <f>FIXED(VLOOKUP($A92,'Full Sample-Single Family'!$A:$R,AF$1,0),2)</f>
        <v>975,934.10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1,371,229.00</v>
      </c>
      <c r="AJ92" s="3" t="str">
        <f>FIXED(VLOOKUP($A92,'Full Sample-Single Family'!$A:$R,AJ$1,0),2)</f>
        <v>1,093,323.00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309</v>
      </c>
    </row>
  </sheetData>
  <mergeCells count="23">
    <mergeCell ref="AA76:AD76"/>
    <mergeCell ref="AE76:AH76"/>
    <mergeCell ref="AI76:AL76"/>
    <mergeCell ref="W5:Z5"/>
    <mergeCell ref="AA5:AD5"/>
    <mergeCell ref="AE5:AH5"/>
    <mergeCell ref="AI5:AL5"/>
    <mergeCell ref="C76:F76"/>
    <mergeCell ref="G76:J76"/>
    <mergeCell ref="K76:N76"/>
    <mergeCell ref="O76:R76"/>
    <mergeCell ref="S76:V76"/>
    <mergeCell ref="W76:Z76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49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51" t="s">
        <v>188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40" ht="23.25" x14ac:dyDescent="0.35">
      <c r="A3" s="51" t="s">
        <v>189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307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306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ht="30.75" customHeight="1" x14ac:dyDescent="0.25">
      <c r="A5" s="5"/>
      <c r="B5" s="5"/>
      <c r="C5" s="42" t="s">
        <v>92</v>
      </c>
      <c r="D5" s="43"/>
      <c r="E5" s="43"/>
      <c r="F5" s="43"/>
      <c r="G5" s="44" t="s">
        <v>94</v>
      </c>
      <c r="H5" s="45"/>
      <c r="I5" s="45"/>
      <c r="J5" s="46"/>
      <c r="K5" s="42" t="s">
        <v>93</v>
      </c>
      <c r="L5" s="43"/>
      <c r="M5" s="43"/>
      <c r="N5" s="50"/>
      <c r="O5" s="42" t="s">
        <v>92</v>
      </c>
      <c r="P5" s="43"/>
      <c r="Q5" s="43"/>
      <c r="R5" s="43"/>
      <c r="S5" s="44" t="s">
        <v>94</v>
      </c>
      <c r="T5" s="45"/>
      <c r="U5" s="45"/>
      <c r="V5" s="46"/>
      <c r="W5" s="42" t="s">
        <v>93</v>
      </c>
      <c r="X5" s="43"/>
      <c r="Y5" s="43"/>
      <c r="Z5" s="43"/>
      <c r="AA5" s="42" t="s">
        <v>92</v>
      </c>
      <c r="AB5" s="43"/>
      <c r="AC5" s="43"/>
      <c r="AD5" s="43"/>
      <c r="AE5" s="44" t="s">
        <v>94</v>
      </c>
      <c r="AF5" s="45"/>
      <c r="AG5" s="45"/>
      <c r="AH5" s="46"/>
      <c r="AI5" s="42" t="s">
        <v>93</v>
      </c>
      <c r="AJ5" s="43"/>
      <c r="AK5" s="43"/>
      <c r="AL5" s="43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674,415.50</v>
      </c>
      <c r="D7" s="3" t="str">
        <f>FIXED(VLOOKUP($A7,'Full Sample-Townhouse'!$A:$R,D$1,0),2)</f>
        <v>609,027.30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681,806.20</v>
      </c>
      <c r="H7" s="3" t="str">
        <f>FIXED(VLOOKUP($A7,'Full Sample-Townhouse'!$A:$R,H$1,0),2)</f>
        <v>630,690.90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664,222.20</v>
      </c>
      <c r="L7" s="3" t="str">
        <f>FIXED(VLOOKUP($A7,'Full Sample-Townhouse'!$A:$R,L$1,0),2)</f>
        <v>577,689.50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682,222.90</v>
      </c>
      <c r="P7" s="3" t="str">
        <f>FIXED(VLOOKUP($A7,'Small Sample 1-Townhouse'!$A:$R,P$1,0),2)</f>
        <v>632,502.30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696,051.40</v>
      </c>
      <c r="T7" s="3" t="str">
        <f>FIXED(VLOOKUP($A7,'Small Sample 1-Townhouse'!$A:$R,T$1,0),2)</f>
        <v>672,699.00</v>
      </c>
      <c r="U7" s="3" t="str">
        <f>FIXED(VLOOKUP($A7,'Small Sample 1-Townhouse'!$A:$R,U$1,0),2)</f>
        <v>99,684.44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667,139.80</v>
      </c>
      <c r="X7" s="3" t="str">
        <f>FIXED(VLOOKUP($A7,'Small Sample 1-Townhouse'!$A:$R,X$1,0),2)</f>
        <v>585,178.00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676,394.00</v>
      </c>
      <c r="AB7" s="3" t="str">
        <f>FIXED(VLOOKUP($A7,'Small Sample 2-Townhouse'!$A:$R,AB$1,0),2)</f>
        <v>632,199.30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683,730.80</v>
      </c>
      <c r="AF7" s="3" t="str">
        <f>FIXED(VLOOKUP($A7,'Small Sample 2-Townhouse'!$A:$R,AF$1,0),2)</f>
        <v>644,167.50</v>
      </c>
      <c r="AG7" s="3" t="str">
        <f>FIXED(VLOOKUP($A7,'Small Sample 2-Townhouse'!$A:$R,AG$1,0),2)</f>
        <v>99,684.44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663,704.00</v>
      </c>
      <c r="AJ7" s="3" t="str">
        <f>FIXED(VLOOKUP($A7,'Small Sample 2-Townhouse'!$A:$R,AJ$1,0),2)</f>
        <v>610,774.50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309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665,585.80</v>
      </c>
      <c r="D8" s="3" t="str">
        <f>FIXED(VLOOKUP($A8,'Full Sample-Townhouse'!$A:$R,D$1,0),2)</f>
        <v>582,758.20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670,141.60</v>
      </c>
      <c r="H8" s="3" t="str">
        <f>FIXED(VLOOKUP($A8,'Full Sample-Townhouse'!$A:$R,H$1,0),2)</f>
        <v>609,745.40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659,302.50</v>
      </c>
      <c r="L8" s="3" t="str">
        <f>FIXED(VLOOKUP($A8,'Full Sample-Townhouse'!$A:$R,L$1,0),2)</f>
        <v>543,306.00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673,338.10</v>
      </c>
      <c r="P8" s="3" t="str">
        <f>FIXED(VLOOKUP($A8,'Small Sample 1-Townhouse'!$A:$R,P$1,0),2)</f>
        <v>604,964.10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683,463.20</v>
      </c>
      <c r="T8" s="3" t="str">
        <f>FIXED(VLOOKUP($A8,'Small Sample 1-Townhouse'!$A:$R,T$1,0),2)</f>
        <v>651,051.80</v>
      </c>
      <c r="U8" s="3" t="str">
        <f>FIXED(VLOOKUP($A8,'Small Sample 1-Townhouse'!$A:$R,U$1,0),2)</f>
        <v>118,448.60</v>
      </c>
      <c r="V8" s="13" t="str">
        <f>FIXED(VLOOKUP($A8,'Small Sample 1-Townhouse'!$A:$R,V$1,0),2)</f>
        <v>28,197,546.00</v>
      </c>
      <c r="W8" s="9" t="str">
        <f>FIXED(VLOOKUP($A8,'Small Sample 1-Townhouse'!$A:$R,W$1,0),2)</f>
        <v>662,294.20</v>
      </c>
      <c r="X8" s="3" t="str">
        <f>FIXED(VLOOKUP($A8,'Small Sample 1-Townhouse'!$A:$R,X$1,0),2)</f>
        <v>550,128.10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666,354.40</v>
      </c>
      <c r="AB8" s="3" t="str">
        <f>FIXED(VLOOKUP($A8,'Small Sample 2-Townhouse'!$A:$R,AB$1,0),2)</f>
        <v>605,137.70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671,895.90</v>
      </c>
      <c r="AF8" s="3" t="str">
        <f>FIXED(VLOOKUP($A8,'Small Sample 2-Townhouse'!$A:$R,AF$1,0),2)</f>
        <v>622,943.60</v>
      </c>
      <c r="AG8" s="3" t="str">
        <f>FIXED(VLOOKUP($A8,'Small Sample 2-Townhouse'!$A:$R,AG$1,0),2)</f>
        <v>118,448.60</v>
      </c>
      <c r="AH8" s="13" t="str">
        <f>FIXED(VLOOKUP($A8,'Small Sample 2-Townhouse'!$A:$R,AH$1,0),2)</f>
        <v>28,197,546.00</v>
      </c>
      <c r="AI8" s="9" t="str">
        <f>FIXED(VLOOKUP($A8,'Small Sample 2-Townhouse'!$A:$R,AI$1,0),2)</f>
        <v>656,769.60</v>
      </c>
      <c r="AJ8" s="3" t="str">
        <f>FIXED(VLOOKUP($A8,'Small Sample 2-Townhouse'!$A:$R,AJ$1,0),2)</f>
        <v>572,944.60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7,343.64</v>
      </c>
      <c r="D9" s="3" t="str">
        <f>FIXED(VLOOKUP($A9,'Full Sample-Townhouse'!$A:$R,D$1,0),2)</f>
        <v>47,380.98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9,584.31</v>
      </c>
      <c r="H9" s="3" t="str">
        <f>FIXED(VLOOKUP($A9,'Full Sample-Townhouse'!$A:$R,H$1,0),2)</f>
        <v>32,192.00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4,253.32</v>
      </c>
      <c r="L9" s="3" t="str">
        <f>FIXED(VLOOKUP($A9,'Full Sample-Townhouse'!$A:$R,L$1,0),2)</f>
        <v>62,415.19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7,409.01</v>
      </c>
      <c r="P9" s="3" t="str">
        <f>FIXED(VLOOKUP($A9,'Small Sample 1-Townhouse'!$A:$R,P$1,0),2)</f>
        <v>50,141.16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10,357.34</v>
      </c>
      <c r="T9" s="3" t="str">
        <f>FIXED(VLOOKUP($A9,'Small Sample 1-Townhouse'!$A:$R,T$1,0),2)</f>
        <v>33,715.10</v>
      </c>
      <c r="U9" s="3" t="str">
        <f>FIXED(VLOOKUP($A9,'Small Sample 1-Townhouse'!$A:$R,U$1,0),2)</f>
        <v>-152,000.00</v>
      </c>
      <c r="V9" s="13" t="str">
        <f>FIXED(VLOOKUP($A9,'Small Sample 1-Townhouse'!$A:$R,V$1,0),2)</f>
        <v>750,000.00</v>
      </c>
      <c r="W9" s="9" t="str">
        <f>FIXED(VLOOKUP($A9,'Small Sample 1-Townhouse'!$A:$R,W$1,0),2)</f>
        <v>4,193.17</v>
      </c>
      <c r="X9" s="3" t="str">
        <f>FIXED(VLOOKUP($A9,'Small Sample 1-Townhouse'!$A:$R,X$1,0),2)</f>
        <v>63,221.44</v>
      </c>
      <c r="Y9" s="3"/>
      <c r="Z9" s="3"/>
      <c r="AA9" s="9" t="str">
        <f>FIXED(VLOOKUP($A9,'Small Sample 2-Townhouse'!$A:$R,AA$1,0),2)</f>
        <v>8,374.71</v>
      </c>
      <c r="AB9" s="3" t="str">
        <f>FIXED(VLOOKUP($A9,'Small Sample 2-Townhouse'!$A:$R,AB$1,0),2)</f>
        <v>47,901.36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9,712.80</v>
      </c>
      <c r="AF9" s="3" t="str">
        <f>FIXED(VLOOKUP($A9,'Small Sample 2-Townhouse'!$A:$R,AF$1,0),2)</f>
        <v>32,753.94</v>
      </c>
      <c r="AG9" s="3" t="str">
        <f>FIXED(VLOOKUP($A9,'Small Sample 2-Townhouse'!$A:$R,AG$1,0),2)</f>
        <v>-152,000.00</v>
      </c>
      <c r="AH9" s="13" t="str">
        <f>FIXED(VLOOKUP($A9,'Small Sample 2-Townhouse'!$A:$R,AH$1,0),2)</f>
        <v>750,000.00</v>
      </c>
      <c r="AI9" s="9" t="str">
        <f>FIXED(VLOOKUP($A9,'Small Sample 2-Townhouse'!$A:$R,AI$1,0),2)</f>
        <v>6,060.33</v>
      </c>
      <c r="AJ9" s="3" t="str">
        <f>FIXED(VLOOKUP($A9,'Small Sample 2-Townhouse'!$A:$R,AJ$1,0),2)</f>
        <v>66,329.29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0.57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1.29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0.19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0.42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0.33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0.90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45.78</v>
      </c>
      <c r="D13" s="3" t="str">
        <f>FIXED(VLOOKUP($A13,'Full Sample-Townhouse'!$A:$R,D$1,0),2)</f>
        <v>60.56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50.13</v>
      </c>
      <c r="H13" s="3" t="str">
        <f>FIXED(VLOOKUP($A13,'Full Sample-Townhouse'!$A:$R,H$1,0),2)</f>
        <v>58.36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39.79</v>
      </c>
      <c r="L13" s="3" t="str">
        <f>FIXED(VLOOKUP($A13,'Full Sample-Townhouse'!$A:$R,L$1,0),2)</f>
        <v>62.99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45.15</v>
      </c>
      <c r="P13" s="3" t="str">
        <f>FIXED(VLOOKUP($A13,'Small Sample 1-Townhouse'!$A:$R,P$1,0),2)</f>
        <v>61.31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50.20</v>
      </c>
      <c r="T13" s="3" t="str">
        <f>FIXED(VLOOKUP($A13,'Small Sample 1-Townhouse'!$A:$R,T$1,0),2)</f>
        <v>59.25</v>
      </c>
      <c r="U13" s="3" t="str">
        <f>FIXED(VLOOKUP($A13,'Small Sample 1-Townhouse'!$A:$R,U$1,0),2)</f>
        <v>0.00</v>
      </c>
      <c r="V13" s="13" t="str">
        <f>FIXED(VLOOKUP($A13,'Small Sample 1-Townhouse'!$A:$R,V$1,0),2)</f>
        <v>785.00</v>
      </c>
      <c r="W13" s="9" t="str">
        <f>FIXED(VLOOKUP($A13,'Small Sample 1-Townhouse'!$A:$R,W$1,0),2)</f>
        <v>39.64</v>
      </c>
      <c r="X13" s="3" t="str">
        <f>FIXED(VLOOKUP($A13,'Small Sample 1-Townhouse'!$A:$R,X$1,0),2)</f>
        <v>63.03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47.97</v>
      </c>
      <c r="AB13" s="3" t="str">
        <f>FIXED(VLOOKUP($A13,'Small Sample 2-Townhouse'!$A:$R,AB$1,0),2)</f>
        <v>62.31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51.07</v>
      </c>
      <c r="AF13" s="3" t="str">
        <f>FIXED(VLOOKUP($A13,'Small Sample 2-Townhouse'!$A:$R,AF$1,0),2)</f>
        <v>59.24</v>
      </c>
      <c r="AG13" s="3" t="str">
        <f>FIXED(VLOOKUP($A13,'Small Sample 2-Townhouse'!$A:$R,AG$1,0),2)</f>
        <v>0.00</v>
      </c>
      <c r="AH13" s="13" t="str">
        <f>FIXED(VLOOKUP($A13,'Small Sample 2-Townhouse'!$A:$R,AH$1,0),2)</f>
        <v>785.00</v>
      </c>
      <c r="AI13" s="9" t="str">
        <f>FIXED(VLOOKUP($A13,'Small Sample 2-Townhouse'!$A:$R,AI$1,0),2)</f>
        <v>42.59</v>
      </c>
      <c r="AJ13" s="3" t="str">
        <f>FIXED(VLOOKUP($A13,'Small Sample 2-Townhouse'!$A:$R,AJ$1,0),2)</f>
        <v>66.95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414</v>
      </c>
      <c r="C14" s="9" t="str">
        <f>FIXED(VLOOKUP($A14,'Full Sample-Townhouse'!$A:$R,C$1,0),2)</f>
        <v>2,019.04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2,017.56</v>
      </c>
      <c r="H14" s="3" t="str">
        <f>FIXED(VLOOKUP($A14,'Full Sample-Townhouse'!$A:$R,H$1,0),2)</f>
        <v>1.16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2,019.30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2,017.65</v>
      </c>
      <c r="T14" s="3" t="str">
        <f>FIXED(VLOOKUP($A14,'Small Sample 1-Townhouse'!$A:$R,T$1,0),2)</f>
        <v>1.16</v>
      </c>
      <c r="U14" s="3" t="str">
        <f>FIXED(VLOOKUP($A14,'Small Sample 1-Townhouse'!$A:$R,U$1,0),2)</f>
        <v>2,016.00</v>
      </c>
      <c r="V14" s="13" t="str">
        <f>FIXED(VLOOKUP($A14,'Small Sample 1-Townhouse'!$A:$R,V$1,0),2)</f>
        <v>2,020.00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2,018.79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2,017.49</v>
      </c>
      <c r="AF14" s="3" t="str">
        <f>FIXED(VLOOKUP($A14,'Small Sample 2-Townhouse'!$A:$R,AF$1,0),2)</f>
        <v>1.15</v>
      </c>
      <c r="AG14" s="3" t="str">
        <f>FIXED(VLOOKUP($A14,'Small Sample 2-Townhouse'!$A:$R,AG$1,0),2)</f>
        <v>2,016.00</v>
      </c>
      <c r="AH14" s="13" t="str">
        <f>FIXED(VLOOKUP($A14,'Small Sample 2-Townhouse'!$A:$R,AH$1,0),2)</f>
        <v>2,020.00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1.51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0.56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0.56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1.49</v>
      </c>
      <c r="T15" s="3" t="str">
        <f>FIXED(VLOOKUP($A15,'Small Sample 1-Townhouse'!$A:$R,T$1,0),2)</f>
        <v>0.56</v>
      </c>
      <c r="U15" s="3" t="str">
        <f>FIXED(VLOOKUP($A15,'Small Sample 1-Townhouse'!$A:$R,U$1,0),2)</f>
        <v>0.00</v>
      </c>
      <c r="V15" s="13" t="str">
        <f>FIXED(VLOOKUP($A15,'Small Sample 1-Townhouse'!$A:$R,V$1,0),2)</f>
        <v>4.00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0.56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1.50</v>
      </c>
      <c r="AF15" s="3" t="str">
        <f>FIXED(VLOOKUP($A15,'Small Sample 2-Townhouse'!$A:$R,AF$1,0),2)</f>
        <v>0.56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1.47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0.16</v>
      </c>
      <c r="T16" s="3" t="str">
        <f>FIXED(VLOOKUP($A16,'Small Sample 1-Townhouse'!$A:$R,T$1,0),2)</f>
        <v>0.37</v>
      </c>
      <c r="U16" s="3" t="str">
        <f>FIXED(VLOOKUP($A16,'Small Sample 1-Townhouse'!$A:$R,U$1,0),2)</f>
        <v>0.00</v>
      </c>
      <c r="V16" s="13" t="str">
        <f>FIXED(VLOOKUP($A16,'Small Sample 1-Townhouse'!$A:$R,V$1,0),2)</f>
        <v>2.00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0.38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0.17</v>
      </c>
      <c r="AF16" s="3" t="str">
        <f>FIXED(VLOOKUP($A16,'Small Sample 2-Townhouse'!$A:$R,AF$1,0),2)</f>
        <v>0.39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0.16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1.78</v>
      </c>
      <c r="T17" s="3" t="str">
        <f>FIXED(VLOOKUP($A17,'Small Sample 1-Townhouse'!$A:$R,T$1,0),2)</f>
        <v>0.91</v>
      </c>
      <c r="U17" s="3" t="str">
        <f>FIXED(VLOOKUP($A17,'Small Sample 1-Townhouse'!$A:$R,U$1,0),2)</f>
        <v>0.00</v>
      </c>
      <c r="V17" s="13" t="str">
        <f>FIXED(VLOOKUP($A17,'Small Sample 1-Townhouse'!$A:$R,V$1,0),2)</f>
        <v>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1.82</v>
      </c>
      <c r="AF17" s="3" t="str">
        <f>FIXED(VLOOKUP($A17,'Small Sample 2-Townhouse'!$A:$R,AF$1,0),2)</f>
        <v>0.92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0.27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0.27</v>
      </c>
      <c r="T18" s="3" t="str">
        <f>FIXED(VLOOKUP($A18,'Small Sample 1-Townhouse'!$A:$R,T$1,0),2)</f>
        <v>0.45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0.25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0.27</v>
      </c>
      <c r="AF18" s="3" t="str">
        <f>FIXED(VLOOKUP($A18,'Small Sample 2-Townhouse'!$A:$R,AF$1,0),2)</f>
        <v>0.45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0.21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0.19</v>
      </c>
      <c r="T19" s="3" t="str">
        <f>FIXED(VLOOKUP($A19,'Small Sample 1-Townhouse'!$A:$R,T$1,0),2)</f>
        <v>0.39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0.21</v>
      </c>
      <c r="AF19" s="3" t="str">
        <f>FIXED(VLOOKUP($A19,'Small Sample 2-Townhouse'!$A:$R,AF$1,0),2)</f>
        <v>0.40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0.53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0.52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0.55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0.54</v>
      </c>
      <c r="T20" s="3" t="str">
        <f>FIXED(VLOOKUP($A20,'Small Sample 1-Townhouse'!$A:$R,T$1,0),2)</f>
        <v>0.50</v>
      </c>
      <c r="U20" s="3" t="str">
        <f>FIXED(VLOOKUP($A20,'Small Sample 1-Townhouse'!$A:$R,U$1,0),2)</f>
        <v>0.00</v>
      </c>
      <c r="V20" s="13" t="str">
        <f>FIXED(VLOOKUP($A20,'Small Sample 1-Townhouse'!$A:$R,V$1,0),2)</f>
        <v>1.00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0.52</v>
      </c>
      <c r="AF20" s="3" t="str">
        <f>FIXED(VLOOKUP($A20,'Small Sample 2-Townhouse'!$A:$R,AF$1,0),2)</f>
        <v>0.50</v>
      </c>
      <c r="AG20" s="3" t="str">
        <f>FIXED(VLOOKUP($A20,'Small Sample 2-Townhouse'!$A:$R,AG$1,0),2)</f>
        <v>0.00</v>
      </c>
      <c r="AH20" s="13" t="str">
        <f>FIXED(VLOOKUP($A20,'Small Sample 2-Townhouse'!$A:$R,AH$1,0),2)</f>
        <v>1.00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965.64</v>
      </c>
      <c r="D21" s="3" t="str">
        <f>FIXED(VLOOKUP($A21,'Full Sample-Townhouse'!$A:$R,D$1,0),2)</f>
        <v>439.05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970.37</v>
      </c>
      <c r="H21" s="3" t="str">
        <f>FIXED(VLOOKUP($A21,'Full Sample-Townhouse'!$A:$R,H$1,0),2)</f>
        <v>438.34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959.11</v>
      </c>
      <c r="L21" s="3" t="str">
        <f>FIXED(VLOOKUP($A21,'Full Sample-Townhouse'!$A:$R,L$1,0),2)</f>
        <v>439.96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957.17</v>
      </c>
      <c r="P21" s="3" t="str">
        <f>FIXED(VLOOKUP($A21,'Small Sample 1-Townhouse'!$A:$R,P$1,0),2)</f>
        <v>441.15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956.66</v>
      </c>
      <c r="T21" s="3" t="str">
        <f>FIXED(VLOOKUP($A21,'Small Sample 1-Townhouse'!$A:$R,T$1,0),2)</f>
        <v>441.62</v>
      </c>
      <c r="U21" s="3" t="str">
        <f>FIXED(VLOOKUP($A21,'Small Sample 1-Townhouse'!$A:$R,U$1,0),2)</f>
        <v>195.00</v>
      </c>
      <c r="V21" s="13" t="str">
        <f>FIXED(VLOOKUP($A21,'Small Sample 1-Townhouse'!$A:$R,V$1,0),2)</f>
        <v>7,582.00</v>
      </c>
      <c r="W21" s="9" t="str">
        <f>FIXED(VLOOKUP($A21,'Small Sample 1-Townhouse'!$A:$R,W$1,0),2)</f>
        <v>957.72</v>
      </c>
      <c r="X21" s="3" t="str">
        <f>FIXED(VLOOKUP($A21,'Small Sample 1-Townhouse'!$A:$R,X$1,0),2)</f>
        <v>440.66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957.16</v>
      </c>
      <c r="AB21" s="3" t="str">
        <f>FIXED(VLOOKUP($A21,'Small Sample 2-Townhouse'!$A:$R,AB$1,0),2)</f>
        <v>441.87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967.24</v>
      </c>
      <c r="AF21" s="3" t="str">
        <f>FIXED(VLOOKUP($A21,'Small Sample 2-Townhouse'!$A:$R,AF$1,0),2)</f>
        <v>439.84</v>
      </c>
      <c r="AG21" s="3" t="str">
        <f>FIXED(VLOOKUP($A21,'Small Sample 2-Townhouse'!$A:$R,AG$1,0),2)</f>
        <v>195.00</v>
      </c>
      <c r="AH21" s="13" t="str">
        <f>FIXED(VLOOKUP($A21,'Small Sample 2-Townhouse'!$A:$R,AH$1,0),2)</f>
        <v>7,582.00</v>
      </c>
      <c r="AI21" s="9" t="str">
        <f>FIXED(VLOOKUP($A21,'Small Sample 2-Townhouse'!$A:$R,AI$1,0),2)</f>
        <v>939.73</v>
      </c>
      <c r="AJ21" s="3" t="str">
        <f>FIXED(VLOOKUP($A21,'Small Sample 2-Townhouse'!$A:$R,AJ$1,0),2)</f>
        <v>444.84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35.05</v>
      </c>
      <c r="D22" s="3" t="str">
        <f>FIXED(VLOOKUP($A22,'Full Sample-Townhouse'!$A:$R,D$1,0),2)</f>
        <v>16.27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33.56</v>
      </c>
      <c r="H22" s="3" t="str">
        <f>FIXED(VLOOKUP($A22,'Full Sample-Townhouse'!$A:$R,H$1,0),2)</f>
        <v>16.09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37.10</v>
      </c>
      <c r="L22" s="3" t="str">
        <f>FIXED(VLOOKUP($A22,'Full Sample-Townhouse'!$A:$R,L$1,0),2)</f>
        <v>16.30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35.62</v>
      </c>
      <c r="P22" s="3" t="str">
        <f>FIXED(VLOOKUP($A22,'Small Sample 1-Townhouse'!$A:$R,P$1,0),2)</f>
        <v>16.29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34.23</v>
      </c>
      <c r="T22" s="3" t="str">
        <f>FIXED(VLOOKUP($A22,'Small Sample 1-Townhouse'!$A:$R,T$1,0),2)</f>
        <v>16.13</v>
      </c>
      <c r="U22" s="3" t="str">
        <f>FIXED(VLOOKUP($A22,'Small Sample 1-Townhouse'!$A:$R,U$1,0),2)</f>
        <v>0.00</v>
      </c>
      <c r="V22" s="13" t="str">
        <f>FIXED(VLOOKUP($A22,'Small Sample 1-Townhouse'!$A:$R,V$1,0),2)</f>
        <v>90.00</v>
      </c>
      <c r="W22" s="9" t="str">
        <f>FIXED(VLOOKUP($A22,'Small Sample 1-Townhouse'!$A:$R,W$1,0),2)</f>
        <v>37.13</v>
      </c>
      <c r="X22" s="3" t="str">
        <f>FIXED(VLOOKUP($A22,'Small Sample 1-Townhouse'!$A:$R,X$1,0),2)</f>
        <v>16.33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35.11</v>
      </c>
      <c r="AB22" s="3" t="str">
        <f>FIXED(VLOOKUP($A22,'Small Sample 2-Townhouse'!$A:$R,AB$1,0),2)</f>
        <v>16.35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33.66</v>
      </c>
      <c r="AF22" s="3" t="str">
        <f>FIXED(VLOOKUP($A22,'Small Sample 2-Townhouse'!$A:$R,AF$1,0),2)</f>
        <v>16.10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90.00</v>
      </c>
      <c r="AI22" s="9" t="str">
        <f>FIXED(VLOOKUP($A22,'Small Sample 2-Townhouse'!$A:$R,AI$1,0),2)</f>
        <v>37.61</v>
      </c>
      <c r="AJ22" s="3" t="str">
        <f>FIXED(VLOOKUP($A22,'Small Sample 2-Townhouse'!$A:$R,AJ$1,0),2)</f>
        <v>16.48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1.49</v>
      </c>
      <c r="D23" s="3" t="str">
        <f>FIXED(VLOOKUP($A23,'Full Sample-Townhouse'!$A:$R,D$1,0),2)</f>
        <v>1.02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1.39</v>
      </c>
      <c r="H23" s="3" t="str">
        <f>FIXED(VLOOKUP($A23,'Full Sample-Townhouse'!$A:$R,H$1,0),2)</f>
        <v>0.97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1.06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1.53</v>
      </c>
      <c r="P23" s="3" t="str">
        <f>FIXED(VLOOKUP($A23,'Small Sample 1-Townhouse'!$A:$R,P$1,0),2)</f>
        <v>1.03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1.43</v>
      </c>
      <c r="T23" s="3" t="str">
        <f>FIXED(VLOOKUP($A23,'Small Sample 1-Townhouse'!$A:$R,T$1,0),2)</f>
        <v>0.98</v>
      </c>
      <c r="U23" s="3" t="str">
        <f>FIXED(VLOOKUP($A23,'Small Sample 1-Townhouse'!$A:$R,U$1,0),2)</f>
        <v>0.00</v>
      </c>
      <c r="V23" s="13" t="str">
        <f>FIXED(VLOOKUP($A23,'Small Sample 1-Townhouse'!$A:$R,V$1,0),2)</f>
        <v>8.10</v>
      </c>
      <c r="W23" s="9" t="str">
        <f>FIXED(VLOOKUP($A23,'Small Sample 1-Townhouse'!$A:$R,W$1,0),2)</f>
        <v>1.65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1.50</v>
      </c>
      <c r="AB23" s="3" t="str">
        <f>FIXED(VLOOKUP($A23,'Small Sample 2-Townhouse'!$A:$R,AB$1,0),2)</f>
        <v>1.02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1.39</v>
      </c>
      <c r="AF23" s="3" t="str">
        <f>FIXED(VLOOKUP($A23,'Small Sample 2-Townhouse'!$A:$R,AF$1,0),2)</f>
        <v>0.97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8.10</v>
      </c>
      <c r="AI23" s="9" t="str">
        <f>FIXED(VLOOKUP($A23,'Small Sample 2-Townhouse'!$A:$R,AI$1,0),2)</f>
        <v>1.69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0.00</v>
      </c>
      <c r="T24" s="3" t="str">
        <f>FIXED(VLOOKUP($A24,'Small Sample 1-Townhouse'!$A:$R,T$1,0),2)</f>
        <v>0.03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0.00</v>
      </c>
      <c r="AF24" s="3" t="str">
        <f>FIXED(VLOOKUP($A24,'Small Sample 2-Townhouse'!$A:$R,AF$1,0),2)</f>
        <v>0.03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0.17</v>
      </c>
      <c r="T25" s="3" t="str">
        <f>FIXED(VLOOKUP($A25,'Small Sample 1-Townhouse'!$A:$R,T$1,0),2)</f>
        <v>0.38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0.18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0.18</v>
      </c>
      <c r="AF25" s="3" t="str">
        <f>FIXED(VLOOKUP($A25,'Small Sample 2-Townhouse'!$A:$R,AF$1,0),2)</f>
        <v>0.38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0.37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0.39</v>
      </c>
      <c r="H26" s="3" t="str">
        <f>FIXED(VLOOKUP($A26,'Full Sample-Townhouse'!$A:$R,H$1,0),2)</f>
        <v>0.49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0.37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0.39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0.38</v>
      </c>
      <c r="AF26" s="3" t="str">
        <f>FIXED(VLOOKUP($A26,'Small Sample 2-Townhouse'!$A:$R,AF$1,0),2)</f>
        <v>0.49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0.42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0.42</v>
      </c>
      <c r="T27" s="3" t="str">
        <f>FIXED(VLOOKUP($A27,'Small Sample 1-Townhouse'!$A:$R,T$1,0),2)</f>
        <v>0.49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0.49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0.42</v>
      </c>
      <c r="AF27" s="3" t="str">
        <f>FIXED(VLOOKUP($A27,'Small Sample 2-Townhouse'!$A:$R,AF$1,0),2)</f>
        <v>0.49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0.02</v>
      </c>
      <c r="T28" s="3" t="str">
        <f>FIXED(VLOOKUP($A28,'Small Sample 1-Townhouse'!$A:$R,T$1,0),2)</f>
        <v>0.15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0.03</v>
      </c>
      <c r="AF28" s="3" t="str">
        <f>FIXED(VLOOKUP($A28,'Small Sample 2-Townhouse'!$A:$R,AF$1,0),2)</f>
        <v>0.16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0.03</v>
      </c>
      <c r="T29" s="3" t="str">
        <f>FIXED(VLOOKUP($A29,'Small Sample 1-Townhouse'!$A:$R,T$1,0),2)</f>
        <v>0.16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0.03</v>
      </c>
      <c r="AF29" s="3" t="str">
        <f>FIXED(VLOOKUP($A29,'Small Sample 2-Townhouse'!$A:$R,AF$1,0),2)</f>
        <v>0.17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0.08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0.01</v>
      </c>
      <c r="T30" s="3" t="str">
        <f>FIXED(VLOOKUP($A30,'Small Sample 1-Townhouse'!$A:$R,T$1,0),2)</f>
        <v>0.08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0.01</v>
      </c>
      <c r="AF30" s="3" t="str">
        <f>FIXED(VLOOKUP($A30,'Small Sample 2-Townhouse'!$A:$R,AF$1,0),2)</f>
        <v>0.08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0.37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0.17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0.17</v>
      </c>
      <c r="T31" s="3" t="str">
        <f>FIXED(VLOOKUP($A31,'Small Sample 1-Townhouse'!$A:$R,T$1,0),2)</f>
        <v>0.38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0.37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0.17</v>
      </c>
      <c r="AF31" s="3" t="str">
        <f>FIXED(VLOOKUP($A31,'Small Sample 2-Townhouse'!$A:$R,AF$1,0),2)</f>
        <v>0.38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0.51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0.54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0.55</v>
      </c>
      <c r="T32" s="3" t="str">
        <f>FIXED(VLOOKUP($A32,'Small Sample 1-Townhouse'!$A:$R,T$1,0),2)</f>
        <v>0.50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0.52</v>
      </c>
      <c r="AF32" s="3" t="str">
        <f>FIXED(VLOOKUP($A32,'Small Sample 2-Townhouse'!$A:$R,AF$1,0),2)</f>
        <v>0.50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0.31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0.29</v>
      </c>
      <c r="T33" s="3" t="str">
        <f>FIXED(VLOOKUP($A33,'Small Sample 1-Townhouse'!$A:$R,T$1,0),2)</f>
        <v>0.45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0.31</v>
      </c>
      <c r="AF33" s="3" t="str">
        <f>FIXED(VLOOKUP($A33,'Small Sample 2-Townhouse'!$A:$R,AF$1,0),2)</f>
        <v>0.46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0.06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0.07</v>
      </c>
      <c r="T34" s="3" t="str">
        <f>FIXED(VLOOKUP($A34,'Small Sample 1-Townhouse'!$A:$R,T$1,0),2)</f>
        <v>0.26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0.07</v>
      </c>
      <c r="AF34" s="3" t="str">
        <f>FIXED(VLOOKUP($A34,'Small Sample 2-Townhouse'!$A:$R,AF$1,0),2)</f>
        <v>0.25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0.05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0.05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0.05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0.06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0.00</v>
      </c>
      <c r="E36" s="3" t="str">
        <f>FIXED(VLOOKUP($A36,'Full Sample-Townhouse'!$A:$R,E$1,0),2)</f>
        <v>0.00</v>
      </c>
      <c r="F36" s="3" t="str">
        <f>FIXED(VLOOKUP($A36,'Full Sample-Townhouse'!$A:$R,F$1,0),2)</f>
        <v>0.00</v>
      </c>
      <c r="G36" s="9" t="str">
        <f>FIXED(VLOOKUP($A36,'Full Sample-Townhouse'!$A:$R,G$1,0),2)</f>
        <v>0.00</v>
      </c>
      <c r="H36" s="3" t="str">
        <f>FIXED(VLOOKUP($A36,'Full Sample-Townhouse'!$A:$R,H$1,0),2)</f>
        <v>0.00</v>
      </c>
      <c r="I36" s="3" t="str">
        <f>FIXED(VLOOKUP($A36,'Full Sample-Townhouse'!$A:$R,I$1,0),2)</f>
        <v>0.00</v>
      </c>
      <c r="J36" s="13" t="str">
        <f>FIXED(VLOOKUP($A36,'Full Sample-Townhouse'!$A:$R,J$1,0),2)</f>
        <v>0.00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0.00</v>
      </c>
      <c r="Q36" s="3" t="str">
        <f>FIXED(VLOOKUP($A36,'Small Sample 1-Townhouse'!$A:$R,Q$1,0),2)</f>
        <v>0.00</v>
      </c>
      <c r="R36" s="3" t="str">
        <f>FIXED(VLOOKUP($A36,'Small Sample 1-Townhouse'!$A:$R,R$1,0),2)</f>
        <v>0.00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0.00</v>
      </c>
      <c r="U36" s="3" t="str">
        <f>FIXED(VLOOKUP($A36,'Small Sample 1-Townhouse'!$A:$R,U$1,0),2)</f>
        <v>0.00</v>
      </c>
      <c r="V36" s="13" t="str">
        <f>FIXED(VLOOKUP($A36,'Small Sample 1-Townhouse'!$A:$R,V$1,0),2)</f>
        <v>0.00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0.00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0.00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0.00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0.00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0.00</v>
      </c>
      <c r="T37" s="3" t="str">
        <f>FIXED(VLOOKUP($A37,'Small Sample 1-Townhouse'!$A:$R,T$1,0),2)</f>
        <v>0.00</v>
      </c>
      <c r="U37" s="3" t="str">
        <f>FIXED(VLOOKUP($A37,'Small Sample 1-Townhouse'!$A:$R,U$1,0),2)</f>
        <v>0.00</v>
      </c>
      <c r="V37" s="13" t="str">
        <f>FIXED(VLOOKUP($A37,'Small Sample 1-Townhouse'!$A:$R,V$1,0),2)</f>
        <v>0.00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0.00</v>
      </c>
      <c r="AF37" s="3" t="str">
        <f>FIXED(VLOOKUP($A37,'Small Sample 2-Townhouse'!$A:$R,AF$1,0),2)</f>
        <v>0.00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0.00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0.27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0.08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0.08</v>
      </c>
      <c r="T38" s="3" t="str">
        <f>FIXED(VLOOKUP($A38,'Small Sample 1-Townhouse'!$A:$R,T$1,0),2)</f>
        <v>0.28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0.27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0.08</v>
      </c>
      <c r="AF38" s="3" t="str">
        <f>FIXED(VLOOKUP($A38,'Small Sample 2-Townhouse'!$A:$R,AF$1,0),2)</f>
        <v>0.28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0.10</v>
      </c>
      <c r="T39" s="3" t="str">
        <f>FIXED(VLOOKUP($A39,'Small Sample 1-Townhouse'!$A:$R,T$1,0),2)</f>
        <v>0.29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0.11</v>
      </c>
      <c r="AF39" s="3" t="str">
        <f>FIXED(VLOOKUP($A39,'Small Sample 2-Townhouse'!$A:$R,AF$1,0),2)</f>
        <v>0.31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0.00</v>
      </c>
      <c r="T40" s="3" t="str">
        <f>FIXED(VLOOKUP($A40,'Small Sample 1-Townhouse'!$A:$R,T$1,0),2)</f>
        <v>0.02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0.00</v>
      </c>
      <c r="AF40" s="3" t="str">
        <f>FIXED(VLOOKUP($A40,'Small Sample 2-Townhouse'!$A:$R,AF$1,0),2)</f>
        <v>0.02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0.22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0.05</v>
      </c>
      <c r="T41" s="3" t="str">
        <f>FIXED(VLOOKUP($A41,'Small Sample 1-Townhouse'!$A:$R,T$1,0),2)</f>
        <v>0.23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0.05</v>
      </c>
      <c r="AF41" s="3" t="str">
        <f>FIXED(VLOOKUP($A41,'Small Sample 2-Townhouse'!$A:$R,AF$1,0),2)</f>
        <v>0.22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0.23</v>
      </c>
      <c r="H42" s="3" t="str">
        <f>FIXED(VLOOKUP($A42,'Full Sample-Townhouse'!$A:$R,H$1,0),2)</f>
        <v>0.42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0.21</v>
      </c>
      <c r="T42" s="3" t="str">
        <f>FIXED(VLOOKUP($A42,'Small Sample 1-Townhouse'!$A:$R,T$1,0),2)</f>
        <v>0.41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0.23</v>
      </c>
      <c r="AF42" s="3" t="str">
        <f>FIXED(VLOOKUP($A42,'Small Sample 2-Townhouse'!$A:$R,AF$1,0),2)</f>
        <v>0.42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0.28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0.27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0.45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0.28</v>
      </c>
      <c r="T43" s="3" t="str">
        <f>FIXED(VLOOKUP($A43,'Small Sample 1-Townhouse'!$A:$R,T$1,0),2)</f>
        <v>0.45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0.45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0.28</v>
      </c>
      <c r="AF43" s="3" t="str">
        <f>FIXED(VLOOKUP($A43,'Small Sample 2-Townhouse'!$A:$R,AF$1,0),2)</f>
        <v>0.45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0.07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0.07</v>
      </c>
      <c r="T44" s="3" t="str">
        <f>FIXED(VLOOKUP($A44,'Small Sample 1-Townhouse'!$A:$R,T$1,0),2)</f>
        <v>0.26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0.07</v>
      </c>
      <c r="AF44" s="3" t="str">
        <f>FIXED(VLOOKUP($A44,'Small Sample 2-Townhouse'!$A:$R,AF$1,0),2)</f>
        <v>0.25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0.21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0.21</v>
      </c>
      <c r="H45" s="3" t="str">
        <f>FIXED(VLOOKUP($A45,'Full Sample-Townhouse'!$A:$R,H$1,0),2)</f>
        <v>0.40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0.21</v>
      </c>
      <c r="P45" s="3" t="str">
        <f>FIXED(VLOOKUP($A45,'Small Sample 1-Townhouse'!$A:$R,P$1,0),2)</f>
        <v>0.41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0.21</v>
      </c>
      <c r="T45" s="3" t="str">
        <f>FIXED(VLOOKUP($A45,'Small Sample 1-Townhouse'!$A:$R,T$1,0),2)</f>
        <v>0.41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0.21</v>
      </c>
      <c r="AB45" s="3" t="str">
        <f>FIXED(VLOOKUP($A45,'Small Sample 2-Townhouse'!$A:$R,AB$1,0),2)</f>
        <v>0.41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0.21</v>
      </c>
      <c r="AF45" s="3" t="str">
        <f>FIXED(VLOOKUP($A45,'Small Sample 2-Townhouse'!$A:$R,AF$1,0),2)</f>
        <v>0.41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0.07</v>
      </c>
      <c r="T46" s="3" t="str">
        <f>FIXED(VLOOKUP($A46,'Small Sample 1-Townhouse'!$A:$R,T$1,0),2)</f>
        <v>0.25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0.23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0.06</v>
      </c>
      <c r="AF46" s="3" t="str">
        <f>FIXED(VLOOKUP($A46,'Small Sample 2-Townhouse'!$A:$R,AF$1,0),2)</f>
        <v>0.24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12.36</v>
      </c>
      <c r="D47" s="3" t="str">
        <f>FIXED(VLOOKUP($A47,'Full Sample-Townhouse'!$A:$R,D$1,0),2)</f>
        <v>41.83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11.80</v>
      </c>
      <c r="H47" s="3" t="str">
        <f>FIXED(VLOOKUP($A47,'Full Sample-Townhouse'!$A:$R,H$1,0),2)</f>
        <v>39.65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13.14</v>
      </c>
      <c r="L47" s="3" t="str">
        <f>FIXED(VLOOKUP($A47,'Full Sample-Townhouse'!$A:$R,L$1,0),2)</f>
        <v>44.65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11.52</v>
      </c>
      <c r="P47" s="3" t="str">
        <f>FIXED(VLOOKUP($A47,'Small Sample 1-Townhouse'!$A:$R,P$1,0),2)</f>
        <v>41.13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10.28</v>
      </c>
      <c r="T47" s="3" t="str">
        <f>FIXED(VLOOKUP($A47,'Small Sample 1-Townhouse'!$A:$R,T$1,0),2)</f>
        <v>38.20</v>
      </c>
      <c r="U47" s="3" t="str">
        <f>FIXED(VLOOKUP($A47,'Small Sample 1-Townhouse'!$A:$R,U$1,0),2)</f>
        <v>0.00</v>
      </c>
      <c r="V47" s="13" t="str">
        <f>FIXED(VLOOKUP($A47,'Small Sample 1-Townhouse'!$A:$R,V$1,0),2)</f>
        <v>631.00</v>
      </c>
      <c r="W47" s="9" t="str">
        <f>FIXED(VLOOKUP($A47,'Small Sample 1-Townhouse'!$A:$R,W$1,0),2)</f>
        <v>12.86</v>
      </c>
      <c r="X47" s="3" t="str">
        <f>FIXED(VLOOKUP($A47,'Small Sample 1-Townhouse'!$A:$R,X$1,0),2)</f>
        <v>44.06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11.19</v>
      </c>
      <c r="AB47" s="3" t="str">
        <f>FIXED(VLOOKUP($A47,'Small Sample 2-Townhouse'!$A:$R,AB$1,0),2)</f>
        <v>40.25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11.28</v>
      </c>
      <c r="AF47" s="3" t="str">
        <f>FIXED(VLOOKUP($A47,'Small Sample 2-Townhouse'!$A:$R,AF$1,0),2)</f>
        <v>38.83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651.00</v>
      </c>
      <c r="AI47" s="9" t="str">
        <f>FIXED(VLOOKUP($A47,'Small Sample 2-Townhouse'!$A:$R,AI$1,0),2)</f>
        <v>11.04</v>
      </c>
      <c r="AJ47" s="3" t="str">
        <f>FIXED(VLOOKUP($A47,'Small Sample 2-Townhouse'!$A:$R,AJ$1,0),2)</f>
        <v>42.60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0.30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0.11</v>
      </c>
      <c r="T48" s="3" t="str">
        <f>FIXED(VLOOKUP($A48,'Small Sample 1-Townhouse'!$A:$R,T$1,0),2)</f>
        <v>0.31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0.10</v>
      </c>
      <c r="AF48" s="3" t="str">
        <f>FIXED(VLOOKUP($A48,'Small Sample 2-Townhouse'!$A:$R,AF$1,0),2)</f>
        <v>0.30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0.46</v>
      </c>
      <c r="T49" s="3" t="str">
        <f>FIXED(VLOOKUP($A49,'Small Sample 1-Townhouse'!$A:$R,T$1,0),2)</f>
        <v>0.50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0.42</v>
      </c>
      <c r="T50" s="3" t="str">
        <f>FIXED(VLOOKUP($A50,'Small Sample 1-Townhouse'!$A:$R,T$1,0),2)</f>
        <v>0.49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0.44</v>
      </c>
      <c r="AF50" s="3" t="str">
        <f>FIXED(VLOOKUP($A50,'Small Sample 2-Townhouse'!$A:$R,AF$1,0),2)</f>
        <v>0.50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0.09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0.01</v>
      </c>
      <c r="T52" s="3" t="str">
        <f>FIXED(VLOOKUP($A52,'Small Sample 1-Townhouse'!$A:$R,T$1,0),2)</f>
        <v>0.09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0.01</v>
      </c>
      <c r="AF52" s="3" t="str">
        <f>FIXED(VLOOKUP($A52,'Small Sample 2-Townhouse'!$A:$R,AF$1,0),2)</f>
        <v>0.09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0.03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0.00</v>
      </c>
      <c r="T53" s="3" t="str">
        <f>FIXED(VLOOKUP($A53,'Small Sample 1-Townhouse'!$A:$R,T$1,0),2)</f>
        <v>0.04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0.00</v>
      </c>
      <c r="AF53" s="3" t="str">
        <f>FIXED(VLOOKUP($A53,'Small Sample 2-Townhouse'!$A:$R,AF$1,0),2)</f>
        <v>0.03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0.48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0.36</v>
      </c>
      <c r="T54" s="3" t="str">
        <f>FIXED(VLOOKUP($A54,'Small Sample 1-Townhouse'!$A:$R,T$1,0),2)</f>
        <v>0.48</v>
      </c>
      <c r="U54" s="3" t="str">
        <f>FIXED(VLOOKUP($A54,'Small Sample 1-Townhouse'!$A:$R,U$1,0),2)</f>
        <v>0.00</v>
      </c>
      <c r="V54" s="13" t="str">
        <f>FIXED(VLOOKUP($A54,'Small Sample 1-Townhouse'!$A:$R,V$1,0),2)</f>
        <v>1.00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0.35</v>
      </c>
      <c r="AF54" s="3" t="str">
        <f>FIXED(VLOOKUP($A54,'Small Sample 2-Townhouse'!$A:$R,AF$1,0),2)</f>
        <v>0.48</v>
      </c>
      <c r="AG54" s="3" t="str">
        <f>FIXED(VLOOKUP($A54,'Small Sample 2-Townhouse'!$A:$R,AG$1,0),2)</f>
        <v>0.00</v>
      </c>
      <c r="AH54" s="13" t="str">
        <f>FIXED(VLOOKUP($A54,'Small Sample 2-Townhouse'!$A:$R,AH$1,0),2)</f>
        <v>1.00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1.27</v>
      </c>
      <c r="D55" s="3" t="str">
        <f>FIXED(VLOOKUP($A55,'Full Sample-Townhouse'!$A:$R,D$1,0),2)</f>
        <v>1.89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1.29</v>
      </c>
      <c r="H55" s="3" t="str">
        <f>FIXED(VLOOKUP($A55,'Full Sample-Townhouse'!$A:$R,H$1,0),2)</f>
        <v>1.93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1.31</v>
      </c>
      <c r="P55" s="3" t="str">
        <f>FIXED(VLOOKUP($A55,'Small Sample 1-Townhouse'!$A:$R,P$1,0),2)</f>
        <v>1.89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1.36</v>
      </c>
      <c r="T55" s="3" t="str">
        <f>FIXED(VLOOKUP($A55,'Small Sample 1-Townhouse'!$A:$R,T$1,0),2)</f>
        <v>1.94</v>
      </c>
      <c r="U55" s="3" t="str">
        <f>FIXED(VLOOKUP($A55,'Small Sample 1-Townhouse'!$A:$R,U$1,0),2)</f>
        <v>0.00</v>
      </c>
      <c r="V55" s="13" t="str">
        <f>FIXED(VLOOKUP($A55,'Small Sample 1-Townhouse'!$A:$R,V$1,0),2)</f>
        <v>36.00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1.33</v>
      </c>
      <c r="AB55" s="3" t="str">
        <f>FIXED(VLOOKUP($A55,'Small Sample 2-Townhouse'!$A:$R,AB$1,0),2)</f>
        <v>1.93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1.32</v>
      </c>
      <c r="AF55" s="3" t="str">
        <f>FIXED(VLOOKUP($A55,'Small Sample 2-Townhouse'!$A:$R,AF$1,0),2)</f>
        <v>1.94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36.00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1.90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1.76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1.78</v>
      </c>
      <c r="H56" s="3" t="str">
        <f>FIXED(VLOOKUP($A56,'Full Sample-Townhouse'!$A:$R,H$1,0),2)</f>
        <v>2.31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1.70</v>
      </c>
      <c r="P56" s="3" t="str">
        <f>FIXED(VLOOKUP($A56,'Small Sample 1-Townhouse'!$A:$R,P$1,0),2)</f>
        <v>2.21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1.68</v>
      </c>
      <c r="T56" s="3" t="str">
        <f>FIXED(VLOOKUP($A56,'Small Sample 1-Townhouse'!$A:$R,T$1,0),2)</f>
        <v>2.23</v>
      </c>
      <c r="U56" s="3" t="str">
        <f>FIXED(VLOOKUP($A56,'Small Sample 1-Townhouse'!$A:$R,U$1,0),2)</f>
        <v>0.00</v>
      </c>
      <c r="V56" s="13" t="str">
        <f>FIXED(VLOOKUP($A56,'Small Sample 1-Townhouse'!$A:$R,V$1,0),2)</f>
        <v>12.79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1.70</v>
      </c>
      <c r="AB56" s="3" t="str">
        <f>FIXED(VLOOKUP($A56,'Small Sample 2-Townhouse'!$A:$R,AB$1,0),2)</f>
        <v>2.21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1.76</v>
      </c>
      <c r="AF56" s="3" t="str">
        <f>FIXED(VLOOKUP($A56,'Small Sample 2-Townhouse'!$A:$R,AF$1,0),2)</f>
        <v>2.31</v>
      </c>
      <c r="AG56" s="3" t="str">
        <f>FIXED(VLOOKUP($A56,'Small Sample 2-Townhouse'!$A:$R,AG$1,0),2)</f>
        <v>0.00</v>
      </c>
      <c r="AH56" s="13" t="str">
        <f>FIXED(VLOOKUP($A56,'Small Sample 2-Townhouse'!$A:$R,AH$1,0),2)</f>
        <v>12.79</v>
      </c>
      <c r="AI56" s="9" t="str">
        <f>FIXED(VLOOKUP($A56,'Small Sample 2-Townhouse'!$A:$R,AI$1,0),2)</f>
        <v>1.59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0.33</v>
      </c>
      <c r="T57" s="3" t="str">
        <f>FIXED(VLOOKUP($A57,'Small Sample 1-Townhouse'!$A:$R,T$1,0),2)</f>
        <v>0.26</v>
      </c>
      <c r="U57" s="3" t="str">
        <f>FIXED(VLOOKUP($A57,'Small Sample 1-Townhouse'!$A:$R,U$1,0),2)</f>
        <v>0.01</v>
      </c>
      <c r="V57" s="13" t="str">
        <f>FIXED(VLOOKUP($A57,'Small Sample 1-Townhouse'!$A:$R,V$1,0),2)</f>
        <v>1.75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0.34</v>
      </c>
      <c r="AF57" s="3" t="str">
        <f>FIXED(VLOOKUP($A57,'Small Sample 2-Townhouse'!$A:$R,AF$1,0),2)</f>
        <v>0.26</v>
      </c>
      <c r="AG57" s="3" t="str">
        <f>FIXED(VLOOKUP($A57,'Small Sample 2-Townhouse'!$A:$R,AG$1,0),2)</f>
        <v>0.01</v>
      </c>
      <c r="AH57" s="13" t="str">
        <f>FIXED(VLOOKUP($A57,'Small Sample 2-Townhouse'!$A:$R,AH$1,0),2)</f>
        <v>1.75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3.18</v>
      </c>
      <c r="D58" s="3" t="str">
        <f>FIXED(VLOOKUP($A58,'Full Sample-Townhouse'!$A:$R,D$1,0),2)</f>
        <v>3.45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3.12</v>
      </c>
      <c r="H58" s="3" t="str">
        <f>FIXED(VLOOKUP($A58,'Full Sample-Townhouse'!$A:$R,H$1,0),2)</f>
        <v>3.33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3.26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3.09</v>
      </c>
      <c r="P58" s="3" t="str">
        <f>FIXED(VLOOKUP($A58,'Small Sample 1-Townhouse'!$A:$R,P$1,0),2)</f>
        <v>3.44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2.96</v>
      </c>
      <c r="T58" s="3" t="str">
        <f>FIXED(VLOOKUP($A58,'Small Sample 1-Townhouse'!$A:$R,T$1,0),2)</f>
        <v>3.27</v>
      </c>
      <c r="U58" s="3" t="str">
        <f>FIXED(VLOOKUP($A58,'Small Sample 1-Townhouse'!$A:$R,U$1,0),2)</f>
        <v>0.02</v>
      </c>
      <c r="V58" s="13" t="str">
        <f>FIXED(VLOOKUP($A58,'Small Sample 1-Townhouse'!$A:$R,V$1,0),2)</f>
        <v>20.40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3.10</v>
      </c>
      <c r="AB58" s="3" t="str">
        <f>FIXED(VLOOKUP($A58,'Small Sample 2-Townhouse'!$A:$R,AB$1,0),2)</f>
        <v>3.44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3.08</v>
      </c>
      <c r="AF58" s="3" t="str">
        <f>FIXED(VLOOKUP($A58,'Small Sample 2-Townhouse'!$A:$R,AF$1,0),2)</f>
        <v>3.32</v>
      </c>
      <c r="AG58" s="3" t="str">
        <f>FIXED(VLOOKUP($A58,'Small Sample 2-Townhouse'!$A:$R,AG$1,0),2)</f>
        <v>0.02</v>
      </c>
      <c r="AH58" s="13" t="str">
        <f>FIXED(VLOOKUP($A58,'Small Sample 2-Townhouse'!$A:$R,AH$1,0),2)</f>
        <v>20.40</v>
      </c>
      <c r="AI58" s="9" t="str">
        <f>FIXED(VLOOKUP($A58,'Small Sample 2-Townhouse'!$A:$R,AI$1,0),2)</f>
        <v>3.12</v>
      </c>
      <c r="AJ58" s="3" t="str">
        <f>FIXED(VLOOKUP($A58,'Small Sample 2-Townhouse'!$A:$R,AJ$1,0),2)</f>
        <v>3.63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7.62</v>
      </c>
      <c r="D59" s="3" t="str">
        <f>FIXED(VLOOKUP($A59,'Full Sample-Townhouse'!$A:$R,D$1,0),2)</f>
        <v>5.17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7.64</v>
      </c>
      <c r="H59" s="3" t="str">
        <f>FIXED(VLOOKUP($A59,'Full Sample-Townhouse'!$A:$R,H$1,0),2)</f>
        <v>5.19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5.15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7.54</v>
      </c>
      <c r="P59" s="3" t="str">
        <f>FIXED(VLOOKUP($A59,'Small Sample 1-Townhouse'!$A:$R,P$1,0),2)</f>
        <v>5.14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7.51</v>
      </c>
      <c r="T59" s="3" t="str">
        <f>FIXED(VLOOKUP($A59,'Small Sample 1-Townhouse'!$A:$R,T$1,0),2)</f>
        <v>5.14</v>
      </c>
      <c r="U59" s="3" t="str">
        <f>FIXED(VLOOKUP($A59,'Small Sample 1-Townhouse'!$A:$R,U$1,0),2)</f>
        <v>0.99</v>
      </c>
      <c r="V59" s="13" t="str">
        <f>FIXED(VLOOKUP($A59,'Small Sample 1-Townhouse'!$A:$R,V$1,0),2)</f>
        <v>25.14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7.54</v>
      </c>
      <c r="AB59" s="3" t="str">
        <f>FIXED(VLOOKUP($A59,'Small Sample 2-Townhouse'!$A:$R,AB$1,0),2)</f>
        <v>5.14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7.62</v>
      </c>
      <c r="AF59" s="3" t="str">
        <f>FIXED(VLOOKUP($A59,'Small Sample 2-Townhouse'!$A:$R,AF$1,0),2)</f>
        <v>5.19</v>
      </c>
      <c r="AG59" s="3" t="str">
        <f>FIXED(VLOOKUP($A59,'Small Sample 2-Townhouse'!$A:$R,AG$1,0),2)</f>
        <v>0.99</v>
      </c>
      <c r="AH59" s="13" t="str">
        <f>FIXED(VLOOKUP($A59,'Small Sample 2-Townhouse'!$A:$R,AH$1,0),2)</f>
        <v>25.14</v>
      </c>
      <c r="AI59" s="9" t="str">
        <f>FIXED(VLOOKUP($A59,'Small Sample 2-Townhouse'!$A:$R,AI$1,0),2)</f>
        <v>7.41</v>
      </c>
      <c r="AJ59" s="3" t="str">
        <f>FIXED(VLOOKUP($A59,'Small Sample 2-Townhouse'!$A:$R,AJ$1,0),2)</f>
        <v>5.06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6.06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6.24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1.23</v>
      </c>
      <c r="L60" s="3" t="str">
        <f>FIXED(VLOOKUP($A60,'Full Sample-Townhouse'!$A:$R,L$1,0),2)</f>
        <v>5.80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6.17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1.28</v>
      </c>
      <c r="T60" s="3" t="str">
        <f>FIXED(VLOOKUP($A60,'Small Sample 1-Townhouse'!$A:$R,T$1,0),2)</f>
        <v>6.42</v>
      </c>
      <c r="U60" s="3" t="str">
        <f>FIXED(VLOOKUP($A60,'Small Sample 1-Townhouse'!$A:$R,U$1,0),2)</f>
        <v>0.04</v>
      </c>
      <c r="V60" s="13" t="str">
        <f>FIXED(VLOOKUP($A60,'Small Sample 1-Townhouse'!$A:$R,V$1,0),2)</f>
        <v>196.49</v>
      </c>
      <c r="W60" s="9" t="str">
        <f>FIXED(VLOOKUP($A60,'Small Sample 1-Townhouse'!$A:$R,W$1,0),2)</f>
        <v>1.24</v>
      </c>
      <c r="X60" s="3" t="str">
        <f>FIXED(VLOOKUP($A60,'Small Sample 1-Townhouse'!$A:$R,X$1,0),2)</f>
        <v>5.89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6.17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1.29</v>
      </c>
      <c r="AF60" s="3" t="str">
        <f>FIXED(VLOOKUP($A60,'Small Sample 2-Townhouse'!$A:$R,AF$1,0),2)</f>
        <v>6.46</v>
      </c>
      <c r="AG60" s="3" t="str">
        <f>FIXED(VLOOKUP($A60,'Small Sample 2-Townhouse'!$A:$R,AG$1,0),2)</f>
        <v>0.04</v>
      </c>
      <c r="AH60" s="13" t="str">
        <f>FIXED(VLOOKUP($A60,'Small Sample 2-Townhouse'!$A:$R,AH$1,0),2)</f>
        <v>196.49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1.33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1.97</v>
      </c>
      <c r="H61" s="3" t="str">
        <f>FIXED(VLOOKUP($A61,'Full Sample-Townhouse'!$A:$R,H$1,0),2)</f>
        <v>1.33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1.31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1.92</v>
      </c>
      <c r="T61" s="3" t="str">
        <f>FIXED(VLOOKUP($A61,'Small Sample 1-Townhouse'!$A:$R,T$1,0),2)</f>
        <v>1.30</v>
      </c>
      <c r="U61" s="3" t="str">
        <f>FIXED(VLOOKUP($A61,'Small Sample 1-Townhouse'!$A:$R,U$1,0),2)</f>
        <v>0.07</v>
      </c>
      <c r="V61" s="13" t="str">
        <f>FIXED(VLOOKUP($A61,'Small Sample 1-Townhouse'!$A:$R,V$1,0),2)</f>
        <v>7.28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1.31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1.95</v>
      </c>
      <c r="AF61" s="3" t="str">
        <f>FIXED(VLOOKUP($A61,'Small Sample 2-Townhouse'!$A:$R,AF$1,0),2)</f>
        <v>1.32</v>
      </c>
      <c r="AG61" s="3" t="str">
        <f>FIXED(VLOOKUP($A61,'Small Sample 2-Townhouse'!$A:$R,AG$1,0),2)</f>
        <v>0.07</v>
      </c>
      <c r="AH61" s="13" t="str">
        <f>FIXED(VLOOKUP($A61,'Small Sample 2-Townhouse'!$A:$R,AH$1,0),2)</f>
        <v>7.28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1.83</v>
      </c>
      <c r="D62" s="3" t="str">
        <f>FIXED(VLOOKUP($A62,'Full Sample-Townhouse'!$A:$R,D$1,0),2)</f>
        <v>1.21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1.84</v>
      </c>
      <c r="H62" s="3" t="str">
        <f>FIXED(VLOOKUP($A62,'Full Sample-Townhouse'!$A:$R,H$1,0),2)</f>
        <v>1.21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1.82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1.80</v>
      </c>
      <c r="P62" s="3" t="str">
        <f>FIXED(VLOOKUP($A62,'Small Sample 1-Townhouse'!$A:$R,P$1,0),2)</f>
        <v>1.19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1.78</v>
      </c>
      <c r="T62" s="3" t="str">
        <f>FIXED(VLOOKUP($A62,'Small Sample 1-Townhouse'!$A:$R,T$1,0),2)</f>
        <v>1.18</v>
      </c>
      <c r="U62" s="3" t="str">
        <f>FIXED(VLOOKUP($A62,'Small Sample 1-Townhouse'!$A:$R,U$1,0),2)</f>
        <v>0.03</v>
      </c>
      <c r="V62" s="13" t="str">
        <f>FIXED(VLOOKUP($A62,'Small Sample 1-Townhouse'!$A:$R,V$1,0),2)</f>
        <v>6.80</v>
      </c>
      <c r="W62" s="9" t="str">
        <f>FIXED(VLOOKUP($A62,'Small Sample 1-Townhouse'!$A:$R,W$1,0),2)</f>
        <v>1.81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1.80</v>
      </c>
      <c r="AB62" s="3" t="str">
        <f>FIXED(VLOOKUP($A62,'Small Sample 2-Townhouse'!$A:$R,AB$1,0),2)</f>
        <v>1.19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1.82</v>
      </c>
      <c r="AF62" s="3" t="str">
        <f>FIXED(VLOOKUP($A62,'Small Sample 2-Townhouse'!$A:$R,AF$1,0),2)</f>
        <v>1.20</v>
      </c>
      <c r="AG62" s="3" t="str">
        <f>FIXED(VLOOKUP($A62,'Small Sample 2-Townhouse'!$A:$R,AG$1,0),2)</f>
        <v>0.03</v>
      </c>
      <c r="AH62" s="13" t="str">
        <f>FIXED(VLOOKUP($A62,'Small Sample 2-Townhouse'!$A:$R,AH$1,0),2)</f>
        <v>6.80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2,359,735.00</v>
      </c>
      <c r="D63" s="3" t="str">
        <f>FIXED(VLOOKUP($A63,'Full Sample-Townhouse'!$A:$R,D$1,0),2)</f>
        <v>6,913.32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2,359,780.00</v>
      </c>
      <c r="H63" s="3" t="str">
        <f>FIXED(VLOOKUP($A63,'Full Sample-Townhouse'!$A:$R,H$1,0),2)</f>
        <v>6,959.87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2,359,673.00</v>
      </c>
      <c r="L63" s="3" t="str">
        <f>FIXED(VLOOKUP($A63,'Full Sample-Townhouse'!$A:$R,L$1,0),2)</f>
        <v>6,848.42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2,359,549.00</v>
      </c>
      <c r="P63" s="3" t="str">
        <f>FIXED(VLOOKUP($A63,'Small Sample 1-Townhouse'!$A:$R,P$1,0),2)</f>
        <v>6,873.48</v>
      </c>
      <c r="Q63" s="3" t="str">
        <f>FIXED(VLOOKUP($A63,'Small Sample 1-Townhouse'!$A:$R,Q$1,0),2)</f>
        <v>2,351,113.00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2,359,458.00</v>
      </c>
      <c r="T63" s="3" t="str">
        <f>FIXED(VLOOKUP($A63,'Small Sample 1-Townhouse'!$A:$R,T$1,0),2)</f>
        <v>6,887.82</v>
      </c>
      <c r="U63" s="3" t="str">
        <f>FIXED(VLOOKUP($A63,'Small Sample 1-Townhouse'!$A:$R,U$1,0),2)</f>
        <v>2,351,113.00</v>
      </c>
      <c r="V63" s="13" t="str">
        <f>FIXED(VLOOKUP($A63,'Small Sample 1-Townhouse'!$A:$R,V$1,0),2)</f>
        <v>2,400,056.00</v>
      </c>
      <c r="W63" s="9" t="str">
        <f>FIXED(VLOOKUP($A63,'Small Sample 1-Townhouse'!$A:$R,W$1,0),2)</f>
        <v>2,359,648.00</v>
      </c>
      <c r="X63" s="3" t="str">
        <f>FIXED(VLOOKUP($A63,'Small Sample 1-Townhouse'!$A:$R,X$1,0),2)</f>
        <v>6,856.74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2,359,551.00</v>
      </c>
      <c r="AB63" s="3" t="str">
        <f>FIXED(VLOOKUP($A63,'Small Sample 2-Townhouse'!$A:$R,AB$1,0),2)</f>
        <v>6,874.58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2,359,711.00</v>
      </c>
      <c r="AF63" s="3" t="str">
        <f>FIXED(VLOOKUP($A63,'Small Sample 2-Townhouse'!$A:$R,AF$1,0),2)</f>
        <v>6,950.83</v>
      </c>
      <c r="AG63" s="3" t="str">
        <f>FIXED(VLOOKUP($A63,'Small Sample 2-Townhouse'!$A:$R,AG$1,0),2)</f>
        <v>2,351,041.00</v>
      </c>
      <c r="AH63" s="13" t="str">
        <f>FIXED(VLOOKUP($A63,'Small Sample 2-Townhouse'!$A:$R,AH$1,0),2)</f>
        <v>2,400,056.00</v>
      </c>
      <c r="AI63" s="9" t="str">
        <f>FIXED(VLOOKUP($A63,'Small Sample 2-Townhouse'!$A:$R,AI$1,0),2)</f>
        <v>2,359,275.00</v>
      </c>
      <c r="AJ63" s="3" t="str">
        <f>FIXED(VLOOKUP($A63,'Small Sample 2-Townhouse'!$A:$R,AJ$1,0),2)</f>
        <v>6,732.10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614,194.20</v>
      </c>
      <c r="D64" s="3" t="str">
        <f>FIXED(VLOOKUP($A64,'Full Sample-Townhouse'!$A:$R,D$1,0),2)</f>
        <v>11,605.60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614,172.60</v>
      </c>
      <c r="H64" s="3" t="str">
        <f>FIXED(VLOOKUP($A64,'Full Sample-Townhouse'!$A:$R,H$1,0),2)</f>
        <v>11,466.60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614,224.00</v>
      </c>
      <c r="L64" s="3" t="str">
        <f>FIXED(VLOOKUP($A64,'Full Sample-Townhouse'!$A:$R,L$1,0),2)</f>
        <v>11,795.07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614,681.30</v>
      </c>
      <c r="P64" s="3" t="str">
        <f>FIXED(VLOOKUP($A64,'Small Sample 1-Townhouse'!$A:$R,P$1,0),2)</f>
        <v>11,377.04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615,023.80</v>
      </c>
      <c r="T64" s="3" t="str">
        <f>FIXED(VLOOKUP($A64,'Small Sample 1-Townhouse'!$A:$R,T$1,0),2)</f>
        <v>11,023.52</v>
      </c>
      <c r="U64" s="3" t="str">
        <f>FIXED(VLOOKUP($A64,'Small Sample 1-Townhouse'!$A:$R,U$1,0),2)</f>
        <v>580,446.10</v>
      </c>
      <c r="V64" s="13" t="str">
        <f>FIXED(VLOOKUP($A64,'Small Sample 1-Townhouse'!$A:$R,V$1,0),2)</f>
        <v>637,819.70</v>
      </c>
      <c r="W64" s="9" t="str">
        <f>FIXED(VLOOKUP($A64,'Small Sample 1-Townhouse'!$A:$R,W$1,0),2)</f>
        <v>614,307.80</v>
      </c>
      <c r="X64" s="3" t="str">
        <f>FIXED(VLOOKUP($A64,'Small Sample 1-Townhouse'!$A:$R,X$1,0),2)</f>
        <v>11,739.61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614,679.10</v>
      </c>
      <c r="AB64" s="3" t="str">
        <f>FIXED(VLOOKUP($A64,'Small Sample 2-Townhouse'!$A:$R,AB$1,0),2)</f>
        <v>11,377.33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614,420.30</v>
      </c>
      <c r="AF64" s="3" t="str">
        <f>FIXED(VLOOKUP($A64,'Small Sample 2-Townhouse'!$A:$R,AF$1,0),2)</f>
        <v>11,358.05</v>
      </c>
      <c r="AG64" s="3" t="str">
        <f>FIXED(VLOOKUP($A64,'Small Sample 2-Townhouse'!$A:$R,AG$1,0),2)</f>
        <v>580,446.10</v>
      </c>
      <c r="AH64" s="13" t="str">
        <f>FIXED(VLOOKUP($A64,'Small Sample 2-Townhouse'!$A:$R,AH$1,0),2)</f>
        <v>637,819.70</v>
      </c>
      <c r="AI64" s="9" t="str">
        <f>FIXED(VLOOKUP($A64,'Small Sample 2-Townhouse'!$A:$R,AI$1,0),2)</f>
        <v>615,126.80</v>
      </c>
      <c r="AJ64" s="3" t="str">
        <f>FIXED(VLOOKUP($A64,'Small Sample 2-Townhouse'!$A:$R,AJ$1,0),2)</f>
        <v>11,397.40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0.21</v>
      </c>
      <c r="D65" s="3" t="str">
        <f>FIXED(VLOOKUP($A65,'Full Sample-Townhouse'!$A:$R,D$1,0),2)</f>
        <v>0.41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0.22</v>
      </c>
      <c r="H65" s="3" t="str">
        <f>FIXED(VLOOKUP($A65,'Full Sample-Townhouse'!$A:$R,H$1,0),2)</f>
        <v>0.41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0.41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0.23</v>
      </c>
      <c r="T65" s="3" t="str">
        <f>FIXED(VLOOKUP($A65,'Small Sample 1-Townhouse'!$A:$R,T$1,0),2)</f>
        <v>0.42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0.41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0.22</v>
      </c>
      <c r="AF65" s="3" t="str">
        <f>FIXED(VLOOKUP($A65,'Small Sample 2-Townhouse'!$A:$R,AF$1,0),2)</f>
        <v>0.41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0.20</v>
      </c>
      <c r="AJ65" s="3" t="str">
        <f>FIXED(VLOOKUP($A65,'Small Sample 2-Townhouse'!$A:$R,AJ$1,0),2)</f>
        <v>0.40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0.09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0.10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0.01</v>
      </c>
      <c r="T66" s="3" t="str">
        <f>FIXED(VLOOKUP($A66,'Small Sample 1-Townhouse'!$A:$R,T$1,0),2)</f>
        <v>0.10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0.10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0.01</v>
      </c>
      <c r="AF66" s="3" t="str">
        <f>FIXED(VLOOKUP($A66,'Small Sample 2-Townhouse'!$A:$R,AF$1,0),2)</f>
        <v>0.10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0.00</v>
      </c>
      <c r="T67" s="3" t="str">
        <f>FIXED(VLOOKUP($A67,'Small Sample 1-Townhouse'!$A:$R,T$1,0),2)</f>
        <v>0.03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0.00</v>
      </c>
      <c r="AF67" s="3" t="str">
        <f>FIXED(VLOOKUP($A67,'Small Sample 2-Townhouse'!$A:$R,AF$1,0),2)</f>
        <v>0.03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0.07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0.26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0.08</v>
      </c>
      <c r="T68" s="3" t="str">
        <f>FIXED(VLOOKUP($A68,'Small Sample 1-Townhouse'!$A:$R,T$1,0),2)</f>
        <v>0.26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0.26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0.07</v>
      </c>
      <c r="AF68" s="3" t="str">
        <f>FIXED(VLOOKUP($A68,'Small Sample 2-Townhouse'!$A:$R,AF$1,0),2)</f>
        <v>0.26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0.27</v>
      </c>
      <c r="T69" s="3" t="str">
        <f>FIXED(VLOOKUP($A69,'Small Sample 1-Townhouse'!$A:$R,T$1,0),2)</f>
        <v>0.44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0.30</v>
      </c>
      <c r="AF69" s="3" t="str">
        <f>FIXED(VLOOKUP($A69,'Small Sample 2-Townhouse'!$A:$R,AF$1,0),2)</f>
        <v>0.46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0.27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0.01</v>
      </c>
      <c r="T70" s="3" t="str">
        <f>FIXED(VLOOKUP($A70,'Small Sample 1-Townhouse'!$A:$R,T$1,0),2)</f>
        <v>0.09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0.01</v>
      </c>
      <c r="AF70" s="3" t="str">
        <f>FIXED(VLOOKUP($A70,'Small Sample 2-Townhouse'!$A:$R,AF$1,0),2)</f>
        <v>0.08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0.39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str">
        <f>FIXED(VLOOKUP($A71,'Small Sample 1-Townhouse'!$A:$R,S$1,0),2)</f>
        <v>0.41</v>
      </c>
      <c r="T71" s="3" t="str">
        <f>FIXED(VLOOKUP($A71,'Small Sample 1-Townhouse'!$A:$R,T$1,0),2)</f>
        <v>0.49</v>
      </c>
      <c r="U71" s="3" t="str">
        <f>FIXED(VLOOKUP($A71,'Small Sample 1-Townhouse'!$A:$R,U$1,0),2)</f>
        <v>0.00</v>
      </c>
      <c r="V71" s="13" t="str">
        <f>FIXED(VLOOKUP($A71,'Small Sample 1-Townhouse'!$A:$R,V$1,0),2)</f>
        <v>1.00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str">
        <f>FIXED(VLOOKUP($A71,'Small Sample 2-Townhouse'!$A:$R,AE$1,0),2)</f>
        <v>0.39</v>
      </c>
      <c r="AF71" s="3" t="str">
        <f>FIXED(VLOOKUP($A71,'Small Sample 2-Townhouse'!$A:$R,AF$1,0),2)</f>
        <v>0.49</v>
      </c>
      <c r="AG71" s="3" t="str">
        <f>FIXED(VLOOKUP($A71,'Small Sample 2-Townhouse'!$A:$R,AG$1,0),2)</f>
        <v>0.00</v>
      </c>
      <c r="AH71" s="13" t="str">
        <f>FIXED(VLOOKUP($A71,'Small Sample 2-Townhouse'!$A:$R,AH$1,0),2)</f>
        <v>1.00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0.27</v>
      </c>
      <c r="D72" s="3" t="str">
        <f>FIXED(VLOOKUP($A72,'Full Sample-Townhouse'!$A:$R,D$1,0),2)</f>
        <v>0.19</v>
      </c>
      <c r="E72" s="3" t="str">
        <f>FIXED(VLOOKUP($A72,'Full Sample-Townhouse'!$A:$R,E$1,0),2)</f>
        <v>0.00</v>
      </c>
      <c r="F72" s="3" t="str">
        <f>FIXED(VLOOKUP($A72,'Full Sample-Townhouse'!$A:$R,F$1,0),2)</f>
        <v>0.83</v>
      </c>
      <c r="G72" s="9" t="str">
        <f>FIXED(VLOOKUP($A72,'Full Sample-Townhouse'!$A:$R,G$1,0),2)</f>
        <v>0.28</v>
      </c>
      <c r="H72" s="3" t="str">
        <f>FIXED(VLOOKUP($A72,'Full Sample-Townhouse'!$A:$R,H$1,0),2)</f>
        <v>0.19</v>
      </c>
      <c r="I72" s="3" t="str">
        <f>FIXED(VLOOKUP($A72,'Full Sample-Townhouse'!$A:$R,I$1,0),2)</f>
        <v>0.00</v>
      </c>
      <c r="J72" s="13" t="str">
        <f>FIXED(VLOOKUP($A72,'Full Sample-Townhouse'!$A:$R,J$1,0),2)</f>
        <v>0.83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1-Townhouse'!$A:$R,O$1,0),2)</f>
        <v>0.27</v>
      </c>
      <c r="P72" s="3" t="str">
        <f>FIXED(VLOOKUP($A72,'Small Sample 1-Townhouse'!$A:$R,P$1,0),2)</f>
        <v>0.19</v>
      </c>
      <c r="Q72" s="3" t="str">
        <f>FIXED(VLOOKUP($A72,'Small Sample 1-Townhouse'!$A:$R,Q$1,0),2)</f>
        <v>0.00</v>
      </c>
      <c r="R72" s="3" t="str">
        <f>FIXED(VLOOKUP($A72,'Small Sample 1-Townhouse'!$A:$R,R$1,0),2)</f>
        <v>0.83</v>
      </c>
      <c r="S72" s="9" t="str">
        <f>FIXED(VLOOKUP($A72,'Small Sample 1-Townhouse'!$A:$R,S$1,0),2)</f>
        <v>0.27</v>
      </c>
      <c r="T72" s="3" t="str">
        <f>FIXED(VLOOKUP($A72,'Small Sample 1-Townhouse'!$A:$R,T$1,0),2)</f>
        <v>0.19</v>
      </c>
      <c r="U72" s="3" t="str">
        <f>FIXED(VLOOKUP($A72,'Small Sample 1-Townhouse'!$A:$R,U$1,0),2)</f>
        <v>0.00</v>
      </c>
      <c r="V72" s="13" t="str">
        <f>FIXED(VLOOKUP($A72,'Small Sample 1-Townhouse'!$A:$R,V$1,0),2)</f>
        <v>0.83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2-Townhouse'!$A:$R,AA$1,0),2)</f>
        <v>0.27</v>
      </c>
      <c r="AB72" s="3" t="str">
        <f>FIXED(VLOOKUP($A72,'Small Sample 2-Townhouse'!$A:$R,AB$1,0),2)</f>
        <v>0.19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0.83</v>
      </c>
      <c r="AE72" s="9" t="str">
        <f>FIXED(VLOOKUP($A72,'Small Sample 2-Townhouse'!$A:$R,AE$1,0),2)</f>
        <v>0.28</v>
      </c>
      <c r="AF72" s="3" t="str">
        <f>FIXED(VLOOKUP($A72,'Small Sample 2-Townhouse'!$A:$R,AF$1,0),2)</f>
        <v>0.19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0.83</v>
      </c>
      <c r="AI72" s="9" t="str">
        <f>FIXED(VLOOKUP($A72,'Small Sample 2-Townhouse'!$A:$R,AI$1,0),2)</f>
        <v>0.26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0.24</v>
      </c>
      <c r="G73" s="9" t="str">
        <f>FIXED(VLOOKUP($A73,'Full Sample-Townhouse'!$A:$R,G$1,0),2)</f>
        <v>0.02</v>
      </c>
      <c r="H73" s="3" t="str">
        <f>FIXED(VLOOKUP($A73,'Full Sample-Townhouse'!$A:$R,H$1,0),2)</f>
        <v>0.04</v>
      </c>
      <c r="I73" s="3" t="str">
        <f>FIXED(VLOOKUP($A73,'Full Sample-Townhouse'!$A:$R,I$1,0),2)</f>
        <v>0.00</v>
      </c>
      <c r="J73" s="13" t="str">
        <f>FIXED(VLOOKUP($A73,'Full Sample-Townhouse'!$A:$R,J$1,0),2)</f>
        <v>0.24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0.24</v>
      </c>
      <c r="S73" s="9" t="str">
        <f>FIXED(VLOOKUP($A73,'Small Sample 1-Townhouse'!$A:$R,S$1,0),2)</f>
        <v>0.02</v>
      </c>
      <c r="T73" s="3" t="str">
        <f>FIXED(VLOOKUP($A73,'Small Sample 1-Townhouse'!$A:$R,T$1,0),2)</f>
        <v>0.04</v>
      </c>
      <c r="U73" s="3" t="str">
        <f>FIXED(VLOOKUP($A73,'Small Sample 1-Townhouse'!$A:$R,U$1,0),2)</f>
        <v>0.00</v>
      </c>
      <c r="V73" s="13" t="str">
        <f>FIXED(VLOOKUP($A73,'Small Sample 1-Townhouse'!$A:$R,V$1,0),2)</f>
        <v>0.24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0.04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0.24</v>
      </c>
      <c r="AE73" s="9" t="str">
        <f>FIXED(VLOOKUP($A73,'Small Sample 2-Townhouse'!$A:$R,AE$1,0),2)</f>
        <v>0.02</v>
      </c>
      <c r="AF73" s="3" t="str">
        <f>FIXED(VLOOKUP($A73,'Small Sample 2-Townhouse'!$A:$R,AF$1,0),2)</f>
        <v>0.04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0.24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0.44</v>
      </c>
      <c r="D74" s="3" t="str">
        <f>FIXED(VLOOKUP($A74,'Full Sample-Townhouse'!$A:$R,D$1,0),2)</f>
        <v>0.19</v>
      </c>
      <c r="E74" s="3" t="str">
        <f>FIXED(VLOOKUP($A74,'Full Sample-Townhouse'!$A:$R,E$1,0),2)</f>
        <v>0.01</v>
      </c>
      <c r="F74" s="3" t="str">
        <f>FIXED(VLOOKUP($A74,'Full Sample-Townhouse'!$A:$R,F$1,0),2)</f>
        <v>1.00</v>
      </c>
      <c r="G74" s="9" t="str">
        <f>FIXED(VLOOKUP($A74,'Full Sample-Townhouse'!$A:$R,G$1,0),2)</f>
        <v>0.44</v>
      </c>
      <c r="H74" s="3" t="str">
        <f>FIXED(VLOOKUP($A74,'Full Sample-Townhouse'!$A:$R,H$1,0),2)</f>
        <v>0.20</v>
      </c>
      <c r="I74" s="3" t="str">
        <f>FIXED(VLOOKUP($A74,'Full Sample-Townhouse'!$A:$R,I$1,0),2)</f>
        <v>0.01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0.45</v>
      </c>
      <c r="P74" s="3" t="str">
        <f>FIXED(VLOOKUP($A74,'Small Sample 1-Townhouse'!$A:$R,P$1,0),2)</f>
        <v>0.20</v>
      </c>
      <c r="Q74" s="3" t="str">
        <f>FIXED(VLOOKUP($A74,'Small Sample 1-Townhouse'!$A:$R,Q$1,0),2)</f>
        <v>0.01</v>
      </c>
      <c r="R74" s="3" t="str">
        <f>FIXED(VLOOKUP($A74,'Small Sample 1-Townhouse'!$A:$R,R$1,0),2)</f>
        <v>1.00</v>
      </c>
      <c r="S74" s="9" t="str">
        <f>FIXED(VLOOKUP($A74,'Small Sample 1-Townhouse'!$A:$R,S$1,0),2)</f>
        <v>0.45</v>
      </c>
      <c r="T74" s="3" t="str">
        <f>FIXED(VLOOKUP($A74,'Small Sample 1-Townhouse'!$A:$R,T$1,0),2)</f>
        <v>0.20</v>
      </c>
      <c r="U74" s="3" t="str">
        <f>FIXED(VLOOKUP($A74,'Small Sample 1-Townhouse'!$A:$R,U$1,0),2)</f>
        <v>0.01</v>
      </c>
      <c r="V74" s="13" t="str">
        <f>FIXED(VLOOKUP($A74,'Small Sample 1-Townhouse'!$A:$R,V$1,0),2)</f>
        <v>1.00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0.45</v>
      </c>
      <c r="AB74" s="3" t="str">
        <f>FIXED(VLOOKUP($A74,'Small Sample 2-Townhouse'!$A:$R,AB$1,0),2)</f>
        <v>0.20</v>
      </c>
      <c r="AC74" s="3" t="str">
        <f>FIXED(VLOOKUP($A74,'Small Sample 2-Townhouse'!$A:$R,AC$1,0),2)</f>
        <v>0.01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0.44</v>
      </c>
      <c r="AF74" s="3" t="str">
        <f>FIXED(VLOOKUP($A74,'Small Sample 2-Townhouse'!$A:$R,AF$1,0),2)</f>
        <v>0.20</v>
      </c>
      <c r="AG74" s="3" t="str">
        <f>FIXED(VLOOKUP($A74,'Small Sample 2-Townhouse'!$A:$R,AG$1,0),2)</f>
        <v>0.01</v>
      </c>
      <c r="AH74" s="13" t="str">
        <f>FIXED(VLOOKUP($A74,'Small Sample 2-Townhouse'!$A:$R,AH$1,0),2)</f>
        <v>1.00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0.09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0.09</v>
      </c>
      <c r="I75" s="3" t="str">
        <f>FIXED(VLOOKUP($A75,'Full Sample-Townhouse'!$A:$R,I$1,0),2)</f>
        <v>0.00</v>
      </c>
      <c r="J75" s="13" t="str">
        <f>FIXED(VLOOKUP($A75,'Full Sample-Townhouse'!$A:$R,J$1,0),2)</f>
        <v>0.64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1-Townhouse'!$A:$R,O$1,0),2)</f>
        <v>0.06</v>
      </c>
      <c r="P75" s="3" t="str">
        <f>FIXED(VLOOKUP($A75,'Small Sample 1-Townhouse'!$A:$R,P$1,0),2)</f>
        <v>0.09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0.06</v>
      </c>
      <c r="T75" s="3" t="str">
        <f>FIXED(VLOOKUP($A75,'Small Sample 1-Townhouse'!$A:$R,T$1,0),2)</f>
        <v>0.08</v>
      </c>
      <c r="U75" s="3" t="str">
        <f>FIXED(VLOOKUP($A75,'Small Sample 1-Townhouse'!$A:$R,U$1,0),2)</f>
        <v>0.00</v>
      </c>
      <c r="V75" s="13" t="str">
        <f>FIXED(VLOOKUP($A75,'Small Sample 1-Townhouse'!$A:$R,V$1,0),2)</f>
        <v>0.64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0.09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0.06</v>
      </c>
      <c r="AF75" s="3" t="str">
        <f>FIXED(VLOOKUP($A75,'Small Sample 2-Townhouse'!$A:$R,AF$1,0),2)</f>
        <v>0.09</v>
      </c>
      <c r="AG75" s="3" t="str">
        <f>FIXED(VLOOKUP($A75,'Small Sample 2-Townhouse'!$A:$R,AG$1,0),2)</f>
        <v>0.00</v>
      </c>
      <c r="AH75" s="13" t="str">
        <f>FIXED(VLOOKUP($A75,'Small Sample 2-Townhouse'!$A:$R,AH$1,0),2)</f>
        <v>0.64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0.83</v>
      </c>
      <c r="D76" s="3" t="str">
        <f>FIXED(VLOOKUP($A76,'Full Sample-Townhouse'!$A:$R,D$1,0),2)</f>
        <v>0.20</v>
      </c>
      <c r="E76" s="3" t="str">
        <f>FIXED(VLOOKUP($A76,'Full Sample-Townhouse'!$A:$R,E$1,0),2)</f>
        <v>0.11</v>
      </c>
      <c r="F76" s="3" t="str">
        <f>FIXED(VLOOKUP($A76,'Full Sample-Townhouse'!$A:$R,F$1,0),2)</f>
        <v>1.00</v>
      </c>
      <c r="G76" s="9" t="str">
        <f>FIXED(VLOOKUP($A76,'Full Sample-Townhouse'!$A:$R,G$1,0),2)</f>
        <v>0.84</v>
      </c>
      <c r="H76" s="3" t="str">
        <f>FIXED(VLOOKUP($A76,'Full Sample-Townhouse'!$A:$R,H$1,0),2)</f>
        <v>0.20</v>
      </c>
      <c r="I76" s="3" t="str">
        <f>FIXED(VLOOKUP($A76,'Full Sample-Townhouse'!$A:$R,I$1,0),2)</f>
        <v>0.11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1-Townhouse'!$A:$R,O$1,0),2)</f>
        <v>0.83</v>
      </c>
      <c r="P76" s="3" t="str">
        <f>FIXED(VLOOKUP($A76,'Small Sample 1-Townhouse'!$A:$R,P$1,0),2)</f>
        <v>0.20</v>
      </c>
      <c r="Q76" s="3" t="str">
        <f>FIXED(VLOOKUP($A76,'Small Sample 1-Townhouse'!$A:$R,Q$1,0),2)</f>
        <v>0.11</v>
      </c>
      <c r="R76" s="3" t="str">
        <f>FIXED(VLOOKUP($A76,'Small Sample 1-Townhouse'!$A:$R,R$1,0),2)</f>
        <v>1.00</v>
      </c>
      <c r="S76" s="9" t="str">
        <f>FIXED(VLOOKUP($A76,'Small Sample 1-Townhouse'!$A:$R,S$1,0),2)</f>
        <v>0.83</v>
      </c>
      <c r="T76" s="3" t="str">
        <f>FIXED(VLOOKUP($A76,'Small Sample 1-Townhouse'!$A:$R,T$1,0),2)</f>
        <v>0.20</v>
      </c>
      <c r="U76" s="3" t="str">
        <f>FIXED(VLOOKUP($A76,'Small Sample 1-Townhouse'!$A:$R,U$1,0),2)</f>
        <v>0.11</v>
      </c>
      <c r="V76" s="13" t="str">
        <f>FIXED(VLOOKUP($A76,'Small Sample 1-Townhouse'!$A:$R,V$1,0),2)</f>
        <v>1.00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2-Townhouse'!$A:$R,AA$1,0),2)</f>
        <v>0.83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0.11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0.83</v>
      </c>
      <c r="AF76" s="3" t="str">
        <f>FIXED(VLOOKUP($A76,'Small Sample 2-Townhouse'!$A:$R,AF$1,0),2)</f>
        <v>0.20</v>
      </c>
      <c r="AG76" s="3" t="str">
        <f>FIXED(VLOOKUP($A76,'Small Sample 2-Townhouse'!$A:$R,AG$1,0),2)</f>
        <v>0.11</v>
      </c>
      <c r="AH76" s="13" t="str">
        <f>FIXED(VLOOKUP($A76,'Small Sample 2-Townhouse'!$A:$R,AH$1,0),2)</f>
        <v>1.00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0.17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0.89</v>
      </c>
      <c r="G77" s="9" t="str">
        <f>FIXED(VLOOKUP($A77,'Full Sample-Townhouse'!$A:$R,G$1,0),2)</f>
        <v>0.16</v>
      </c>
      <c r="H77" s="3" t="str">
        <f>FIXED(VLOOKUP($A77,'Full Sample-Townhouse'!$A:$R,H$1,0),2)</f>
        <v>0.20</v>
      </c>
      <c r="I77" s="3" t="str">
        <f>FIXED(VLOOKUP($A77,'Full Sample-Townhouse'!$A:$R,I$1,0),2)</f>
        <v>0.00</v>
      </c>
      <c r="J77" s="13" t="str">
        <f>FIXED(VLOOKUP($A77,'Full Sample-Townhouse'!$A:$R,J$1,0),2)</f>
        <v>0.89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1-Townhouse'!$A:$R,O$1,0),2)</f>
        <v>0.17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0.89</v>
      </c>
      <c r="S77" s="9" t="str">
        <f>FIXED(VLOOKUP($A77,'Small Sample 1-Townhouse'!$A:$R,S$1,0),2)</f>
        <v>0.17</v>
      </c>
      <c r="T77" s="3" t="str">
        <f>FIXED(VLOOKUP($A77,'Small Sample 1-Townhouse'!$A:$R,T$1,0),2)</f>
        <v>0.20</v>
      </c>
      <c r="U77" s="3" t="str">
        <f>FIXED(VLOOKUP($A77,'Small Sample 1-Townhouse'!$A:$R,U$1,0),2)</f>
        <v>0.00</v>
      </c>
      <c r="V77" s="13" t="str">
        <f>FIXED(VLOOKUP($A77,'Small Sample 1-Townhouse'!$A:$R,V$1,0),2)</f>
        <v>0.89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2-Townhouse'!$A:$R,AA$1,0),2)</f>
        <v>0.17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0.89</v>
      </c>
      <c r="AE77" s="9" t="str">
        <f>FIXED(VLOOKUP($A77,'Small Sample 2-Townhouse'!$A:$R,AE$1,0),2)</f>
        <v>0.17</v>
      </c>
      <c r="AF77" s="3" t="str">
        <f>FIXED(VLOOKUP($A77,'Small Sample 2-Townhouse'!$A:$R,AF$1,0),2)</f>
        <v>0.20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0.89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0.58</v>
      </c>
      <c r="D78" s="3" t="str">
        <f>FIXED(VLOOKUP($A78,'Full Sample-Townhouse'!$A:$R,D$1,0),2)</f>
        <v>0.19</v>
      </c>
      <c r="E78" s="3" t="str">
        <f>FIXED(VLOOKUP($A78,'Full Sample-Townhouse'!$A:$R,E$1,0),2)</f>
        <v>0.03</v>
      </c>
      <c r="F78" s="3" t="str">
        <f>FIXED(VLOOKUP($A78,'Full Sample-Townhouse'!$A:$R,F$1,0),2)</f>
        <v>0.99</v>
      </c>
      <c r="G78" s="9" t="str">
        <f>FIXED(VLOOKUP($A78,'Full Sample-Townhouse'!$A:$R,G$1,0),2)</f>
        <v>0.59</v>
      </c>
      <c r="H78" s="3" t="str">
        <f>FIXED(VLOOKUP($A78,'Full Sample-Townhouse'!$A:$R,H$1,0),2)</f>
        <v>0.19</v>
      </c>
      <c r="I78" s="3" t="str">
        <f>FIXED(VLOOKUP($A78,'Full Sample-Townhouse'!$A:$R,I$1,0),2)</f>
        <v>0.03</v>
      </c>
      <c r="J78" s="13" t="str">
        <f>FIXED(VLOOKUP($A78,'Full Sample-Townhouse'!$A:$R,J$1,0),2)</f>
        <v>0.99</v>
      </c>
      <c r="K78" s="9" t="str">
        <f>FIXED(VLOOKUP($A78,'Full Sample-Townhouse'!$A:$R,K$1,0),2)</f>
        <v>0.58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0.58</v>
      </c>
      <c r="P78" s="3" t="str">
        <f>FIXED(VLOOKUP($A78,'Small Sample 1-Townhouse'!$A:$R,P$1,0),2)</f>
        <v>0.19</v>
      </c>
      <c r="Q78" s="3" t="str">
        <f>FIXED(VLOOKUP($A78,'Small Sample 1-Townhouse'!$A:$R,Q$1,0),2)</f>
        <v>0.03</v>
      </c>
      <c r="R78" s="3" t="str">
        <f>FIXED(VLOOKUP($A78,'Small Sample 1-Townhouse'!$A:$R,R$1,0),2)</f>
        <v>0.99</v>
      </c>
      <c r="S78" s="9" t="str">
        <f>FIXED(VLOOKUP($A78,'Small Sample 1-Townhouse'!$A:$R,S$1,0),2)</f>
        <v>0.58</v>
      </c>
      <c r="T78" s="3" t="str">
        <f>FIXED(VLOOKUP($A78,'Small Sample 1-Townhouse'!$A:$R,T$1,0),2)</f>
        <v>0.19</v>
      </c>
      <c r="U78" s="3" t="str">
        <f>FIXED(VLOOKUP($A78,'Small Sample 1-Townhouse'!$A:$R,U$1,0),2)</f>
        <v>0.06</v>
      </c>
      <c r="V78" s="13" t="str">
        <f>FIXED(VLOOKUP($A78,'Small Sample 1-Townhouse'!$A:$R,V$1,0),2)</f>
        <v>0.99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0.58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0.03</v>
      </c>
      <c r="AD78" s="3" t="str">
        <f>FIXED(VLOOKUP($A78,'Small Sample 2-Townhouse'!$A:$R,AD$1,0),2)</f>
        <v>0.99</v>
      </c>
      <c r="AE78" s="9" t="str">
        <f>FIXED(VLOOKUP($A78,'Small Sample 2-Townhouse'!$A:$R,AE$1,0),2)</f>
        <v>0.58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0.03</v>
      </c>
      <c r="AH78" s="13" t="str">
        <f>FIXED(VLOOKUP($A78,'Small Sample 2-Townhouse'!$A:$R,AH$1,0),2)</f>
        <v>0.99</v>
      </c>
      <c r="AI78" s="9" t="str">
        <f>FIXED(VLOOKUP($A78,'Small Sample 2-Townhouse'!$A:$R,AI$1,0),2)</f>
        <v>0.57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0.42</v>
      </c>
      <c r="D79" s="3" t="str">
        <f>FIXED(VLOOKUP($A79,'Full Sample-Townhouse'!$A:$R,D$1,0),2)</f>
        <v>0.19</v>
      </c>
      <c r="E79" s="3" t="str">
        <f>FIXED(VLOOKUP($A79,'Full Sample-Townhouse'!$A:$R,E$1,0),2)</f>
        <v>0.02</v>
      </c>
      <c r="F79" s="3" t="str">
        <f>FIXED(VLOOKUP($A79,'Full Sample-Townhouse'!$A:$R,F$1,0),2)</f>
        <v>0.97</v>
      </c>
      <c r="G79" s="9" t="str">
        <f>FIXED(VLOOKUP($A79,'Full Sample-Townhouse'!$A:$R,G$1,0),2)</f>
        <v>0.41</v>
      </c>
      <c r="H79" s="3" t="str">
        <f>FIXED(VLOOKUP($A79,'Full Sample-Townhouse'!$A:$R,H$1,0),2)</f>
        <v>0.19</v>
      </c>
      <c r="I79" s="3" t="str">
        <f>FIXED(VLOOKUP($A79,'Full Sample-Townhouse'!$A:$R,I$1,0),2)</f>
        <v>0.02</v>
      </c>
      <c r="J79" s="13" t="str">
        <f>FIXED(VLOOKUP($A79,'Full Sample-Townhouse'!$A:$R,J$1,0),2)</f>
        <v>0.97</v>
      </c>
      <c r="K79" s="9" t="str">
        <f>FIXED(VLOOKUP($A79,'Full Sample-Townhouse'!$A:$R,K$1,0),2)</f>
        <v>0.42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0.42</v>
      </c>
      <c r="P79" s="3" t="str">
        <f>FIXED(VLOOKUP($A79,'Small Sample 1-Townhouse'!$A:$R,P$1,0),2)</f>
        <v>0.19</v>
      </c>
      <c r="Q79" s="3" t="str">
        <f>FIXED(VLOOKUP($A79,'Small Sample 1-Townhouse'!$A:$R,Q$1,0),2)</f>
        <v>0.02</v>
      </c>
      <c r="R79" s="3" t="str">
        <f>FIXED(VLOOKUP($A79,'Small Sample 1-Townhouse'!$A:$R,R$1,0),2)</f>
        <v>0.97</v>
      </c>
      <c r="S79" s="9" t="str">
        <f>FIXED(VLOOKUP($A79,'Small Sample 1-Townhouse'!$A:$R,S$1,0),2)</f>
        <v>0.42</v>
      </c>
      <c r="T79" s="3" t="str">
        <f>FIXED(VLOOKUP($A79,'Small Sample 1-Townhouse'!$A:$R,T$1,0),2)</f>
        <v>0.19</v>
      </c>
      <c r="U79" s="3" t="str">
        <f>FIXED(VLOOKUP($A79,'Small Sample 1-Townhouse'!$A:$R,U$1,0),2)</f>
        <v>0.02</v>
      </c>
      <c r="V79" s="13" t="str">
        <f>FIXED(VLOOKUP($A79,'Small Sample 1-Townhouse'!$A:$R,V$1,0),2)</f>
        <v>0.94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0.42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0.02</v>
      </c>
      <c r="AD79" s="3" t="str">
        <f>FIXED(VLOOKUP($A79,'Small Sample 2-Townhouse'!$A:$R,AD$1,0),2)</f>
        <v>0.97</v>
      </c>
      <c r="AE79" s="9" t="str">
        <f>FIXED(VLOOKUP($A79,'Small Sample 2-Townhouse'!$A:$R,AE$1,0),2)</f>
        <v>0.42</v>
      </c>
      <c r="AF79" s="3" t="str">
        <f>FIXED(VLOOKUP($A79,'Small Sample 2-Townhouse'!$A:$R,AF$1,0),2)</f>
        <v>0.19</v>
      </c>
      <c r="AG79" s="3" t="str">
        <f>FIXED(VLOOKUP($A79,'Small Sample 2-Townhouse'!$A:$R,AG$1,0),2)</f>
        <v>0.02</v>
      </c>
      <c r="AH79" s="13" t="str">
        <f>FIXED(VLOOKUP($A79,'Small Sample 2-Townhouse'!$A:$R,AH$1,0),2)</f>
        <v>0.97</v>
      </c>
      <c r="AI79" s="9" t="str">
        <f>FIXED(VLOOKUP($A79,'Small Sample 2-Townhouse'!$A:$R,AI$1,0),2)</f>
        <v>0.43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47">
        <f>'Full Sample-Townhouse'!B3</f>
        <v>27632</v>
      </c>
      <c r="D81" s="48"/>
      <c r="E81" s="48"/>
      <c r="F81" s="48"/>
      <c r="G81" s="47">
        <f>'Full Sample-Townhouse'!H3</f>
        <v>16018</v>
      </c>
      <c r="H81" s="48"/>
      <c r="I81" s="48"/>
      <c r="J81" s="49"/>
      <c r="K81" s="47">
        <f>'Full Sample-Townhouse'!N3</f>
        <v>11614</v>
      </c>
      <c r="L81" s="48"/>
      <c r="M81" s="48"/>
      <c r="N81" s="49"/>
      <c r="O81" s="47">
        <f>'Small Sample 1-Townhouse'!B3</f>
        <v>23504</v>
      </c>
      <c r="P81" s="48"/>
      <c r="Q81" s="48"/>
      <c r="R81" s="48"/>
      <c r="S81" s="47">
        <f>'Small Sample 1-Townhouse'!H3</f>
        <v>12262</v>
      </c>
      <c r="T81" s="48"/>
      <c r="U81" s="48"/>
      <c r="V81" s="49"/>
      <c r="W81" s="47">
        <f>'Small Sample 1-Townhouse'!N3</f>
        <v>11242</v>
      </c>
      <c r="X81" s="48"/>
      <c r="Y81" s="48"/>
      <c r="Z81" s="48"/>
      <c r="AA81" s="47">
        <f>'Small Sample 2-Townhouse'!B3</f>
        <v>23513</v>
      </c>
      <c r="AB81" s="48"/>
      <c r="AC81" s="48"/>
      <c r="AD81" s="48"/>
      <c r="AE81" s="47">
        <f>'Small Sample 2-Townhouse'!H3</f>
        <v>14899</v>
      </c>
      <c r="AF81" s="48"/>
      <c r="AG81" s="48"/>
      <c r="AH81" s="49"/>
      <c r="AI81" s="47">
        <f>'Small Sample 2-Townhouse'!N3</f>
        <v>8614</v>
      </c>
      <c r="AJ81" s="48"/>
      <c r="AK81" s="48"/>
      <c r="AL81" s="48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25.98</v>
      </c>
      <c r="D85" s="3" t="str">
        <f>FIXED(VLOOKUP($A85,'Full Sample-Townhouse'!$A:$R,D$1,0),2)</f>
        <v>95.88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21.90</v>
      </c>
      <c r="H85" s="3" t="str">
        <f>FIXED(VLOOKUP($A85,'Full Sample-Townhouse'!$A:$R,H$1,0),2)</f>
        <v>88.03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31.61</v>
      </c>
      <c r="L85" s="3" t="str">
        <f>FIXED(VLOOKUP($A85,'Full Sample-Townhouse'!$A:$R,L$1,0),2)</f>
        <v>105.52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24.77</v>
      </c>
      <c r="P85" s="3" t="str">
        <f>FIXED(VLOOKUP($A85,'Small Sample 1-Townhouse'!$A:$R,P$1,0),2)</f>
        <v>93.80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19.17</v>
      </c>
      <c r="T85" s="3" t="str">
        <f>FIXED(VLOOKUP($A85,'Small Sample 1-Townhouse'!$A:$R,T$1,0),2)</f>
        <v>82.55</v>
      </c>
      <c r="U85" s="3" t="str">
        <f>FIXED(VLOOKUP($A85,'Small Sample 1-Townhouse'!$A:$R,U$1,0),2)</f>
        <v>0.00</v>
      </c>
      <c r="V85" s="3" t="str">
        <f>FIXED(VLOOKUP($A85,'Small Sample 1-Townhouse'!$A:$R,V$1,0),2)</f>
        <v>942.00</v>
      </c>
      <c r="W85" s="3" t="str">
        <f>FIXED(VLOOKUP($A85,'Small Sample 1-Townhouse'!$A:$R,W$1,0),2)</f>
        <v>30.88</v>
      </c>
      <c r="X85" s="3" t="str">
        <f>FIXED(VLOOKUP($A85,'Small Sample 1-Townhouse'!$A:$R,X$1,0),2)</f>
        <v>104.37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21.77</v>
      </c>
      <c r="AB85" s="3" t="str">
        <f>FIXED(VLOOKUP($A85,'Small Sample 2-Townhouse'!$A:$R,AB$1,0),2)</f>
        <v>87.96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19.73</v>
      </c>
      <c r="AF85" s="3" t="str">
        <f>FIXED(VLOOKUP($A85,'Small Sample 2-Townhouse'!$A:$R,AF$1,0),2)</f>
        <v>83.57</v>
      </c>
      <c r="AG85" s="3" t="str">
        <f>FIXED(VLOOKUP($A85,'Small Sample 2-Townhouse'!$A:$R,AG$1,0),2)</f>
        <v>0.00</v>
      </c>
      <c r="AH85" s="3" t="str">
        <f>FIXED(VLOOKUP($A85,'Small Sample 2-Townhouse'!$A:$R,AH$1,0),2)</f>
        <v>942.00</v>
      </c>
      <c r="AI85" s="3" t="str">
        <f>FIXED(VLOOKUP($A85,'Small Sample 2-Townhouse'!$A:$R,AI$1,0),2)</f>
        <v>25.31</v>
      </c>
      <c r="AJ85" s="3" t="str">
        <f>FIXED(VLOOKUP($A85,'Small Sample 2-Townhouse'!$A:$R,AJ$1,0),2)</f>
        <v>94.98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0.01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0.01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0.01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0.00</v>
      </c>
      <c r="T86" s="3" t="str">
        <f>FIXED(VLOOKUP($A86,'Small Sample 1-Townhouse'!$A:$R,T$1,0),2)</f>
        <v>0.01</v>
      </c>
      <c r="U86" s="3" t="str">
        <f>FIXED(VLOOKUP($A86,'Small Sample 1-Townhouse'!$A:$R,U$1,0),2)</f>
        <v>0.00</v>
      </c>
      <c r="V86" s="3" t="str">
        <f>FIXED(VLOOKUP($A86,'Small Sample 1-Townhouse'!$A:$R,V$1,0),2)</f>
        <v>1.00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0.01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0.01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0.00</v>
      </c>
      <c r="AF86" s="3" t="str">
        <f>FIXED(VLOOKUP($A86,'Small Sample 2-Townhouse'!$A:$R,AF$1,0),2)</f>
        <v>0.01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1.00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1.43</v>
      </c>
      <c r="D87" s="3" t="str">
        <f>FIXED(VLOOKUP($A87,'Full Sample-Townhouse'!$A:$R,D$1,0),2)</f>
        <v>4.02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1.35</v>
      </c>
      <c r="H87" s="3" t="str">
        <f>FIXED(VLOOKUP($A87,'Full Sample-Townhouse'!$A:$R,H$1,0),2)</f>
        <v>3.83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4.25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1.46</v>
      </c>
      <c r="P87" s="3" t="str">
        <f>FIXED(VLOOKUP($A87,'Small Sample 1-Townhouse'!$A:$R,P$1,0),2)</f>
        <v>4.04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1.38</v>
      </c>
      <c r="T87" s="3" t="str">
        <f>FIXED(VLOOKUP($A87,'Small Sample 1-Townhouse'!$A:$R,T$1,0),2)</f>
        <v>3.83</v>
      </c>
      <c r="U87" s="3" t="str">
        <f>FIXED(VLOOKUP($A87,'Small Sample 1-Townhouse'!$A:$R,U$1,0),2)</f>
        <v>0.00</v>
      </c>
      <c r="V87" s="3" t="str">
        <f>FIXED(VLOOKUP($A87,'Small Sample 1-Townhouse'!$A:$R,V$1,0),2)</f>
        <v>57.00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1.43</v>
      </c>
      <c r="AB87" s="3" t="str">
        <f>FIXED(VLOOKUP($A87,'Small Sample 2-Townhouse'!$A:$R,AB$1,0),2)</f>
        <v>4.06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1.37</v>
      </c>
      <c r="AF87" s="3" t="str">
        <f>FIXED(VLOOKUP($A87,'Small Sample 2-Townhouse'!$A:$R,AF$1,0),2)</f>
        <v>3.87</v>
      </c>
      <c r="AG87" s="3" t="str">
        <f>FIXED(VLOOKUP($A87,'Small Sample 2-Townhouse'!$A:$R,AG$1,0),2)</f>
        <v>0.00</v>
      </c>
      <c r="AH87" s="3" t="str">
        <f>FIXED(VLOOKUP($A87,'Small Sample 2-Townhouse'!$A:$R,AH$1,0),2)</f>
        <v>57.00</v>
      </c>
      <c r="AI87" s="3" t="str">
        <f>FIXED(VLOOKUP($A87,'Small Sample 2-Townhouse'!$A:$R,AI$1,0),2)</f>
        <v>1.52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4.94</v>
      </c>
      <c r="D88" s="3" t="str">
        <f>FIXED(VLOOKUP($A88,'Full Sample-Townhouse'!$A:$R,D$1,0),2)</f>
        <v>6.89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4.90</v>
      </c>
      <c r="H88" s="3" t="str">
        <f>FIXED(VLOOKUP($A88,'Full Sample-Townhouse'!$A:$R,H$1,0),2)</f>
        <v>6.81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6.99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4.77</v>
      </c>
      <c r="P88" s="3" t="str">
        <f>FIXED(VLOOKUP($A88,'Small Sample 1-Townhouse'!$A:$R,P$1,0),2)</f>
        <v>6.77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4.61</v>
      </c>
      <c r="T88" s="3" t="str">
        <f>FIXED(VLOOKUP($A88,'Small Sample 1-Townhouse'!$A:$R,T$1,0),2)</f>
        <v>6.59</v>
      </c>
      <c r="U88" s="3" t="str">
        <f>FIXED(VLOOKUP($A88,'Small Sample 1-Townhouse'!$A:$R,U$1,0),2)</f>
        <v>0.01</v>
      </c>
      <c r="V88" s="3" t="str">
        <f>FIXED(VLOOKUP($A88,'Small Sample 1-Townhouse'!$A:$R,V$1,0),2)</f>
        <v>52.78</v>
      </c>
      <c r="W88" s="3" t="str">
        <f>FIXED(VLOOKUP($A88,'Small Sample 1-Townhouse'!$A:$R,W$1,0),2)</f>
        <v>4.95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4.77</v>
      </c>
      <c r="AB88" s="3" t="str">
        <f>FIXED(VLOOKUP($A88,'Small Sample 2-Townhouse'!$A:$R,AB$1,0),2)</f>
        <v>6.77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4.83</v>
      </c>
      <c r="AF88" s="3" t="str">
        <f>FIXED(VLOOKUP($A88,'Small Sample 2-Townhouse'!$A:$R,AF$1,0),2)</f>
        <v>6.78</v>
      </c>
      <c r="AG88" s="3" t="str">
        <f>FIXED(VLOOKUP($A88,'Small Sample 2-Townhouse'!$A:$R,AG$1,0),2)</f>
        <v>0.01</v>
      </c>
      <c r="AH88" s="3" t="str">
        <f>FIXED(VLOOKUP($A88,'Small Sample 2-Townhouse'!$A:$R,AH$1,0),2)</f>
        <v>52.78</v>
      </c>
      <c r="AI88" s="3" t="str">
        <f>FIXED(VLOOKUP($A88,'Small Sample 2-Townhouse'!$A:$R,AI$1,0),2)</f>
        <v>4.67</v>
      </c>
      <c r="AJ88" s="3" t="str">
        <f>FIXED(VLOOKUP($A88,'Small Sample 2-Townhouse'!$A:$R,AJ$1,0),2)</f>
        <v>6.77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311.73</v>
      </c>
      <c r="D89" s="3" t="str">
        <f>FIXED(VLOOKUP($A89,'Full Sample-Townhouse'!$A:$R,D$1,0),2)</f>
        <v>571.62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311.73</v>
      </c>
      <c r="L89" s="3" t="str">
        <f>FIXED(VLOOKUP($A89,'Full Sample-Townhouse'!$A:$R,L$1,0),2)</f>
        <v>571.62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316.54</v>
      </c>
      <c r="P89" s="3" t="str">
        <f>FIXED(VLOOKUP($A89,'Small Sample 1-Townhouse'!$A:$R,P$1,0),2)</f>
        <v>574.31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0.00</v>
      </c>
      <c r="T89" s="3" t="str">
        <f>FIXED(VLOOKUP($A89,'Small Sample 1-Townhouse'!$A:$R,T$1,0),2)</f>
        <v>0.00</v>
      </c>
      <c r="U89" s="3" t="str">
        <f>FIXED(VLOOKUP($A89,'Small Sample 1-Townhouse'!$A:$R,U$1,0),2)</f>
        <v>0.00</v>
      </c>
      <c r="V89" s="3" t="str">
        <f>FIXED(VLOOKUP($A89,'Small Sample 1-Townhouse'!$A:$R,V$1,0),2)</f>
        <v>0.00</v>
      </c>
      <c r="W89" s="3" t="str">
        <f>FIXED(VLOOKUP($A89,'Small Sample 1-Townhouse'!$A:$R,W$1,0),2)</f>
        <v>316.54</v>
      </c>
      <c r="X89" s="3" t="str">
        <f>FIXED(VLOOKUP($A89,'Small Sample 1-Townhouse'!$A:$R,X$1,0),2)</f>
        <v>574.31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305.15</v>
      </c>
      <c r="AB89" s="3" t="str">
        <f>FIXED(VLOOKUP($A89,'Small Sample 2-Townhouse'!$A:$R,AB$1,0),2)</f>
        <v>566.29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0.00</v>
      </c>
      <c r="AF89" s="3" t="str">
        <f>FIXED(VLOOKUP($A89,'Small Sample 2-Townhouse'!$A:$R,AF$1,0),2)</f>
        <v>0.00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0.00</v>
      </c>
      <c r="AI89" s="3" t="str">
        <f>FIXED(VLOOKUP($A89,'Small Sample 2-Townhouse'!$A:$R,AI$1,0),2)</f>
        <v>305.15</v>
      </c>
      <c r="AJ89" s="3" t="str">
        <f>FIXED(VLOOKUP($A89,'Small Sample 2-Townhouse'!$A:$R,AJ$1,0),2)</f>
        <v>566.29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1.00</v>
      </c>
      <c r="T91" s="3" t="str">
        <f>FIXED(VLOOKUP($A91,'Small Sample 1-Townhouse'!$A:$R,T$1,0),2)</f>
        <v>0.00</v>
      </c>
      <c r="U91" s="3" t="str">
        <f>FIXED(VLOOKUP($A91,'Small Sample 1-Townhouse'!$A:$R,U$1,0),2)</f>
        <v>1.00</v>
      </c>
      <c r="V91" s="3" t="str">
        <f>FIXED(VLOOKUP($A91,'Small Sample 1-Townhouse'!$A:$R,V$1,0),2)</f>
        <v>1.00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1.00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1.00</v>
      </c>
      <c r="AH91" s="3" t="str">
        <f>FIXED(VLOOKUP($A91,'Small Sample 2-Townhouse'!$A:$R,AH$1,0),2)</f>
        <v>1.00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0.00</v>
      </c>
      <c r="T92" s="3" t="str">
        <f>FIXED(VLOOKUP($A92,'Small Sample 1-Townhouse'!$A:$R,T$1,0),2)</f>
        <v>0.00</v>
      </c>
      <c r="U92" s="3" t="str">
        <f>FIXED(VLOOKUP($A92,'Small Sample 1-Townhouse'!$A:$R,U$1,0),2)</f>
        <v>0.00</v>
      </c>
      <c r="V92" s="3" t="str">
        <f>FIXED(VLOOKUP($A92,'Small Sample 1-Townhouse'!$A:$R,V$1,0),2)</f>
        <v>0.00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0.00</v>
      </c>
      <c r="AF92" s="3" t="str">
        <f>FIXED(VLOOKUP($A92,'Small Sample 2-Townhouse'!$A:$R,AF$1,0),2)</f>
        <v>0.00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0.00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51" t="s">
        <v>188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40" ht="23.25" x14ac:dyDescent="0.35">
      <c r="A3" s="51" t="s">
        <v>189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40" x14ac:dyDescent="0.25">
      <c r="C4" s="40" t="s">
        <v>92</v>
      </c>
      <c r="D4" s="41"/>
      <c r="E4" s="41"/>
      <c r="F4" s="41"/>
      <c r="G4" s="41"/>
      <c r="H4" s="41"/>
      <c r="I4" s="41"/>
      <c r="J4" s="41"/>
      <c r="K4" s="41"/>
      <c r="L4" s="41"/>
      <c r="M4" s="10"/>
      <c r="N4" s="11"/>
      <c r="O4" s="40" t="s">
        <v>307</v>
      </c>
      <c r="P4" s="41"/>
      <c r="Q4" s="41"/>
      <c r="R4" s="41"/>
      <c r="S4" s="41"/>
      <c r="T4" s="41"/>
      <c r="U4" s="41"/>
      <c r="V4" s="41"/>
      <c r="W4" s="41"/>
      <c r="X4" s="41"/>
      <c r="AA4" s="40" t="s">
        <v>306</v>
      </c>
      <c r="AB4" s="41"/>
      <c r="AC4" s="41"/>
      <c r="AD4" s="41"/>
      <c r="AE4" s="41"/>
      <c r="AF4" s="41"/>
      <c r="AG4" s="41"/>
      <c r="AH4" s="41"/>
      <c r="AI4" s="41"/>
      <c r="AJ4" s="41"/>
    </row>
    <row r="5" spans="1:40" ht="30.75" customHeight="1" x14ac:dyDescent="0.25">
      <c r="A5" s="5"/>
      <c r="B5" s="5"/>
      <c r="C5" s="42" t="s">
        <v>92</v>
      </c>
      <c r="D5" s="43"/>
      <c r="E5" s="43"/>
      <c r="F5" s="43"/>
      <c r="G5" s="44" t="s">
        <v>94</v>
      </c>
      <c r="H5" s="45"/>
      <c r="I5" s="45"/>
      <c r="J5" s="46"/>
      <c r="K5" s="42" t="s">
        <v>93</v>
      </c>
      <c r="L5" s="43"/>
      <c r="M5" s="43"/>
      <c r="N5" s="50"/>
      <c r="O5" s="42" t="s">
        <v>92</v>
      </c>
      <c r="P5" s="43"/>
      <c r="Q5" s="43"/>
      <c r="R5" s="43"/>
      <c r="S5" s="44" t="s">
        <v>94</v>
      </c>
      <c r="T5" s="45"/>
      <c r="U5" s="45"/>
      <c r="V5" s="46"/>
      <c r="W5" s="42" t="s">
        <v>93</v>
      </c>
      <c r="X5" s="43"/>
      <c r="Y5" s="43"/>
      <c r="Z5" s="43"/>
      <c r="AA5" s="42" t="s">
        <v>92</v>
      </c>
      <c r="AB5" s="43"/>
      <c r="AC5" s="43"/>
      <c r="AD5" s="43"/>
      <c r="AE5" s="44" t="s">
        <v>94</v>
      </c>
      <c r="AF5" s="45"/>
      <c r="AG5" s="45"/>
      <c r="AH5" s="46"/>
      <c r="AI5" s="42" t="s">
        <v>93</v>
      </c>
      <c r="AJ5" s="43"/>
      <c r="AK5" s="43"/>
      <c r="AL5" s="43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1,265,700.00</v>
      </c>
      <c r="D7" s="3" t="str">
        <f>FIXED(VLOOKUP($A7,'Full Sample-Single Family'!$A:$R,D$1,0),2)</f>
        <v>1,031,113.00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1,188,475.00</v>
      </c>
      <c r="H7" s="3" t="str">
        <f>FIXED(VLOOKUP($A7,'Full Sample-Single Family'!$A:$R,H$1,0),2)</f>
        <v>975,934.10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1,371,229.00</v>
      </c>
      <c r="L7" s="3" t="str">
        <f>FIXED(VLOOKUP($A7,'Full Sample-Single Family'!$A:$R,L$1,0),2)</f>
        <v>1,093,323.00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1,291,549.00</v>
      </c>
      <c r="P7" s="3" t="str">
        <f>FIXED(VLOOKUP($A7,'Small Sample 1-Single Family'!$A:$R,P$1,0),2)</f>
        <v>1,055,709.00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1,215,053.00</v>
      </c>
      <c r="T7" s="3" t="str">
        <f>FIXED(VLOOKUP($A7,'Small Sample 1-Single Family'!$A:$R,T$1,0),2)</f>
        <v>1,006,619.00</v>
      </c>
      <c r="U7" s="3" t="str">
        <f>FIXED(VLOOKUP($A7,'Small Sample 1-Single Family'!$A:$R,U$1,0),2)</f>
        <v>168,375.10</v>
      </c>
      <c r="V7" s="13" t="str">
        <f>FIXED(VLOOKUP($A7,'Small Sample 1-Single Family'!$A:$R,V$1,0),2)</f>
        <v>23,293,838.00</v>
      </c>
      <c r="W7" s="9" t="str">
        <f>FIXED(VLOOKUP($A7,'Small Sample 1-Single Family'!$A:$R,W$1,0),2)</f>
        <v>1,378,213.00</v>
      </c>
      <c r="X7" s="3" t="str">
        <f>FIXED(VLOOKUP($A7,'Small Sample 1-Single Family'!$A:$R,X$1,0),2)</f>
        <v>1,102,360.00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1,266,487.00</v>
      </c>
      <c r="AB7" s="3" t="str">
        <f>FIXED(VLOOKUP($A7,'Small Sample 2-Single Family'!$A:$R,AB$1,0),2)</f>
        <v>1,040,810.00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1,192,123.00</v>
      </c>
      <c r="AF7" s="3" t="str">
        <f>FIXED(VLOOKUP($A7,'Small Sample 2-Single Family'!$A:$R,AF$1,0),2)</f>
        <v>964,659.60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1,390,901.00</v>
      </c>
      <c r="AJ7" s="3" t="str">
        <f>FIXED(VLOOKUP($A7,'Small Sample 2-Single Family'!$A:$R,AJ$1,0),2)</f>
        <v>1,146,389.00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309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1,252,197.00</v>
      </c>
      <c r="D8" s="3" t="str">
        <f>FIXED(VLOOKUP($A8,'Full Sample-Single Family'!$A:$R,D$1,0),2)</f>
        <v>958,546.00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1,163,619.00</v>
      </c>
      <c r="H8" s="3" t="str">
        <f>FIXED(VLOOKUP($A8,'Full Sample-Single Family'!$A:$R,H$1,0),2)</f>
        <v>898,645.50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1,373,239.00</v>
      </c>
      <c r="L8" s="3" t="str">
        <f>FIXED(VLOOKUP($A8,'Full Sample-Single Family'!$A:$R,L$1,0),2)</f>
        <v>1,022,523.00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1,279,360.00</v>
      </c>
      <c r="P8" s="3" t="str">
        <f>FIXED(VLOOKUP($A8,'Small Sample 1-Single Family'!$A:$R,P$1,0),2)</f>
        <v>981,225.30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1,189,751.00</v>
      </c>
      <c r="T8" s="3" t="str">
        <f>FIXED(VLOOKUP($A8,'Small Sample 1-Single Family'!$A:$R,T$1,0),2)</f>
        <v>926,722.50</v>
      </c>
      <c r="U8" s="3" t="str">
        <f>FIXED(VLOOKUP($A8,'Small Sample 1-Single Family'!$A:$R,U$1,0),2)</f>
        <v>180,401.90</v>
      </c>
      <c r="V8" s="13" t="str">
        <f>FIXED(VLOOKUP($A8,'Small Sample 1-Single Family'!$A:$R,V$1,0),2)</f>
        <v>21,058,570.00</v>
      </c>
      <c r="W8" s="9" t="str">
        <f>FIXED(VLOOKUP($A8,'Small Sample 1-Single Family'!$A:$R,W$1,0),2)</f>
        <v>1,380,878.00</v>
      </c>
      <c r="X8" s="3" t="str">
        <f>FIXED(VLOOKUP($A8,'Small Sample 1-Single Family'!$A:$R,X$1,0),2)</f>
        <v>1,030,200.00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1,250,026.00</v>
      </c>
      <c r="AB8" s="3" t="str">
        <f>FIXED(VLOOKUP($A8,'Small Sample 2-Single Family'!$A:$R,AB$1,0),2)</f>
        <v>961,708.60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1,166,712.00</v>
      </c>
      <c r="AF8" s="3" t="str">
        <f>FIXED(VLOOKUP($A8,'Small Sample 2-Single Family'!$A:$R,AF$1,0),2)</f>
        <v>883,541.30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1,389,411.00</v>
      </c>
      <c r="AJ8" s="3" t="str">
        <f>FIXED(VLOOKUP($A8,'Small Sample 2-Single Family'!$A:$R,AJ$1,0),2)</f>
        <v>1,065,499.00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10,872.10</v>
      </c>
      <c r="D9" s="3" t="str">
        <f>FIXED(VLOOKUP($A9,'Full Sample-Single Family'!$A:$R,D$1,0),2)</f>
        <v>121,175.90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20,419.64</v>
      </c>
      <c r="H9" s="3" t="str">
        <f>FIXED(VLOOKUP($A9,'Full Sample-Single Family'!$A:$R,H$1,0),2)</f>
        <v>94,698.16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-2,174.69</v>
      </c>
      <c r="L9" s="3" t="str">
        <f>FIXED(VLOOKUP($A9,'Full Sample-Single Family'!$A:$R,L$1,0),2)</f>
        <v>149,000.90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9,764.07</v>
      </c>
      <c r="P9" s="3" t="str">
        <f>FIXED(VLOOKUP($A9,'Small Sample 1-Single Family'!$A:$R,P$1,0),2)</f>
        <v>125,143.10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20,807.72</v>
      </c>
      <c r="T9" s="3" t="str">
        <f>FIXED(VLOOKUP($A9,'Small Sample 1-Single Family'!$A:$R,T$1,0),2)</f>
        <v>96,865.89</v>
      </c>
      <c r="U9" s="3" t="str">
        <f>FIXED(VLOOKUP($A9,'Small Sample 1-Single Family'!$A:$R,U$1,0),2)</f>
        <v>-1,850,000.00</v>
      </c>
      <c r="V9" s="13" t="str">
        <f>FIXED(VLOOKUP($A9,'Small Sample 1-Single Family'!$A:$R,V$1,0),2)</f>
        <v>2,950,000.00</v>
      </c>
      <c r="W9" s="9" t="str">
        <f>FIXED(VLOOKUP($A9,'Small Sample 1-Single Family'!$A:$R,W$1,0),2)</f>
        <v>-2,747.40</v>
      </c>
      <c r="X9" s="3" t="str">
        <f>FIXED(VLOOKUP($A9,'Small Sample 1-Single Family'!$A:$R,X$1,0),2)</f>
        <v>149,933.30</v>
      </c>
      <c r="Y9" s="3"/>
      <c r="Z9" s="3"/>
      <c r="AA9" s="9" t="str">
        <f>FIXED(VLOOKUP($A9,'Small Sample 2-Single Family'!$A:$R,AA$1,0),2)</f>
        <v>13,408.78</v>
      </c>
      <c r="AB9" s="3" t="str">
        <f>FIXED(VLOOKUP($A9,'Small Sample 2-Single Family'!$A:$R,AB$1,0),2)</f>
        <v>126,229.10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20,856.18</v>
      </c>
      <c r="AF9" s="3" t="str">
        <f>FIXED(VLOOKUP($A9,'Small Sample 2-Single Family'!$A:$R,AF$1,0),2)</f>
        <v>97,105.61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949.10</v>
      </c>
      <c r="AJ9" s="3" t="str">
        <f>FIXED(VLOOKUP($A9,'Small Sample 2-Single Family'!$A:$R,AJ$1,0),2)</f>
        <v>163,003.90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1.31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1.30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0.27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42.30</v>
      </c>
      <c r="D13" s="3" t="str">
        <f>FIXED(VLOOKUP($A13,'Full Sample-Single Family'!$A:$R,D$1,0),2)</f>
        <v>56.56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51.56</v>
      </c>
      <c r="H13" s="3" t="str">
        <f>FIXED(VLOOKUP($A13,'Full Sample-Single Family'!$A:$R,H$1,0),2)</f>
        <v>59.83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29.65</v>
      </c>
      <c r="L13" s="3" t="str">
        <f>FIXED(VLOOKUP($A13,'Full Sample-Single Family'!$A:$R,L$1,0),2)</f>
        <v>49.02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41.13</v>
      </c>
      <c r="P13" s="3" t="str">
        <f>FIXED(VLOOKUP($A13,'Small Sample 1-Single Family'!$A:$R,P$1,0),2)</f>
        <v>55.74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51.41</v>
      </c>
      <c r="T13" s="3" t="str">
        <f>FIXED(VLOOKUP($A13,'Small Sample 1-Single Family'!$A:$R,T$1,0),2)</f>
        <v>59.31</v>
      </c>
      <c r="U13" s="3" t="str">
        <f>FIXED(VLOOKUP($A13,'Small Sample 1-Single Family'!$A:$R,U$1,0),2)</f>
        <v>0.00</v>
      </c>
      <c r="V13" s="13" t="str">
        <f>FIXED(VLOOKUP($A13,'Small Sample 1-Single Family'!$A:$R,V$1,0),2)</f>
        <v>739.00</v>
      </c>
      <c r="W13" s="9" t="str">
        <f>FIXED(VLOOKUP($A13,'Small Sample 1-Single Family'!$A:$R,W$1,0),2)</f>
        <v>29.49</v>
      </c>
      <c r="X13" s="3" t="str">
        <f>FIXED(VLOOKUP($A13,'Small Sample 1-Single Family'!$A:$R,X$1,0),2)</f>
        <v>48.86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52.39</v>
      </c>
      <c r="AF13" s="3" t="str">
        <f>FIXED(VLOOKUP($A13,'Small Sample 2-Single Family'!$A:$R,AF$1,0),2)</f>
        <v>60.49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31.53</v>
      </c>
      <c r="AJ13" s="3" t="str">
        <f>FIXED(VLOOKUP($A13,'Small Sample 2-Single Family'!$A:$R,AJ$1,0),2)</f>
        <v>51.83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414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2,017.63</v>
      </c>
      <c r="T14" s="3" t="str">
        <f>FIXED(VLOOKUP($A14,'Small Sample 1-Single Family'!$A:$R,T$1,0),2)</f>
        <v>1.19</v>
      </c>
      <c r="U14" s="3" t="str">
        <f>FIXED(VLOOKUP($A14,'Small Sample 1-Single Family'!$A:$R,U$1,0),2)</f>
        <v>2,016.00</v>
      </c>
      <c r="V14" s="13" t="str">
        <f>FIXED(VLOOKUP($A14,'Small Sample 1-Single Family'!$A:$R,V$1,0),2)</f>
        <v>2,020.00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0.97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2.36</v>
      </c>
      <c r="T15" s="3" t="str">
        <f>FIXED(VLOOKUP($A15,'Small Sample 1-Single Family'!$A:$R,T$1,0),2)</f>
        <v>0.95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17.00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2.35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0.38</v>
      </c>
      <c r="T16" s="3" t="str">
        <f>FIXED(VLOOKUP($A16,'Small Sample 1-Single Family'!$A:$R,T$1,0),2)</f>
        <v>0.52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5.00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0.53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1.30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3.77</v>
      </c>
      <c r="T17" s="3" t="str">
        <f>FIXED(VLOOKUP($A17,'Small Sample 1-Single Family'!$A:$R,T$1,0),2)</f>
        <v>1.24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18.00</v>
      </c>
      <c r="W17" s="9" t="str">
        <f>FIXED(VLOOKUP($A17,'Small Sample 1-Single Family'!$A:$R,W$1,0),2)</f>
        <v>3.86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0.46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0.49</v>
      </c>
      <c r="T19" s="3" t="str">
        <f>FIXED(VLOOKUP($A19,'Small Sample 1-Single Family'!$A:$R,T$1,0),2)</f>
        <v>0.50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0.22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0.05</v>
      </c>
      <c r="T20" s="3" t="str">
        <f>FIXED(VLOOKUP($A20,'Small Sample 1-Single Family'!$A:$R,T$1,0),2)</f>
        <v>0.22</v>
      </c>
      <c r="U20" s="3" t="str">
        <f>FIXED(VLOOKUP($A20,'Small Sample 1-Single Family'!$A:$R,U$1,0),2)</f>
        <v>0.00</v>
      </c>
      <c r="V20" s="13" t="str">
        <f>FIXED(VLOOKUP($A20,'Small Sample 1-Single Family'!$A:$R,V$1,0),2)</f>
        <v>1.00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2,081.46</v>
      </c>
      <c r="D21" s="3" t="str">
        <f>FIXED(VLOOKUP($A21,'Full Sample-Single Family'!$A:$R,D$1,0),2)</f>
        <v>1,097.37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2,045.57</v>
      </c>
      <c r="H21" s="3" t="str">
        <f>FIXED(VLOOKUP($A21,'Full Sample-Single Family'!$A:$R,H$1,0),2)</f>
        <v>1,056.80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2,130.49</v>
      </c>
      <c r="L21" s="3" t="str">
        <f>FIXED(VLOOKUP($A21,'Full Sample-Single Family'!$A:$R,L$1,0),2)</f>
        <v>1,148.75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2,103.60</v>
      </c>
      <c r="P21" s="3" t="str">
        <f>FIXED(VLOOKUP($A21,'Small Sample 1-Single Family'!$A:$R,P$1,0),2)</f>
        <v>1,115.66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2,074.15</v>
      </c>
      <c r="T21" s="3" t="str">
        <f>FIXED(VLOOKUP($A21,'Small Sample 1-Single Family'!$A:$R,T$1,0),2)</f>
        <v>1,081.23</v>
      </c>
      <c r="U21" s="3" t="str">
        <f>FIXED(VLOOKUP($A21,'Small Sample 1-Single Family'!$A:$R,U$1,0),2)</f>
        <v>496.00</v>
      </c>
      <c r="V21" s="13" t="str">
        <f>FIXED(VLOOKUP($A21,'Small Sample 1-Single Family'!$A:$R,V$1,0),2)</f>
        <v>23,350.00</v>
      </c>
      <c r="W21" s="9" t="str">
        <f>FIXED(VLOOKUP($A21,'Small Sample 1-Single Family'!$A:$R,W$1,0),2)</f>
        <v>2,136.97</v>
      </c>
      <c r="X21" s="3" t="str">
        <f>FIXED(VLOOKUP($A21,'Small Sample 1-Single Family'!$A:$R,X$1,0),2)</f>
        <v>1,152.57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2,096.32</v>
      </c>
      <c r="AB21" s="3" t="str">
        <f>FIXED(VLOOKUP($A21,'Small Sample 2-Single Family'!$A:$R,AB$1,0),2)</f>
        <v>1,112.60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2,054.82</v>
      </c>
      <c r="AF21" s="3" t="str">
        <f>FIXED(VLOOKUP($A21,'Small Sample 2-Single Family'!$A:$R,AF$1,0),2)</f>
        <v>1,064.22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2,165.74</v>
      </c>
      <c r="AJ21" s="3" t="str">
        <f>FIXED(VLOOKUP($A21,'Small Sample 2-Single Family'!$A:$R,AJ$1,0),2)</f>
        <v>1,185.97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38.71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36.57</v>
      </c>
      <c r="H22" s="3" t="str">
        <f>FIXED(VLOOKUP($A22,'Full Sample-Single Family'!$A:$R,H$1,0),2)</f>
        <v>22.89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41.62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39.86</v>
      </c>
      <c r="P22" s="3" t="str">
        <f>FIXED(VLOOKUP($A22,'Small Sample 1-Single Family'!$A:$R,P$1,0),2)</f>
        <v>22.98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38.30</v>
      </c>
      <c r="T22" s="3" t="str">
        <f>FIXED(VLOOKUP($A22,'Small Sample 1-Single Family'!$A:$R,T$1,0),2)</f>
        <v>22.65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112.00</v>
      </c>
      <c r="W22" s="9" t="str">
        <f>FIXED(VLOOKUP($A22,'Small Sample 1-Single Family'!$A:$R,W$1,0),2)</f>
        <v>41.62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39.52</v>
      </c>
      <c r="AB22" s="3" t="str">
        <f>FIXED(VLOOKUP($A22,'Small Sample 2-Single Family'!$A:$R,AB$1,0),2)</f>
        <v>23.13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36.92</v>
      </c>
      <c r="AF22" s="3" t="str">
        <f>FIXED(VLOOKUP($A22,'Small Sample 2-Single Family'!$A:$R,AF$1,0),2)</f>
        <v>22.91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43.85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1.98</v>
      </c>
      <c r="T23" s="3" t="str">
        <f>FIXED(VLOOKUP($A23,'Small Sample 1-Single Family'!$A:$R,T$1,0),2)</f>
        <v>1.89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12.54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2.44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0.03</v>
      </c>
      <c r="T24" s="3" t="str">
        <f>FIXED(VLOOKUP($A24,'Small Sample 1-Single Family'!$A:$R,T$1,0),2)</f>
        <v>0.16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0.22</v>
      </c>
      <c r="T25" s="3" t="str">
        <f>FIXED(VLOOKUP($A25,'Small Sample 1-Single Family'!$A:$R,T$1,0),2)</f>
        <v>0.41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0.31</v>
      </c>
      <c r="T26" s="3" t="str">
        <f>FIXED(VLOOKUP($A26,'Small Sample 1-Single Family'!$A:$R,T$1,0),2)</f>
        <v>0.46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0.43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0.39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0.39</v>
      </c>
      <c r="T27" s="3" t="str">
        <f>FIXED(VLOOKUP($A27,'Small Sample 1-Single Family'!$A:$R,T$1,0),2)</f>
        <v>0.49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0.07</v>
      </c>
      <c r="T28" s="3" t="str">
        <f>FIXED(VLOOKUP($A28,'Small Sample 1-Single Family'!$A:$R,T$1,0),2)</f>
        <v>0.26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0.04</v>
      </c>
      <c r="T29" s="3" t="str">
        <f>FIXED(VLOOKUP($A29,'Small Sample 1-Single Family'!$A:$R,T$1,0),2)</f>
        <v>0.20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0.21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0.09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0.01</v>
      </c>
      <c r="T30" s="3" t="str">
        <f>FIXED(VLOOKUP($A30,'Small Sample 1-Single Family'!$A:$R,T$1,0),2)</f>
        <v>0.09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1.00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415</v>
      </c>
      <c r="D31" s="3" t="s">
        <v>415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415</v>
      </c>
      <c r="H31" s="3" t="s">
        <v>415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415</v>
      </c>
      <c r="L31" s="3" t="s">
        <v>415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415</v>
      </c>
      <c r="P31" s="3" t="s">
        <v>415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415</v>
      </c>
      <c r="T31" s="3" t="s">
        <v>415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415</v>
      </c>
      <c r="X31" s="3" t="s">
        <v>415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415</v>
      </c>
      <c r="AB31" s="3" t="s">
        <v>415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415</v>
      </c>
      <c r="AF31" s="3" t="s">
        <v>415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415</v>
      </c>
      <c r="AJ31" s="3" t="s">
        <v>415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415</v>
      </c>
      <c r="D32" s="3" t="s">
        <v>415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415</v>
      </c>
      <c r="H32" s="3" t="s">
        <v>415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415</v>
      </c>
      <c r="L32" s="3" t="s">
        <v>415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415</v>
      </c>
      <c r="P32" s="3" t="s">
        <v>415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415</v>
      </c>
      <c r="T32" s="3" t="s">
        <v>415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415</v>
      </c>
      <c r="X32" s="3" t="s">
        <v>415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415</v>
      </c>
      <c r="AB32" s="3" t="s">
        <v>415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415</v>
      </c>
      <c r="AF32" s="3" t="s">
        <v>415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415</v>
      </c>
      <c r="AJ32" s="3" t="s">
        <v>415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415</v>
      </c>
      <c r="D33" s="3" t="s">
        <v>415</v>
      </c>
      <c r="E33" s="3" t="str">
        <f>FIXED(VLOOKUP($A33,'Full Sample-Single Family'!$A:$R,E$1,0),2)</f>
        <v>0.00</v>
      </c>
      <c r="F33" s="3" t="str">
        <f>FIXED(VLOOKUP($A33,'Full Sample-Single Family'!$A:$R,F$1,0),2)</f>
        <v>0.00</v>
      </c>
      <c r="G33" s="9" t="s">
        <v>415</v>
      </c>
      <c r="H33" s="3" t="s">
        <v>415</v>
      </c>
      <c r="I33" s="3" t="str">
        <f>FIXED(VLOOKUP($A33,'Full Sample-Single Family'!$A:$R,I$1,0),2)</f>
        <v>0.00</v>
      </c>
      <c r="J33" s="13" t="str">
        <f>FIXED(VLOOKUP($A33,'Full Sample-Single Family'!$A:$R,J$1,0),2)</f>
        <v>0.00</v>
      </c>
      <c r="K33" s="9" t="s">
        <v>415</v>
      </c>
      <c r="L33" s="3" t="s">
        <v>415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415</v>
      </c>
      <c r="P33" s="3" t="s">
        <v>415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0.00</v>
      </c>
      <c r="S33" s="9" t="s">
        <v>415</v>
      </c>
      <c r="T33" s="3" t="s">
        <v>415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415</v>
      </c>
      <c r="X33" s="3" t="s">
        <v>415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415</v>
      </c>
      <c r="AB33" s="3" t="s">
        <v>415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0.00</v>
      </c>
      <c r="AE33" s="9" t="s">
        <v>415</v>
      </c>
      <c r="AF33" s="3" t="s">
        <v>415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0.00</v>
      </c>
      <c r="AI33" s="9" t="s">
        <v>415</v>
      </c>
      <c r="AJ33" s="3" t="s">
        <v>415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415</v>
      </c>
      <c r="D34" s="3" t="s">
        <v>415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415</v>
      </c>
      <c r="H34" s="3" t="s">
        <v>415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415</v>
      </c>
      <c r="L34" s="3" t="s">
        <v>415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415</v>
      </c>
      <c r="P34" s="3" t="s">
        <v>415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415</v>
      </c>
      <c r="T34" s="3" t="s">
        <v>415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0.00</v>
      </c>
      <c r="W34" s="9" t="s">
        <v>415</v>
      </c>
      <c r="X34" s="3" t="s">
        <v>415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415</v>
      </c>
      <c r="AB34" s="3" t="s">
        <v>415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415</v>
      </c>
      <c r="AF34" s="3" t="s">
        <v>415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415</v>
      </c>
      <c r="AJ34" s="3" t="s">
        <v>415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0.28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0.92</v>
      </c>
      <c r="T35" s="3" t="str">
        <f>FIXED(VLOOKUP($A35,'Small Sample 1-Single Family'!$A:$R,T$1,0),2)</f>
        <v>0.27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0.02</v>
      </c>
      <c r="T36" s="3" t="str">
        <f>FIXED(VLOOKUP($A36,'Small Sample 1-Single Family'!$A:$R,T$1,0),2)</f>
        <v>0.14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0.04</v>
      </c>
      <c r="T37" s="3" t="str">
        <f>FIXED(VLOOKUP($A37,'Small Sample 1-Single Family'!$A:$R,T$1,0),2)</f>
        <v>0.19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1.00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415</v>
      </c>
      <c r="D38" s="3" t="s">
        <v>415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415</v>
      </c>
      <c r="H38" s="3" t="s">
        <v>415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415</v>
      </c>
      <c r="L38" s="3" t="s">
        <v>415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415</v>
      </c>
      <c r="P38" s="3" t="s">
        <v>415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415</v>
      </c>
      <c r="T38" s="3" t="s">
        <v>415</v>
      </c>
      <c r="U38" s="3" t="str">
        <f>FIXED(VLOOKUP($A38,'Small Sample 1-Single Family'!$A:$R,U$1,0),2)</f>
        <v>0.00</v>
      </c>
      <c r="V38" s="13" t="str">
        <f>FIXED(VLOOKUP($A38,'Small Sample 1-Single Family'!$A:$R,V$1,0),2)</f>
        <v>0.00</v>
      </c>
      <c r="W38" s="9" t="s">
        <v>415</v>
      </c>
      <c r="X38" s="3" t="s">
        <v>415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415</v>
      </c>
      <c r="AB38" s="3" t="s">
        <v>415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415</v>
      </c>
      <c r="AF38" s="3" t="s">
        <v>415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415</v>
      </c>
      <c r="AJ38" s="3" t="s">
        <v>415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0.88</v>
      </c>
      <c r="T39" s="3" t="str">
        <f>FIXED(VLOOKUP($A39,'Small Sample 1-Single Family'!$A:$R,T$1,0),2)</f>
        <v>0.32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0.02</v>
      </c>
      <c r="T40" s="3" t="str">
        <f>FIXED(VLOOKUP($A40,'Small Sample 1-Single Family'!$A:$R,T$1,0),2)</f>
        <v>0.13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39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39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39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39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39">
        <f>VLOOKUP($A41,'Small Sample 1-Single Family'!$A:$R,S$1,0)</f>
        <v>2.0000000000000001E-4</v>
      </c>
      <c r="T41" s="3" t="str">
        <f>FIXED(VLOOKUP($A41,'Small Sample 1-Single Family'!$A:$R,T$1,0),2)</f>
        <v>0.01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39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39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39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39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0.28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0.07</v>
      </c>
      <c r="T42" s="3" t="str">
        <f>FIXED(VLOOKUP($A42,'Small Sample 1-Single Family'!$A:$R,T$1,0),2)</f>
        <v>0.25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0.26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0.02</v>
      </c>
      <c r="T43" s="3" t="str">
        <f>FIXED(VLOOKUP($A43,'Small Sample 1-Single Family'!$A:$R,T$1,0),2)</f>
        <v>0.13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0.00</v>
      </c>
      <c r="T44" s="3" t="str">
        <f>FIXED(VLOOKUP($A44,'Small Sample 1-Single Family'!$A:$R,T$1,0),2)</f>
        <v>0.02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0.01</v>
      </c>
      <c r="T45" s="3" t="str">
        <f>FIXED(VLOOKUP($A45,'Small Sample 1-Single Family'!$A:$R,T$1,0),2)</f>
        <v>0.12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1.00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0.00</v>
      </c>
      <c r="T46" s="3" t="str">
        <f>FIXED(VLOOKUP($A46,'Small Sample 1-Single Family'!$A:$R,T$1,0),2)</f>
        <v>0.00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0.00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52.40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50.89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24.60</v>
      </c>
      <c r="L47" s="3" t="str">
        <f>FIXED(VLOOKUP($A47,'Full Sample-Single Family'!$A:$R,L$1,0),2)</f>
        <v>54.40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52.03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22.66</v>
      </c>
      <c r="T47" s="3" t="str">
        <f>FIXED(VLOOKUP($A47,'Small Sample 1-Single Family'!$A:$R,T$1,0),2)</f>
        <v>50.05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667.00</v>
      </c>
      <c r="W47" s="9" t="str">
        <f>FIXED(VLOOKUP($A47,'Small Sample 1-Single Family'!$A:$R,W$1,0),2)</f>
        <v>24.46</v>
      </c>
      <c r="X47" s="3" t="str">
        <f>FIXED(VLOOKUP($A47,'Small Sample 1-Single Family'!$A:$R,X$1,0),2)</f>
        <v>54.17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23.17</v>
      </c>
      <c r="AB47" s="3" t="str">
        <f>FIXED(VLOOKUP($A47,'Small Sample 2-Single Family'!$A:$R,AB$1,0),2)</f>
        <v>51.18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51.04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51.35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0.00</v>
      </c>
      <c r="T48" s="3" t="str">
        <f>FIXED(VLOOKUP($A48,'Small Sample 1-Single Family'!$A:$R,T$1,0),2)</f>
        <v>0.07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0.04</v>
      </c>
      <c r="T49" s="3" t="str">
        <f>FIXED(VLOOKUP($A49,'Small Sample 1-Single Family'!$A:$R,T$1,0),2)</f>
        <v>0.19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0.53</v>
      </c>
      <c r="T50" s="3" t="str">
        <f>FIXED(VLOOKUP($A50,'Small Sample 1-Single Family'!$A:$R,T$1,0),2)</f>
        <v>0.50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0.12</v>
      </c>
      <c r="T51" s="3" t="str">
        <f>FIXED(VLOOKUP($A51,'Small Sample 1-Single Family'!$A:$R,T$1,0),2)</f>
        <v>0.32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0.24</v>
      </c>
      <c r="T52" s="3" t="str">
        <f>FIXED(VLOOKUP($A52,'Small Sample 1-Single Family'!$A:$R,T$1,0),2)</f>
        <v>0.43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0.07</v>
      </c>
      <c r="T53" s="3" t="str">
        <f>FIXED(VLOOKUP($A53,'Small Sample 1-Single Family'!$A:$R,T$1,0),2)</f>
        <v>0.26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0.42</v>
      </c>
      <c r="T54" s="3" t="str">
        <f>FIXED(VLOOKUP($A54,'Small Sample 1-Single Family'!$A:$R,T$1,0),2)</f>
        <v>0.49</v>
      </c>
      <c r="U54" s="3" t="str">
        <f>FIXED(VLOOKUP($A54,'Small Sample 1-Single Family'!$A:$R,U$1,0),2)</f>
        <v>0.00</v>
      </c>
      <c r="V54" s="13" t="str">
        <f>FIXED(VLOOKUP($A54,'Small Sample 1-Single Family'!$A:$R,V$1,0),2)</f>
        <v>1.00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0.00</v>
      </c>
      <c r="T55" s="3" t="str">
        <f>FIXED(VLOOKUP($A55,'Small Sample 1-Single Family'!$A:$R,T$1,0),2)</f>
        <v>0.00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0.00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2.55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2.61</v>
      </c>
      <c r="T56" s="3" t="str">
        <f>FIXED(VLOOKUP($A56,'Small Sample 1-Single Family'!$A:$R,T$1,0),2)</f>
        <v>2.67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13.55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2.63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0.53</v>
      </c>
      <c r="T57" s="3" t="str">
        <f>FIXED(VLOOKUP($A57,'Small Sample 1-Single Family'!$A:$R,T$1,0),2)</f>
        <v>0.32</v>
      </c>
      <c r="U57" s="3" t="str">
        <f>FIXED(VLOOKUP($A57,'Small Sample 1-Single Family'!$A:$R,U$1,0),2)</f>
        <v>0.00</v>
      </c>
      <c r="V57" s="13" t="str">
        <f>FIXED(VLOOKUP($A57,'Small Sample 1-Single Family'!$A:$R,V$1,0),2)</f>
        <v>3.30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4.23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4.18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5.05</v>
      </c>
      <c r="T58" s="3" t="str">
        <f>FIXED(VLOOKUP($A58,'Small Sample 1-Single Family'!$A:$R,T$1,0),2)</f>
        <v>4.10</v>
      </c>
      <c r="U58" s="3" t="str">
        <f>FIXED(VLOOKUP($A58,'Small Sample 1-Single Family'!$A:$R,U$1,0),2)</f>
        <v>0.02</v>
      </c>
      <c r="V58" s="13" t="str">
        <f>FIXED(VLOOKUP($A58,'Small Sample 1-Single Family'!$A:$R,V$1,0),2)</f>
        <v>21.00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4.18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5.20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1.27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10.75</v>
      </c>
      <c r="H59" s="3" t="str">
        <f>FIXED(VLOOKUP($A59,'Full Sample-Single Family'!$A:$R,H$1,0),2)</f>
        <v>5.60</v>
      </c>
      <c r="I59" s="3" t="str">
        <f>FIXED(VLOOKUP($A59,'Full Sample-Single Family'!$A:$R,I$1,0),2)</f>
        <v>1.27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10.91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5.59</v>
      </c>
      <c r="Q59" s="3" t="str">
        <f>FIXED(VLOOKUP($A59,'Small Sample 1-Single Family'!$A:$R,Q$1,0),2)</f>
        <v>1.27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10.89</v>
      </c>
      <c r="T59" s="3" t="str">
        <f>FIXED(VLOOKUP($A59,'Small Sample 1-Single Family'!$A:$R,T$1,0),2)</f>
        <v>5.59</v>
      </c>
      <c r="U59" s="3" t="str">
        <f>FIXED(VLOOKUP($A59,'Small Sample 1-Single Family'!$A:$R,U$1,0),2)</f>
        <v>1.30</v>
      </c>
      <c r="V59" s="13" t="str">
        <f>FIXED(VLOOKUP($A59,'Small Sample 1-Single Family'!$A:$R,V$1,0),2)</f>
        <v>30.00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5.59</v>
      </c>
      <c r="AC59" s="3" t="str">
        <f>FIXED(VLOOKUP($A59,'Small Sample 2-Single Family'!$A:$R,AC$1,0),2)</f>
        <v>1.27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1.27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7.45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7.14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7.45</v>
      </c>
      <c r="S60" s="9" t="str">
        <f>FIXED(VLOOKUP($A60,'Small Sample 1-Single Family'!$A:$R,S$1,0),2)</f>
        <v>1.02</v>
      </c>
      <c r="T60" s="3" t="str">
        <f>FIXED(VLOOKUP($A60,'Small Sample 1-Single Family'!$A:$R,T$1,0),2)</f>
        <v>0.77</v>
      </c>
      <c r="U60" s="3" t="str">
        <f>FIXED(VLOOKUP($A60,'Small Sample 1-Single Family'!$A:$R,U$1,0),2)</f>
        <v>0.03</v>
      </c>
      <c r="V60" s="13" t="str">
        <f>FIXED(VLOOKUP($A60,'Small Sample 1-Single Family'!$A:$R,V$1,0),2)</f>
        <v>7.12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7.45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7.14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39"/>
      <c r="AO60" s="3"/>
      <c r="AP60" s="3"/>
      <c r="AQ60" s="3"/>
      <c r="AR60" s="39"/>
      <c r="AS60" s="3"/>
      <c r="AT60" s="3"/>
      <c r="AU60" s="13"/>
      <c r="AV60" s="39"/>
      <c r="AW60" s="3"/>
      <c r="AX60" s="3"/>
      <c r="AY60" s="13"/>
      <c r="AZ60" s="39"/>
      <c r="BA60" s="3"/>
      <c r="BB60" s="3"/>
      <c r="BC60" s="3"/>
      <c r="BD60" s="39"/>
      <c r="BE60" s="3"/>
      <c r="BF60" s="3"/>
      <c r="BG60" s="13"/>
      <c r="BH60" s="39"/>
      <c r="BI60" s="3"/>
      <c r="BJ60" s="3"/>
      <c r="BK60" s="3"/>
      <c r="BL60" s="39"/>
      <c r="BM60" s="3"/>
      <c r="BN60" s="3"/>
      <c r="BO60" s="3"/>
      <c r="BP60" s="39"/>
      <c r="BQ60" s="3"/>
      <c r="BR60" s="3"/>
      <c r="BS60" s="13"/>
      <c r="BT60" s="39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2.46</v>
      </c>
      <c r="T61" s="3" t="str">
        <f>FIXED(VLOOKUP($A61,'Small Sample 1-Single Family'!$A:$R,T$1,0),2)</f>
        <v>1.80</v>
      </c>
      <c r="U61" s="3" t="str">
        <f>FIXED(VLOOKUP($A61,'Small Sample 1-Single Family'!$A:$R,U$1,0),2)</f>
        <v>0.04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2.53</v>
      </c>
      <c r="T62" s="3" t="str">
        <f>FIXED(VLOOKUP($A62,'Small Sample 1-Single Family'!$A:$R,T$1,0),2)</f>
        <v>1.70</v>
      </c>
      <c r="U62" s="3" t="str">
        <f>FIXED(VLOOKUP($A62,'Small Sample 1-Single Family'!$A:$R,U$1,0),2)</f>
        <v>0.05</v>
      </c>
      <c r="V62" s="13" t="str">
        <f>FIXED(VLOOKUP($A62,'Small Sample 1-Single Family'!$A:$R,V$1,0),2)</f>
        <v>17.68</v>
      </c>
      <c r="W62" s="9" t="str">
        <f>FIXED(VLOOKUP($A62,'Small Sample 1-Single Family'!$A:$R,W$1,0),2)</f>
        <v>2.62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2,363,460.00</v>
      </c>
      <c r="D63" s="3" t="str">
        <f>FIXED(VLOOKUP($A63,'Full Sample-Single Family'!$A:$R,D$1,0),2)</f>
        <v>7,868.63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2,363,449.00</v>
      </c>
      <c r="H63" s="3" t="str">
        <f>FIXED(VLOOKUP($A63,'Full Sample-Single Family'!$A:$R,H$1,0),2)</f>
        <v>7,709.37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2,363,477.00</v>
      </c>
      <c r="L63" s="3" t="str">
        <f>FIXED(VLOOKUP($A63,'Full Sample-Single Family'!$A:$R,L$1,0),2)</f>
        <v>8,081.54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2,363,533.00</v>
      </c>
      <c r="P63" s="3" t="str">
        <f>FIXED(VLOOKUP($A63,'Small Sample 1-Single Family'!$A:$R,P$1,0),2)</f>
        <v>7,931.25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2,363,561.00</v>
      </c>
      <c r="T63" s="3" t="str">
        <f>FIXED(VLOOKUP($A63,'Small Sample 1-Single Family'!$A:$R,T$1,0),2)</f>
        <v>7,779.77</v>
      </c>
      <c r="U63" s="3" t="str">
        <f>FIXED(VLOOKUP($A63,'Small Sample 1-Single Family'!$A:$R,U$1,0),2)</f>
        <v>2,350,907.00</v>
      </c>
      <c r="V63" s="13" t="str">
        <f>FIXED(VLOOKUP($A63,'Small Sample 1-Single Family'!$A:$R,V$1,0),2)</f>
        <v>2,399,920.00</v>
      </c>
      <c r="W63" s="9" t="str">
        <f>FIXED(VLOOKUP($A63,'Small Sample 1-Single Family'!$A:$R,W$1,0),2)</f>
        <v>2,363,502.00</v>
      </c>
      <c r="X63" s="3" t="str">
        <f>FIXED(VLOOKUP($A63,'Small Sample 1-Single Family'!$A:$R,X$1,0),2)</f>
        <v>8,099.74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2,363,532.00</v>
      </c>
      <c r="AB63" s="3" t="str">
        <f>FIXED(VLOOKUP($A63,'Small Sample 2-Single Family'!$A:$R,AB$1,0),2)</f>
        <v>7,931.56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2,363,476.00</v>
      </c>
      <c r="AF63" s="3" t="str">
        <f>FIXED(VLOOKUP($A63,'Small Sample 2-Single Family'!$A:$R,AF$1,0),2)</f>
        <v>7,746.39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2,363,627.00</v>
      </c>
      <c r="AJ63" s="3" t="str">
        <f>FIXED(VLOOKUP($A63,'Small Sample 2-Single Family'!$A:$R,AJ$1,0),2)</f>
        <v>8,231.71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610,974.40</v>
      </c>
      <c r="D64" s="3" t="str">
        <f>FIXED(VLOOKUP($A64,'Full Sample-Single Family'!$A:$R,D$1,0),2)</f>
        <v>14,875.09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610,574.40</v>
      </c>
      <c r="H64" s="3" t="str">
        <f>FIXED(VLOOKUP($A64,'Full Sample-Single Family'!$A:$R,H$1,0),2)</f>
        <v>14,742.05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611,521.10</v>
      </c>
      <c r="L64" s="3" t="str">
        <f>FIXED(VLOOKUP($A64,'Full Sample-Single Family'!$A:$R,L$1,0),2)</f>
        <v>15,038.57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611,464.80</v>
      </c>
      <c r="P64" s="3" t="str">
        <f>FIXED(VLOOKUP($A64,'Small Sample 1-Single Family'!$A:$R,P$1,0),2)</f>
        <v>14,765.70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611,415.20</v>
      </c>
      <c r="T64" s="3" t="str">
        <f>FIXED(VLOOKUP($A64,'Small Sample 1-Single Family'!$A:$R,T$1,0),2)</f>
        <v>14,568.25</v>
      </c>
      <c r="U64" s="3" t="str">
        <f>FIXED(VLOOKUP($A64,'Small Sample 1-Single Family'!$A:$R,U$1,0),2)</f>
        <v>579,824.20</v>
      </c>
      <c r="V64" s="13" t="str">
        <f>FIXED(VLOOKUP($A64,'Small Sample 1-Single Family'!$A:$R,V$1,0),2)</f>
        <v>638,667.70</v>
      </c>
      <c r="W64" s="9" t="str">
        <f>FIXED(VLOOKUP($A64,'Small Sample 1-Single Family'!$A:$R,W$1,0),2)</f>
        <v>611,521.00</v>
      </c>
      <c r="X64" s="3" t="str">
        <f>FIXED(VLOOKUP($A64,'Small Sample 1-Single Family'!$A:$R,X$1,0),2)</f>
        <v>14,986.84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611,466.00</v>
      </c>
      <c r="AB64" s="3" t="str">
        <f>FIXED(VLOOKUP($A64,'Small Sample 2-Single Family'!$A:$R,AB$1,0),2)</f>
        <v>14,767.20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610,824.40</v>
      </c>
      <c r="AF64" s="3" t="str">
        <f>FIXED(VLOOKUP($A64,'Small Sample 2-Single Family'!$A:$R,AF$1,0),2)</f>
        <v>14,701.56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612,539.30</v>
      </c>
      <c r="AJ64" s="3" t="str">
        <f>FIXED(VLOOKUP($A64,'Small Sample 2-Single Family'!$A:$R,AJ$1,0),2)</f>
        <v>14,815.36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0.03</v>
      </c>
      <c r="T65" s="3" t="str">
        <f>FIXED(VLOOKUP($A65,'Small Sample 1-Single Family'!$A:$R,T$1,0),2)</f>
        <v>0.17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39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39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39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39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39">
        <f>VLOOKUP($A66,'Small Sample 1-Single Family'!$A:$R,S$1,0)</f>
        <v>1E-3</v>
      </c>
      <c r="T66" s="3" t="str">
        <f>FIXED(VLOOKUP($A66,'Small Sample 1-Single Family'!$A:$R,T$1,0),2)</f>
        <v>0.02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39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39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39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39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39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39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39">
        <f>VLOOKUP($A67,'Full Sample-Single Family'!$A:$R,K$1,0)</f>
        <v>3.0000000000000001E-3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39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39">
        <f>VLOOKUP($A67,'Small Sample 1-Single Family'!$A:$R,S$1,0)</f>
        <v>3.0000000000000001E-3</v>
      </c>
      <c r="T67" s="3" t="str">
        <f>FIXED(VLOOKUP($A67,'Small Sample 1-Single Family'!$A:$R,T$1,0),2)</f>
        <v>0.05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39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39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39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39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39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39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39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39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39">
        <f>VLOOKUP($A68,'Small Sample 1-Single Family'!$A:$R,S$1,0)</f>
        <v>4.0000000000000001E-3</v>
      </c>
      <c r="T68" s="3" t="str">
        <f>FIXED(VLOOKUP($A68,'Small Sample 1-Single Family'!$A:$R,T$1,0),2)</f>
        <v>0.06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39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39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39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39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0.55</v>
      </c>
      <c r="T69" s="3" t="str">
        <f>FIXED(VLOOKUP($A69,'Small Sample 1-Single Family'!$A:$R,T$1,0),2)</f>
        <v>0.50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0.01</v>
      </c>
      <c r="T70" s="3" t="str">
        <f>FIXED(VLOOKUP($A70,'Small Sample 1-Single Family'!$A:$R,T$1,0),2)</f>
        <v>0.08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str">
        <f>FIXED(VLOOKUP($A71,'Small Sample 1-Single Family'!$A:$R,S$1,0),2)</f>
        <v>0.41</v>
      </c>
      <c r="T71" s="3" t="str">
        <f>FIXED(VLOOKUP($A71,'Small Sample 1-Single Family'!$A:$R,T$1,0),2)</f>
        <v>0.49</v>
      </c>
      <c r="U71" s="3" t="str">
        <f>FIXED(VLOOKUP($A71,'Small Sample 1-Single Family'!$A:$R,U$1,0),2)</f>
        <v>0.00</v>
      </c>
      <c r="V71" s="13" t="str">
        <f>FIXED(VLOOKUP($A71,'Small Sample 1-Single Family'!$A:$R,V$1,0),2)</f>
        <v>1.00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0.21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0.85</v>
      </c>
      <c r="G72" s="9" t="str">
        <f>FIXED(VLOOKUP($A72,'Full Sample-Single Family'!$A:$R,G$1,0),2)</f>
        <v>0.21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0.85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0.85</v>
      </c>
      <c r="O72" s="9" t="str">
        <f>FIXED(VLOOKUP($A72,'Small Sample 1-Single Family'!$A:$R,O$1,0),2)</f>
        <v>0.21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0.85</v>
      </c>
      <c r="S72" s="9" t="str">
        <f>FIXED(VLOOKUP($A72,'Small Sample 1-Single Family'!$A:$R,S$1,0),2)</f>
        <v>0.20</v>
      </c>
      <c r="T72" s="3" t="str">
        <f>FIXED(VLOOKUP($A72,'Small Sample 1-Single Family'!$A:$R,T$1,0),2)</f>
        <v>0.15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0.85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0.85</v>
      </c>
      <c r="AA72" s="9" t="str">
        <f>FIXED(VLOOKUP($A72,'Small Sample 2-Single Family'!$A:$R,AA$1,0),2)</f>
        <v>0.21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0.85</v>
      </c>
      <c r="AE72" s="9" t="str">
        <f>FIXED(VLOOKUP($A72,'Small Sample 2-Single Family'!$A:$R,AE$1,0),2)</f>
        <v>0.21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0.85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0.26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0.26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0.03</v>
      </c>
      <c r="M73" s="3" t="str">
        <f>FIXED(VLOOKUP($A73,'Full Sample-No Sub'!$A:$R,M$1,0),2)</f>
        <v>0.00</v>
      </c>
      <c r="N73" s="13" t="str">
        <f>FIXED(VLOOKUP($A73,'Full Sample-No Sub'!$A:$R,N$1,0),2)</f>
        <v>0.26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0.26</v>
      </c>
      <c r="S73" s="9" t="str">
        <f>FIXED(VLOOKUP($A73,'Small Sample 1-Single Family'!$A:$R,S$1,0),2)</f>
        <v>0.02</v>
      </c>
      <c r="T73" s="3" t="str">
        <f>FIXED(VLOOKUP($A73,'Small Sample 1-Single Family'!$A:$R,T$1,0),2)</f>
        <v>0.03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0.26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0.03</v>
      </c>
      <c r="Y73" s="3" t="str">
        <f>FIXED(VLOOKUP($A73,'Small Sample 1-No Sub'!$A:$R,Y$1,0),2)</f>
        <v>0.00</v>
      </c>
      <c r="Z73" s="3" t="str">
        <f>FIXED(VLOOKUP($A73,'Small Sample 1-No Sub'!$A:$R,Z$1,0),2)</f>
        <v>0.26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0.26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0.26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0.42</v>
      </c>
      <c r="D74" s="3" t="str">
        <f>FIXED(VLOOKUP($A74,'Full Sample-Single Family'!$A:$R,D$1,0),2)</f>
        <v>0.20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0.96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0.20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0.96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0.96</v>
      </c>
      <c r="S74" s="9" t="str">
        <f>FIXED(VLOOKUP($A74,'Small Sample 1-Single Family'!$A:$R,S$1,0),2)</f>
        <v>0.43</v>
      </c>
      <c r="T74" s="3" t="str">
        <f>FIXED(VLOOKUP($A74,'Small Sample 1-Single Family'!$A:$R,T$1,0),2)</f>
        <v>0.20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0.96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0.20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0.96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0.20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0.96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0.12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0.70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0.12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0.70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0.70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0.70</v>
      </c>
      <c r="S75" s="9" t="str">
        <f>FIXED(VLOOKUP($A75,'Small Sample 1-Single Family'!$A:$R,S$1,0),2)</f>
        <v>0.08</v>
      </c>
      <c r="T75" s="3" t="str">
        <f>FIXED(VLOOKUP($A75,'Small Sample 1-Single Family'!$A:$R,T$1,0),2)</f>
        <v>0.11</v>
      </c>
      <c r="U75" s="3" t="str">
        <f>FIXED(VLOOKUP($A75,'Small Sample 1-Single Family'!$A:$R,U$1,0),2)</f>
        <v>0.00</v>
      </c>
      <c r="V75" s="13" t="str">
        <f>FIXED(VLOOKUP($A75,'Small Sample 1-Single Family'!$A:$R,V$1,0),2)</f>
        <v>0.70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0.70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0.11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0.70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0.11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0.70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0.12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0.09</v>
      </c>
      <c r="E76" s="3" t="str">
        <f>FIXED(VLOOKUP($A76,'Full Sample-Single Family'!$A:$R,E$1,0),2)</f>
        <v>0.00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0.09</v>
      </c>
      <c r="I76" s="3" t="str">
        <f>FIXED(VLOOKUP($A76,'Full Sample-Single Family'!$A:$R,I$1,0),2)</f>
        <v>0.00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0.11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0.09</v>
      </c>
      <c r="Q76" s="3" t="str">
        <f>FIXED(VLOOKUP($A76,'Small Sample 1-Single Family'!$A:$R,Q$1,0),2)</f>
        <v>0.00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0.94</v>
      </c>
      <c r="T76" s="3" t="str">
        <f>FIXED(VLOOKUP($A76,'Small Sample 1-Single Family'!$A:$R,T$1,0),2)</f>
        <v>0.09</v>
      </c>
      <c r="U76" s="3" t="str">
        <f>FIXED(VLOOKUP($A76,'Small Sample 1-Single Family'!$A:$R,U$1,0),2)</f>
        <v>0.00</v>
      </c>
      <c r="V76" s="13" t="str">
        <f>FIXED(VLOOKUP($A76,'Small Sample 1-Single Family'!$A:$R,V$1,0),2)</f>
        <v>1.00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0.11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0.94</v>
      </c>
      <c r="AB76" s="3" t="str">
        <f>FIXED(VLOOKUP($A76,'Small Sample 2-Single Family'!$A:$R,AB$1,0),2)</f>
        <v>0.09</v>
      </c>
      <c r="AC76" s="3" t="str">
        <f>FIXED(VLOOKUP($A76,'Small Sample 2-Single Family'!$A:$R,AC$1,0),2)</f>
        <v>0.00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0.09</v>
      </c>
      <c r="AG76" s="3" t="str">
        <f>FIXED(VLOOKUP($A76,'Small Sample 2-Single Family'!$A:$R,AG$1,0),2)</f>
        <v>0.00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0.08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0.09</v>
      </c>
      <c r="M77" s="3" t="str">
        <f>FIXED(VLOOKUP($A77,'Full Sample-No Sub'!$A:$R,M$1,0),2)</f>
        <v>0.00</v>
      </c>
      <c r="N77" s="13" t="str">
        <f>FIXED(VLOOKUP($A77,'Full Sample-No Sub'!$A:$R,N$1,0),2)</f>
        <v>0.89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0.06</v>
      </c>
      <c r="T77" s="3" t="str">
        <f>FIXED(VLOOKUP($A77,'Small Sample 1-Single Family'!$A:$R,T$1,0),2)</f>
        <v>0.08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0.70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0.09</v>
      </c>
      <c r="Y77" s="3" t="str">
        <f>FIXED(VLOOKUP($A77,'Small Sample 1-No Sub'!$A:$R,Y$1,0),2)</f>
        <v>0.00</v>
      </c>
      <c r="Z77" s="3" t="str">
        <f>FIXED(VLOOKUP($A77,'Small Sample 1-No Sub'!$A:$R,Z$1,0),2)</f>
        <v>0.89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0.08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0.70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0.77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0.77</v>
      </c>
      <c r="H78" s="3" t="str">
        <f>FIXED(VLOOKUP($A78,'Full Sample-Single Family'!$A:$R,H$1,0),2)</f>
        <v>0.17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0.77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0.77</v>
      </c>
      <c r="T78" s="3" t="str">
        <f>FIXED(VLOOKUP($A78,'Small Sample 1-Single Family'!$A:$R,T$1,0),2)</f>
        <v>0.17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0.77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0.77</v>
      </c>
      <c r="AF78" s="3" t="str">
        <f>FIXED(VLOOKUP($A78,'Small Sample 2-Single Family'!$A:$R,AF$1,0),2)</f>
        <v>0.17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0.23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0.23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0.99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0.23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0.23</v>
      </c>
      <c r="T79" s="3" t="str">
        <f>FIXED(VLOOKUP($A79,'Small Sample 1-Single Family'!$A:$R,T$1,0),2)</f>
        <v>0.17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0.99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0.23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0.23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0.99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0.17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47">
        <f>'Full Sample-Single Family'!B3</f>
        <v>22993</v>
      </c>
      <c r="D81" s="48"/>
      <c r="E81" s="48"/>
      <c r="F81" s="48"/>
      <c r="G81" s="47">
        <f>'Full Sample-Single Family'!H3</f>
        <v>13277</v>
      </c>
      <c r="H81" s="48"/>
      <c r="I81" s="48"/>
      <c r="J81" s="49"/>
      <c r="K81" s="47">
        <f>'Full Sample-Single Family'!N3</f>
        <v>9716</v>
      </c>
      <c r="L81" s="48"/>
      <c r="M81" s="48"/>
      <c r="N81" s="49"/>
      <c r="O81" s="47">
        <f>'Small Sample 1-Single Family'!B3</f>
        <v>19915</v>
      </c>
      <c r="P81" s="48"/>
      <c r="Q81" s="48"/>
      <c r="R81" s="48"/>
      <c r="S81" s="47">
        <f>'Small Sample 1-Single Family'!H3</f>
        <v>10578</v>
      </c>
      <c r="T81" s="48"/>
      <c r="U81" s="48"/>
      <c r="V81" s="49"/>
      <c r="W81" s="47">
        <f>'Small Sample 1-Single Family'!N3</f>
        <v>9337</v>
      </c>
      <c r="X81" s="48"/>
      <c r="Y81" s="48"/>
      <c r="Z81" s="48"/>
      <c r="AA81" s="47">
        <f>'Small Sample 2-Single Family'!B3</f>
        <v>19906</v>
      </c>
      <c r="AB81" s="48"/>
      <c r="AC81" s="48"/>
      <c r="AD81" s="48"/>
      <c r="AE81" s="47">
        <f>'Small Sample 2-Single Family'!H3</f>
        <v>12459</v>
      </c>
      <c r="AF81" s="48"/>
      <c r="AG81" s="48"/>
      <c r="AH81" s="49"/>
      <c r="AI81" s="47">
        <f>'Small Sample 2-Single Family'!N3</f>
        <v>7447</v>
      </c>
      <c r="AJ81" s="48"/>
      <c r="AK81" s="48"/>
      <c r="AL81" s="48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329.73</v>
      </c>
      <c r="D85" s="3" t="str">
        <f>FIXED(VLOOKUP($A85,'Full Sample-Single Family'!$A:$R,D$1,0),2)</f>
        <v>232.76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328.97</v>
      </c>
      <c r="H85" s="3" t="str">
        <f>FIXED(VLOOKUP($A85,'Full Sample-Single Family'!$A:$R,H$1,0),2)</f>
        <v>232.86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330.76</v>
      </c>
      <c r="L85" s="3" t="str">
        <f>FIXED(VLOOKUP($A85,'Full Sample-Single Family'!$A:$R,L$1,0),2)</f>
        <v>232.62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331.67</v>
      </c>
      <c r="P85" s="3" t="str">
        <f>FIXED(VLOOKUP($A85,'Small Sample 1-Single Family'!$A:$R,P$1,0),2)</f>
        <v>231.55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331.94</v>
      </c>
      <c r="T85" s="3" t="str">
        <f>FIXED(VLOOKUP($A85,'Small Sample 1-Single Family'!$A:$R,T$1,0),2)</f>
        <v>230.23</v>
      </c>
      <c r="U85" s="3" t="str">
        <f>FIXED(VLOOKUP($A85,'Small Sample 1-Single Family'!$A:$R,U$1,0),2)</f>
        <v>0.00</v>
      </c>
      <c r="V85" s="3" t="str">
        <f>FIXED(VLOOKUP($A85,'Small Sample 1-Single Family'!$A:$R,V$1,0),2)</f>
        <v>4,444.00</v>
      </c>
      <c r="W85" s="3" t="str">
        <f>FIXED(VLOOKUP($A85,'Small Sample 1-Single Family'!$A:$R,W$1,0),2)</f>
        <v>331.36</v>
      </c>
      <c r="X85" s="3" t="str">
        <f>FIXED(VLOOKUP($A85,'Small Sample 1-Single Family'!$A:$R,X$1,0),2)</f>
        <v>233.04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331.62</v>
      </c>
      <c r="AB85" s="3" t="str">
        <f>FIXED(VLOOKUP($A85,'Small Sample 2-Single Family'!$A:$R,AB$1,0),2)</f>
        <v>233.68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330.21</v>
      </c>
      <c r="AF85" s="3" t="str">
        <f>FIXED(VLOOKUP($A85,'Small Sample 2-Single Family'!$A:$R,AF$1,0),2)</f>
        <v>233.03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333.97</v>
      </c>
      <c r="AJ85" s="3" t="str">
        <f>FIXED(VLOOKUP($A85,'Small Sample 2-Single Family'!$A:$R,AJ$1,0),2)</f>
        <v>234.75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0.00</v>
      </c>
      <c r="E86" s="3" t="str">
        <f>FIXED(VLOOKUP($A86,'Full Sample-Single Family'!$A:$R,E$1,0),2)</f>
        <v>1.00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0.00</v>
      </c>
      <c r="I86" s="3" t="str">
        <f>FIXED(VLOOKUP($A86,'Full Sample-Single Family'!$A:$R,I$1,0),2)</f>
        <v>1.00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0.00</v>
      </c>
      <c r="Q86" s="3" t="str">
        <f>FIXED(VLOOKUP($A86,'Small Sample 1-Single Family'!$A:$R,Q$1,0),2)</f>
        <v>1.00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1.00</v>
      </c>
      <c r="T86" s="3" t="str">
        <f>FIXED(VLOOKUP($A86,'Small Sample 1-Single Family'!$A:$R,T$1,0),2)</f>
        <v>0.00</v>
      </c>
      <c r="U86" s="3" t="str">
        <f>FIXED(VLOOKUP($A86,'Small Sample 1-Single Family'!$A:$R,U$1,0),2)</f>
        <v>1.00</v>
      </c>
      <c r="V86" s="3" t="str">
        <f>FIXED(VLOOKUP($A86,'Small Sample 1-Single Family'!$A:$R,V$1,0),2)</f>
        <v>1.00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0.00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0.00</v>
      </c>
      <c r="AC86" s="3" t="str">
        <f>FIXED(VLOOKUP($A86,'Small Sample 2-Single Family'!$A:$R,AC$1,0),2)</f>
        <v>1.00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0.00</v>
      </c>
      <c r="AG86" s="3" t="str">
        <f>FIXED(VLOOKUP($A86,'Small Sample 2-Single Family'!$A:$R,AG$1,0),2)</f>
        <v>1.00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12.60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13.29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5.17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4.88</v>
      </c>
      <c r="T87" s="3" t="str">
        <f>FIXED(VLOOKUP($A87,'Small Sample 1-Single Family'!$A:$R,T$1,0),2)</f>
        <v>12.48</v>
      </c>
      <c r="U87" s="3" t="str">
        <f>FIXED(VLOOKUP($A87,'Small Sample 1-Single Family'!$A:$R,U$1,0),2)</f>
        <v>0.00</v>
      </c>
      <c r="V87" s="3" t="str">
        <f>FIXED(VLOOKUP($A87,'Small Sample 1-Single Family'!$A:$R,V$1,0),2)</f>
        <v>88.00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13.26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6.31</v>
      </c>
      <c r="AJ87" s="3" t="str">
        <f>FIXED(VLOOKUP($A87,'Small Sample 2-Single Family'!$A:$R,AJ$1,0),2)</f>
        <v>14.43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0.96</v>
      </c>
      <c r="D88" s="3" t="str">
        <f>FIXED(VLOOKUP($A88,'Full Sample-Single Family'!$A:$R,D$1,0),2)</f>
        <v>3.58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0.98</v>
      </c>
      <c r="H88" s="3" t="str">
        <f>FIXED(VLOOKUP($A88,'Full Sample-Single Family'!$A:$R,H$1,0),2)</f>
        <v>3.52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0.93</v>
      </c>
      <c r="L88" s="3" t="str">
        <f>FIXED(VLOOKUP($A88,'Full Sample-Single Family'!$A:$R,L$1,0),2)</f>
        <v>3.67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0.89</v>
      </c>
      <c r="P88" s="3" t="str">
        <f>FIXED(VLOOKUP($A88,'Small Sample 1-Single Family'!$A:$R,P$1,0),2)</f>
        <v>3.53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0.86</v>
      </c>
      <c r="T88" s="3" t="str">
        <f>FIXED(VLOOKUP($A88,'Small Sample 1-Single Family'!$A:$R,T$1,0),2)</f>
        <v>3.43</v>
      </c>
      <c r="U88" s="3" t="str">
        <f>FIXED(VLOOKUP($A88,'Small Sample 1-Single Family'!$A:$R,U$1,0),2)</f>
        <v>0.03</v>
      </c>
      <c r="V88" s="3" t="str">
        <f>FIXED(VLOOKUP($A88,'Small Sample 1-Single Family'!$A:$R,V$1,0),2)</f>
        <v>128.92</v>
      </c>
      <c r="W88" s="3" t="str">
        <f>FIXED(VLOOKUP($A88,'Small Sample 1-Single Family'!$A:$R,W$1,0),2)</f>
        <v>0.92</v>
      </c>
      <c r="X88" s="3" t="str">
        <f>FIXED(VLOOKUP($A88,'Small Sample 1-Single Family'!$A:$R,X$1,0),2)</f>
        <v>3.64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0.89</v>
      </c>
      <c r="AB88" s="3" t="str">
        <f>FIXED(VLOOKUP($A88,'Small Sample 2-Single Family'!$A:$R,AB$1,0),2)</f>
        <v>3.53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0.96</v>
      </c>
      <c r="AF88" s="3" t="str">
        <f>FIXED(VLOOKUP($A88,'Small Sample 2-Single Family'!$A:$R,AF$1,0),2)</f>
        <v>3.51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3.56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289.77</v>
      </c>
      <c r="D89" s="3" t="str">
        <f>FIXED(VLOOKUP($A89,'Full Sample-Single Family'!$A:$R,D$1,0),2)</f>
        <v>543.24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289.77</v>
      </c>
      <c r="L89" s="3" t="str">
        <f>FIXED(VLOOKUP($A89,'Full Sample-Single Family'!$A:$R,L$1,0),2)</f>
        <v>543.24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295.14</v>
      </c>
      <c r="P89" s="3" t="str">
        <f>FIXED(VLOOKUP($A89,'Small Sample 1-Single Family'!$A:$R,P$1,0),2)</f>
        <v>549.64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0.00</v>
      </c>
      <c r="T89" s="3" t="str">
        <f>FIXED(VLOOKUP($A89,'Small Sample 1-Single Family'!$A:$R,T$1,0),2)</f>
        <v>0.00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0.00</v>
      </c>
      <c r="W89" s="3" t="str">
        <f>FIXED(VLOOKUP($A89,'Small Sample 1-Single Family'!$A:$R,W$1,0),2)</f>
        <v>295.14</v>
      </c>
      <c r="X89" s="3" t="str">
        <f>FIXED(VLOOKUP($A89,'Small Sample 1-Single Family'!$A:$R,X$1,0),2)</f>
        <v>549.64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287.46</v>
      </c>
      <c r="AB89" s="3" t="str">
        <f>FIXED(VLOOKUP($A89,'Small Sample 2-Single Family'!$A:$R,AB$1,0),2)</f>
        <v>542.77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287.46</v>
      </c>
      <c r="AJ89" s="3" t="str">
        <f>FIXED(VLOOKUP($A89,'Small Sample 2-Single Family'!$A:$R,AJ$1,0),2)</f>
        <v>542.77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0.00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0.00</v>
      </c>
      <c r="V91" s="3" t="str">
        <f>FIXED(VLOOKUP($A91,'Small Sample 1-Single Family'!$A:$R,V$1,0),2)</f>
        <v>0.00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1.00</v>
      </c>
      <c r="T92" s="3" t="str">
        <f>FIXED(VLOOKUP($A92,'Small Sample 1-Single Family'!$A:$R,T$1,0),2)</f>
        <v>0.00</v>
      </c>
      <c r="U92" s="3" t="str">
        <f>FIXED(VLOOKUP($A92,'Small Sample 1-Single Family'!$A:$R,U$1,0),2)</f>
        <v>1.00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2"/>
  <sheetViews>
    <sheetView topLeftCell="A172" workbookViewId="0">
      <selection activeCell="H51" sqref="H51"/>
    </sheetView>
  </sheetViews>
  <sheetFormatPr defaultRowHeight="15" x14ac:dyDescent="0.25"/>
  <cols>
    <col min="2" max="3" width="27.5703125" bestFit="1" customWidth="1"/>
    <col min="4" max="4" width="28.5703125" bestFit="1" customWidth="1"/>
    <col min="5" max="5" width="30.7109375" bestFit="1" customWidth="1"/>
    <col min="6" max="8" width="31.7109375" bestFit="1" customWidth="1"/>
  </cols>
  <sheetData>
    <row r="2" spans="1:8" x14ac:dyDescent="0.25">
      <c r="B2" t="s">
        <v>192</v>
      </c>
      <c r="C2" t="s">
        <v>192</v>
      </c>
      <c r="D2" t="s">
        <v>310</v>
      </c>
      <c r="E2" t="s">
        <v>427</v>
      </c>
      <c r="F2" t="s">
        <v>193</v>
      </c>
      <c r="G2" t="s">
        <v>193</v>
      </c>
      <c r="H2" t="s">
        <v>193</v>
      </c>
    </row>
    <row r="3" spans="1:8" x14ac:dyDescent="0.25">
      <c r="E3" t="s">
        <v>311</v>
      </c>
      <c r="F3" t="s">
        <v>312</v>
      </c>
    </row>
    <row r="4" spans="1:8" x14ac:dyDescent="0.25">
      <c r="C4" t="s">
        <v>195</v>
      </c>
      <c r="D4" t="s">
        <v>315</v>
      </c>
      <c r="E4" t="s">
        <v>428</v>
      </c>
      <c r="F4" t="s">
        <v>194</v>
      </c>
      <c r="G4" t="s">
        <v>194</v>
      </c>
      <c r="H4" t="s">
        <v>194</v>
      </c>
    </row>
    <row r="5" spans="1:8" x14ac:dyDescent="0.25">
      <c r="E5" t="s">
        <v>313</v>
      </c>
      <c r="F5" t="s">
        <v>314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195</v>
      </c>
      <c r="C7" t="s">
        <v>195</v>
      </c>
      <c r="D7" t="s">
        <v>315</v>
      </c>
      <c r="E7" t="s">
        <v>428</v>
      </c>
      <c r="F7" t="s">
        <v>194</v>
      </c>
      <c r="G7" t="s">
        <v>194</v>
      </c>
      <c r="H7" t="s">
        <v>194</v>
      </c>
    </row>
    <row r="8" spans="1:8" x14ac:dyDescent="0.25">
      <c r="A8">
        <v>1</v>
      </c>
      <c r="B8" t="s">
        <v>11</v>
      </c>
      <c r="C8" t="s">
        <v>429</v>
      </c>
      <c r="D8" t="s">
        <v>430</v>
      </c>
      <c r="E8">
        <v>1.4999999999999999E-2</v>
      </c>
      <c r="F8" t="s">
        <v>431</v>
      </c>
      <c r="G8" t="s">
        <v>432</v>
      </c>
      <c r="H8" t="s">
        <v>433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317</v>
      </c>
      <c r="E11" t="s">
        <v>249</v>
      </c>
      <c r="F11" t="s">
        <v>249</v>
      </c>
      <c r="G11" t="s">
        <v>249</v>
      </c>
      <c r="H11" t="s">
        <v>434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197</v>
      </c>
      <c r="D14" t="s">
        <v>435</v>
      </c>
      <c r="E14" t="s">
        <v>228</v>
      </c>
      <c r="F14" t="s">
        <v>436</v>
      </c>
      <c r="G14" t="s">
        <v>201</v>
      </c>
      <c r="H14" t="s">
        <v>437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207</v>
      </c>
      <c r="E17" t="s">
        <v>438</v>
      </c>
      <c r="F17" t="s">
        <v>439</v>
      </c>
      <c r="G17" t="s">
        <v>440</v>
      </c>
      <c r="H17" t="s">
        <v>224</v>
      </c>
    </row>
    <row r="18" spans="1:8" x14ac:dyDescent="0.25">
      <c r="A18">
        <f t="shared" ref="A18:A49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203</v>
      </c>
      <c r="D20" t="s">
        <v>316</v>
      </c>
      <c r="E20" t="s">
        <v>441</v>
      </c>
      <c r="F20" t="s">
        <v>199</v>
      </c>
      <c r="G20" t="s">
        <v>442</v>
      </c>
      <c r="H20" t="s">
        <v>436</v>
      </c>
    </row>
    <row r="21" spans="1:8" x14ac:dyDescent="0.25">
      <c r="A21">
        <f t="shared" ref="A21:A52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204</v>
      </c>
      <c r="D23" t="s">
        <v>246</v>
      </c>
      <c r="E23">
        <v>1.9E-2</v>
      </c>
      <c r="F23">
        <v>5.0000000000000001E-3</v>
      </c>
      <c r="G23" t="s">
        <v>443</v>
      </c>
      <c r="H23" t="s">
        <v>196</v>
      </c>
    </row>
    <row r="24" spans="1:8" x14ac:dyDescent="0.25">
      <c r="A24">
        <f t="shared" ref="A24:A55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205</v>
      </c>
      <c r="D26" t="s">
        <v>444</v>
      </c>
      <c r="E26" t="s">
        <v>212</v>
      </c>
      <c r="F26" t="s">
        <v>208</v>
      </c>
      <c r="G26" t="s">
        <v>445</v>
      </c>
      <c r="H26" t="s">
        <v>446</v>
      </c>
    </row>
    <row r="27" spans="1:8" x14ac:dyDescent="0.25">
      <c r="A27">
        <f t="shared" ref="A27:A58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209</v>
      </c>
      <c r="D29" t="s">
        <v>447</v>
      </c>
      <c r="E29" t="s">
        <v>448</v>
      </c>
      <c r="F29" t="s">
        <v>449</v>
      </c>
      <c r="G29" t="s">
        <v>450</v>
      </c>
      <c r="H29" t="s">
        <v>451</v>
      </c>
    </row>
    <row r="30" spans="1:8" x14ac:dyDescent="0.25">
      <c r="A30">
        <f t="shared" ref="A30:A61" si="9">A29+1</f>
        <v>16</v>
      </c>
      <c r="D30">
        <v>-2.3E-2</v>
      </c>
      <c r="E30">
        <v>-1.4E-2</v>
      </c>
      <c r="F30">
        <v>-1.2999999999999999E-2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211</v>
      </c>
      <c r="D32" t="s">
        <v>452</v>
      </c>
      <c r="E32" t="s">
        <v>453</v>
      </c>
      <c r="F32" t="s">
        <v>454</v>
      </c>
      <c r="G32" t="s">
        <v>455</v>
      </c>
      <c r="H32" t="s">
        <v>210</v>
      </c>
    </row>
    <row r="33" spans="1:8" x14ac:dyDescent="0.25">
      <c r="A33">
        <f t="shared" ref="A33:A64" si="11">A32+1</f>
        <v>18</v>
      </c>
      <c r="D33">
        <v>-3.9E-2</v>
      </c>
      <c r="E33">
        <v>-2.4E-2</v>
      </c>
      <c r="F33">
        <v>-2.1000000000000001E-2</v>
      </c>
      <c r="G33">
        <v>-1.9E-2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456</v>
      </c>
      <c r="F35" t="s">
        <v>250</v>
      </c>
      <c r="G35" t="s">
        <v>251</v>
      </c>
      <c r="H35" t="s">
        <v>457</v>
      </c>
    </row>
    <row r="36" spans="1:8" x14ac:dyDescent="0.25">
      <c r="A36">
        <f t="shared" ref="A36:A67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458</v>
      </c>
      <c r="F38" t="s">
        <v>206</v>
      </c>
      <c r="G38" t="s">
        <v>198</v>
      </c>
      <c r="H38" t="s">
        <v>437</v>
      </c>
    </row>
    <row r="39" spans="1:8" x14ac:dyDescent="0.25">
      <c r="A39">
        <f t="shared" ref="A39:A70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459</v>
      </c>
      <c r="F41" t="s">
        <v>460</v>
      </c>
      <c r="G41" t="s">
        <v>454</v>
      </c>
      <c r="H41" t="s">
        <v>198</v>
      </c>
    </row>
    <row r="42" spans="1:8" x14ac:dyDescent="0.25">
      <c r="A42">
        <f t="shared" ref="A42:A73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461</v>
      </c>
      <c r="F44" t="s">
        <v>215</v>
      </c>
      <c r="G44" t="s">
        <v>462</v>
      </c>
      <c r="H44" t="s">
        <v>463</v>
      </c>
    </row>
    <row r="45" spans="1:8" x14ac:dyDescent="0.25">
      <c r="A45">
        <f t="shared" ref="A45:A76" si="19">A44+1</f>
        <v>26</v>
      </c>
      <c r="E45">
        <v>-4.0000000000000001E-3</v>
      </c>
      <c r="F45">
        <v>-4.0000000000000001E-3</v>
      </c>
      <c r="G45">
        <v>-4.0000000000000001E-3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464</v>
      </c>
      <c r="F47" t="s">
        <v>220</v>
      </c>
      <c r="G47" t="s">
        <v>231</v>
      </c>
      <c r="H47" t="s">
        <v>465</v>
      </c>
    </row>
    <row r="48" spans="1:8" x14ac:dyDescent="0.25">
      <c r="A48">
        <f t="shared" ref="A48:A79" si="21">A47+1</f>
        <v>28</v>
      </c>
      <c r="E48">
        <v>-4.0000000000000001E-3</v>
      </c>
      <c r="F48">
        <v>-5.0000000000000001E-3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217</v>
      </c>
      <c r="F50" t="s">
        <v>217</v>
      </c>
      <c r="G50" t="s">
        <v>218</v>
      </c>
      <c r="H50" t="s">
        <v>218</v>
      </c>
    </row>
    <row r="51" spans="1:8" x14ac:dyDescent="0.25">
      <c r="A51">
        <f t="shared" ref="A51:A82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466</v>
      </c>
      <c r="F53" t="s">
        <v>250</v>
      </c>
      <c r="G53" t="s">
        <v>467</v>
      </c>
      <c r="H53" t="s">
        <v>467</v>
      </c>
    </row>
    <row r="54" spans="1:8" x14ac:dyDescent="0.25">
      <c r="A54">
        <f t="shared" ref="A54:A85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468</v>
      </c>
      <c r="F56" t="s">
        <v>469</v>
      </c>
      <c r="G56" t="s">
        <v>470</v>
      </c>
      <c r="H56" t="s">
        <v>471</v>
      </c>
    </row>
    <row r="57" spans="1:8" x14ac:dyDescent="0.25">
      <c r="A57">
        <f t="shared" ref="A57:A88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-2E-3</v>
      </c>
      <c r="F59" t="s">
        <v>472</v>
      </c>
      <c r="G59" t="s">
        <v>473</v>
      </c>
      <c r="H59" t="s">
        <v>474</v>
      </c>
    </row>
    <row r="60" spans="1:8" x14ac:dyDescent="0.25">
      <c r="A60">
        <f t="shared" ref="A60:A91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221</v>
      </c>
      <c r="E62" t="s">
        <v>475</v>
      </c>
      <c r="F62" t="s">
        <v>476</v>
      </c>
      <c r="G62" t="s">
        <v>477</v>
      </c>
      <c r="H62" t="s">
        <v>449</v>
      </c>
    </row>
    <row r="63" spans="1:8" x14ac:dyDescent="0.25">
      <c r="A63">
        <f t="shared" ref="A63:A94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222</v>
      </c>
      <c r="E65" t="s">
        <v>223</v>
      </c>
      <c r="F65" t="s">
        <v>478</v>
      </c>
      <c r="G65" t="s">
        <v>454</v>
      </c>
      <c r="H65" t="s">
        <v>479</v>
      </c>
    </row>
    <row r="66" spans="1:8" x14ac:dyDescent="0.25">
      <c r="A66">
        <f t="shared" ref="A66:A97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225</v>
      </c>
      <c r="E68" t="s">
        <v>480</v>
      </c>
      <c r="F68" t="s">
        <v>227</v>
      </c>
      <c r="G68" t="s">
        <v>219</v>
      </c>
      <c r="H68" t="s">
        <v>226</v>
      </c>
    </row>
    <row r="69" spans="1:8" x14ac:dyDescent="0.25">
      <c r="A69">
        <f t="shared" ref="A69:A100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437</v>
      </c>
      <c r="G71" t="s">
        <v>481</v>
      </c>
      <c r="H71" t="s">
        <v>481</v>
      </c>
    </row>
    <row r="72" spans="1:8" x14ac:dyDescent="0.25">
      <c r="A72">
        <f t="shared" ref="A72:A103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230</v>
      </c>
      <c r="G74" t="s">
        <v>216</v>
      </c>
      <c r="H74" t="s">
        <v>242</v>
      </c>
    </row>
    <row r="75" spans="1:8" x14ac:dyDescent="0.25">
      <c r="A75">
        <f t="shared" ref="A75:A106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482</v>
      </c>
      <c r="G77" t="s">
        <v>483</v>
      </c>
      <c r="H77" t="s">
        <v>484</v>
      </c>
    </row>
    <row r="78" spans="1:8" x14ac:dyDescent="0.25">
      <c r="A78">
        <f t="shared" ref="A78:A109" si="41">A77+1</f>
        <v>48</v>
      </c>
      <c r="F78">
        <v>-6.0000000000000001E-3</v>
      </c>
      <c r="G78">
        <v>-5.0000000000000001E-3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 t="s">
        <v>485</v>
      </c>
      <c r="G80" t="s">
        <v>233</v>
      </c>
      <c r="H80" t="s">
        <v>232</v>
      </c>
    </row>
    <row r="81" spans="1:8" x14ac:dyDescent="0.25">
      <c r="A81">
        <f t="shared" ref="A81:A112" si="43">A80+1</f>
        <v>50</v>
      </c>
      <c r="F81">
        <v>-7.0000000000000001E-3</v>
      </c>
      <c r="G81">
        <v>-6.0000000000000001E-3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 t="s">
        <v>214</v>
      </c>
      <c r="G83" t="s">
        <v>486</v>
      </c>
      <c r="H83" t="s">
        <v>487</v>
      </c>
    </row>
    <row r="84" spans="1:8" x14ac:dyDescent="0.25">
      <c r="A84">
        <f t="shared" ref="A84:A115" si="45">A83+1</f>
        <v>52</v>
      </c>
      <c r="F84">
        <v>-5.0000000000000001E-3</v>
      </c>
      <c r="G84">
        <v>-4.0000000000000001E-3</v>
      </c>
      <c r="H84">
        <v>-4.0000000000000001E-3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488</v>
      </c>
      <c r="G86" t="s">
        <v>489</v>
      </c>
      <c r="H86" t="s">
        <v>235</v>
      </c>
    </row>
    <row r="87" spans="1:8" x14ac:dyDescent="0.25">
      <c r="A87">
        <f t="shared" ref="A87:A118" si="47">A86+1</f>
        <v>54</v>
      </c>
      <c r="F87">
        <v>-0.01</v>
      </c>
      <c r="G87">
        <v>-8.9999999999999993E-3</v>
      </c>
      <c r="H87">
        <v>-8.9999999999999993E-3</v>
      </c>
    </row>
    <row r="89" spans="1:8" x14ac:dyDescent="0.25">
      <c r="A89">
        <f t="shared" ref="A89" si="48">A87+1</f>
        <v>55</v>
      </c>
      <c r="B89" t="s">
        <v>29</v>
      </c>
      <c r="F89" t="s">
        <v>490</v>
      </c>
      <c r="G89" t="s">
        <v>491</v>
      </c>
      <c r="H89" t="s">
        <v>236</v>
      </c>
    </row>
    <row r="90" spans="1:8" x14ac:dyDescent="0.25">
      <c r="A90">
        <f t="shared" ref="A90:A121" si="49">A89+1</f>
        <v>56</v>
      </c>
      <c r="F90">
        <v>-1.4999999999999999E-2</v>
      </c>
      <c r="G90">
        <v>-1.2999999999999999E-2</v>
      </c>
      <c r="H90">
        <v>-1.2E-2</v>
      </c>
    </row>
    <row r="92" spans="1:8" x14ac:dyDescent="0.25">
      <c r="A92">
        <f t="shared" ref="A92" si="50">A90+1</f>
        <v>57</v>
      </c>
      <c r="B92" t="s">
        <v>31</v>
      </c>
      <c r="F92" t="s">
        <v>492</v>
      </c>
      <c r="G92" t="s">
        <v>493</v>
      </c>
      <c r="H92" t="s">
        <v>465</v>
      </c>
    </row>
    <row r="93" spans="1:8" x14ac:dyDescent="0.25">
      <c r="A93">
        <f t="shared" ref="A93:A124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237</v>
      </c>
      <c r="F95">
        <v>-1.4E-2</v>
      </c>
      <c r="G95" t="s">
        <v>494</v>
      </c>
      <c r="H95">
        <v>5.0000000000000001E-3</v>
      </c>
    </row>
    <row r="96" spans="1:8" x14ac:dyDescent="0.25">
      <c r="A96">
        <f t="shared" ref="A96:A127" si="53">A95+1</f>
        <v>60</v>
      </c>
      <c r="F96">
        <v>-1.6E-2</v>
      </c>
      <c r="G96">
        <v>-1.4E-2</v>
      </c>
      <c r="H96">
        <v>-1.2999999999999999E-2</v>
      </c>
    </row>
    <row r="98" spans="1:8" x14ac:dyDescent="0.25">
      <c r="A98">
        <f t="shared" ref="A98" si="54">A96+1</f>
        <v>61</v>
      </c>
      <c r="B98" t="s">
        <v>238</v>
      </c>
      <c r="F98" t="s">
        <v>239</v>
      </c>
      <c r="G98" t="s">
        <v>240</v>
      </c>
      <c r="H98" t="s">
        <v>495</v>
      </c>
    </row>
    <row r="99" spans="1:8" x14ac:dyDescent="0.25">
      <c r="A99">
        <f t="shared" ref="A99:A130" si="55">A98+1</f>
        <v>62</v>
      </c>
      <c r="F99">
        <v>-0.01</v>
      </c>
      <c r="G99">
        <v>-8.9999999999999993E-3</v>
      </c>
      <c r="H99">
        <v>-8.9999999999999993E-3</v>
      </c>
    </row>
    <row r="101" spans="1:8" x14ac:dyDescent="0.25">
      <c r="A101">
        <f t="shared" ref="A101" si="56">A99+1</f>
        <v>63</v>
      </c>
      <c r="B101" t="s">
        <v>241</v>
      </c>
      <c r="F101" t="s">
        <v>496</v>
      </c>
      <c r="G101" t="s">
        <v>242</v>
      </c>
      <c r="H101" t="s">
        <v>497</v>
      </c>
    </row>
    <row r="102" spans="1:8" x14ac:dyDescent="0.25">
      <c r="A102">
        <f t="shared" ref="A102:A133" si="57">A101+1</f>
        <v>64</v>
      </c>
      <c r="F102">
        <v>-5.0000000000000001E-3</v>
      </c>
      <c r="G102">
        <v>-4.0000000000000001E-3</v>
      </c>
      <c r="H102">
        <v>-4.0000000000000001E-3</v>
      </c>
    </row>
    <row r="104" spans="1:8" x14ac:dyDescent="0.25">
      <c r="A104">
        <f t="shared" ref="A104" si="58">A102+1</f>
        <v>65</v>
      </c>
      <c r="B104" t="s">
        <v>243</v>
      </c>
      <c r="F104" t="s">
        <v>234</v>
      </c>
      <c r="G104" t="s">
        <v>498</v>
      </c>
      <c r="H104" t="s">
        <v>499</v>
      </c>
    </row>
    <row r="105" spans="1:8" x14ac:dyDescent="0.25">
      <c r="A105">
        <f t="shared" ref="A105:A136" si="59">A104+1</f>
        <v>66</v>
      </c>
      <c r="F105">
        <v>-6.0000000000000001E-3</v>
      </c>
      <c r="G105">
        <v>-5.0000000000000001E-3</v>
      </c>
      <c r="H105">
        <v>-5.0000000000000001E-3</v>
      </c>
    </row>
    <row r="107" spans="1:8" x14ac:dyDescent="0.25">
      <c r="A107">
        <f t="shared" ref="A107" si="60">A105+1</f>
        <v>67</v>
      </c>
      <c r="B107" t="s">
        <v>244</v>
      </c>
      <c r="F107" t="s">
        <v>224</v>
      </c>
      <c r="G107" t="s">
        <v>494</v>
      </c>
      <c r="H107">
        <v>5.0000000000000001E-3</v>
      </c>
    </row>
    <row r="108" spans="1:8" x14ac:dyDescent="0.25">
      <c r="A108">
        <f t="shared" ref="A108:A139" si="61">A107+1</f>
        <v>68</v>
      </c>
      <c r="F108">
        <v>-0.01</v>
      </c>
      <c r="G108">
        <v>-8.9999999999999993E-3</v>
      </c>
      <c r="H108">
        <v>-8.0000000000000002E-3</v>
      </c>
    </row>
    <row r="110" spans="1:8" x14ac:dyDescent="0.25">
      <c r="A110">
        <f t="shared" ref="A110" si="62">A108+1</f>
        <v>69</v>
      </c>
      <c r="B110" t="s">
        <v>245</v>
      </c>
      <c r="F110" t="s">
        <v>500</v>
      </c>
      <c r="G110" t="s">
        <v>202</v>
      </c>
      <c r="H110" t="s">
        <v>466</v>
      </c>
    </row>
    <row r="111" spans="1:8" x14ac:dyDescent="0.25">
      <c r="A111">
        <f t="shared" ref="A111:A142" si="63">A110+1</f>
        <v>70</v>
      </c>
      <c r="F111">
        <v>-7.0000000000000001E-3</v>
      </c>
      <c r="G111">
        <v>-7.0000000000000001E-3</v>
      </c>
      <c r="H111">
        <v>-6.0000000000000001E-3</v>
      </c>
    </row>
    <row r="113" spans="1:8" x14ac:dyDescent="0.25">
      <c r="A113">
        <f t="shared" ref="A113" si="64">A111+1</f>
        <v>71</v>
      </c>
      <c r="B113" t="s">
        <v>247</v>
      </c>
      <c r="F113" t="s">
        <v>501</v>
      </c>
      <c r="G113" t="s">
        <v>502</v>
      </c>
      <c r="H113" t="s">
        <v>503</v>
      </c>
    </row>
    <row r="114" spans="1:8" x14ac:dyDescent="0.25">
      <c r="A114">
        <f t="shared" ref="A114:A145" si="65">A113+1</f>
        <v>72</v>
      </c>
      <c r="F114">
        <v>-1.2E-2</v>
      </c>
      <c r="G114">
        <v>-0.01</v>
      </c>
      <c r="H114">
        <v>-1.0999999999999999E-2</v>
      </c>
    </row>
    <row r="116" spans="1:8" x14ac:dyDescent="0.25">
      <c r="A116">
        <f t="shared" ref="A116" si="66">A114+1</f>
        <v>73</v>
      </c>
      <c r="B116" t="s">
        <v>166</v>
      </c>
      <c r="F116" t="s">
        <v>504</v>
      </c>
      <c r="G116" t="s">
        <v>248</v>
      </c>
      <c r="H116" t="s">
        <v>505</v>
      </c>
    </row>
    <row r="117" spans="1:8" x14ac:dyDescent="0.25">
      <c r="A117">
        <f t="shared" ref="A117:A148" si="67">A116+1</f>
        <v>74</v>
      </c>
      <c r="F117">
        <v>-8.0000000000000002E-3</v>
      </c>
      <c r="G117">
        <v>-7.0000000000000001E-3</v>
      </c>
      <c r="H117">
        <v>-7.0000000000000001E-3</v>
      </c>
    </row>
    <row r="119" spans="1:8" x14ac:dyDescent="0.25">
      <c r="A119">
        <f t="shared" ref="A119" si="68">A117+1</f>
        <v>75</v>
      </c>
      <c r="B119" t="s">
        <v>167</v>
      </c>
      <c r="F119" t="s">
        <v>506</v>
      </c>
      <c r="G119" t="s">
        <v>507</v>
      </c>
      <c r="H119" t="s">
        <v>508</v>
      </c>
    </row>
    <row r="120" spans="1:8" x14ac:dyDescent="0.25">
      <c r="A120">
        <f t="shared" ref="A120:A151" si="69">A119+1</f>
        <v>76</v>
      </c>
      <c r="F120">
        <v>-8.9999999999999993E-3</v>
      </c>
      <c r="G120">
        <v>-8.0000000000000002E-3</v>
      </c>
      <c r="H120">
        <v>-8.0000000000000002E-3</v>
      </c>
    </row>
    <row r="122" spans="1:8" x14ac:dyDescent="0.25">
      <c r="A122">
        <f t="shared" ref="A122" si="70">A120+1</f>
        <v>77</v>
      </c>
      <c r="B122" t="s">
        <v>168</v>
      </c>
      <c r="F122" t="s">
        <v>509</v>
      </c>
      <c r="G122" t="s">
        <v>510</v>
      </c>
      <c r="H122" t="s">
        <v>511</v>
      </c>
    </row>
    <row r="123" spans="1:8" x14ac:dyDescent="0.25">
      <c r="A123">
        <f t="shared" ref="A123:A154" si="71">A122+1</f>
        <v>78</v>
      </c>
      <c r="F123">
        <v>-1.0999999999999999E-2</v>
      </c>
      <c r="G123">
        <v>-0.01</v>
      </c>
      <c r="H123">
        <v>-8.9999999999999993E-3</v>
      </c>
    </row>
    <row r="125" spans="1:8" x14ac:dyDescent="0.25">
      <c r="A125">
        <f t="shared" ref="A125" si="72">A123+1</f>
        <v>79</v>
      </c>
      <c r="B125" t="s">
        <v>169</v>
      </c>
      <c r="F125" t="s">
        <v>512</v>
      </c>
      <c r="G125" t="s">
        <v>513</v>
      </c>
      <c r="H125" t="s">
        <v>514</v>
      </c>
    </row>
    <row r="126" spans="1:8" x14ac:dyDescent="0.25">
      <c r="A126">
        <f t="shared" ref="A126:A157" si="73">A125+1</f>
        <v>80</v>
      </c>
      <c r="F126">
        <v>-0.01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170</v>
      </c>
      <c r="F128" t="s">
        <v>515</v>
      </c>
      <c r="G128" t="s">
        <v>515</v>
      </c>
      <c r="H128" t="s">
        <v>516</v>
      </c>
    </row>
    <row r="129" spans="1:8" x14ac:dyDescent="0.25">
      <c r="A129">
        <f t="shared" ref="A129:A160" si="75">A128+1</f>
        <v>82</v>
      </c>
      <c r="F129">
        <v>-1.2E-2</v>
      </c>
      <c r="G129">
        <v>-1.0999999999999999E-2</v>
      </c>
      <c r="H129">
        <v>-0.01</v>
      </c>
    </row>
    <row r="131" spans="1:8" x14ac:dyDescent="0.25">
      <c r="A131">
        <f t="shared" ref="A131" si="76">A129+1</f>
        <v>83</v>
      </c>
      <c r="B131" t="s">
        <v>50</v>
      </c>
      <c r="F131" t="s">
        <v>517</v>
      </c>
      <c r="G131" t="s">
        <v>249</v>
      </c>
      <c r="H131">
        <v>3.0000000000000001E-5</v>
      </c>
    </row>
    <row r="132" spans="1:8" x14ac:dyDescent="0.25">
      <c r="A132">
        <f t="shared" ref="A132:A163" si="77">A131+1</f>
        <v>84</v>
      </c>
      <c r="F132">
        <v>-3.0000000000000001E-5</v>
      </c>
      <c r="G132">
        <v>-3.0000000000000001E-5</v>
      </c>
      <c r="H132">
        <v>-3.0000000000000001E-5</v>
      </c>
    </row>
    <row r="134" spans="1:8" x14ac:dyDescent="0.25">
      <c r="A134">
        <f t="shared" ref="A134" si="78">A132+1</f>
        <v>85</v>
      </c>
      <c r="B134" t="s">
        <v>52</v>
      </c>
      <c r="F134" t="s">
        <v>252</v>
      </c>
      <c r="G134">
        <v>-1E-3</v>
      </c>
      <c r="H134" t="s">
        <v>518</v>
      </c>
    </row>
    <row r="135" spans="1:8" x14ac:dyDescent="0.25">
      <c r="A135">
        <f t="shared" ref="A135:A166" si="79">A134+1</f>
        <v>86</v>
      </c>
      <c r="F135">
        <v>-3.0000000000000001E-3</v>
      </c>
      <c r="G135">
        <v>-3.0000000000000001E-3</v>
      </c>
      <c r="H135">
        <v>-3.0000000000000001E-3</v>
      </c>
    </row>
    <row r="137" spans="1:8" x14ac:dyDescent="0.25">
      <c r="A137">
        <f t="shared" ref="A137" si="80">A135+1</f>
        <v>87</v>
      </c>
      <c r="B137" t="s">
        <v>51</v>
      </c>
      <c r="F137" t="s">
        <v>229</v>
      </c>
      <c r="G137" t="s">
        <v>213</v>
      </c>
      <c r="H137" t="s">
        <v>519</v>
      </c>
    </row>
    <row r="138" spans="1:8" x14ac:dyDescent="0.25">
      <c r="A138">
        <f t="shared" ref="A138:A169" si="81">A137+1</f>
        <v>88</v>
      </c>
      <c r="F138">
        <v>-1E-3</v>
      </c>
      <c r="G138">
        <v>-1E-3</v>
      </c>
      <c r="H138">
        <v>-1E-3</v>
      </c>
    </row>
    <row r="140" spans="1:8" x14ac:dyDescent="0.25">
      <c r="A140">
        <f t="shared" ref="A140" si="82">A138+1</f>
        <v>89</v>
      </c>
      <c r="B140" t="s">
        <v>164</v>
      </c>
      <c r="G140" t="s">
        <v>254</v>
      </c>
      <c r="H140" t="s">
        <v>520</v>
      </c>
    </row>
    <row r="141" spans="1:8" x14ac:dyDescent="0.25">
      <c r="A141">
        <f t="shared" ref="A141:A172" si="83">A140+1</f>
        <v>90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39</v>
      </c>
      <c r="G143" t="s">
        <v>521</v>
      </c>
      <c r="H143" t="s">
        <v>522</v>
      </c>
    </row>
    <row r="144" spans="1:8" x14ac:dyDescent="0.25">
      <c r="A144">
        <f t="shared" ref="A144:A175" si="85">A143+1</f>
        <v>92</v>
      </c>
      <c r="G144">
        <v>-4.0000000000000001E-3</v>
      </c>
      <c r="H144">
        <v>-4.0000000000000001E-3</v>
      </c>
    </row>
    <row r="146" spans="1:8" x14ac:dyDescent="0.25">
      <c r="A146">
        <f t="shared" ref="A146" si="86">A144+1</f>
        <v>93</v>
      </c>
      <c r="B146" t="s">
        <v>40</v>
      </c>
      <c r="G146" t="s">
        <v>255</v>
      </c>
      <c r="H146" t="s">
        <v>254</v>
      </c>
    </row>
    <row r="147" spans="1:8" x14ac:dyDescent="0.25">
      <c r="A147">
        <f t="shared" ref="A147:A192" si="87">A146+1</f>
        <v>94</v>
      </c>
      <c r="G147">
        <v>-1E-3</v>
      </c>
      <c r="H147">
        <v>-1E-3</v>
      </c>
    </row>
    <row r="149" spans="1:8" x14ac:dyDescent="0.25">
      <c r="A149">
        <f t="shared" ref="A149" si="88">A147+1</f>
        <v>95</v>
      </c>
      <c r="B149" t="s">
        <v>41</v>
      </c>
      <c r="G149" t="s">
        <v>255</v>
      </c>
      <c r="H149" t="s">
        <v>253</v>
      </c>
    </row>
    <row r="150" spans="1:8" x14ac:dyDescent="0.25">
      <c r="A150">
        <f t="shared" ref="A150:A192" si="89">A149+1</f>
        <v>96</v>
      </c>
      <c r="G150">
        <v>-5.0000000000000001E-4</v>
      </c>
      <c r="H150">
        <v>-5.0000000000000001E-4</v>
      </c>
    </row>
    <row r="152" spans="1:8" x14ac:dyDescent="0.25">
      <c r="A152">
        <f t="shared" ref="A152" si="90">A150+1</f>
        <v>97</v>
      </c>
      <c r="B152" t="s">
        <v>173</v>
      </c>
      <c r="G152" t="s">
        <v>523</v>
      </c>
      <c r="H152" t="s">
        <v>256</v>
      </c>
    </row>
    <row r="153" spans="1:8" x14ac:dyDescent="0.25">
      <c r="A153">
        <f t="shared" ref="A153:A192" si="91">A152+1</f>
        <v>98</v>
      </c>
      <c r="G153">
        <v>-2.9999999999999997E-4</v>
      </c>
      <c r="H153">
        <v>-2.9999999999999997E-4</v>
      </c>
    </row>
    <row r="155" spans="1:8" x14ac:dyDescent="0.25">
      <c r="A155">
        <f t="shared" ref="A155" si="92">A153+1</f>
        <v>99</v>
      </c>
      <c r="B155" t="s">
        <v>174</v>
      </c>
      <c r="G155" t="s">
        <v>481</v>
      </c>
      <c r="H155" t="s">
        <v>524</v>
      </c>
    </row>
    <row r="156" spans="1:8" x14ac:dyDescent="0.25">
      <c r="A156">
        <f t="shared" ref="A156:A192" si="93">A155+1</f>
        <v>100</v>
      </c>
      <c r="G156">
        <v>-1E-3</v>
      </c>
      <c r="H156">
        <v>-1E-3</v>
      </c>
    </row>
    <row r="158" spans="1:8" x14ac:dyDescent="0.25">
      <c r="A158">
        <f t="shared" ref="A158" si="94">A156+1</f>
        <v>101</v>
      </c>
      <c r="B158" t="s">
        <v>175</v>
      </c>
      <c r="G158" t="s">
        <v>525</v>
      </c>
      <c r="H158" t="s">
        <v>526</v>
      </c>
    </row>
    <row r="159" spans="1:8" x14ac:dyDescent="0.25">
      <c r="A159">
        <f t="shared" ref="A159:A192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53</v>
      </c>
      <c r="G161" t="s">
        <v>258</v>
      </c>
      <c r="H161" t="s">
        <v>258</v>
      </c>
    </row>
    <row r="162" spans="1:8" x14ac:dyDescent="0.25">
      <c r="A162">
        <f t="shared" ref="A162:A192" si="97">A161+1</f>
        <v>104</v>
      </c>
      <c r="G162">
        <v>0</v>
      </c>
      <c r="H162">
        <v>0</v>
      </c>
    </row>
    <row r="164" spans="1:8" x14ac:dyDescent="0.25">
      <c r="A164">
        <f t="shared" ref="A164" si="98">A162+1</f>
        <v>105</v>
      </c>
      <c r="B164" t="s">
        <v>54</v>
      </c>
      <c r="G164" t="s">
        <v>257</v>
      </c>
      <c r="H164" t="s">
        <v>257</v>
      </c>
    </row>
    <row r="165" spans="1:8" x14ac:dyDescent="0.25">
      <c r="A165">
        <f t="shared" ref="A165:A192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43</v>
      </c>
      <c r="H167" t="s">
        <v>527</v>
      </c>
    </row>
    <row r="168" spans="1:8" x14ac:dyDescent="0.25">
      <c r="A168">
        <f t="shared" ref="A168:A192" si="101">A167+1</f>
        <v>108</v>
      </c>
      <c r="H168">
        <v>-3.7999999999999999E-2</v>
      </c>
    </row>
    <row r="170" spans="1:8" x14ac:dyDescent="0.25">
      <c r="A170">
        <f t="shared" ref="A170" si="102">A168+1</f>
        <v>109</v>
      </c>
      <c r="B170" t="s">
        <v>44</v>
      </c>
      <c r="H170" t="s">
        <v>528</v>
      </c>
    </row>
    <row r="171" spans="1:8" x14ac:dyDescent="0.25">
      <c r="A171">
        <f t="shared" ref="A171:A192" si="103">A170+1</f>
        <v>110</v>
      </c>
      <c r="H171">
        <v>-8.0000000000000002E-3</v>
      </c>
    </row>
    <row r="173" spans="1:8" x14ac:dyDescent="0.25">
      <c r="A173">
        <f t="shared" ref="A173" si="104">A171+1</f>
        <v>111</v>
      </c>
      <c r="B173" t="s">
        <v>45</v>
      </c>
      <c r="H173" t="s">
        <v>529</v>
      </c>
    </row>
    <row r="174" spans="1:8" x14ac:dyDescent="0.25">
      <c r="A174">
        <f t="shared" ref="A174:A192" si="105">A173+1</f>
        <v>112</v>
      </c>
      <c r="H174">
        <v>-1.4999999999999999E-2</v>
      </c>
    </row>
    <row r="176" spans="1:8" x14ac:dyDescent="0.25">
      <c r="A176">
        <f t="shared" ref="A176" si="106">A174+1</f>
        <v>113</v>
      </c>
      <c r="B176" t="s">
        <v>48</v>
      </c>
      <c r="H176" t="s">
        <v>530</v>
      </c>
    </row>
    <row r="177" spans="1:8" x14ac:dyDescent="0.25">
      <c r="A177">
        <f t="shared" ref="A177:A192" si="107">A176+1</f>
        <v>114</v>
      </c>
      <c r="H177">
        <v>-8.0000000000000002E-3</v>
      </c>
    </row>
    <row r="179" spans="1:8" x14ac:dyDescent="0.25">
      <c r="A179">
        <f t="shared" ref="A179" si="108">A177+1</f>
        <v>115</v>
      </c>
      <c r="B179" t="s">
        <v>46</v>
      </c>
      <c r="H179" t="s">
        <v>531</v>
      </c>
    </row>
    <row r="180" spans="1:8" x14ac:dyDescent="0.25">
      <c r="A180">
        <f t="shared" ref="A180:A192" si="109">A179+1</f>
        <v>116</v>
      </c>
      <c r="H180">
        <v>-1.0999999999999999E-2</v>
      </c>
    </row>
    <row r="182" spans="1:8" x14ac:dyDescent="0.25">
      <c r="A182">
        <f t="shared" ref="A182" si="110">A180+1</f>
        <v>117</v>
      </c>
      <c r="B182" t="s">
        <v>259</v>
      </c>
      <c r="C182" t="s">
        <v>532</v>
      </c>
      <c r="D182" t="s">
        <v>533</v>
      </c>
      <c r="E182" t="s">
        <v>534</v>
      </c>
      <c r="F182" t="s">
        <v>535</v>
      </c>
      <c r="G182" t="s">
        <v>536</v>
      </c>
      <c r="H182" t="s">
        <v>537</v>
      </c>
    </row>
    <row r="183" spans="1:8" x14ac:dyDescent="0.25">
      <c r="A183">
        <f t="shared" ref="A183:A192" si="111">A182+1</f>
        <v>118</v>
      </c>
      <c r="C183">
        <v>-3.0000000000000001E-3</v>
      </c>
      <c r="D183">
        <v>-8.0000000000000002E-3</v>
      </c>
      <c r="E183">
        <v>-8.9999999999999993E-3</v>
      </c>
      <c r="F183">
        <v>-1.2999999999999999E-2</v>
      </c>
      <c r="G183">
        <v>-0.83599999999999997</v>
      </c>
      <c r="H183">
        <v>-0.80400000000000005</v>
      </c>
    </row>
    <row r="185" spans="1:8" x14ac:dyDescent="0.25">
      <c r="A185">
        <f t="shared" ref="A185" si="112">A183+1</f>
        <v>119</v>
      </c>
      <c r="B185" t="s">
        <v>195</v>
      </c>
      <c r="C185" t="s">
        <v>195</v>
      </c>
      <c r="D185" t="s">
        <v>315</v>
      </c>
      <c r="E185" t="s">
        <v>428</v>
      </c>
      <c r="F185" t="s">
        <v>194</v>
      </c>
      <c r="G185" t="s">
        <v>194</v>
      </c>
      <c r="H185" t="s">
        <v>194</v>
      </c>
    </row>
    <row r="186" spans="1:8" x14ac:dyDescent="0.25">
      <c r="A186">
        <f t="shared" ref="A186:A192" si="113">A185+1</f>
        <v>120</v>
      </c>
      <c r="B186" t="s">
        <v>187</v>
      </c>
      <c r="C186" s="1">
        <v>50625</v>
      </c>
      <c r="D186" s="1">
        <v>50625</v>
      </c>
      <c r="E186" s="1">
        <v>50625</v>
      </c>
      <c r="F186" s="1">
        <v>50625</v>
      </c>
      <c r="G186" s="1">
        <v>50625</v>
      </c>
      <c r="H186" s="1">
        <v>50625</v>
      </c>
    </row>
    <row r="187" spans="1:8" x14ac:dyDescent="0.25">
      <c r="A187">
        <v>121</v>
      </c>
      <c r="B187" t="s">
        <v>260</v>
      </c>
      <c r="C187">
        <v>4.0000000000000001E-3</v>
      </c>
      <c r="D187">
        <v>1.7000000000000001E-2</v>
      </c>
      <c r="E187">
        <v>0.63700000000000001</v>
      </c>
      <c r="F187">
        <v>0.71799999999999997</v>
      </c>
      <c r="G187">
        <v>0.78400000000000003</v>
      </c>
      <c r="H187">
        <v>0.80900000000000005</v>
      </c>
    </row>
    <row r="188" spans="1:8" x14ac:dyDescent="0.25">
      <c r="A188">
        <v>122</v>
      </c>
      <c r="B188" t="s">
        <v>261</v>
      </c>
      <c r="C188">
        <v>4.0000000000000001E-3</v>
      </c>
      <c r="D188">
        <v>1.7000000000000001E-2</v>
      </c>
      <c r="E188">
        <v>0.63700000000000001</v>
      </c>
      <c r="F188">
        <v>0.71699999999999997</v>
      </c>
      <c r="G188">
        <v>0.78400000000000003</v>
      </c>
      <c r="H188">
        <v>0.80800000000000005</v>
      </c>
    </row>
    <row r="189" spans="1:8" x14ac:dyDescent="0.25">
      <c r="A189">
        <v>123</v>
      </c>
      <c r="B189" t="s">
        <v>262</v>
      </c>
      <c r="C189" t="s">
        <v>538</v>
      </c>
      <c r="D189" t="s">
        <v>539</v>
      </c>
      <c r="E189" t="s">
        <v>540</v>
      </c>
      <c r="F189" t="s">
        <v>541</v>
      </c>
      <c r="G189" t="s">
        <v>542</v>
      </c>
      <c r="H189" t="s">
        <v>543</v>
      </c>
    </row>
    <row r="190" spans="1:8" x14ac:dyDescent="0.25">
      <c r="A190">
        <v>124</v>
      </c>
      <c r="B190" t="s">
        <v>263</v>
      </c>
      <c r="C190" t="s">
        <v>544</v>
      </c>
      <c r="D190" t="s">
        <v>545</v>
      </c>
      <c r="E190" t="s">
        <v>546</v>
      </c>
      <c r="F190" t="s">
        <v>547</v>
      </c>
      <c r="G190" t="s">
        <v>548</v>
      </c>
      <c r="H190" t="s">
        <v>549</v>
      </c>
    </row>
    <row r="191" spans="1:8" x14ac:dyDescent="0.25">
      <c r="A191">
        <f t="shared" ref="A191" si="114">A189+1</f>
        <v>124</v>
      </c>
      <c r="B191" t="s">
        <v>192</v>
      </c>
      <c r="C191" t="s">
        <v>192</v>
      </c>
      <c r="D191" t="s">
        <v>310</v>
      </c>
      <c r="E191" t="s">
        <v>427</v>
      </c>
      <c r="F191" t="s">
        <v>193</v>
      </c>
      <c r="G191" t="s">
        <v>193</v>
      </c>
      <c r="H191" t="s">
        <v>193</v>
      </c>
    </row>
    <row r="192" spans="1:8" x14ac:dyDescent="0.25">
      <c r="A192">
        <f t="shared" ref="A192" si="115">A191+1</f>
        <v>125</v>
      </c>
      <c r="B192" t="s">
        <v>264</v>
      </c>
      <c r="H192" t="s">
        <v>265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dimension ref="A1:AG60"/>
  <sheetViews>
    <sheetView workbookViewId="0">
      <selection activeCell="C4" sqref="C4"/>
    </sheetView>
  </sheetViews>
  <sheetFormatPr defaultColWidth="11.42578125" defaultRowHeight="15" x14ac:dyDescent="0.25"/>
  <sheetData>
    <row r="1" spans="1:33" x14ac:dyDescent="0.25">
      <c r="B1" t="s">
        <v>277</v>
      </c>
      <c r="C1" t="s">
        <v>278</v>
      </c>
      <c r="D1" t="s">
        <v>279</v>
      </c>
      <c r="E1" t="s">
        <v>280</v>
      </c>
      <c r="F1" t="s">
        <v>281</v>
      </c>
      <c r="G1" t="s">
        <v>282</v>
      </c>
      <c r="H1" t="s">
        <v>283</v>
      </c>
      <c r="I1" t="s">
        <v>284</v>
      </c>
      <c r="J1" t="s">
        <v>285</v>
      </c>
      <c r="K1" t="s">
        <v>286</v>
      </c>
      <c r="L1" t="s">
        <v>287</v>
      </c>
      <c r="M1" t="s">
        <v>288</v>
      </c>
      <c r="N1" t="s">
        <v>289</v>
      </c>
      <c r="O1" t="s">
        <v>290</v>
      </c>
      <c r="P1" t="s">
        <v>291</v>
      </c>
      <c r="Q1" t="s">
        <v>292</v>
      </c>
      <c r="R1" t="s">
        <v>293</v>
      </c>
      <c r="S1" t="s">
        <v>294</v>
      </c>
      <c r="T1" t="s">
        <v>295</v>
      </c>
      <c r="U1" t="s">
        <v>296</v>
      </c>
      <c r="V1" t="s">
        <v>297</v>
      </c>
      <c r="W1" t="s">
        <v>298</v>
      </c>
      <c r="X1" t="s">
        <v>299</v>
      </c>
      <c r="Y1" t="s">
        <v>300</v>
      </c>
      <c r="Z1" t="s">
        <v>301</v>
      </c>
    </row>
    <row r="2" spans="1:33" x14ac:dyDescent="0.25">
      <c r="A2">
        <v>117</v>
      </c>
      <c r="B2" t="s">
        <v>276</v>
      </c>
      <c r="C2">
        <v>-3.92914926055137</v>
      </c>
      <c r="D2">
        <v>13.9085173219619</v>
      </c>
      <c r="E2">
        <v>-0.28249950513036598</v>
      </c>
      <c r="F2">
        <v>0.78227014650243898</v>
      </c>
      <c r="G2">
        <v>-7.0959053978904896</v>
      </c>
      <c r="H2">
        <v>16.949423118447498</v>
      </c>
      <c r="I2">
        <v>-0.41865173512409598</v>
      </c>
      <c r="J2">
        <v>0.68340298377116404</v>
      </c>
      <c r="K2">
        <v>12.564256747219501</v>
      </c>
      <c r="L2">
        <v>0.106380101078412</v>
      </c>
      <c r="M2">
        <v>118.10720820765501</v>
      </c>
      <c r="N2">
        <v>1.5719033705822E-13</v>
      </c>
      <c r="O2">
        <v>12.983450665118999</v>
      </c>
      <c r="P2">
        <v>0.133444224575691</v>
      </c>
      <c r="Q2">
        <v>97.294961294893895</v>
      </c>
      <c r="R2">
        <v>6.4061249659731703E-24</v>
      </c>
      <c r="S2">
        <v>13.4154169851349</v>
      </c>
      <c r="T2">
        <v>4.77670139989049E-2</v>
      </c>
      <c r="U2">
        <v>280.851069850052</v>
      </c>
      <c r="V2">
        <v>3.6234732361149801E-29</v>
      </c>
      <c r="W2">
        <v>13.521464716208</v>
      </c>
      <c r="X2">
        <v>6.0141964766136299E-2</v>
      </c>
      <c r="Y2">
        <v>224.82578959278399</v>
      </c>
      <c r="Z2">
        <v>7.9929300068766404E-28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2.1049630536555699E-2</v>
      </c>
      <c r="D3">
        <v>9.3044312951670299E-3</v>
      </c>
      <c r="E3">
        <v>2.2623231736355001</v>
      </c>
      <c r="F3">
        <v>3.9894993864243999E-2</v>
      </c>
      <c r="G3">
        <v>1.9132371579903499E-2</v>
      </c>
      <c r="H3">
        <v>1.12780246081002E-2</v>
      </c>
      <c r="I3">
        <v>1.6964293167228901</v>
      </c>
      <c r="J3">
        <v>0.111644520600594</v>
      </c>
      <c r="K3">
        <v>2.16457927353845E-2</v>
      </c>
      <c r="L3">
        <v>1.11023770802651E-2</v>
      </c>
      <c r="M3">
        <v>1.94965389653903</v>
      </c>
      <c r="N3">
        <v>7.1280236343755798E-2</v>
      </c>
      <c r="O3">
        <v>1.47517269161338E-2</v>
      </c>
      <c r="P3">
        <v>1.12684001778345E-2</v>
      </c>
      <c r="Q3">
        <v>1.3091234499419999</v>
      </c>
      <c r="R3">
        <v>0.21132426140183699</v>
      </c>
      <c r="S3">
        <v>3.7644574425248802E-2</v>
      </c>
      <c r="T3">
        <v>2.3249924154927E-2</v>
      </c>
      <c r="U3">
        <v>1.61912676249618</v>
      </c>
      <c r="V3">
        <v>0.12745447338987201</v>
      </c>
      <c r="W3">
        <v>7.21134992724978E-2</v>
      </c>
      <c r="X3">
        <v>2.4369062071639601E-2</v>
      </c>
      <c r="Y3">
        <v>2.9592234227357701</v>
      </c>
      <c r="Z3">
        <v>9.5291020525468794E-3</v>
      </c>
      <c r="AB3" t="str">
        <f t="shared" ref="AB3:AB60" si="0">IF(F3&lt;0.01,"***",IF(F3&lt;0.05,"**",IF(F3&lt;0.1,"*","")))</f>
        <v>**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4.81103819675565E-5</v>
      </c>
      <c r="D4">
        <v>7.3034682540221803E-5</v>
      </c>
      <c r="E4">
        <v>0.65873336193473697</v>
      </c>
      <c r="F4">
        <v>0.52411549944608105</v>
      </c>
      <c r="G4">
        <v>9.0338253071679906E-5</v>
      </c>
      <c r="H4">
        <v>7.2533385035511604E-5</v>
      </c>
      <c r="I4">
        <v>1.24547135126054</v>
      </c>
      <c r="J4">
        <v>0.23959433801255101</v>
      </c>
      <c r="K4">
        <v>1.4395993017608799E-4</v>
      </c>
      <c r="L4">
        <v>1.11145104238623E-4</v>
      </c>
      <c r="M4">
        <v>1.2952431073078501</v>
      </c>
      <c r="N4">
        <v>0.222474538596862</v>
      </c>
      <c r="O4">
        <v>1.11371496421769E-4</v>
      </c>
      <c r="P4">
        <v>1.6030519454829099E-4</v>
      </c>
      <c r="Q4">
        <v>0.69474664707898004</v>
      </c>
      <c r="R4">
        <v>0.50218538920605704</v>
      </c>
      <c r="S4">
        <v>1.01208937615819E-3</v>
      </c>
      <c r="T4">
        <v>2.7970659910450299E-4</v>
      </c>
      <c r="U4">
        <v>3.61839648902976</v>
      </c>
      <c r="V4">
        <v>4.3708648498301996E-3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4.5738611944033301E-2</v>
      </c>
      <c r="D5">
        <v>1.5884688152838899E-2</v>
      </c>
      <c r="E5">
        <v>2.87941516408423</v>
      </c>
      <c r="F5">
        <v>1.14162060011229E-2</v>
      </c>
      <c r="G5">
        <v>4.3761279678969901E-2</v>
      </c>
      <c r="H5">
        <v>1.48021357641E-2</v>
      </c>
      <c r="I5">
        <v>2.9564165858487201</v>
      </c>
      <c r="J5">
        <v>9.7671345598524893E-3</v>
      </c>
      <c r="K5">
        <v>3.8063823551010102E-2</v>
      </c>
      <c r="L5">
        <v>1.8061770764111799E-2</v>
      </c>
      <c r="M5">
        <v>2.10742479506172</v>
      </c>
      <c r="N5">
        <v>5.2242955895822098E-2</v>
      </c>
      <c r="O5">
        <v>4.2495374170255201E-2</v>
      </c>
      <c r="P5">
        <v>2.2205428161898501E-2</v>
      </c>
      <c r="Q5">
        <v>1.9137381121599599</v>
      </c>
      <c r="R5">
        <v>7.4843887526040501E-2</v>
      </c>
      <c r="S5">
        <v>8.0125979128833305E-2</v>
      </c>
      <c r="T5">
        <v>2.96577802832034E-2</v>
      </c>
      <c r="U5">
        <v>2.7016849664306299</v>
      </c>
      <c r="V5">
        <v>1.6367760270571199E-2</v>
      </c>
      <c r="AB5" t="str">
        <f t="shared" si="0"/>
        <v>**</v>
      </c>
      <c r="AC5" t="str">
        <f t="shared" si="1"/>
        <v>***</v>
      </c>
      <c r="AD5" t="str">
        <f t="shared" si="2"/>
        <v>*</v>
      </c>
      <c r="AE5" t="str">
        <f t="shared" si="3"/>
        <v>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5.1775746835337901E-2</v>
      </c>
      <c r="D6">
        <v>1.55030124867814E-2</v>
      </c>
      <c r="E6">
        <v>3.3397216753508099</v>
      </c>
      <c r="F6">
        <v>4.5264652950195803E-3</v>
      </c>
      <c r="G6">
        <v>5.0750608907632097E-2</v>
      </c>
      <c r="H6">
        <v>1.5858331746620099E-2</v>
      </c>
      <c r="I6">
        <v>3.20024891133008</v>
      </c>
      <c r="J6">
        <v>6.0169432488091099E-3</v>
      </c>
      <c r="K6">
        <v>4.0569718736642703E-2</v>
      </c>
      <c r="L6">
        <v>1.8123191516290001E-2</v>
      </c>
      <c r="M6">
        <v>2.23855266883742</v>
      </c>
      <c r="N6">
        <v>4.0913250181345701E-2</v>
      </c>
      <c r="O6">
        <v>4.2640006161357998E-2</v>
      </c>
      <c r="P6">
        <v>1.98933088360175E-2</v>
      </c>
      <c r="Q6">
        <v>2.1434345846055001</v>
      </c>
      <c r="R6">
        <v>4.9041484565946897E-2</v>
      </c>
      <c r="S6">
        <v>7.0817164496871796E-2</v>
      </c>
      <c r="T6">
        <v>1.76524003398193E-2</v>
      </c>
      <c r="U6">
        <v>4.0117583520427198</v>
      </c>
      <c r="V6">
        <v>1.15342057788702E-3</v>
      </c>
      <c r="AB6" t="str">
        <f t="shared" si="0"/>
        <v>***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203</v>
      </c>
      <c r="C7">
        <v>3.8280648375948197E-2</v>
      </c>
      <c r="D7">
        <v>1.6185595585027301E-2</v>
      </c>
      <c r="E7">
        <v>2.36510594712747</v>
      </c>
      <c r="F7">
        <v>3.1756111008446199E-2</v>
      </c>
      <c r="G7">
        <v>3.62655153160222E-2</v>
      </c>
      <c r="H7">
        <v>1.48112351708967E-2</v>
      </c>
      <c r="I7">
        <v>2.44851390836613</v>
      </c>
      <c r="J7">
        <v>2.6964455874021898E-2</v>
      </c>
      <c r="K7">
        <v>2.4785287797914599E-2</v>
      </c>
      <c r="L7">
        <v>1.6157952128581999E-2</v>
      </c>
      <c r="M7">
        <v>1.5339374445893801</v>
      </c>
      <c r="N7">
        <v>0.14563869303378801</v>
      </c>
      <c r="O7">
        <v>3.2433436347861298E-2</v>
      </c>
      <c r="P7">
        <v>1.8448087262831599E-2</v>
      </c>
      <c r="Q7">
        <v>1.7580920930055799</v>
      </c>
      <c r="R7">
        <v>9.8892546199424905E-2</v>
      </c>
      <c r="S7">
        <v>6.4383934896083697E-2</v>
      </c>
      <c r="T7">
        <v>1.35466814473381E-2</v>
      </c>
      <c r="U7">
        <v>4.7527459139252803</v>
      </c>
      <c r="V7">
        <v>2.4979758347387599E-4</v>
      </c>
      <c r="AB7" t="str">
        <f t="shared" si="0"/>
        <v>**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204</v>
      </c>
      <c r="C8">
        <v>1.77662719218184E-2</v>
      </c>
      <c r="D8">
        <v>1.7817359462139699E-2</v>
      </c>
      <c r="E8">
        <v>0.997132709791827</v>
      </c>
      <c r="F8">
        <v>0.335573550914678</v>
      </c>
      <c r="G8">
        <v>1.9815815929160499E-2</v>
      </c>
      <c r="H8">
        <v>1.8331302498129001E-2</v>
      </c>
      <c r="I8">
        <v>1.0809824305274001</v>
      </c>
      <c r="J8">
        <v>0.29792369289645798</v>
      </c>
      <c r="K8">
        <v>5.3646092889163798E-3</v>
      </c>
      <c r="L8">
        <v>1.8593148816583499E-2</v>
      </c>
      <c r="M8">
        <v>0.28852613087954199</v>
      </c>
      <c r="N8">
        <v>0.77715981376014198</v>
      </c>
      <c r="O8">
        <v>1.8562681148456502E-2</v>
      </c>
      <c r="P8">
        <v>2.3661731518848299E-2</v>
      </c>
      <c r="Q8">
        <v>0.78450223026450705</v>
      </c>
      <c r="R8">
        <v>0.44578772016940899</v>
      </c>
      <c r="S8">
        <v>5.5622920143289303E-2</v>
      </c>
      <c r="T8">
        <v>3.03469691088975E-2</v>
      </c>
      <c r="U8">
        <v>1.83289869718756</v>
      </c>
      <c r="V8">
        <v>8.8121042549013207E-2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205</v>
      </c>
      <c r="C9">
        <v>8.9496569571385701E-2</v>
      </c>
      <c r="D9">
        <v>2.13475252795714E-2</v>
      </c>
      <c r="E9">
        <v>4.1923627399111103</v>
      </c>
      <c r="F9">
        <v>8.5534691751589799E-4</v>
      </c>
      <c r="G9">
        <v>9.0582767641860795E-2</v>
      </c>
      <c r="H9">
        <v>2.1765383813977399E-2</v>
      </c>
      <c r="I9">
        <v>4.1617813136697404</v>
      </c>
      <c r="J9">
        <v>9.0852284255747197E-4</v>
      </c>
      <c r="K9">
        <v>7.5946805416822402E-2</v>
      </c>
      <c r="L9">
        <v>2.1319759744443001E-2</v>
      </c>
      <c r="M9">
        <v>3.5622730428103502</v>
      </c>
      <c r="N9">
        <v>3.0079587900540099E-3</v>
      </c>
      <c r="O9">
        <v>8.6285080866188302E-2</v>
      </c>
      <c r="P9">
        <v>2.8587961043877699E-2</v>
      </c>
      <c r="Q9">
        <v>3.01823137137186</v>
      </c>
      <c r="R9">
        <v>8.9936822548619191E-3</v>
      </c>
      <c r="S9">
        <v>0.109504423387811</v>
      </c>
      <c r="T9">
        <v>5.1640742780770701E-2</v>
      </c>
      <c r="U9">
        <v>2.1205044213381599</v>
      </c>
      <c r="V9">
        <v>5.1848765698308902E-2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0.13051872501989301</v>
      </c>
      <c r="D10">
        <v>2.48760116045585E-2</v>
      </c>
      <c r="E10">
        <v>5.2467705472518702</v>
      </c>
      <c r="F10">
        <v>1.12449886773227E-4</v>
      </c>
      <c r="G10">
        <v>0.13159117774130499</v>
      </c>
      <c r="H10">
        <v>2.54067994392588E-2</v>
      </c>
      <c r="I10">
        <v>5.1793685409256698</v>
      </c>
      <c r="J10">
        <v>1.27451399461452E-4</v>
      </c>
      <c r="K10">
        <v>0.109408048070714</v>
      </c>
      <c r="L10">
        <v>2.55322467443421E-2</v>
      </c>
      <c r="M10">
        <v>4.2850928539987798</v>
      </c>
      <c r="N10">
        <v>7.0980659624285403E-4</v>
      </c>
      <c r="O10">
        <v>0.121610775565862</v>
      </c>
      <c r="P10">
        <v>3.3894788346448997E-2</v>
      </c>
      <c r="Q10">
        <v>3.5878901004732899</v>
      </c>
      <c r="R10">
        <v>2.8528118590987E-3</v>
      </c>
      <c r="S10">
        <v>0.125545603388594</v>
      </c>
      <c r="T10">
        <v>5.5463391207830399E-2</v>
      </c>
      <c r="U10">
        <v>2.2635760391598501</v>
      </c>
      <c r="V10">
        <v>3.9568822142485201E-2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211</v>
      </c>
      <c r="C11">
        <v>0.10112973319259</v>
      </c>
      <c r="D11">
        <v>2.8846295461975702E-2</v>
      </c>
      <c r="E11">
        <v>3.5058135394160299</v>
      </c>
      <c r="F11">
        <v>3.0926546838552101E-3</v>
      </c>
      <c r="G11">
        <v>9.1579663412932499E-2</v>
      </c>
      <c r="H11">
        <v>3.1683494836081801E-2</v>
      </c>
      <c r="I11">
        <v>2.8904533381412101</v>
      </c>
      <c r="J11">
        <v>1.1012515969684901E-2</v>
      </c>
      <c r="K11">
        <v>5.6869168198507E-2</v>
      </c>
      <c r="L11">
        <v>4.21282624583975E-2</v>
      </c>
      <c r="M11">
        <v>1.34990538132605</v>
      </c>
      <c r="N11">
        <v>0.19663594406284299</v>
      </c>
      <c r="O11">
        <v>0.125312586325559</v>
      </c>
      <c r="P11">
        <v>4.6000337741846399E-2</v>
      </c>
      <c r="Q11">
        <v>2.7241666578365802</v>
      </c>
      <c r="R11">
        <v>1.5483593136669501E-2</v>
      </c>
      <c r="S11">
        <v>0.44663531838264697</v>
      </c>
      <c r="T11">
        <v>6.7720528871735602E-2</v>
      </c>
      <c r="U11">
        <v>6.5952721548968603</v>
      </c>
      <c r="V11">
        <v>7.7324322902568E-6</v>
      </c>
      <c r="AB11" t="str">
        <f t="shared" si="0"/>
        <v>***</v>
      </c>
      <c r="AC11" t="str">
        <f t="shared" si="1"/>
        <v>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2.8557684603416698E-2</v>
      </c>
      <c r="D12">
        <v>2.2849064580338498E-2</v>
      </c>
      <c r="E12">
        <v>1.24984042576476</v>
      </c>
      <c r="F12">
        <v>0.22697019915750399</v>
      </c>
      <c r="G12">
        <v>1.6771478274129899E-2</v>
      </c>
      <c r="H12">
        <v>2.47904434519165E-2</v>
      </c>
      <c r="I12">
        <v>0.676529982477315</v>
      </c>
      <c r="J12">
        <v>0.50711350954143097</v>
      </c>
      <c r="K12">
        <v>-1.0633796396741399E-2</v>
      </c>
      <c r="L12">
        <v>2.4246868138415801E-2</v>
      </c>
      <c r="M12">
        <v>-0.43856370794105198</v>
      </c>
      <c r="N12">
        <v>0.66609141438380703</v>
      </c>
      <c r="O12">
        <v>3.3876841218653003E-2</v>
      </c>
      <c r="P12">
        <v>1.8940380654845601E-2</v>
      </c>
      <c r="Q12">
        <v>1.7886040326220201</v>
      </c>
      <c r="R12">
        <v>9.0572730730867801E-2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4.6005551233619997E-2</v>
      </c>
      <c r="D13">
        <v>1.6640814744085301E-2</v>
      </c>
      <c r="E13">
        <v>2.7646213205980099</v>
      </c>
      <c r="F13">
        <v>1.2789438182398701E-2</v>
      </c>
      <c r="G13">
        <v>5.5180764047777803E-2</v>
      </c>
      <c r="H13">
        <v>1.91458340482831E-2</v>
      </c>
      <c r="I13">
        <v>2.88212902653494</v>
      </c>
      <c r="J13">
        <v>9.9303692750755904E-3</v>
      </c>
      <c r="K13">
        <v>8.4585548033326005E-2</v>
      </c>
      <c r="L13">
        <v>2.6302253779787201E-2</v>
      </c>
      <c r="M13">
        <v>3.21590494645476</v>
      </c>
      <c r="N13">
        <v>4.8291253741348499E-3</v>
      </c>
      <c r="O13">
        <v>8.9957248981952495E-2</v>
      </c>
      <c r="P13">
        <v>2.8369996984277598E-2</v>
      </c>
      <c r="Q13">
        <v>3.1708586021988601</v>
      </c>
      <c r="R13">
        <v>5.2788232716090098E-3</v>
      </c>
      <c r="AB13" t="str">
        <f t="shared" si="0"/>
        <v>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5.5402009081901599E-2</v>
      </c>
      <c r="D14">
        <v>1.0034797731686701E-2</v>
      </c>
      <c r="E14">
        <v>5.5209891183914603</v>
      </c>
      <c r="F14">
        <v>5.5785777162771097E-5</v>
      </c>
      <c r="G14">
        <v>5.72735736803371E-2</v>
      </c>
      <c r="H14">
        <v>9.9900940925004896E-3</v>
      </c>
      <c r="I14">
        <v>5.7330364609210296</v>
      </c>
      <c r="J14">
        <v>3.7445577052703701E-5</v>
      </c>
      <c r="K14">
        <v>4.7576681665794797E-2</v>
      </c>
      <c r="L14">
        <v>1.4286774237105501E-2</v>
      </c>
      <c r="M14">
        <v>3.33012063298579</v>
      </c>
      <c r="N14">
        <v>4.5160770426107798E-3</v>
      </c>
      <c r="O14">
        <v>6.3455893737285496E-2</v>
      </c>
      <c r="P14">
        <v>1.8928637624146299E-2</v>
      </c>
      <c r="Q14">
        <v>3.35237511527707</v>
      </c>
      <c r="R14">
        <v>4.3712769055625298E-3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-0.100481050045186</v>
      </c>
      <c r="D15">
        <v>3.04270115371954E-2</v>
      </c>
      <c r="E15">
        <v>-3.30236342541735</v>
      </c>
      <c r="F15">
        <v>4.9651585798694102E-3</v>
      </c>
      <c r="G15">
        <v>-0.10310359721298901</v>
      </c>
      <c r="H15">
        <v>2.9069758512496401E-2</v>
      </c>
      <c r="I15">
        <v>-3.5467648335870101</v>
      </c>
      <c r="J15">
        <v>3.0671532864181401E-3</v>
      </c>
      <c r="K15">
        <v>-0.11178507192392501</v>
      </c>
      <c r="L15">
        <v>3.36342053475144E-2</v>
      </c>
      <c r="M15">
        <v>-3.3235532330537501</v>
      </c>
      <c r="N15">
        <v>4.7528134782474103E-3</v>
      </c>
      <c r="O15">
        <v>-0.18619950468948299</v>
      </c>
      <c r="P15">
        <v>4.7409213457806999E-2</v>
      </c>
      <c r="Q15">
        <v>-3.9274961786741298</v>
      </c>
      <c r="R15">
        <v>1.2994890393803599E-3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-6.4491516753596198E-2</v>
      </c>
      <c r="D16">
        <v>1.16599645663673E-2</v>
      </c>
      <c r="E16">
        <v>-5.5310216756249302</v>
      </c>
      <c r="F16">
        <v>1.2362360972727299E-4</v>
      </c>
      <c r="G16">
        <v>-7.0633287382256202E-2</v>
      </c>
      <c r="H16">
        <v>1.3195944792225999E-2</v>
      </c>
      <c r="I16">
        <v>-5.3526510222949302</v>
      </c>
      <c r="J16">
        <v>1.6352667969145299E-4</v>
      </c>
      <c r="K16">
        <v>-4.3894317905824903E-2</v>
      </c>
      <c r="L16">
        <v>1.36075369295987E-2</v>
      </c>
      <c r="M16">
        <v>-3.2257357178540702</v>
      </c>
      <c r="N16">
        <v>7.1316327646249299E-3</v>
      </c>
      <c r="O16">
        <v>-7.9473931765322206E-2</v>
      </c>
      <c r="P16">
        <v>5.84977576205419E-2</v>
      </c>
      <c r="Q16">
        <v>-1.3585808242573401</v>
      </c>
      <c r="R16">
        <v>0.194588217901699</v>
      </c>
      <c r="AB16" t="str">
        <f t="shared" si="0"/>
        <v>***</v>
      </c>
      <c r="AC16" t="str">
        <f t="shared" si="1"/>
        <v>***</v>
      </c>
      <c r="AD16" t="str">
        <f t="shared" si="2"/>
        <v>***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2.1742367398609199E-4</v>
      </c>
      <c r="D17">
        <v>1.8305575731219899E-5</v>
      </c>
      <c r="E17">
        <v>11.8774562012425</v>
      </c>
      <c r="F17">
        <v>5.9211241711670204E-9</v>
      </c>
      <c r="G17">
        <v>2.39809896214284E-4</v>
      </c>
      <c r="H17">
        <v>2.17454777678376E-5</v>
      </c>
      <c r="I17">
        <v>11.028035289662499</v>
      </c>
      <c r="J17">
        <v>1.7346599356597199E-8</v>
      </c>
      <c r="K17">
        <v>2.9547730870136399E-4</v>
      </c>
      <c r="L17">
        <v>2.5202691975361201E-5</v>
      </c>
      <c r="M17">
        <v>11.724037614324301</v>
      </c>
      <c r="N17">
        <v>6.4478245792141899E-9</v>
      </c>
      <c r="O17">
        <v>3.3369179626207499E-4</v>
      </c>
      <c r="P17">
        <v>1.9478093190850899E-5</v>
      </c>
      <c r="Q17">
        <v>17.131645946678901</v>
      </c>
      <c r="R17">
        <v>3.0009297388845001E-11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-1.4698524227746999E-2</v>
      </c>
      <c r="D18">
        <v>5.0552281559989101E-3</v>
      </c>
      <c r="E18">
        <v>-2.90758869316406</v>
      </c>
      <c r="F18">
        <v>1.0904037028241701E-2</v>
      </c>
      <c r="G18">
        <v>-1.50262159634386E-2</v>
      </c>
      <c r="H18">
        <v>4.3846570240063196E-3</v>
      </c>
      <c r="I18">
        <v>-3.4269991657657601</v>
      </c>
      <c r="J18">
        <v>3.7767469355209598E-3</v>
      </c>
      <c r="K18">
        <v>-1.0921488391124E-2</v>
      </c>
      <c r="L18">
        <v>5.2184314069094496E-3</v>
      </c>
      <c r="M18">
        <v>-2.0928680554588501</v>
      </c>
      <c r="N18">
        <v>5.3842867970831897E-2</v>
      </c>
      <c r="O18">
        <v>-1.67368293819436E-2</v>
      </c>
      <c r="P18">
        <v>5.8406179602775703E-3</v>
      </c>
      <c r="Q18">
        <v>-2.8655922191404999</v>
      </c>
      <c r="R18">
        <v>1.2222077149000799E-2</v>
      </c>
      <c r="AB18" t="str">
        <f t="shared" si="0"/>
        <v>**</v>
      </c>
      <c r="AC18" t="str">
        <f t="shared" si="1"/>
        <v>***</v>
      </c>
      <c r="AD18" t="str">
        <f t="shared" si="2"/>
        <v>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0.15757471411843799</v>
      </c>
      <c r="D19">
        <v>4.9494095048661403E-2</v>
      </c>
      <c r="E19">
        <v>3.1837073485940999</v>
      </c>
      <c r="F19">
        <v>6.2674156237755999E-3</v>
      </c>
      <c r="G19">
        <v>0.16577155940719401</v>
      </c>
      <c r="H19">
        <v>4.5142502798101503E-2</v>
      </c>
      <c r="I19">
        <v>3.6721836214664898</v>
      </c>
      <c r="J19">
        <v>2.2782818989386501E-3</v>
      </c>
      <c r="K19">
        <v>0.157075971790892</v>
      </c>
      <c r="L19">
        <v>5.1245736002222E-2</v>
      </c>
      <c r="M19">
        <v>3.0651520310700802</v>
      </c>
      <c r="N19">
        <v>7.95256454910836E-3</v>
      </c>
      <c r="O19">
        <v>0.207157198165736</v>
      </c>
      <c r="P19">
        <v>5.1741487878520502E-2</v>
      </c>
      <c r="Q19">
        <v>4.0036961954418997</v>
      </c>
      <c r="R19">
        <v>1.1693277330134799E-3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-3.7489697835888902E-2</v>
      </c>
      <c r="D20">
        <v>1.6955419661916001E-2</v>
      </c>
      <c r="E20">
        <v>-2.2110746052541201</v>
      </c>
      <c r="F20">
        <v>5.11015163582835E-2</v>
      </c>
      <c r="G20">
        <v>-5.15436598790249E-2</v>
      </c>
      <c r="H20">
        <v>1.94356520463052E-2</v>
      </c>
      <c r="I20">
        <v>-2.6520159836275501</v>
      </c>
      <c r="J20">
        <v>2.3924697111068899E-2</v>
      </c>
      <c r="K20">
        <v>-2.4311821804696401E-2</v>
      </c>
      <c r="L20">
        <v>3.7973379743275103E-2</v>
      </c>
      <c r="M20">
        <v>-0.64023328892661602</v>
      </c>
      <c r="N20">
        <v>0.53625527695609998</v>
      </c>
      <c r="O20">
        <v>-1.8682011466619099E-3</v>
      </c>
      <c r="P20">
        <v>4.0700449615652799E-2</v>
      </c>
      <c r="Q20">
        <v>-4.5901241001117303E-2</v>
      </c>
      <c r="R20">
        <v>0.96428395265215205</v>
      </c>
      <c r="AB20" t="str">
        <f t="shared" si="0"/>
        <v>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221</v>
      </c>
      <c r="C21">
        <v>0.10865378968798101</v>
      </c>
      <c r="D21">
        <v>1.15164239213417E-2</v>
      </c>
      <c r="E21">
        <v>9.4346813238290803</v>
      </c>
      <c r="F21">
        <v>7.0383180635580006E-8</v>
      </c>
      <c r="G21">
        <v>0.118075915852442</v>
      </c>
      <c r="H21">
        <v>1.44777258672322E-2</v>
      </c>
      <c r="I21">
        <v>8.1556949575683308</v>
      </c>
      <c r="J21">
        <v>4.8621522229028195E-7</v>
      </c>
      <c r="K21">
        <v>0.14997412006064401</v>
      </c>
      <c r="L21">
        <v>1.8685205803813498E-2</v>
      </c>
      <c r="M21">
        <v>8.0263563396254405</v>
      </c>
      <c r="N21">
        <v>5.8019841233956305E-7</v>
      </c>
      <c r="O21">
        <v>0.15126294249589201</v>
      </c>
      <c r="P21">
        <v>2.5274904328242701E-2</v>
      </c>
      <c r="Q21">
        <v>5.9847088056775597</v>
      </c>
      <c r="R21">
        <v>1.9742796993555599E-5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222</v>
      </c>
      <c r="C22">
        <v>5.3041194578697999E-2</v>
      </c>
      <c r="D22">
        <v>4.9024965808034801E-3</v>
      </c>
      <c r="E22">
        <v>10.8192211263113</v>
      </c>
      <c r="F22">
        <v>7.3732545259431304E-9</v>
      </c>
      <c r="G22">
        <v>5.69109325283986E-2</v>
      </c>
      <c r="H22">
        <v>6.4575745357105304E-3</v>
      </c>
      <c r="I22">
        <v>8.8130508155468998</v>
      </c>
      <c r="J22">
        <v>1.3171880803705201E-7</v>
      </c>
      <c r="K22">
        <v>7.0046622389735996E-2</v>
      </c>
      <c r="L22">
        <v>1.17098891809437E-2</v>
      </c>
      <c r="M22">
        <v>5.9818347814706696</v>
      </c>
      <c r="N22">
        <v>1.75967194611044E-5</v>
      </c>
      <c r="O22">
        <v>6.7586524416175797E-2</v>
      </c>
      <c r="P22">
        <v>1.37556430775895E-2</v>
      </c>
      <c r="Q22">
        <v>4.9133671203120102</v>
      </c>
      <c r="R22">
        <v>1.4567770626854401E-4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225</v>
      </c>
      <c r="C23">
        <v>-5.38455382440216E-2</v>
      </c>
      <c r="D23">
        <v>1.00444107427118E-2</v>
      </c>
      <c r="E23">
        <v>-5.3607463517053002</v>
      </c>
      <c r="F23">
        <v>4.1643991879416201E-5</v>
      </c>
      <c r="G23">
        <v>-5.61037809021823E-2</v>
      </c>
      <c r="H23">
        <v>9.6895339272645396E-3</v>
      </c>
      <c r="I23">
        <v>-5.7901423663233897</v>
      </c>
      <c r="J23">
        <v>1.68263457339676E-5</v>
      </c>
      <c r="K23">
        <v>-5.5066219093832497E-2</v>
      </c>
      <c r="L23">
        <v>1.5547983557336401E-2</v>
      </c>
      <c r="M23">
        <v>-3.5416952230985199</v>
      </c>
      <c r="N23">
        <v>2.3074254995660102E-3</v>
      </c>
      <c r="O23">
        <v>-2.9086516655007898E-2</v>
      </c>
      <c r="P23">
        <v>1.63221047725256E-2</v>
      </c>
      <c r="Q23">
        <v>-1.78203222319514</v>
      </c>
      <c r="R23">
        <v>9.1473743155387199E-2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2.3876030987641701E-2</v>
      </c>
      <c r="D24">
        <v>1.20622322914401E-2</v>
      </c>
      <c r="E24">
        <v>1.9794040116923599</v>
      </c>
      <c r="F24">
        <v>6.7719595176565506E-2</v>
      </c>
      <c r="G24">
        <v>2.4371947061950502E-2</v>
      </c>
      <c r="H24">
        <v>1.28654600988042E-2</v>
      </c>
      <c r="I24">
        <v>1.8943704208616601</v>
      </c>
      <c r="J24">
        <v>7.8960184820721202E-2</v>
      </c>
      <c r="K24">
        <v>4.6090892920323902E-2</v>
      </c>
      <c r="L24">
        <v>2.06195206167714E-2</v>
      </c>
      <c r="M24">
        <v>2.2353038063763102</v>
      </c>
      <c r="N24">
        <v>4.2144738121538197E-2</v>
      </c>
      <c r="AB24" t="str">
        <f t="shared" si="0"/>
        <v>*</v>
      </c>
      <c r="AC24" t="str">
        <f t="shared" si="1"/>
        <v>*</v>
      </c>
      <c r="AD24" t="str">
        <f t="shared" si="2"/>
        <v>**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-6.2697107872881505E-2</v>
      </c>
      <c r="D25">
        <v>2.69395155097297E-2</v>
      </c>
      <c r="E25">
        <v>-2.3273287097623299</v>
      </c>
      <c r="F25">
        <v>5.8374346752440999E-2</v>
      </c>
      <c r="G25">
        <v>-6.7893052001166299E-2</v>
      </c>
      <c r="H25">
        <v>3.1130767542815799E-2</v>
      </c>
      <c r="I25">
        <v>-2.1808987493735699</v>
      </c>
      <c r="J25">
        <v>7.1448565311559104E-2</v>
      </c>
      <c r="K25">
        <v>-5.7071601319404197E-2</v>
      </c>
      <c r="L25">
        <v>3.4812725405618701E-2</v>
      </c>
      <c r="M25">
        <v>-1.6393890640401501</v>
      </c>
      <c r="N25">
        <v>0.15165857006987801</v>
      </c>
      <c r="AB25" t="str">
        <f t="shared" si="0"/>
        <v>*</v>
      </c>
      <c r="AC25" t="str">
        <f t="shared" si="1"/>
        <v>*</v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-0.18703149007254499</v>
      </c>
      <c r="D26">
        <v>4.0809938333859999E-2</v>
      </c>
      <c r="E26">
        <v>-4.5829887941135397</v>
      </c>
      <c r="F26">
        <v>5.9194925681831101E-4</v>
      </c>
      <c r="G26">
        <v>-0.18241645804394199</v>
      </c>
      <c r="H26">
        <v>4.0884058945153699E-2</v>
      </c>
      <c r="I26">
        <v>-4.4617991156077697</v>
      </c>
      <c r="J26">
        <v>7.4830326640610103E-4</v>
      </c>
      <c r="K26">
        <v>-0.14309702979234301</v>
      </c>
      <c r="L26">
        <v>4.7968733026061902E-2</v>
      </c>
      <c r="M26">
        <v>-2.98313131836517</v>
      </c>
      <c r="N26">
        <v>1.12345950186045E-2</v>
      </c>
      <c r="AB26" t="str">
        <f t="shared" si="0"/>
        <v>***</v>
      </c>
      <c r="AC26" t="str">
        <f t="shared" si="1"/>
        <v>***</v>
      </c>
      <c r="AD26" t="str">
        <f t="shared" si="2"/>
        <v>**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-0.137247249167536</v>
      </c>
      <c r="D27">
        <v>8.0960661767196199E-2</v>
      </c>
      <c r="E27">
        <v>-1.6952337860354101</v>
      </c>
      <c r="F27">
        <v>0.120283928738959</v>
      </c>
      <c r="G27">
        <v>-0.11783717544880599</v>
      </c>
      <c r="H27">
        <v>8.4154952324870094E-2</v>
      </c>
      <c r="I27">
        <v>-1.4002405347924201</v>
      </c>
      <c r="J27">
        <v>0.190945532038058</v>
      </c>
      <c r="K27">
        <v>-7.7800288424521802E-2</v>
      </c>
      <c r="L27">
        <v>8.8297529960286295E-2</v>
      </c>
      <c r="M27">
        <v>-0.88111511680467303</v>
      </c>
      <c r="N27">
        <v>0.39799128584531202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-0.13245276266406</v>
      </c>
      <c r="D28">
        <v>3.6966255077857203E-2</v>
      </c>
      <c r="E28">
        <v>-3.5830722475157901</v>
      </c>
      <c r="F28">
        <v>6.7896215208087399E-3</v>
      </c>
      <c r="G28">
        <v>-0.117178192328528</v>
      </c>
      <c r="H28">
        <v>3.38038489514359E-2</v>
      </c>
      <c r="I28">
        <v>-3.4664156882511201</v>
      </c>
      <c r="J28">
        <v>8.29506198045484E-3</v>
      </c>
      <c r="K28">
        <v>-0.121428192552236</v>
      </c>
      <c r="L28">
        <v>3.7812579474118202E-2</v>
      </c>
      <c r="M28">
        <v>-3.2113173510247099</v>
      </c>
      <c r="N28">
        <v>1.2129069132564899E-2</v>
      </c>
      <c r="AB28" t="str">
        <f t="shared" si="0"/>
        <v>***</v>
      </c>
      <c r="AC28" t="str">
        <f t="shared" si="1"/>
        <v>***</v>
      </c>
      <c r="AD28" t="str">
        <f t="shared" si="2"/>
        <v>**</v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-0.14128414809058901</v>
      </c>
      <c r="D29">
        <v>0.19116294349442001</v>
      </c>
      <c r="E29">
        <v>-0.73907706958232999</v>
      </c>
      <c r="F29">
        <v>0.55419944514446895</v>
      </c>
      <c r="G29">
        <v>-0.11874664841593301</v>
      </c>
      <c r="H29">
        <v>0.204824602260606</v>
      </c>
      <c r="I29">
        <v>-0.57974797512287102</v>
      </c>
      <c r="J29">
        <v>0.63470485499167795</v>
      </c>
      <c r="K29">
        <v>-0.10746704044826701</v>
      </c>
      <c r="L29">
        <v>0.20906794144986199</v>
      </c>
      <c r="M29">
        <v>-0.51402926581184805</v>
      </c>
      <c r="N29">
        <v>0.67081350086751701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-0.101251273206725</v>
      </c>
      <c r="D30">
        <v>2.5982658341280499E-2</v>
      </c>
      <c r="E30">
        <v>-3.8968789057992601</v>
      </c>
      <c r="F30">
        <v>1.5503100967849601E-3</v>
      </c>
      <c r="G30">
        <v>-0.126998632001253</v>
      </c>
      <c r="H30">
        <v>2.81365524087255E-2</v>
      </c>
      <c r="I30">
        <v>-4.5136529222346899</v>
      </c>
      <c r="J30">
        <v>4.59288128732321E-4</v>
      </c>
      <c r="K30">
        <v>-0.13965532100714001</v>
      </c>
      <c r="L30">
        <v>3.8597373171638298E-2</v>
      </c>
      <c r="M30">
        <v>-3.6182597293890502</v>
      </c>
      <c r="N30">
        <v>2.7159913560486802E-3</v>
      </c>
      <c r="AB30" t="str">
        <f t="shared" si="0"/>
        <v>***</v>
      </c>
      <c r="AC30" t="str">
        <f t="shared" si="1"/>
        <v>***</v>
      </c>
      <c r="AD30" t="str">
        <f t="shared" si="2"/>
        <v>***</v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-6.4225926925615295E-2</v>
      </c>
      <c r="D31">
        <v>2.35424405506078E-2</v>
      </c>
      <c r="E31">
        <v>-2.7280912863537901</v>
      </c>
      <c r="F31">
        <v>1.7969252734773501E-2</v>
      </c>
      <c r="G31">
        <v>-7.2353799065479202E-2</v>
      </c>
      <c r="H31">
        <v>2.55480243523117E-2</v>
      </c>
      <c r="I31">
        <v>-2.8320702245977101</v>
      </c>
      <c r="J31">
        <v>1.47926506703915E-2</v>
      </c>
      <c r="K31">
        <v>-0.107593745471431</v>
      </c>
      <c r="L31">
        <v>3.6941189040097203E-2</v>
      </c>
      <c r="M31">
        <v>-2.9125685519934099</v>
      </c>
      <c r="N31">
        <v>1.2706032816684599E-2</v>
      </c>
      <c r="AB31" t="str">
        <f t="shared" si="0"/>
        <v>**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237</v>
      </c>
      <c r="C32">
        <v>4.8002424415093097E-3</v>
      </c>
      <c r="D32">
        <v>9.4001011879908697E-2</v>
      </c>
      <c r="E32">
        <v>5.10658592445992E-2</v>
      </c>
      <c r="F32">
        <v>0.96347501268815505</v>
      </c>
      <c r="G32">
        <v>-4.1265062606493902E-2</v>
      </c>
      <c r="H32">
        <v>0.11178947091373199</v>
      </c>
      <c r="I32">
        <v>-0.36913192511965898</v>
      </c>
      <c r="J32">
        <v>0.744350180804349</v>
      </c>
      <c r="K32">
        <v>-1.4456994636474801E-2</v>
      </c>
      <c r="L32">
        <v>4.8173740852880398E-2</v>
      </c>
      <c r="M32">
        <v>-0.300101141836288</v>
      </c>
      <c r="N32">
        <v>0.79413566233835498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238</v>
      </c>
      <c r="C33">
        <v>-6.8845302725793395E-2</v>
      </c>
      <c r="D33">
        <v>5.5348681466815902E-2</v>
      </c>
      <c r="E33">
        <v>-1.24384720469031</v>
      </c>
      <c r="F33">
        <v>0.24999737839574801</v>
      </c>
      <c r="G33">
        <v>-9.4581672618359494E-2</v>
      </c>
      <c r="H33">
        <v>5.6975321008827497E-2</v>
      </c>
      <c r="I33">
        <v>-1.6600463313529299</v>
      </c>
      <c r="J33">
        <v>0.137995151318314</v>
      </c>
      <c r="K33">
        <v>-4.1963265121588801E-2</v>
      </c>
      <c r="L33">
        <v>6.4271511365344494E-2</v>
      </c>
      <c r="M33">
        <v>-0.65290615126588603</v>
      </c>
      <c r="N33">
        <v>0.53383129661306605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241</v>
      </c>
      <c r="C34">
        <v>-8.3367951011316999E-2</v>
      </c>
      <c r="D34">
        <v>2.8244940344701801E-2</v>
      </c>
      <c r="E34">
        <v>-2.9516065530283599</v>
      </c>
      <c r="F34">
        <v>2.5705143208315601E-2</v>
      </c>
      <c r="G34">
        <v>-6.3072572607857202E-2</v>
      </c>
      <c r="H34">
        <v>3.0151604297631501E-2</v>
      </c>
      <c r="I34">
        <v>-2.0918479821258402</v>
      </c>
      <c r="J34">
        <v>8.1259832377255301E-2</v>
      </c>
      <c r="K34">
        <v>-8.4643212264877601E-2</v>
      </c>
      <c r="L34">
        <v>4.6986318563623203E-2</v>
      </c>
      <c r="M34">
        <v>-1.80144380007691</v>
      </c>
      <c r="N34">
        <v>0.122445138617957</v>
      </c>
      <c r="AB34" t="str">
        <f t="shared" si="0"/>
        <v>**</v>
      </c>
      <c r="AC34" t="str">
        <f t="shared" si="1"/>
        <v>*</v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243</v>
      </c>
      <c r="C35">
        <v>-0.120396550603267</v>
      </c>
      <c r="D35">
        <v>4.75136944359476E-2</v>
      </c>
      <c r="E35">
        <v>-2.53393368022711</v>
      </c>
      <c r="F35">
        <v>2.26698828002087E-2</v>
      </c>
      <c r="G35">
        <v>-0.142296151126941</v>
      </c>
      <c r="H35">
        <v>4.43533201461071E-2</v>
      </c>
      <c r="I35">
        <v>-3.2082412468377601</v>
      </c>
      <c r="J35">
        <v>5.6142361380319998E-3</v>
      </c>
      <c r="K35">
        <v>-0.114577340400707</v>
      </c>
      <c r="L35">
        <v>4.7918274227178197E-2</v>
      </c>
      <c r="M35">
        <v>-2.3910990587328298</v>
      </c>
      <c r="N35">
        <v>3.08229739390786E-2</v>
      </c>
      <c r="AB35" t="str">
        <f t="shared" si="0"/>
        <v>**</v>
      </c>
      <c r="AC35" t="str">
        <f t="shared" si="1"/>
        <v>***</v>
      </c>
      <c r="AD35" t="str">
        <f t="shared" si="2"/>
        <v>**</v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244</v>
      </c>
      <c r="C36">
        <v>4.7094406915595697E-3</v>
      </c>
      <c r="D36">
        <v>6.3517618467738304E-2</v>
      </c>
      <c r="E36">
        <v>7.4143848670138304E-2</v>
      </c>
      <c r="F36">
        <v>0.942954125572394</v>
      </c>
      <c r="G36">
        <v>-4.1222844472558799E-2</v>
      </c>
      <c r="H36">
        <v>8.6338868422426204E-2</v>
      </c>
      <c r="I36">
        <v>-0.47745407399677398</v>
      </c>
      <c r="J36">
        <v>0.64786751954375899</v>
      </c>
      <c r="K36">
        <v>5.17019504222462E-2</v>
      </c>
      <c r="L36">
        <v>8.7111126339830494E-2</v>
      </c>
      <c r="M36">
        <v>0.59351718425211197</v>
      </c>
      <c r="N36">
        <v>0.57296265318731399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-1.69161565211292E-2</v>
      </c>
      <c r="D37">
        <v>0.154314054654037</v>
      </c>
      <c r="E37">
        <v>-0.10962161910043899</v>
      </c>
      <c r="F37">
        <v>0.91459604132912797</v>
      </c>
      <c r="G37">
        <v>3.6695307280646197E-2</v>
      </c>
      <c r="H37">
        <v>0.15002230119969601</v>
      </c>
      <c r="I37">
        <v>0.24459901619426999</v>
      </c>
      <c r="J37">
        <v>0.81133038393180701</v>
      </c>
      <c r="K37">
        <v>0.13384477369991299</v>
      </c>
      <c r="L37">
        <v>0.16023153559924</v>
      </c>
      <c r="M37">
        <v>0.83532104463303702</v>
      </c>
      <c r="N37">
        <v>0.42239074687429601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0.22833407313687201</v>
      </c>
      <c r="D38">
        <v>0.13506823285629499</v>
      </c>
      <c r="E38">
        <v>1.69050907314237</v>
      </c>
      <c r="F38">
        <v>0.20039626053071999</v>
      </c>
      <c r="G38">
        <v>0.51437708982320896</v>
      </c>
      <c r="H38">
        <v>0.196758635830211</v>
      </c>
      <c r="I38">
        <v>2.6142541985658001</v>
      </c>
      <c r="J38">
        <v>9.8398384431045594E-2</v>
      </c>
      <c r="K38">
        <v>0.59584437396283596</v>
      </c>
      <c r="L38">
        <v>0.13899372265475901</v>
      </c>
      <c r="M38">
        <v>4.2868437695048396</v>
      </c>
      <c r="N38">
        <v>3.6833346856728698E-2</v>
      </c>
      <c r="AB38" t="str">
        <f t="shared" si="0"/>
        <v/>
      </c>
      <c r="AC38" t="str">
        <f t="shared" si="1"/>
        <v>*</v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166</v>
      </c>
      <c r="C39">
        <v>0.394391438883684</v>
      </c>
      <c r="D39">
        <v>3.5201216118188598E-2</v>
      </c>
      <c r="E39">
        <v>11.203915159053301</v>
      </c>
      <c r="F39">
        <v>4.2384306673703903E-3</v>
      </c>
      <c r="G39">
        <v>0.35017828546277402</v>
      </c>
      <c r="H39">
        <v>5.3972733846146502E-2</v>
      </c>
      <c r="I39">
        <v>6.4880590718451403</v>
      </c>
      <c r="J39">
        <v>1.65821788687451E-2</v>
      </c>
      <c r="K39">
        <v>0.35516984431749399</v>
      </c>
      <c r="L39">
        <v>6.1980451382228997E-2</v>
      </c>
      <c r="M39">
        <v>5.7303526579241399</v>
      </c>
      <c r="N39">
        <v>2.16546921859814E-2</v>
      </c>
      <c r="AB39" t="str">
        <f t="shared" si="0"/>
        <v>***</v>
      </c>
      <c r="AC39" t="str">
        <f t="shared" si="1"/>
        <v>**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167</v>
      </c>
      <c r="C40">
        <v>0.62098091130808597</v>
      </c>
      <c r="D40">
        <v>5.0265934246439797E-2</v>
      </c>
      <c r="E40">
        <v>12.353911662391299</v>
      </c>
      <c r="F40">
        <v>5.2697493158898395E-4</v>
      </c>
      <c r="G40">
        <v>0.58359129185556902</v>
      </c>
      <c r="H40">
        <v>7.2536163484317004E-2</v>
      </c>
      <c r="I40">
        <v>8.0455219000071203</v>
      </c>
      <c r="J40">
        <v>2.73563172844884E-3</v>
      </c>
      <c r="K40">
        <v>0.60486017090477895</v>
      </c>
      <c r="L40">
        <v>8.3673764812930804E-2</v>
      </c>
      <c r="M40">
        <v>7.2287911540380998</v>
      </c>
      <c r="N40">
        <v>3.96746202614035E-3</v>
      </c>
      <c r="AB40" t="str">
        <f t="shared" si="0"/>
        <v>***</v>
      </c>
      <c r="AC40" t="str">
        <f t="shared" si="1"/>
        <v>***</v>
      </c>
      <c r="AD40" t="str">
        <f t="shared" si="2"/>
        <v>***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168</v>
      </c>
      <c r="C41">
        <v>0.62576944191431605</v>
      </c>
      <c r="D41">
        <v>5.63149612670494E-2</v>
      </c>
      <c r="E41">
        <v>11.111957246083801</v>
      </c>
      <c r="F41">
        <v>2.4693430679122E-5</v>
      </c>
      <c r="G41">
        <v>0.58530673756626195</v>
      </c>
      <c r="H41">
        <v>8.3584382996243697E-2</v>
      </c>
      <c r="I41">
        <v>7.0025848918758697</v>
      </c>
      <c r="J41">
        <v>4.1364884525778002E-4</v>
      </c>
      <c r="K41">
        <v>0.596916663318384</v>
      </c>
      <c r="L41">
        <v>9.4504167335504402E-2</v>
      </c>
      <c r="M41">
        <v>6.3162999066404897</v>
      </c>
      <c r="N41">
        <v>7.3024377476565397E-4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169</v>
      </c>
      <c r="C42">
        <v>0.648202382191571</v>
      </c>
      <c r="D42">
        <v>4.5886773490239202E-2</v>
      </c>
      <c r="E42">
        <v>14.1261268310672</v>
      </c>
      <c r="F42">
        <v>2.10608189276876E-5</v>
      </c>
      <c r="G42">
        <v>0.61269804225020597</v>
      </c>
      <c r="H42">
        <v>7.2976930457035405E-2</v>
      </c>
      <c r="I42">
        <v>8.3957771094651292</v>
      </c>
      <c r="J42">
        <v>3.6593333711196202E-4</v>
      </c>
      <c r="K42">
        <v>0.61931490560323998</v>
      </c>
      <c r="L42">
        <v>8.5087377752427307E-2</v>
      </c>
      <c r="M42">
        <v>7.2785755297949999</v>
      </c>
      <c r="N42">
        <v>7.5083296882878597E-4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170</v>
      </c>
      <c r="C43">
        <v>0.58248708105424396</v>
      </c>
      <c r="D43">
        <v>4.0424105127292602E-2</v>
      </c>
      <c r="E43">
        <v>14.409399520905501</v>
      </c>
      <c r="F43">
        <v>2.5057180109336899E-7</v>
      </c>
      <c r="G43">
        <v>0.53363269442692596</v>
      </c>
      <c r="H43">
        <v>7.9405008034232102E-2</v>
      </c>
      <c r="I43">
        <v>6.7203909128360397</v>
      </c>
      <c r="J43">
        <v>1.19597269685123E-4</v>
      </c>
      <c r="K43">
        <v>0.53378064546167603</v>
      </c>
      <c r="L43">
        <v>9.2829430985502698E-2</v>
      </c>
      <c r="M43">
        <v>5.7501229921902404</v>
      </c>
      <c r="N43">
        <v>3.6693277890633498E-4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50</v>
      </c>
      <c r="C44">
        <v>3.1616580072311999E-5</v>
      </c>
      <c r="D44">
        <v>1.31786315819283E-4</v>
      </c>
      <c r="E44">
        <v>0.23990791362334901</v>
      </c>
      <c r="F44">
        <v>0.81597841742355404</v>
      </c>
      <c r="G44">
        <v>1.3546190824473701E-4</v>
      </c>
      <c r="H44">
        <v>1.4130545198656299E-4</v>
      </c>
      <c r="I44">
        <v>0.95864601358493895</v>
      </c>
      <c r="J44">
        <v>0.36439896508059599</v>
      </c>
      <c r="K44">
        <v>-1.22873642939379E-4</v>
      </c>
      <c r="L44">
        <v>2.3832321020335001E-4</v>
      </c>
      <c r="M44">
        <v>-0.51557564550484503</v>
      </c>
      <c r="N44">
        <v>0.61982299425962994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52</v>
      </c>
      <c r="C45">
        <v>4.8114799612121303E-3</v>
      </c>
      <c r="D45">
        <v>4.3532501570897704E-3</v>
      </c>
      <c r="E45">
        <v>1.1052615373771</v>
      </c>
      <c r="F45">
        <v>0.28562755831174402</v>
      </c>
      <c r="G45">
        <v>-8.9856587241607302E-4</v>
      </c>
      <c r="H45">
        <v>4.49766027488717E-3</v>
      </c>
      <c r="I45">
        <v>-0.19978518107142099</v>
      </c>
      <c r="J45">
        <v>0.84420392081126605</v>
      </c>
      <c r="K45">
        <v>-9.8258588109220602E-3</v>
      </c>
      <c r="L45">
        <v>6.0646821571550304E-3</v>
      </c>
      <c r="M45">
        <v>-1.6201770441225301</v>
      </c>
      <c r="N45">
        <v>0.124995259135567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51</v>
      </c>
      <c r="C46">
        <v>9.5561505077544299E-3</v>
      </c>
      <c r="D46">
        <v>4.8033618023468304E-3</v>
      </c>
      <c r="E46">
        <v>1.98947131217255</v>
      </c>
      <c r="F46">
        <v>0.13476988567102899</v>
      </c>
      <c r="G46">
        <v>1.4770111059127599E-2</v>
      </c>
      <c r="H46">
        <v>3.6773253270633798E-3</v>
      </c>
      <c r="I46">
        <v>4.0165364077054901</v>
      </c>
      <c r="J46">
        <v>2.4988612198539002E-2</v>
      </c>
      <c r="K46">
        <v>2.0493457684695099E-2</v>
      </c>
      <c r="L46">
        <v>2.5931624915445099E-3</v>
      </c>
      <c r="M46">
        <v>7.9028821955885302</v>
      </c>
      <c r="N46">
        <v>3.4167525051326101E-3</v>
      </c>
      <c r="AB46" t="str">
        <f t="shared" si="0"/>
        <v/>
      </c>
      <c r="AC46" t="str">
        <f t="shared" si="1"/>
        <v>**</v>
      </c>
      <c r="AD46" t="str">
        <f t="shared" si="2"/>
        <v>***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164</v>
      </c>
      <c r="C47">
        <v>-5.4075071513627103E-3</v>
      </c>
      <c r="D47">
        <v>7.0452673810034797E-3</v>
      </c>
      <c r="E47">
        <v>-0.76753753391152402</v>
      </c>
      <c r="F47">
        <v>0.46154810964137999</v>
      </c>
      <c r="G47">
        <v>-9.0374535219993092E-3</v>
      </c>
      <c r="H47">
        <v>9.5869967355082606E-3</v>
      </c>
      <c r="I47">
        <v>-0.94267827259463399</v>
      </c>
      <c r="J47">
        <v>0.36900922735847602</v>
      </c>
      <c r="AB47" t="str">
        <f t="shared" si="0"/>
        <v/>
      </c>
      <c r="AC47" t="str">
        <f t="shared" si="1"/>
        <v/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39</v>
      </c>
      <c r="C48">
        <v>-4.3061837558439203E-2</v>
      </c>
      <c r="D48">
        <v>3.2907305694566999E-2</v>
      </c>
      <c r="E48">
        <v>-1.30857986242091</v>
      </c>
      <c r="F48">
        <v>0.21317578307954599</v>
      </c>
      <c r="G48">
        <v>-2.7063362008350699E-2</v>
      </c>
      <c r="H48">
        <v>3.7599339263895602E-2</v>
      </c>
      <c r="I48">
        <v>-0.71978291475823997</v>
      </c>
      <c r="J48">
        <v>0.48437354910035002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40</v>
      </c>
      <c r="C49">
        <v>-9.2212963571683907E-3</v>
      </c>
      <c r="D49">
        <v>8.0136224105868195E-3</v>
      </c>
      <c r="E49">
        <v>-1.15070262669054</v>
      </c>
      <c r="F49">
        <v>0.27627930351526298</v>
      </c>
      <c r="G49">
        <v>-5.8065902842186204E-3</v>
      </c>
      <c r="H49">
        <v>9.4490467370718506E-3</v>
      </c>
      <c r="I49">
        <v>-0.61451598725164303</v>
      </c>
      <c r="J49">
        <v>0.55369768531352603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41</v>
      </c>
      <c r="C50">
        <v>-6.5524113174736699E-3</v>
      </c>
      <c r="D50">
        <v>6.1537751582938904E-3</v>
      </c>
      <c r="E50">
        <v>-1.06477912320903</v>
      </c>
      <c r="F50">
        <v>0.30466305412670203</v>
      </c>
      <c r="G50">
        <v>-5.6507249529102101E-3</v>
      </c>
      <c r="H50">
        <v>8.1711689300760296E-3</v>
      </c>
      <c r="I50">
        <v>-0.69154425777581296</v>
      </c>
      <c r="J50">
        <v>0.50064612856199897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173</v>
      </c>
      <c r="C51">
        <v>-1.3320485589421701E-3</v>
      </c>
      <c r="D51">
        <v>1.7533863409441399E-3</v>
      </c>
      <c r="E51">
        <v>-0.75970054507491303</v>
      </c>
      <c r="F51">
        <v>0.57757470086612495</v>
      </c>
      <c r="G51">
        <v>-5.6908134934721298E-4</v>
      </c>
      <c r="H51">
        <v>5.5767514328575896E-3</v>
      </c>
      <c r="I51">
        <v>-0.102045313691812</v>
      </c>
      <c r="J51">
        <v>0.93419718801548002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174</v>
      </c>
      <c r="C52">
        <v>1.7866261007889399E-2</v>
      </c>
      <c r="D52">
        <v>1.2993486755605899E-2</v>
      </c>
      <c r="E52">
        <v>1.3750166790435401</v>
      </c>
      <c r="F52">
        <v>0.19379791173323099</v>
      </c>
      <c r="G52">
        <v>2.4045981395255999E-2</v>
      </c>
      <c r="H52">
        <v>1.4565948001967401E-2</v>
      </c>
      <c r="I52">
        <v>1.6508353175507799</v>
      </c>
      <c r="J52">
        <v>0.12389098355691799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175</v>
      </c>
      <c r="C53">
        <v>8.2223003178461505E-3</v>
      </c>
      <c r="D53">
        <v>1.3470282438209601E-2</v>
      </c>
      <c r="E53">
        <v>0.61040296337980804</v>
      </c>
      <c r="F53">
        <v>0.55079962018920303</v>
      </c>
      <c r="G53">
        <v>1.37008708103868E-2</v>
      </c>
      <c r="H53">
        <v>1.6784820380228899E-2</v>
      </c>
      <c r="I53">
        <v>0.81626556019183205</v>
      </c>
      <c r="J53">
        <v>0.42713258524592201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53</v>
      </c>
      <c r="C54">
        <v>4.0328033505907998E-6</v>
      </c>
      <c r="D54">
        <v>5.3168125309144898E-6</v>
      </c>
      <c r="E54">
        <v>0.75850019671413105</v>
      </c>
      <c r="F54">
        <v>0.46316672406731801</v>
      </c>
      <c r="G54">
        <v>4.6831527635675097E-6</v>
      </c>
      <c r="H54">
        <v>6.4161651712707097E-6</v>
      </c>
      <c r="I54">
        <v>0.72989903447888005</v>
      </c>
      <c r="J54">
        <v>0.48093720319174299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54</v>
      </c>
      <c r="C55">
        <v>1.2705158145885699E-5</v>
      </c>
      <c r="D55">
        <v>2.5799341082551002E-6</v>
      </c>
      <c r="E55">
        <v>4.9246056731575498</v>
      </c>
      <c r="F55">
        <v>1.7277026560291199E-4</v>
      </c>
      <c r="G55">
        <v>1.4489405696260199E-5</v>
      </c>
      <c r="H55">
        <v>3.5732214811012499E-6</v>
      </c>
      <c r="I55">
        <v>4.0549979263514899</v>
      </c>
      <c r="J55">
        <v>1.17336330270695E-3</v>
      </c>
      <c r="AB55" t="str">
        <f t="shared" si="0"/>
        <v>***</v>
      </c>
      <c r="AC55" t="str">
        <f t="shared" si="1"/>
        <v>***</v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43</v>
      </c>
      <c r="C56">
        <v>-0.57515600581502502</v>
      </c>
      <c r="D56">
        <v>0.28159384745558502</v>
      </c>
      <c r="E56">
        <v>-2.0425020326686698</v>
      </c>
      <c r="F56">
        <v>7.05567830727791E-2</v>
      </c>
      <c r="AB56" t="str">
        <f t="shared" si="0"/>
        <v>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44</v>
      </c>
      <c r="C57">
        <v>-0.21077230404880201</v>
      </c>
      <c r="D57">
        <v>5.9598534719207598E-2</v>
      </c>
      <c r="E57">
        <v>-3.5365350011008498</v>
      </c>
      <c r="F57">
        <v>3.4025135151855399E-3</v>
      </c>
      <c r="AB57" t="str">
        <f t="shared" si="0"/>
        <v>***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45</v>
      </c>
      <c r="C58">
        <v>-0.39310808298049299</v>
      </c>
      <c r="D58">
        <v>0.132144428987235</v>
      </c>
      <c r="E58">
        <v>-2.9748365935159198</v>
      </c>
      <c r="F58">
        <v>1.04477079465075E-2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48</v>
      </c>
      <c r="C59">
        <v>0.27673721615667302</v>
      </c>
      <c r="D59">
        <v>7.8523110387127004E-2</v>
      </c>
      <c r="E59">
        <v>3.5242773088372399</v>
      </c>
      <c r="F59">
        <v>2.8364639334783801E-3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46</v>
      </c>
      <c r="C60">
        <v>-0.60590125954340801</v>
      </c>
      <c r="D60">
        <v>0.101216932716006</v>
      </c>
      <c r="E60">
        <v>-5.9861649951736799</v>
      </c>
      <c r="F60">
        <v>3.6511259414295902E-4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dimension ref="A1:J131"/>
  <sheetViews>
    <sheetView tabSelected="1" workbookViewId="0">
      <selection activeCell="O27" sqref="O27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</cols>
  <sheetData>
    <row r="1" spans="1:10" ht="15.75" thickBot="1" x14ac:dyDescent="0.3">
      <c r="B1" t="s">
        <v>195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0" ht="29.25" thickTop="1" x14ac:dyDescent="0.45">
      <c r="C2" s="72" t="s">
        <v>325</v>
      </c>
      <c r="D2" s="72"/>
      <c r="E2" s="72"/>
      <c r="F2" s="72"/>
      <c r="G2" s="72"/>
      <c r="H2" s="72"/>
      <c r="I2" s="72"/>
      <c r="J2" s="72"/>
    </row>
    <row r="3" spans="1:10" ht="21" x14ac:dyDescent="0.35">
      <c r="C3" s="71" t="s">
        <v>594</v>
      </c>
      <c r="D3" s="71"/>
      <c r="E3" s="71"/>
      <c r="F3" s="71"/>
      <c r="G3" s="71"/>
      <c r="H3" s="71"/>
      <c r="I3" s="71"/>
      <c r="J3" s="71"/>
    </row>
    <row r="4" spans="1:10" x14ac:dyDescent="0.25">
      <c r="C4" s="32" t="s">
        <v>593</v>
      </c>
      <c r="D4" s="33" t="s">
        <v>266</v>
      </c>
      <c r="E4" s="33" t="s">
        <v>267</v>
      </c>
      <c r="F4" s="33" t="s">
        <v>268</v>
      </c>
      <c r="G4" s="33" t="s">
        <v>269</v>
      </c>
      <c r="H4" s="33" t="s">
        <v>270</v>
      </c>
      <c r="I4" s="33" t="s">
        <v>303</v>
      </c>
      <c r="J4" s="33" t="s">
        <v>318</v>
      </c>
    </row>
    <row r="5" spans="1:10" x14ac:dyDescent="0.25">
      <c r="A5">
        <v>1</v>
      </c>
      <c r="B5" t="s">
        <v>11</v>
      </c>
      <c r="C5" t="s">
        <v>11</v>
      </c>
      <c r="D5" s="3" t="str">
        <f>VLOOKUP($A5,'Reg1'!$A:$H,D$1,0)</f>
        <v>0.072***</v>
      </c>
      <c r="E5" s="3" t="str">
        <f>VLOOKUP($A5,'Reg1'!$A:$H,E$1,0)</f>
        <v>0.038*</v>
      </c>
      <c r="F5" s="3">
        <f>VLOOKUP($A5,'Reg1'!$A:$H,F$1,0)</f>
        <v>1.4999999999999999E-2</v>
      </c>
      <c r="G5" s="3" t="str">
        <f>VLOOKUP($A5,'Reg1'!$A:$H,G$1,0)</f>
        <v>0.022*</v>
      </c>
      <c r="H5" s="3" t="str">
        <f>VLOOKUP($A5,'Reg1'!$A:$H,H$1,0)</f>
        <v>0.019*</v>
      </c>
      <c r="I5" s="3" t="str">
        <f>VLOOKUP($A5,'Reg1'!$A:$H,I$1,0)</f>
        <v>0.021**</v>
      </c>
      <c r="J5" s="3" t="str">
        <f>_xlfn.CONCAT(FIXED(VLOOKUP($A5,Reg1_Robust!A:AG,3,0),3),VLOOKUP($A5,Reg1_Robust!A:AG,28,0))</f>
        <v>0.021**</v>
      </c>
    </row>
    <row r="6" spans="1:10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(0.0093)</v>
      </c>
    </row>
    <row r="7" spans="1:10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0.0001***</v>
      </c>
      <c r="H7" s="3" t="str">
        <f>VLOOKUP($A7,'Reg1'!$A:$H,H$1,0)</f>
        <v>0.0001***</v>
      </c>
      <c r="I7" s="3" t="str">
        <f>VLOOKUP($A7,'Reg1'!$A:$H,I$1,0)</f>
        <v>0.00005**</v>
      </c>
      <c r="J7" s="3" t="str">
        <f>_xlfn.CONCAT(FIXED(VLOOKUP($A7,Reg1_Robust!A:AG,3,0),5),VLOOKUP($A7,Reg1_Robust!A:AG,28,0))</f>
        <v>0.00005</v>
      </c>
    </row>
    <row r="8" spans="1:10" x14ac:dyDescent="0.25">
      <c r="A8">
        <v>4</v>
      </c>
      <c r="E8" s="3" t="str">
        <f>_xlfn.CONCAT("(",FIXED(ABS(VLOOKUP($A8,'Reg1'!$A:$H,E$1,0)),4),")")</f>
        <v>(0.0001)</v>
      </c>
      <c r="F8" s="3" t="str">
        <f>_xlfn.CONCAT("(",FIXED(ABS(VLOOKUP($A8,'Reg1'!$A:$H,F$1,0)),4),")")</f>
        <v>(0.0000)</v>
      </c>
      <c r="G8" s="3" t="str">
        <f>_xlfn.CONCAT("(",FIXED(ABS(VLOOKUP($A8,'Reg1'!$A:$H,G$1,0)),4),")")</f>
        <v>(0.0000)</v>
      </c>
      <c r="H8" s="3" t="str">
        <f>_xlfn.CONCAT("(",FIXED(ABS(VLOOKUP($A8,'Reg1'!$A:$H,H$1,0)),4),")")</f>
        <v>(0.0000)</v>
      </c>
      <c r="I8" s="3" t="str">
        <f>_xlfn.CONCAT("(",FIXED(ABS(VLOOKUP($A8,'Reg1'!$A:$H,I$1,0)),4),")")</f>
        <v>(0.0000)</v>
      </c>
      <c r="J8" s="3" t="str">
        <f>_xlfn.CONCAT("(",FIXED(VLOOKUP($A7,Reg1_Robust!A:AG,4,0),4),")")</f>
        <v>(0.0001)</v>
      </c>
    </row>
    <row r="9" spans="1:10" hidden="1" x14ac:dyDescent="0.25">
      <c r="A9">
        <v>5</v>
      </c>
      <c r="B9" t="s">
        <v>197</v>
      </c>
      <c r="E9" s="3" t="str">
        <f>VLOOKUP($A9,'Reg1'!$A:$H,E$1,0)</f>
        <v>0.080***</v>
      </c>
      <c r="F9" s="3" t="str">
        <f>VLOOKUP($A9,'Reg1'!$A:$H,F$1,0)</f>
        <v>0.042***</v>
      </c>
      <c r="G9" s="3" t="str">
        <f>VLOOKUP($A9,'Reg1'!$A:$H,G$1,0)</f>
        <v>0.038***</v>
      </c>
      <c r="H9" s="3" t="str">
        <f>VLOOKUP($A9,'Reg1'!$A:$H,H$1,0)</f>
        <v>0.044***</v>
      </c>
      <c r="I9" s="3" t="str">
        <f>VLOOKUP($A9,'Reg1'!$A:$H,I$1,0)</f>
        <v>0.046***</v>
      </c>
      <c r="J9" s="3" t="str">
        <f>_xlfn.CONCAT(FIXED(VLOOKUP($A9,Reg1_Robust!A:AG,3,0),3),VLOOKUP($A9,Reg1_Robust!A:AG,28,0))</f>
        <v>0.046**</v>
      </c>
    </row>
    <row r="10" spans="1:10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(0.0159)</v>
      </c>
    </row>
    <row r="11" spans="1:10" hidden="1" x14ac:dyDescent="0.25">
      <c r="A11">
        <v>7</v>
      </c>
      <c r="B11" t="s">
        <v>200</v>
      </c>
      <c r="E11" s="3" t="str">
        <f>VLOOKUP($A11,'Reg1'!$A:$H,E$1,0)</f>
        <v>0.071***</v>
      </c>
      <c r="F11" s="3" t="str">
        <f>VLOOKUP($A11,'Reg1'!$A:$H,F$1,0)</f>
        <v>0.043***</v>
      </c>
      <c r="G11" s="3" t="str">
        <f>VLOOKUP($A11,'Reg1'!$A:$H,G$1,0)</f>
        <v>0.041***</v>
      </c>
      <c r="H11" s="3" t="str">
        <f>VLOOKUP($A11,'Reg1'!$A:$H,H$1,0)</f>
        <v>0.051***</v>
      </c>
      <c r="I11" s="3" t="str">
        <f>VLOOKUP($A11,'Reg1'!$A:$H,I$1,0)</f>
        <v>0.052***</v>
      </c>
      <c r="J11" s="3" t="str">
        <f>_xlfn.CONCAT(FIXED(VLOOKUP($A11,Reg1_Robust!A:AG,3,0),3),VLOOKUP($A11,Reg1_Robust!A:AG,28,0))</f>
        <v>0.052***</v>
      </c>
    </row>
    <row r="12" spans="1:10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(0.0155)</v>
      </c>
    </row>
    <row r="13" spans="1:10" hidden="1" x14ac:dyDescent="0.25">
      <c r="A13">
        <v>9</v>
      </c>
      <c r="B13" t="s">
        <v>203</v>
      </c>
      <c r="E13" s="3" t="str">
        <f>VLOOKUP($A13,'Reg1'!$A:$H,E$1,0)</f>
        <v>0.064***</v>
      </c>
      <c r="F13" s="3" t="str">
        <f>VLOOKUP($A13,'Reg1'!$A:$H,F$1,0)</f>
        <v>0.032***</v>
      </c>
      <c r="G13" s="3" t="str">
        <f>VLOOKUP($A13,'Reg1'!$A:$H,G$1,0)</f>
        <v>0.025***</v>
      </c>
      <c r="H13" s="3" t="str">
        <f>VLOOKUP($A13,'Reg1'!$A:$H,H$1,0)</f>
        <v>0.036***</v>
      </c>
      <c r="I13" s="3" t="str">
        <f>VLOOKUP($A13,'Reg1'!$A:$H,I$1,0)</f>
        <v>0.038***</v>
      </c>
      <c r="J13" s="3" t="str">
        <f>_xlfn.CONCAT(FIXED(VLOOKUP($A13,Reg1_Robust!A:AG,3,0),3),VLOOKUP($A13,Reg1_Robust!A:AG,28,0))</f>
        <v>0.038**</v>
      </c>
    </row>
    <row r="14" spans="1:10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(0.0162)</v>
      </c>
    </row>
    <row r="15" spans="1:10" hidden="1" x14ac:dyDescent="0.25">
      <c r="A15">
        <v>11</v>
      </c>
      <c r="B15" t="s">
        <v>204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5.0000000000000001E-3</v>
      </c>
      <c r="H15" s="3" t="str">
        <f>VLOOKUP($A15,'Reg1'!$A:$H,H$1,0)</f>
        <v>0.020**</v>
      </c>
      <c r="I15" s="3" t="str">
        <f>VLOOKUP($A15,'Reg1'!$A:$H,I$1,0)</f>
        <v>0.018*</v>
      </c>
      <c r="J15" s="3" t="str">
        <f>_xlfn.CONCAT(FIXED(VLOOKUP($A15,Reg1_Robust!A:AG,3,0),3),VLOOKUP($A15,Reg1_Robust!A:AG,28,0))</f>
        <v>0.018</v>
      </c>
    </row>
    <row r="16" spans="1:10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(0.0178)</v>
      </c>
    </row>
    <row r="17" spans="1:10" hidden="1" x14ac:dyDescent="0.25">
      <c r="A17">
        <v>13</v>
      </c>
      <c r="B17" t="s">
        <v>205</v>
      </c>
      <c r="E17" s="3" t="str">
        <f>VLOOKUP($A17,'Reg1'!$A:$H,E$1,0)</f>
        <v>0.110***</v>
      </c>
      <c r="F17" s="3" t="str">
        <f>VLOOKUP($A17,'Reg1'!$A:$H,F$1,0)</f>
        <v>0.086***</v>
      </c>
      <c r="G17" s="3" t="str">
        <f>VLOOKUP($A17,'Reg1'!$A:$H,G$1,0)</f>
        <v>0.076***</v>
      </c>
      <c r="H17" s="3" t="str">
        <f>VLOOKUP($A17,'Reg1'!$A:$H,H$1,0)</f>
        <v>0.091***</v>
      </c>
      <c r="I17" s="3" t="str">
        <f>VLOOKUP($A17,'Reg1'!$A:$H,I$1,0)</f>
        <v>0.089***</v>
      </c>
      <c r="J17" s="3" t="str">
        <f>_xlfn.CONCAT(FIXED(VLOOKUP($A17,Reg1_Robust!A:AG,3,0),3),VLOOKUP($A17,Reg1_Robust!A:AG,28,0))</f>
        <v>0.089***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(0.0213)</v>
      </c>
    </row>
    <row r="19" spans="1:10" hidden="1" x14ac:dyDescent="0.25">
      <c r="A19">
        <v>15</v>
      </c>
      <c r="B19" t="s">
        <v>209</v>
      </c>
      <c r="E19" s="3" t="str">
        <f>VLOOKUP($A19,'Reg1'!$A:$H,E$1,0)</f>
        <v>0.126***</v>
      </c>
      <c r="F19" s="3" t="str">
        <f>VLOOKUP($A19,'Reg1'!$A:$H,F$1,0)</f>
        <v>0.122***</v>
      </c>
      <c r="G19" s="3" t="str">
        <f>VLOOKUP($A19,'Reg1'!$A:$H,G$1,0)</f>
        <v>0.109***</v>
      </c>
      <c r="H19" s="3" t="str">
        <f>VLOOKUP($A19,'Reg1'!$A:$H,H$1,0)</f>
        <v>0.132***</v>
      </c>
      <c r="I19" s="3" t="str">
        <f>VLOOKUP($A19,'Reg1'!$A:$H,I$1,0)</f>
        <v>0.131***</v>
      </c>
      <c r="J19" s="3" t="str">
        <f>_xlfn.CONCAT(FIXED(VLOOKUP($A19,Reg1_Robust!A:AG,3,0),3),VLOOKUP($A19,Reg1_Robust!A:AG,28,0))</f>
        <v>0.131***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(0.0130)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(0.0249)</v>
      </c>
    </row>
    <row r="21" spans="1:10" hidden="1" x14ac:dyDescent="0.25">
      <c r="A21">
        <v>17</v>
      </c>
      <c r="B21" t="s">
        <v>211</v>
      </c>
      <c r="E21" s="3" t="str">
        <f>VLOOKUP($A21,'Reg1'!$A:$H,E$1,0)</f>
        <v>0.447***</v>
      </c>
      <c r="F21" s="3" t="str">
        <f>VLOOKUP($A21,'Reg1'!$A:$H,F$1,0)</f>
        <v>0.125***</v>
      </c>
      <c r="G21" s="3" t="str">
        <f>VLOOKUP($A21,'Reg1'!$A:$H,G$1,0)</f>
        <v>0.057***</v>
      </c>
      <c r="H21" s="3" t="str">
        <f>VLOOKUP($A21,'Reg1'!$A:$H,H$1,0)</f>
        <v>0.092***</v>
      </c>
      <c r="I21" s="3" t="str">
        <f>VLOOKUP($A21,'Reg1'!$A:$H,I$1,0)</f>
        <v>0.101***</v>
      </c>
      <c r="J21" s="3" t="str">
        <f>_xlfn.CONCAT(FIXED(VLOOKUP($A21,Reg1_Robust!A:AG,3,0),3),VLOOKUP($A21,Reg1_Robust!A:AG,28,0))</f>
        <v>0.101***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(0.0190)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(0.0288)</v>
      </c>
    </row>
    <row r="23" spans="1:10" x14ac:dyDescent="0.25">
      <c r="A23">
        <v>19</v>
      </c>
      <c r="B23" t="s">
        <v>15</v>
      </c>
      <c r="C23" t="s">
        <v>552</v>
      </c>
      <c r="F23" s="3" t="str">
        <f>VLOOKUP($A23,'Reg1'!$A:$H,F$1,0)</f>
        <v>0.034***</v>
      </c>
      <c r="G23" s="3" t="str">
        <f>VLOOKUP($A23,'Reg1'!$A:$H,G$1,0)</f>
        <v>-0.011***</v>
      </c>
      <c r="H23" s="3" t="str">
        <f>VLOOKUP($A23,'Reg1'!$A:$H,H$1,0)</f>
        <v>0.017***</v>
      </c>
      <c r="I23" s="3" t="str">
        <f>VLOOKUP($A23,'Reg1'!$A:$H,I$1,0)</f>
        <v>0.029***</v>
      </c>
      <c r="J23" s="3" t="str">
        <f>_xlfn.CONCAT(FIXED(VLOOKUP($A23,Reg1_Robust!A:AG,3,0),3),VLOOKUP($A23,Reg1_Robust!A:AG,28,0))</f>
        <v>0.029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(0.0228)</v>
      </c>
    </row>
    <row r="25" spans="1:10" x14ac:dyDescent="0.25">
      <c r="A25">
        <v>21</v>
      </c>
      <c r="B25" t="s">
        <v>13</v>
      </c>
      <c r="C25" t="s">
        <v>553</v>
      </c>
      <c r="F25" s="3" t="str">
        <f>VLOOKUP($A25,'Reg1'!$A:$H,F$1,0)</f>
        <v>0.090***</v>
      </c>
      <c r="G25" s="3" t="str">
        <f>VLOOKUP($A25,'Reg1'!$A:$H,G$1,0)</f>
        <v>0.085***</v>
      </c>
      <c r="H25" s="3" t="str">
        <f>VLOOKUP($A25,'Reg1'!$A:$H,H$1,0)</f>
        <v>0.055***</v>
      </c>
      <c r="I25" s="3" t="str">
        <f>VLOOKUP($A25,'Reg1'!$A:$H,I$1,0)</f>
        <v>0.046***</v>
      </c>
      <c r="J25" s="3" t="str">
        <f>_xlfn.CONCAT(FIXED(VLOOKUP($A25,Reg1_Robust!A:AG,3,0),3),VLOOKUP($A25,Reg1_Robust!A:AG,28,0))</f>
        <v>0.046**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(0.0166)</v>
      </c>
    </row>
    <row r="27" spans="1:10" x14ac:dyDescent="0.25">
      <c r="A27">
        <v>23</v>
      </c>
      <c r="B27" t="s">
        <v>14</v>
      </c>
      <c r="C27" t="s">
        <v>554</v>
      </c>
      <c r="F27" s="3" t="str">
        <f>VLOOKUP($A27,'Reg1'!$A:$H,F$1,0)</f>
        <v>0.063***</v>
      </c>
      <c r="G27" s="3" t="str">
        <f>VLOOKUP($A27,'Reg1'!$A:$H,G$1,0)</f>
        <v>0.048***</v>
      </c>
      <c r="H27" s="3" t="str">
        <f>VLOOKUP($A27,'Reg1'!$A:$H,H$1,0)</f>
        <v>0.057***</v>
      </c>
      <c r="I27" s="3" t="str">
        <f>VLOOKUP($A27,'Reg1'!$A:$H,I$1,0)</f>
        <v>0.055***</v>
      </c>
      <c r="J27" s="3" t="str">
        <f>_xlfn.CONCAT(FIXED(VLOOKUP($A27,Reg1_Robust!A:AG,3,0),3),VLOOKUP($A27,Reg1_Robust!A:AG,28,0))</f>
        <v>0.055***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(0.0100)</v>
      </c>
    </row>
    <row r="29" spans="1:10" x14ac:dyDescent="0.25">
      <c r="A29">
        <v>25</v>
      </c>
      <c r="B29" t="s">
        <v>59</v>
      </c>
      <c r="C29" t="s">
        <v>555</v>
      </c>
      <c r="F29" s="3" t="str">
        <f>VLOOKUP($A29,'Reg1'!$A:$H,F$1,0)</f>
        <v>-0.186***</v>
      </c>
      <c r="G29" s="3" t="str">
        <f>VLOOKUP($A29,'Reg1'!$A:$H,G$1,0)</f>
        <v>-0.112***</v>
      </c>
      <c r="H29" s="3" t="str">
        <f>VLOOKUP($A29,'Reg1'!$A:$H,H$1,0)</f>
        <v>-0.103***</v>
      </c>
      <c r="I29" s="3" t="str">
        <f>VLOOKUP($A29,'Reg1'!$A:$H,I$1,0)</f>
        <v>-0.100***</v>
      </c>
      <c r="J29" s="3" t="str">
        <f>_xlfn.CONCAT(FIXED(VLOOKUP($A29,Reg1_Robust!A:AG,3,0),3),VLOOKUP($A29,Reg1_Robust!A:AG,28,0))</f>
        <v>-0.100***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(0.0040)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(0.0304)</v>
      </c>
    </row>
    <row r="31" spans="1:10" x14ac:dyDescent="0.25">
      <c r="A31">
        <v>27</v>
      </c>
      <c r="B31" t="s">
        <v>60</v>
      </c>
      <c r="C31" t="s">
        <v>556</v>
      </c>
      <c r="F31" s="3" t="str">
        <f>VLOOKUP($A31,'Reg1'!$A:$H,F$1,0)</f>
        <v>-0.079***</v>
      </c>
      <c r="G31" s="3" t="str">
        <f>VLOOKUP($A31,'Reg1'!$A:$H,G$1,0)</f>
        <v>-0.044***</v>
      </c>
      <c r="H31" s="3" t="str">
        <f>VLOOKUP($A31,'Reg1'!$A:$H,H$1,0)</f>
        <v>-0.071***</v>
      </c>
      <c r="I31" s="3" t="str">
        <f>VLOOKUP($A31,'Reg1'!$A:$H,I$1,0)</f>
        <v>-0.064***</v>
      </c>
      <c r="J31" s="3" t="str">
        <f>_xlfn.CONCAT(FIXED(VLOOKUP($A31,Reg1_Robust!A:AG,3,0),3),VLOOKUP($A31,Reg1_Robust!A:AG,28,0))</f>
        <v>-0.064***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(0.0050)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(0.0117)</v>
      </c>
    </row>
    <row r="33" spans="1:10" x14ac:dyDescent="0.25">
      <c r="A33">
        <v>29</v>
      </c>
      <c r="B33" t="s">
        <v>18</v>
      </c>
      <c r="C33" t="s">
        <v>557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_xlfn.CONCAT("(",FIXED(ABS(VLOOKUP($A34,'Reg1'!$A:$H,F$1,0)),4),")")</f>
        <v>(0.0000)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-0.017***</v>
      </c>
      <c r="G35" s="3" t="str">
        <f>VLOOKUP($A35,'Reg1'!$A:$H,G$1,0)</f>
        <v>-0.011***</v>
      </c>
      <c r="H35" s="3" t="str">
        <f>VLOOKUP($A35,'Reg1'!$A:$H,H$1,0)</f>
        <v>-0.015***</v>
      </c>
      <c r="I35" s="3" t="str">
        <f>VLOOKUP($A35,'Reg1'!$A:$H,I$1,0)</f>
        <v>-0.015***</v>
      </c>
      <c r="J35" s="3" t="str">
        <f>_xlfn.CONCAT(FIXED(VLOOKUP($A35,Reg1_Robust!A:AG,3,0),3),VLOOKUP($A35,Reg1_Robust!A:AG,28,0))</f>
        <v>-0.015**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(0.0051)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0.207***</v>
      </c>
      <c r="G37" s="3" t="str">
        <f>VLOOKUP($A37,'Reg1'!$A:$H,G$1,0)</f>
        <v>0.157***</v>
      </c>
      <c r="H37" s="3" t="str">
        <f>VLOOKUP($A37,'Reg1'!$A:$H,H$1,0)</f>
        <v>0.166***</v>
      </c>
      <c r="I37" s="3" t="str">
        <f>VLOOKUP($A37,'Reg1'!$A:$H,I$1,0)</f>
        <v>0.158***</v>
      </c>
      <c r="J37" s="3" t="str">
        <f>_xlfn.CONCAT(FIXED(VLOOKUP($A37,Reg1_Robust!A:AG,3,0),3),VLOOKUP($A37,Reg1_Robust!A:AG,28,0))</f>
        <v>0.158***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(0.0495)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-2E-3</v>
      </c>
      <c r="G39" s="3" t="str">
        <f>VLOOKUP($A39,'Reg1'!$A:$H,G$1,0)</f>
        <v>-0.024*</v>
      </c>
      <c r="H39" s="3" t="str">
        <f>VLOOKUP($A39,'Reg1'!$A:$H,H$1,0)</f>
        <v>-0.052***</v>
      </c>
      <c r="I39" s="3" t="str">
        <f>VLOOKUP($A39,'Reg1'!$A:$H,I$1,0)</f>
        <v>-0.037***</v>
      </c>
      <c r="J39" s="3" t="str">
        <f>_xlfn.CONCAT(FIXED(VLOOKUP($A39,Reg1_Robust!A:AG,3,0),3),VLOOKUP($A39,Reg1_Robust!A:AG,28,0))</f>
        <v>-0.037*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(0.0170)</v>
      </c>
    </row>
    <row r="41" spans="1:10" x14ac:dyDescent="0.25">
      <c r="A41">
        <v>37</v>
      </c>
      <c r="B41" t="s">
        <v>221</v>
      </c>
      <c r="C41" t="s">
        <v>558</v>
      </c>
      <c r="F41" s="3" t="str">
        <f>VLOOKUP($A41,'Reg1'!$A:$H,F$1,0)</f>
        <v>0.151***</v>
      </c>
      <c r="G41" s="3" t="str">
        <f>VLOOKUP($A41,'Reg1'!$A:$H,G$1,0)</f>
        <v>0.150***</v>
      </c>
      <c r="H41" s="3" t="str">
        <f>VLOOKUP($A41,'Reg1'!$A:$H,H$1,0)</f>
        <v>0.118***</v>
      </c>
      <c r="I41" s="3" t="str">
        <f>VLOOKUP($A41,'Reg1'!$A:$H,I$1,0)</f>
        <v>0.109***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(0.0115)</v>
      </c>
    </row>
    <row r="43" spans="1:10" x14ac:dyDescent="0.25">
      <c r="A43">
        <v>39</v>
      </c>
      <c r="B43" t="s">
        <v>222</v>
      </c>
      <c r="C43" t="s">
        <v>559</v>
      </c>
      <c r="F43" s="3" t="str">
        <f>VLOOKUP($A43,'Reg1'!$A:$H,F$1,0)</f>
        <v>0.068***</v>
      </c>
      <c r="G43" s="3" t="str">
        <f>VLOOKUP($A43,'Reg1'!$A:$H,G$1,0)</f>
        <v>0.070***</v>
      </c>
      <c r="H43" s="3" t="str">
        <f>VLOOKUP($A43,'Reg1'!$A:$H,H$1,0)</f>
        <v>0.057***</v>
      </c>
      <c r="I43" s="3" t="str">
        <f>VLOOKUP($A43,'Reg1'!$A:$H,I$1,0)</f>
        <v>0.053***</v>
      </c>
      <c r="J43" s="3" t="str">
        <f>_xlfn.CONCAT(FIXED(VLOOKUP($A43,Reg1_Robust!A:AG,3,0),3),VLOOKUP($A43,Reg1_Robust!A:AG,28,0))</f>
        <v>0.053***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(0.0049)</v>
      </c>
    </row>
    <row r="45" spans="1:10" x14ac:dyDescent="0.25">
      <c r="A45">
        <v>41</v>
      </c>
      <c r="B45" t="s">
        <v>225</v>
      </c>
      <c r="C45" t="s">
        <v>560</v>
      </c>
      <c r="F45" s="3" t="str">
        <f>VLOOKUP($A45,'Reg1'!$A:$H,F$1,0)</f>
        <v>-0.029***</v>
      </c>
      <c r="G45" s="3" t="str">
        <f>VLOOKUP($A45,'Reg1'!$A:$H,G$1,0)</f>
        <v>-0.055***</v>
      </c>
      <c r="H45" s="3" t="str">
        <f>VLOOKUP($A45,'Reg1'!$A:$H,H$1,0)</f>
        <v>-0.056***</v>
      </c>
      <c r="I45" s="3" t="str">
        <f>VLOOKUP($A45,'Reg1'!$A:$H,I$1,0)</f>
        <v>-0.054***</v>
      </c>
      <c r="J45" s="3" t="str">
        <f>_xlfn.CONCAT(FIXED(VLOOKUP($A45,Reg1_Robust!A:AG,3,0),3),VLOOKUP($A45,Reg1_Robust!A:AG,28,0))</f>
        <v>-0.054***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(0.0100)</v>
      </c>
    </row>
    <row r="47" spans="1:10" x14ac:dyDescent="0.25">
      <c r="A47">
        <v>43</v>
      </c>
      <c r="B47" t="s">
        <v>22</v>
      </c>
      <c r="C47" t="s">
        <v>561</v>
      </c>
      <c r="G47" s="3" t="str">
        <f>VLOOKUP($A47,'Reg1'!$A:$H,G$1,0)</f>
        <v>0.046***</v>
      </c>
      <c r="H47" s="3" t="str">
        <f>VLOOKUP($A47,'Reg1'!$A:$H,H$1,0)</f>
        <v>0.024***</v>
      </c>
      <c r="I47" s="3" t="str">
        <f>VLOOKUP($A47,'Reg1'!$A:$H,I$1,0)</f>
        <v>0.024***</v>
      </c>
      <c r="J47" s="3" t="str">
        <f>_xlfn.CONCAT(FIXED(VLOOKUP($A47,Reg1_Robust!A:AG,3,0),3),VLOOKUP($A47,Reg1_Robust!A:AG,28,0))</f>
        <v>0.024*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(0.0121)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-0.057***</v>
      </c>
      <c r="H49" s="3" t="str">
        <f>VLOOKUP($A49,'Reg1'!$A:$H,H$1,0)</f>
        <v>-0.068***</v>
      </c>
      <c r="I49" s="3" t="str">
        <f>VLOOKUP($A49,'Reg1'!$A:$H,I$1,0)</f>
        <v>-0.063***</v>
      </c>
      <c r="J49" s="3" t="str">
        <f>_xlfn.CONCAT(FIXED(VLOOKUP($A49,Reg1_Robust!A:AG,3,0),3),VLOOKUP($A49,Reg1_Robust!A:AG,28,0))</f>
        <v>-0.063*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(0.0269)</v>
      </c>
    </row>
    <row r="51" spans="1:10" x14ac:dyDescent="0.25">
      <c r="A51">
        <v>47</v>
      </c>
      <c r="B51" t="s">
        <v>24</v>
      </c>
      <c r="C51" t="s">
        <v>562</v>
      </c>
      <c r="G51" s="3" t="str">
        <f>VLOOKUP($A51,'Reg1'!$A:$H,G$1,0)</f>
        <v>-0.143***</v>
      </c>
      <c r="H51" s="3" t="str">
        <f>VLOOKUP($A51,'Reg1'!$A:$H,H$1,0)</f>
        <v>-0.182***</v>
      </c>
      <c r="I51" s="3" t="str">
        <f>VLOOKUP($A51,'Reg1'!$A:$H,I$1,0)</f>
        <v>-0.187***</v>
      </c>
      <c r="J51" s="3" t="str">
        <f>_xlfn.CONCAT(FIXED(VLOOKUP($A51,Reg1_Robust!A:AG,3,0),3),VLOOKUP($A51,Reg1_Robust!A:AG,28,0))</f>
        <v>-0.187***</v>
      </c>
    </row>
    <row r="52" spans="1:10" x14ac:dyDescent="0.25">
      <c r="A52">
        <v>48</v>
      </c>
      <c r="G52" s="3" t="str">
        <f>_xlfn.CONCAT("(",FIXED(ABS(VLOOKUP($A52,'Reg1'!$A:$H,G$1,0)),4),")")</f>
        <v>(0.0060)</v>
      </c>
      <c r="H52" s="3" t="str">
        <f>_xlfn.CONCAT("(",FIXED(ABS(VLOOKUP($A52,'Reg1'!$A:$H,H$1,0)),4),")")</f>
        <v>(0.0050)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(0.0408)</v>
      </c>
    </row>
    <row r="53" spans="1:10" x14ac:dyDescent="0.25">
      <c r="A53">
        <v>49</v>
      </c>
      <c r="B53" t="s">
        <v>25</v>
      </c>
      <c r="C53" t="s">
        <v>563</v>
      </c>
      <c r="G53" s="3" t="str">
        <f>VLOOKUP($A53,'Reg1'!$A:$H,G$1,0)</f>
        <v>-0.078***</v>
      </c>
      <c r="H53" s="3" t="str">
        <f>VLOOKUP($A53,'Reg1'!$A:$H,H$1,0)</f>
        <v>-0.118***</v>
      </c>
      <c r="I53" s="3" t="str">
        <f>VLOOKUP($A53,'Reg1'!$A:$H,I$1,0)</f>
        <v>-0.137***</v>
      </c>
      <c r="J53" s="3" t="str">
        <f>_xlfn.CONCAT(FIXED(VLOOKUP($A53,Reg1_Robust!A:AG,3,0),3),VLOOKUP($A53,Reg1_Robust!A:AG,28,0))</f>
        <v>-0.137</v>
      </c>
    </row>
    <row r="54" spans="1:10" x14ac:dyDescent="0.25">
      <c r="A54">
        <v>50</v>
      </c>
      <c r="G54" s="3" t="str">
        <f>_xlfn.CONCAT("(",FIXED(ABS(VLOOKUP($A54,'Reg1'!$A:$H,G$1,0)),4),")")</f>
        <v>(0.0070)</v>
      </c>
      <c r="H54" s="3" t="str">
        <f>_xlfn.CONCAT("(",FIXED(ABS(VLOOKUP($A54,'Reg1'!$A:$H,H$1,0)),4),")")</f>
        <v>(0.0060)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(0.0810)</v>
      </c>
    </row>
    <row r="55" spans="1:10" x14ac:dyDescent="0.25">
      <c r="A55">
        <v>51</v>
      </c>
      <c r="B55" t="s">
        <v>26</v>
      </c>
      <c r="C55" t="s">
        <v>26</v>
      </c>
      <c r="G55" s="3" t="str">
        <f>VLOOKUP($A55,'Reg1'!$A:$H,G$1,0)</f>
        <v>-0.121***</v>
      </c>
      <c r="H55" s="3" t="str">
        <f>VLOOKUP($A55,'Reg1'!$A:$H,H$1,0)</f>
        <v>-0.117***</v>
      </c>
      <c r="I55" s="3" t="str">
        <f>VLOOKUP($A55,'Reg1'!$A:$H,I$1,0)</f>
        <v>-0.132***</v>
      </c>
      <c r="J55" s="3" t="str">
        <f>_xlfn.CONCAT(FIXED(VLOOKUP($A55,Reg1_Robust!A:AG,3,0),3),VLOOKUP($A55,Reg1_Robust!A:AG,28,0))</f>
        <v>-0.132***</v>
      </c>
    </row>
    <row r="56" spans="1:10" x14ac:dyDescent="0.25">
      <c r="A56">
        <v>52</v>
      </c>
      <c r="G56" s="3" t="str">
        <f>_xlfn.CONCAT("(",FIXED(ABS(VLOOKUP($A56,'Reg1'!$A:$H,G$1,0)),4),")")</f>
        <v>(0.0050)</v>
      </c>
      <c r="H56" s="3" t="str">
        <f>_xlfn.CONCAT("(",FIXED(ABS(VLOOKUP($A56,'Reg1'!$A:$H,H$1,0)),4),")")</f>
        <v>(0.0040)</v>
      </c>
      <c r="I56" s="3" t="str">
        <f>_xlfn.CONCAT("(",FIXED(ABS(VLOOKUP($A56,'Reg1'!$A:$H,I$1,0)),4),")")</f>
        <v>(0.0040)</v>
      </c>
      <c r="J56" s="3" t="str">
        <f>_xlfn.CONCAT("(",FIXED(VLOOKUP($A55,Reg1_Robust!A:AG,4,0),4),")")</f>
        <v>(0.0370)</v>
      </c>
    </row>
    <row r="57" spans="1:10" x14ac:dyDescent="0.25">
      <c r="A57">
        <v>53</v>
      </c>
      <c r="B57" t="s">
        <v>27</v>
      </c>
      <c r="C57" t="s">
        <v>564</v>
      </c>
      <c r="G57" s="3" t="str">
        <f>VLOOKUP($A57,'Reg1'!$A:$H,G$1,0)</f>
        <v>-0.107***</v>
      </c>
      <c r="H57" s="3" t="str">
        <f>VLOOKUP($A57,'Reg1'!$A:$H,H$1,0)</f>
        <v>-0.119***</v>
      </c>
      <c r="I57" s="3" t="str">
        <f>VLOOKUP($A57,'Reg1'!$A:$H,I$1,0)</f>
        <v>-0.141***</v>
      </c>
      <c r="J57" s="3" t="str">
        <f>_xlfn.CONCAT(FIXED(VLOOKUP($A57,Reg1_Robust!A:AG,3,0),3),VLOOKUP($A57,Reg1_Robust!A:AG,28,0))</f>
        <v>-0.141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(0.0090)</v>
      </c>
      <c r="J58" s="3" t="str">
        <f>_xlfn.CONCAT("(",FIXED(VLOOKUP($A57,Reg1_Robust!A:AG,4,0),4),")")</f>
        <v>(0.1912)</v>
      </c>
    </row>
    <row r="59" spans="1:10" x14ac:dyDescent="0.25">
      <c r="A59">
        <v>55</v>
      </c>
      <c r="B59" t="s">
        <v>29</v>
      </c>
      <c r="C59" t="s">
        <v>29</v>
      </c>
      <c r="G59" s="3" t="str">
        <f>VLOOKUP($A59,'Reg1'!$A:$H,G$1,0)</f>
        <v>-0.140***</v>
      </c>
      <c r="H59" s="3" t="str">
        <f>VLOOKUP($A59,'Reg1'!$A:$H,H$1,0)</f>
        <v>-0.127***</v>
      </c>
      <c r="I59" s="3" t="str">
        <f>VLOOKUP($A59,'Reg1'!$A:$H,I$1,0)</f>
        <v>-0.101***</v>
      </c>
      <c r="J59" s="3" t="str">
        <f>_xlfn.CONCAT(FIXED(VLOOKUP($A59,Reg1_Robust!A:AG,3,0),3),VLOOKUP($A59,Reg1_Robust!A:AG,28,0))</f>
        <v>-0.101***</v>
      </c>
    </row>
    <row r="60" spans="1:10" x14ac:dyDescent="0.25">
      <c r="A60">
        <v>56</v>
      </c>
      <c r="G60" s="3" t="str">
        <f>_xlfn.CONCAT("(",FIXED(ABS(VLOOKUP($A60,'Reg1'!$A:$H,G$1,0)),4),")")</f>
        <v>(0.0150)</v>
      </c>
      <c r="H60" s="3" t="str">
        <f>_xlfn.CONCAT("(",FIXED(ABS(VLOOKUP($A60,'Reg1'!$A:$H,H$1,0)),4),")")</f>
        <v>(0.0130)</v>
      </c>
      <c r="I60" s="3" t="str">
        <f>_xlfn.CONCAT("(",FIXED(ABS(VLOOKUP($A60,'Reg1'!$A:$H,I$1,0)),4),")")</f>
        <v>(0.0120)</v>
      </c>
      <c r="J60" s="3" t="str">
        <f>_xlfn.CONCAT("(",FIXED(VLOOKUP($A59,Reg1_Robust!A:AG,4,0),4),")")</f>
        <v>(0.0260)</v>
      </c>
    </row>
    <row r="61" spans="1:10" x14ac:dyDescent="0.25">
      <c r="A61">
        <v>57</v>
      </c>
      <c r="B61" t="s">
        <v>31</v>
      </c>
      <c r="C61" t="s">
        <v>565</v>
      </c>
      <c r="G61" s="3" t="str">
        <f>VLOOKUP($A61,'Reg1'!$A:$H,G$1,0)</f>
        <v>-0.108***</v>
      </c>
      <c r="H61" s="3" t="str">
        <f>VLOOKUP($A61,'Reg1'!$A:$H,H$1,0)</f>
        <v>-0.072***</v>
      </c>
      <c r="I61" s="3" t="str">
        <f>VLOOKUP($A61,'Reg1'!$A:$H,I$1,0)</f>
        <v>-0.064***</v>
      </c>
      <c r="J61" s="3" t="str">
        <f>_xlfn.CONCAT(FIXED(VLOOKUP($A61,Reg1_Robust!A:AG,3,0),3),VLOOKUP($A61,Reg1_Robust!A:AG,28,0))</f>
        <v>-0.064**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(0.0235)</v>
      </c>
    </row>
    <row r="63" spans="1:10" x14ac:dyDescent="0.25">
      <c r="A63">
        <v>59</v>
      </c>
      <c r="B63" t="s">
        <v>237</v>
      </c>
      <c r="C63" t="s">
        <v>566</v>
      </c>
      <c r="G63" s="3">
        <f>VLOOKUP($A63,'Reg1'!$A:$H,G$1,0)</f>
        <v>-1.4E-2</v>
      </c>
      <c r="H63" s="3" t="str">
        <f>VLOOKUP($A63,'Reg1'!$A:$H,H$1,0)</f>
        <v>-0.041***</v>
      </c>
      <c r="I63" s="3">
        <f>VLOOKUP($A63,'Reg1'!$A:$H,I$1,0)</f>
        <v>5.0000000000000001E-3</v>
      </c>
      <c r="J63" s="3" t="str">
        <f>_xlfn.CONCAT(FIXED(VLOOKUP($A63,Reg1_Robust!A:AG,3,0),3),VLOOKUP($A63,Reg1_Robust!A:AG,28,0))</f>
        <v>0.005</v>
      </c>
    </row>
    <row r="64" spans="1:10" x14ac:dyDescent="0.25">
      <c r="A64">
        <v>60</v>
      </c>
      <c r="G64" s="3" t="str">
        <f>_xlfn.CONCAT("(",FIXED(ABS(VLOOKUP($A64,'Reg1'!$A:$H,G$1,0)),4),")")</f>
        <v>(0.0160)</v>
      </c>
      <c r="H64" s="3" t="str">
        <f>_xlfn.CONCAT("(",FIXED(ABS(VLOOKUP($A64,'Reg1'!$A:$H,H$1,0)),4),")")</f>
        <v>(0.0140)</v>
      </c>
      <c r="I64" s="3" t="str">
        <f>_xlfn.CONCAT("(",FIXED(ABS(VLOOKUP($A64,'Reg1'!$A:$H,I$1,0)),4),")")</f>
        <v>(0.0130)</v>
      </c>
      <c r="J64" s="3" t="str">
        <f>_xlfn.CONCAT("(",FIXED(VLOOKUP($A63,Reg1_Robust!A:AG,4,0),4),")")</f>
        <v>(0.0940)</v>
      </c>
    </row>
    <row r="65" spans="1:10" x14ac:dyDescent="0.25">
      <c r="A65">
        <v>61</v>
      </c>
      <c r="B65" t="s">
        <v>238</v>
      </c>
      <c r="C65" t="s">
        <v>567</v>
      </c>
      <c r="G65" s="3" t="str">
        <f>VLOOKUP($A65,'Reg1'!$A:$H,G$1,0)</f>
        <v>-0.042***</v>
      </c>
      <c r="H65" s="3" t="str">
        <f>VLOOKUP($A65,'Reg1'!$A:$H,H$1,0)</f>
        <v>-0.095***</v>
      </c>
      <c r="I65" s="3" t="str">
        <f>VLOOKUP($A65,'Reg1'!$A:$H,I$1,0)</f>
        <v>-0.069***</v>
      </c>
      <c r="J65" s="3" t="str">
        <f>_xlfn.CONCAT(FIXED(VLOOKUP($A65,Reg1_Robust!A:AG,3,0),3),VLOOKUP($A65,Reg1_Robust!A:AG,28,0))</f>
        <v>-0.069</v>
      </c>
    </row>
    <row r="66" spans="1:10" x14ac:dyDescent="0.25">
      <c r="A66">
        <v>62</v>
      </c>
      <c r="G66" s="3" t="str">
        <f>_xlfn.CONCAT("(",FIXED(ABS(VLOOKUP($A66,'Reg1'!$A:$H,G$1,0)),4),")")</f>
        <v>(0.0100)</v>
      </c>
      <c r="H66" s="3" t="str">
        <f>_xlfn.CONCAT("(",FIXED(ABS(VLOOKUP($A66,'Reg1'!$A:$H,H$1,0)),4),")")</f>
        <v>(0.0090)</v>
      </c>
      <c r="I66" s="3" t="str">
        <f>_xlfn.CONCAT("(",FIXED(ABS(VLOOKUP($A66,'Reg1'!$A:$H,I$1,0)),4),")")</f>
        <v>(0.0090)</v>
      </c>
      <c r="J66" s="3" t="str">
        <f>_xlfn.CONCAT("(",FIXED(VLOOKUP($A65,Reg1_Robust!A:AG,4,0),4),")")</f>
        <v>(0.0553)</v>
      </c>
    </row>
    <row r="67" spans="1:10" x14ac:dyDescent="0.25">
      <c r="A67">
        <v>65</v>
      </c>
      <c r="B67" t="s">
        <v>243</v>
      </c>
      <c r="C67" t="s">
        <v>568</v>
      </c>
      <c r="G67" s="3" t="str">
        <f>VLOOKUP($A67,'Reg1'!$A:$H,G$1,0)</f>
        <v>-0.115***</v>
      </c>
      <c r="H67" s="3" t="str">
        <f>VLOOKUP($A67,'Reg1'!$A:$H,H$1,0)</f>
        <v>-0.142***</v>
      </c>
      <c r="I67" s="3" t="str">
        <f>VLOOKUP($A67,'Reg1'!$A:$H,I$1,0)</f>
        <v>-0.120***</v>
      </c>
      <c r="J67" s="3" t="str">
        <f>_xlfn.CONCAT(FIXED(VLOOKUP($A67,Reg1_Robust!A:AG,3,0),3),VLOOKUP($A67,Reg1_Robust!A:AG,28,0))</f>
        <v>-0.120**</v>
      </c>
    </row>
    <row r="68" spans="1:10" x14ac:dyDescent="0.25">
      <c r="A68">
        <v>66</v>
      </c>
      <c r="G68" s="3" t="str">
        <f>_xlfn.CONCAT("(",FIXED(ABS(VLOOKUP($A68,'Reg1'!$A:$H,G$1,0)),4),")")</f>
        <v>(0.0060)</v>
      </c>
      <c r="H68" s="3" t="str">
        <f>_xlfn.CONCAT("(",FIXED(ABS(VLOOKUP($A68,'Reg1'!$A:$H,H$1,0)),4),")")</f>
        <v>(0.0050)</v>
      </c>
      <c r="I68" s="3" t="str">
        <f>_xlfn.CONCAT("(",FIXED(ABS(VLOOKUP($A68,'Reg1'!$A:$H,I$1,0)),4),")")</f>
        <v>(0.0050)</v>
      </c>
      <c r="J68" s="3" t="str">
        <f>_xlfn.CONCAT("(",FIXED(VLOOKUP($A67,Reg1_Robust!A:AG,4,0),4),")")</f>
        <v>(0.0475)</v>
      </c>
    </row>
    <row r="69" spans="1:10" x14ac:dyDescent="0.25">
      <c r="A69">
        <v>63</v>
      </c>
      <c r="B69" t="s">
        <v>241</v>
      </c>
      <c r="C69" t="s">
        <v>569</v>
      </c>
      <c r="G69" s="3" t="str">
        <f>VLOOKUP($A69,'Reg1'!$A:$H,G$1,0)</f>
        <v>-0.085***</v>
      </c>
      <c r="H69" s="3" t="str">
        <f>VLOOKUP($A69,'Reg1'!$A:$H,H$1,0)</f>
        <v>-0.063***</v>
      </c>
      <c r="I69" s="3" t="str">
        <f>VLOOKUP($A69,'Reg1'!$A:$H,I$1,0)</f>
        <v>-0.083***</v>
      </c>
      <c r="J69" s="3" t="str">
        <f>_xlfn.CONCAT(FIXED(VLOOKUP($A69,Reg1_Robust!A:AG,3,0),3),VLOOKUP($A69,Reg1_Robust!A:AG,28,0))</f>
        <v>-0.083**</v>
      </c>
    </row>
    <row r="70" spans="1:10" x14ac:dyDescent="0.25">
      <c r="A70">
        <v>64</v>
      </c>
      <c r="G70" s="3" t="str">
        <f>_xlfn.CONCAT("(",FIXED(ABS(VLOOKUP($A70,'Reg1'!$A:$H,G$1,0)),4),")")</f>
        <v>(0.0050)</v>
      </c>
      <c r="H70" s="3" t="str">
        <f>_xlfn.CONCAT("(",FIXED(ABS(VLOOKUP($A70,'Reg1'!$A:$H,H$1,0)),4),")")</f>
        <v>(0.0040)</v>
      </c>
      <c r="I70" s="3" t="str">
        <f>_xlfn.CONCAT("(",FIXED(ABS(VLOOKUP($A70,'Reg1'!$A:$H,I$1,0)),4),")")</f>
        <v>(0.0040)</v>
      </c>
      <c r="J70" s="3" t="str">
        <f>_xlfn.CONCAT("(",FIXED(VLOOKUP($A69,Reg1_Robust!A:AG,4,0),4),")")</f>
        <v>(0.0282)</v>
      </c>
    </row>
    <row r="71" spans="1:10" x14ac:dyDescent="0.25">
      <c r="A71">
        <v>67</v>
      </c>
      <c r="B71" t="s">
        <v>244</v>
      </c>
      <c r="C71" t="s">
        <v>570</v>
      </c>
      <c r="G71" s="3" t="str">
        <f>VLOOKUP($A71,'Reg1'!$A:$H,G$1,0)</f>
        <v>0.052***</v>
      </c>
      <c r="H71" s="3" t="str">
        <f>VLOOKUP($A71,'Reg1'!$A:$H,H$1,0)</f>
        <v>-0.041***</v>
      </c>
      <c r="I71" s="3">
        <f>VLOOKUP($A71,'Reg1'!$A:$H,I$1,0)</f>
        <v>5.0000000000000001E-3</v>
      </c>
      <c r="J71" s="3" t="str">
        <f>_xlfn.CONCAT(FIXED(VLOOKUP($A71,Reg1_Robust!A:AG,3,0),3),VLOOKUP($A71,Reg1_Robust!A:AG,28,0))</f>
        <v>0.005</v>
      </c>
    </row>
    <row r="72" spans="1:10" x14ac:dyDescent="0.25">
      <c r="A72">
        <v>68</v>
      </c>
      <c r="G72" s="3" t="str">
        <f>_xlfn.CONCAT("(",FIXED(ABS(VLOOKUP($A72,'Reg1'!$A:$H,G$1,0)),4),")")</f>
        <v>(0.0100)</v>
      </c>
      <c r="H72" s="3" t="str">
        <f>_xlfn.CONCAT("(",FIXED(ABS(VLOOKUP($A72,'Reg1'!$A:$H,H$1,0)),4),")")</f>
        <v>(0.0090)</v>
      </c>
      <c r="I72" s="3" t="str">
        <f>_xlfn.CONCAT("(",FIXED(ABS(VLOOKUP($A72,'Reg1'!$A:$H,I$1,0)),4),")")</f>
        <v>(0.0080)</v>
      </c>
      <c r="J72" s="3" t="str">
        <f>_xlfn.CONCAT("(",FIXED(VLOOKUP($A71,Reg1_Robust!A:AG,4,0),4),")")</f>
        <v>(0.0635)</v>
      </c>
    </row>
    <row r="73" spans="1:10" x14ac:dyDescent="0.25">
      <c r="A73">
        <v>69</v>
      </c>
      <c r="B73" t="s">
        <v>245</v>
      </c>
      <c r="C73" t="s">
        <v>571</v>
      </c>
      <c r="G73" s="3" t="str">
        <f>VLOOKUP($A73,'Reg1'!$A:$H,G$1,0)</f>
        <v>0.134***</v>
      </c>
      <c r="H73" s="3" t="str">
        <f>VLOOKUP($A73,'Reg1'!$A:$H,H$1,0)</f>
        <v>0.037***</v>
      </c>
      <c r="I73" s="3" t="str">
        <f>VLOOKUP($A73,'Reg1'!$A:$H,I$1,0)</f>
        <v>-0.017***</v>
      </c>
      <c r="J73" s="3" t="str">
        <f>_xlfn.CONCAT(FIXED(VLOOKUP($A73,Reg1_Robust!A:AG,3,0),3),VLOOKUP($A73,Reg1_Robust!A:AG,28,0))</f>
        <v>-0.017</v>
      </c>
    </row>
    <row r="74" spans="1:10" x14ac:dyDescent="0.25">
      <c r="A74">
        <v>70</v>
      </c>
      <c r="G74" s="3" t="str">
        <f>_xlfn.CONCAT("(",FIXED(ABS(VLOOKUP($A74,'Reg1'!$A:$H,G$1,0)),4),")")</f>
        <v>(0.0070)</v>
      </c>
      <c r="H74" s="3" t="str">
        <f>_xlfn.CONCAT("(",FIXED(ABS(VLOOKUP($A74,'Reg1'!$A:$H,H$1,0)),4),")")</f>
        <v>(0.0070)</v>
      </c>
      <c r="I74" s="3" t="str">
        <f>_xlfn.CONCAT("(",FIXED(ABS(VLOOKUP($A74,'Reg1'!$A:$H,I$1,0)),4),")")</f>
        <v>(0.0060)</v>
      </c>
      <c r="J74" s="3" t="str">
        <f>_xlfn.CONCAT("(",FIXED(VLOOKUP($A73,Reg1_Robust!A:AG,4,0),4),")")</f>
        <v>(0.1543)</v>
      </c>
    </row>
    <row r="75" spans="1:10" x14ac:dyDescent="0.25">
      <c r="A75">
        <v>71</v>
      </c>
      <c r="B75" t="s">
        <v>247</v>
      </c>
      <c r="C75" t="s">
        <v>572</v>
      </c>
      <c r="G75" s="3" t="str">
        <f>VLOOKUP($A75,'Reg1'!$A:$H,G$1,0)</f>
        <v>0.596***</v>
      </c>
      <c r="H75" s="3" t="str">
        <f>VLOOKUP($A75,'Reg1'!$A:$H,H$1,0)</f>
        <v>0.514***</v>
      </c>
      <c r="I75" s="3" t="str">
        <f>VLOOKUP($A75,'Reg1'!$A:$H,I$1,0)</f>
        <v>0.228***</v>
      </c>
      <c r="J75" s="3" t="str">
        <f>_xlfn.CONCAT(FIXED(VLOOKUP($A75,Reg1_Robust!A:AG,3,0),3),VLOOKUP($A75,Reg1_Robust!A:AG,28,0))</f>
        <v>0.228</v>
      </c>
    </row>
    <row r="76" spans="1:10" x14ac:dyDescent="0.25">
      <c r="A76">
        <v>72</v>
      </c>
      <c r="G76" s="3" t="str">
        <f>_xlfn.CONCAT("(",FIXED(ABS(VLOOKUP($A76,'Reg1'!$A:$H,G$1,0)),4),")")</f>
        <v>(0.0120)</v>
      </c>
      <c r="H76" s="3" t="str">
        <f>_xlfn.CONCAT("(",FIXED(ABS(VLOOKUP($A76,'Reg1'!$A:$H,H$1,0)),4),")")</f>
        <v>(0.0100)</v>
      </c>
      <c r="I76" s="3" t="str">
        <f>_xlfn.CONCAT("(",FIXED(ABS(VLOOKUP($A76,'Reg1'!$A:$H,I$1,0)),4),")")</f>
        <v>(0.0110)</v>
      </c>
      <c r="J76" s="3" t="str">
        <f>_xlfn.CONCAT("(",FIXED(VLOOKUP($A75,Reg1_Robust!A:AG,4,0),4),")")</f>
        <v>(0.1351)</v>
      </c>
    </row>
    <row r="77" spans="1:10" x14ac:dyDescent="0.25">
      <c r="A77">
        <v>73</v>
      </c>
      <c r="B77" t="s">
        <v>166</v>
      </c>
      <c r="C77" t="s">
        <v>573</v>
      </c>
      <c r="G77" s="3" t="str">
        <f>VLOOKUP($A77,'Reg1'!$A:$H,G$1,0)</f>
        <v>0.355***</v>
      </c>
      <c r="H77" s="3" t="str">
        <f>VLOOKUP($A77,'Reg1'!$A:$H,H$1,0)</f>
        <v>0.350***</v>
      </c>
      <c r="I77" s="3" t="str">
        <f>VLOOKUP($A77,'Reg1'!$A:$H,I$1,0)</f>
        <v>0.394***</v>
      </c>
      <c r="J77" s="3" t="str">
        <f>_xlfn.CONCAT(FIXED(VLOOKUP($A77,Reg1_Robust!A:AG,3,0),3),VLOOKUP($A77,Reg1_Robust!A:AG,28,0))</f>
        <v>0.394***</v>
      </c>
    </row>
    <row r="78" spans="1:10" x14ac:dyDescent="0.25">
      <c r="A78">
        <v>74</v>
      </c>
      <c r="G78" s="3" t="str">
        <f>_xlfn.CONCAT("(",FIXED(ABS(VLOOKUP($A78,'Reg1'!$A:$H,G$1,0)),4),")")</f>
        <v>(0.0080)</v>
      </c>
      <c r="H78" s="3" t="str">
        <f>_xlfn.CONCAT("(",FIXED(ABS(VLOOKUP($A78,'Reg1'!$A:$H,H$1,0)),4),")")</f>
        <v>(0.0070)</v>
      </c>
      <c r="I78" s="3" t="str">
        <f>_xlfn.CONCAT("(",FIXED(ABS(VLOOKUP($A78,'Reg1'!$A:$H,I$1,0)),4),")")</f>
        <v>(0.0070)</v>
      </c>
      <c r="J78" s="3" t="str">
        <f>_xlfn.CONCAT("(",FIXED(VLOOKUP($A77,Reg1_Robust!A:AG,4,0),4),")")</f>
        <v>(0.0352)</v>
      </c>
    </row>
    <row r="79" spans="1:10" x14ac:dyDescent="0.25">
      <c r="A79">
        <v>75</v>
      </c>
      <c r="B79" t="s">
        <v>167</v>
      </c>
      <c r="C79" t="s">
        <v>574</v>
      </c>
      <c r="G79" s="3" t="str">
        <f>VLOOKUP($A79,'Reg1'!$A:$H,G$1,0)</f>
        <v>0.605***</v>
      </c>
      <c r="H79" s="3" t="str">
        <f>VLOOKUP($A79,'Reg1'!$A:$H,H$1,0)</f>
        <v>0.584***</v>
      </c>
      <c r="I79" s="3" t="str">
        <f>VLOOKUP($A79,'Reg1'!$A:$H,I$1,0)</f>
        <v>0.621***</v>
      </c>
      <c r="J79" s="3" t="str">
        <f>_xlfn.CONCAT(FIXED(VLOOKUP($A79,Reg1_Robust!A:AG,3,0),3),VLOOKUP($A79,Reg1_Robust!A:AG,28,0))</f>
        <v>0.621***</v>
      </c>
    </row>
    <row r="80" spans="1:10" x14ac:dyDescent="0.25">
      <c r="A80">
        <v>76</v>
      </c>
      <c r="G80" s="3" t="str">
        <f>_xlfn.CONCAT("(",FIXED(ABS(VLOOKUP($A80,'Reg1'!$A:$H,G$1,0)),4),")")</f>
        <v>(0.0090)</v>
      </c>
      <c r="H80" s="3" t="str">
        <f>_xlfn.CONCAT("(",FIXED(ABS(VLOOKUP($A80,'Reg1'!$A:$H,H$1,0)),4),")")</f>
        <v>(0.0080)</v>
      </c>
      <c r="I80" s="3" t="str">
        <f>_xlfn.CONCAT("(",FIXED(ABS(VLOOKUP($A80,'Reg1'!$A:$H,I$1,0)),4),")")</f>
        <v>(0.0080)</v>
      </c>
      <c r="J80" s="3" t="str">
        <f>_xlfn.CONCAT("(",FIXED(VLOOKUP($A79,Reg1_Robust!A:AG,4,0),4),")")</f>
        <v>(0.0503)</v>
      </c>
    </row>
    <row r="81" spans="1:10" x14ac:dyDescent="0.25">
      <c r="A81">
        <v>77</v>
      </c>
      <c r="B81" t="s">
        <v>168</v>
      </c>
      <c r="C81" t="s">
        <v>575</v>
      </c>
      <c r="G81" s="3" t="str">
        <f>VLOOKUP($A81,'Reg1'!$A:$H,G$1,0)</f>
        <v>0.597***</v>
      </c>
      <c r="H81" s="3" t="str">
        <f>VLOOKUP($A81,'Reg1'!$A:$H,H$1,0)</f>
        <v>0.585***</v>
      </c>
      <c r="I81" s="3" t="str">
        <f>VLOOKUP($A81,'Reg1'!$A:$H,I$1,0)</f>
        <v>0.626***</v>
      </c>
      <c r="J81" s="3" t="str">
        <f>_xlfn.CONCAT(FIXED(VLOOKUP($A81,Reg1_Robust!A:AG,3,0),3),VLOOKUP($A81,Reg1_Robust!A:AG,28,0))</f>
        <v>0.626***</v>
      </c>
    </row>
    <row r="82" spans="1:10" x14ac:dyDescent="0.25">
      <c r="A82">
        <v>78</v>
      </c>
      <c r="G82" s="3" t="str">
        <f>_xlfn.CONCAT("(",FIXED(ABS(VLOOKUP($A82,'Reg1'!$A:$H,G$1,0)),4),")")</f>
        <v>(0.0110)</v>
      </c>
      <c r="H82" s="3" t="str">
        <f>_xlfn.CONCAT("(",FIXED(ABS(VLOOKUP($A82,'Reg1'!$A:$H,H$1,0)),4),")")</f>
        <v>(0.0100)</v>
      </c>
      <c r="I82" s="3" t="str">
        <f>_xlfn.CONCAT("(",FIXED(ABS(VLOOKUP($A82,'Reg1'!$A:$H,I$1,0)),4),")")</f>
        <v>(0.0090)</v>
      </c>
      <c r="J82" s="3" t="str">
        <f>_xlfn.CONCAT("(",FIXED(VLOOKUP($A81,Reg1_Robust!A:AG,4,0),4),")")</f>
        <v>(0.0563)</v>
      </c>
    </row>
    <row r="83" spans="1:10" x14ac:dyDescent="0.25">
      <c r="A83">
        <v>79</v>
      </c>
      <c r="B83" t="s">
        <v>169</v>
      </c>
      <c r="C83" t="s">
        <v>576</v>
      </c>
      <c r="G83" s="3" t="str">
        <f>VLOOKUP($A83,'Reg1'!$A:$H,G$1,0)</f>
        <v>0.619***</v>
      </c>
      <c r="H83" s="3" t="str">
        <f>VLOOKUP($A83,'Reg1'!$A:$H,H$1,0)</f>
        <v>0.613***</v>
      </c>
      <c r="I83" s="3" t="str">
        <f>VLOOKUP($A83,'Reg1'!$A:$H,I$1,0)</f>
        <v>0.648***</v>
      </c>
      <c r="J83" s="3" t="str">
        <f>_xlfn.CONCAT(FIXED(VLOOKUP($A83,Reg1_Robust!A:AG,3,0),3),VLOOKUP($A83,Reg1_Robust!A:AG,28,0))</f>
        <v>0.648***</v>
      </c>
    </row>
    <row r="84" spans="1:10" x14ac:dyDescent="0.25">
      <c r="A84">
        <v>80</v>
      </c>
      <c r="G84" s="3" t="str">
        <f>_xlfn.CONCAT("(",FIXED(ABS(VLOOKUP($A84,'Reg1'!$A:$H,G$1,0)),4),")")</f>
        <v>(0.0100)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(0.0459)</v>
      </c>
    </row>
    <row r="85" spans="1:10" x14ac:dyDescent="0.25">
      <c r="A85">
        <v>81</v>
      </c>
      <c r="B85" t="s">
        <v>170</v>
      </c>
      <c r="C85" t="s">
        <v>577</v>
      </c>
      <c r="G85" s="3" t="str">
        <f>VLOOKUP($A85,'Reg1'!$A:$H,G$1,0)</f>
        <v>0.534***</v>
      </c>
      <c r="H85" s="3" t="str">
        <f>VLOOKUP($A85,'Reg1'!$A:$H,H$1,0)</f>
        <v>0.534***</v>
      </c>
      <c r="I85" s="3" t="str">
        <f>VLOOKUP($A85,'Reg1'!$A:$H,I$1,0)</f>
        <v>0.582***</v>
      </c>
      <c r="J85" s="3" t="str">
        <f>_xlfn.CONCAT(FIXED(VLOOKUP($A85,Reg1_Robust!A:AG,3,0),3),VLOOKUP($A85,Reg1_Robust!A:AG,28,0))</f>
        <v>0.582***</v>
      </c>
    </row>
    <row r="86" spans="1:10" x14ac:dyDescent="0.25">
      <c r="A86">
        <v>82</v>
      </c>
      <c r="G86" s="3" t="str">
        <f>_xlfn.CONCAT("(",FIXED(ABS(VLOOKUP($A86,'Reg1'!$A:$H,G$1,0)),4),")")</f>
        <v>(0.0120)</v>
      </c>
      <c r="H86" s="3" t="str">
        <f>_xlfn.CONCAT("(",FIXED(ABS(VLOOKUP($A86,'Reg1'!$A:$H,H$1,0)),4),")")</f>
        <v>(0.0110)</v>
      </c>
      <c r="I86" s="3" t="str">
        <f>_xlfn.CONCAT("(",FIXED(ABS(VLOOKUP($A86,'Reg1'!$A:$H,I$1,0)),4),")")</f>
        <v>(0.0100)</v>
      </c>
      <c r="J86" s="3" t="str">
        <f>_xlfn.CONCAT("(",FIXED(VLOOKUP($A85,Reg1_Robust!A:AG,4,0),4),")")</f>
        <v>(0.0404)</v>
      </c>
    </row>
    <row r="87" spans="1:10" x14ac:dyDescent="0.25">
      <c r="A87">
        <v>83</v>
      </c>
      <c r="B87" t="s">
        <v>50</v>
      </c>
      <c r="C87" t="s">
        <v>578</v>
      </c>
      <c r="G87" s="3" t="str">
        <f>VLOOKUP($A87,'Reg1'!$A:$H,G$1,0)</f>
        <v>-0.0001***</v>
      </c>
      <c r="H87" s="3" t="str">
        <f>VLOOKUP($A87,'Reg1'!$A:$H,H$1,0)</f>
        <v>0.0001***</v>
      </c>
      <c r="I87" s="3">
        <f>VLOOKUP($A87,'Reg1'!$A:$H,I$1,0)</f>
        <v>3.0000000000000001E-5</v>
      </c>
      <c r="J87" s="3" t="str">
        <f>_xlfn.CONCAT(FIXED(VLOOKUP($A87,Reg1_Robust!A:AG,3,0),3),VLOOKUP($A87,Reg1_Robust!A:AG,28,0))</f>
        <v>0.000</v>
      </c>
    </row>
    <row r="88" spans="1:10" x14ac:dyDescent="0.25">
      <c r="A88">
        <v>84</v>
      </c>
      <c r="G88" s="3" t="str">
        <f>_xlfn.CONCAT("(",FIXED(ABS(VLOOKUP($A88,'Reg1'!$A:$H,G$1,0)),4),")")</f>
        <v>(0.0000)</v>
      </c>
      <c r="H88" s="3" t="str">
        <f>_xlfn.CONCAT("(",FIXED(ABS(VLOOKUP($A88,'Reg1'!$A:$H,H$1,0)),4),")")</f>
        <v>(0.0000)</v>
      </c>
      <c r="I88" s="3" t="str">
        <f>_xlfn.CONCAT("(",FIXED(ABS(VLOOKUP($A88,'Reg1'!$A:$H,I$1,0)),4),")")</f>
        <v>(0.0000)</v>
      </c>
      <c r="J88" s="3" t="str">
        <f>_xlfn.CONCAT("(",FIXED(VLOOKUP($A87,Reg1_Robust!A:AG,4,0),4),")")</f>
        <v>(0.0001)</v>
      </c>
    </row>
    <row r="89" spans="1:10" x14ac:dyDescent="0.25">
      <c r="A89">
        <v>85</v>
      </c>
      <c r="B89" t="s">
        <v>52</v>
      </c>
      <c r="C89" t="s">
        <v>579</v>
      </c>
      <c r="G89" s="3" t="str">
        <f>VLOOKUP($A89,'Reg1'!$A:$H,G$1,0)</f>
        <v>-0.010***</v>
      </c>
      <c r="H89" s="3">
        <f>VLOOKUP($A89,'Reg1'!$A:$H,H$1,0)</f>
        <v>-1E-3</v>
      </c>
      <c r="I89" s="3" t="str">
        <f>VLOOKUP($A89,'Reg1'!$A:$H,I$1,0)</f>
        <v>0.005*</v>
      </c>
      <c r="J89" s="3" t="str">
        <f>_xlfn.CONCAT(FIXED(VLOOKUP($A89,Reg1_Robust!A:AG,3,0),3),VLOOKUP($A89,Reg1_Robust!A:AG,28,0))</f>
        <v>0.005</v>
      </c>
    </row>
    <row r="90" spans="1:10" x14ac:dyDescent="0.25">
      <c r="A90">
        <v>86</v>
      </c>
      <c r="G90" s="3" t="str">
        <f>_xlfn.CONCAT("(",FIXED(ABS(VLOOKUP($A90,'Reg1'!$A:$H,G$1,0)),4),")")</f>
        <v>(0.0030)</v>
      </c>
      <c r="H90" s="3" t="str">
        <f>_xlfn.CONCAT("(",FIXED(ABS(VLOOKUP($A90,'Reg1'!$A:$H,H$1,0)),4),")")</f>
        <v>(0.0030)</v>
      </c>
      <c r="I90" s="3" t="str">
        <f>_xlfn.CONCAT("(",FIXED(ABS(VLOOKUP($A90,'Reg1'!$A:$H,I$1,0)),4),")")</f>
        <v>(0.0030)</v>
      </c>
      <c r="J90" s="3" t="str">
        <f>_xlfn.CONCAT("(",FIXED(VLOOKUP($A89,Reg1_Robust!A:AG,4,0),4),")")</f>
        <v>(0.0044)</v>
      </c>
    </row>
    <row r="91" spans="1:10" x14ac:dyDescent="0.25">
      <c r="A91">
        <v>87</v>
      </c>
      <c r="B91" t="s">
        <v>51</v>
      </c>
      <c r="C91" t="s">
        <v>580</v>
      </c>
      <c r="G91" s="3" t="str">
        <f>VLOOKUP($A91,'Reg1'!$A:$H,G$1,0)</f>
        <v>0.020***</v>
      </c>
      <c r="H91" s="3" t="str">
        <f>VLOOKUP($A91,'Reg1'!$A:$H,H$1,0)</f>
        <v>0.015***</v>
      </c>
      <c r="I91" s="3" t="str">
        <f>VLOOKUP($A91,'Reg1'!$A:$H,I$1,0)</f>
        <v>0.010***</v>
      </c>
      <c r="J91" s="3" t="str">
        <f>_xlfn.CONCAT(FIXED(VLOOKUP($A91,Reg1_Robust!A:AG,3,0),3),VLOOKUP($A91,Reg1_Robust!A:AG,28,0))</f>
        <v>0.010</v>
      </c>
    </row>
    <row r="92" spans="1:10" x14ac:dyDescent="0.25">
      <c r="A92">
        <v>88</v>
      </c>
      <c r="G92" s="3" t="str">
        <f>_xlfn.CONCAT("(",FIXED(ABS(VLOOKUP($A92,'Reg1'!$A:$H,G$1,0)),4),")")</f>
        <v>(0.0010)</v>
      </c>
      <c r="H92" s="3" t="str">
        <f>_xlfn.CONCAT("(",FIXED(ABS(VLOOKUP($A92,'Reg1'!$A:$H,H$1,0)),4),")")</f>
        <v>(0.0010)</v>
      </c>
      <c r="I92" s="3" t="str">
        <f>_xlfn.CONCAT("(",FIXED(ABS(VLOOKUP($A92,'Reg1'!$A:$H,I$1,0)),4),")")</f>
        <v>(0.0010)</v>
      </c>
      <c r="J92" s="3" t="str">
        <f>_xlfn.CONCAT("(",FIXED(VLOOKUP($A91,Reg1_Robust!A:AG,4,0),4),")")</f>
        <v>(0.0048)</v>
      </c>
    </row>
    <row r="93" spans="1:10" x14ac:dyDescent="0.25">
      <c r="A93">
        <v>89</v>
      </c>
      <c r="B93" t="s">
        <v>164</v>
      </c>
      <c r="C93" t="s">
        <v>581</v>
      </c>
      <c r="H93" s="3" t="str">
        <f>VLOOKUP($A93,'Reg1'!$A:$H,H$1,0)</f>
        <v>-0.009***</v>
      </c>
      <c r="I93" s="3" t="str">
        <f>VLOOKUP($A93,'Reg1'!$A:$H,I$1,0)</f>
        <v>-0.005***</v>
      </c>
      <c r="J93" s="3" t="str">
        <f>_xlfn.CONCAT(FIXED(VLOOKUP($A93,Reg1_Robust!A:AG,3,0),3),VLOOKUP($A93,Reg1_Robust!A:AG,28,0))</f>
        <v>-0.005</v>
      </c>
    </row>
    <row r="94" spans="1:10" x14ac:dyDescent="0.25">
      <c r="A94">
        <v>90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(0.0070)</v>
      </c>
    </row>
    <row r="95" spans="1:10" x14ac:dyDescent="0.25">
      <c r="A95">
        <v>91</v>
      </c>
      <c r="B95" t="s">
        <v>39</v>
      </c>
      <c r="C95" t="s">
        <v>582</v>
      </c>
      <c r="H95" s="3" t="str">
        <f>VLOOKUP($A95,'Reg1'!$A:$H,H$1,0)</f>
        <v>-0.027***</v>
      </c>
      <c r="I95" s="3" t="str">
        <f>VLOOKUP($A95,'Reg1'!$A:$H,I$1,0)</f>
        <v>-0.043***</v>
      </c>
      <c r="J95" s="3" t="str">
        <f>_xlfn.CONCAT(FIXED(VLOOKUP($A95,Reg1_Robust!A:AG,3,0),3),VLOOKUP($A95,Reg1_Robust!A:AG,28,0))</f>
        <v>-0.043</v>
      </c>
    </row>
    <row r="96" spans="1:10" x14ac:dyDescent="0.25">
      <c r="A96">
        <v>92</v>
      </c>
      <c r="H96" s="3" t="str">
        <f>_xlfn.CONCAT("(",FIXED(ABS(VLOOKUP($A96,'Reg1'!$A:$H,H$1,0)),4),")")</f>
        <v>(0.0040)</v>
      </c>
      <c r="I96" s="3" t="str">
        <f>_xlfn.CONCAT("(",FIXED(ABS(VLOOKUP($A96,'Reg1'!$A:$H,I$1,0)),4),")")</f>
        <v>(0.0040)</v>
      </c>
      <c r="J96" s="3" t="str">
        <f>_xlfn.CONCAT("(",FIXED(VLOOKUP($A95,Reg1_Robust!A:AG,4,0),4),")")</f>
        <v>(0.0329)</v>
      </c>
    </row>
    <row r="97" spans="1:10" x14ac:dyDescent="0.25">
      <c r="A97">
        <v>93</v>
      </c>
      <c r="B97" t="s">
        <v>40</v>
      </c>
      <c r="C97" t="s">
        <v>583</v>
      </c>
      <c r="H97" s="3" t="str">
        <f>VLOOKUP($A97,'Reg1'!$A:$H,H$1,0)</f>
        <v>-0.006***</v>
      </c>
      <c r="I97" s="3" t="str">
        <f>VLOOKUP($A97,'Reg1'!$A:$H,I$1,0)</f>
        <v>-0.009***</v>
      </c>
      <c r="J97" s="3" t="str">
        <f>_xlfn.CONCAT(FIXED(VLOOKUP($A97,Reg1_Robust!A:AG,3,0),3),VLOOKUP($A97,Reg1_Robust!A:AG,28,0))</f>
        <v>-0.009</v>
      </c>
    </row>
    <row r="98" spans="1:10" x14ac:dyDescent="0.25">
      <c r="A98">
        <v>94</v>
      </c>
      <c r="H98" s="3" t="str">
        <f>_xlfn.CONCAT("(",FIXED(ABS(VLOOKUP($A98,'Reg1'!$A:$H,H$1,0)),4),")")</f>
        <v>(0.0010)</v>
      </c>
      <c r="I98" s="3" t="str">
        <f>_xlfn.CONCAT("(",FIXED(ABS(VLOOKUP($A98,'Reg1'!$A:$H,I$1,0)),4),")")</f>
        <v>(0.0010)</v>
      </c>
      <c r="J98" s="3" t="str">
        <f>_xlfn.CONCAT("(",FIXED(VLOOKUP($A97,Reg1_Robust!A:AG,4,0),4),")")</f>
        <v>(0.0080)</v>
      </c>
    </row>
    <row r="99" spans="1:10" x14ac:dyDescent="0.25">
      <c r="A99">
        <v>95</v>
      </c>
      <c r="B99" t="s">
        <v>41</v>
      </c>
      <c r="C99" t="s">
        <v>584</v>
      </c>
      <c r="H99" s="3" t="str">
        <f>VLOOKUP($A99,'Reg1'!$A:$H,H$1,0)</f>
        <v>-0.006***</v>
      </c>
      <c r="I99" s="3" t="str">
        <f>VLOOKUP($A99,'Reg1'!$A:$H,I$1,0)</f>
        <v>-0.007***</v>
      </c>
      <c r="J99" s="3" t="str">
        <f>_xlfn.CONCAT(FIXED(VLOOKUP($A99,Reg1_Robust!A:AG,3,0),3),VLOOKUP($A99,Reg1_Robust!A:AG,28,0))</f>
        <v>-0.007</v>
      </c>
    </row>
    <row r="100" spans="1:10" x14ac:dyDescent="0.25">
      <c r="A100">
        <v>96</v>
      </c>
      <c r="H100" s="3" t="str">
        <f>_xlfn.CONCAT("(",FIXED(ABS(VLOOKUP($A100,'Reg1'!$A:$H,H$1,0)),4),")")</f>
        <v>(0.0005)</v>
      </c>
      <c r="I100" s="3" t="str">
        <f>_xlfn.CONCAT("(",FIXED(ABS(VLOOKUP($A100,'Reg1'!$A:$H,I$1,0)),4),")")</f>
        <v>(0.0005)</v>
      </c>
      <c r="J100" s="3" t="str">
        <f>_xlfn.CONCAT("(",FIXED(VLOOKUP($A99,Reg1_Robust!A:AG,4,0),4),")")</f>
        <v>(0.0062)</v>
      </c>
    </row>
    <row r="101" spans="1:10" x14ac:dyDescent="0.25">
      <c r="A101">
        <v>97</v>
      </c>
      <c r="B101" t="s">
        <v>173</v>
      </c>
      <c r="C101" t="s">
        <v>585</v>
      </c>
      <c r="H101" s="3" t="str">
        <f>VLOOKUP($A101,'Reg1'!$A:$H,H$1,0)</f>
        <v>-0.001**</v>
      </c>
      <c r="I101" s="3" t="str">
        <f>VLOOKUP($A101,'Reg1'!$A:$H,I$1,0)</f>
        <v>-0.001***</v>
      </c>
      <c r="J101" s="3" t="str">
        <f>_xlfn.CONCAT(FIXED(VLOOKUP($A101,Reg1_Robust!A:AG,3,0),3),VLOOKUP($A101,Reg1_Robust!A:AG,28,0))</f>
        <v>-0.001</v>
      </c>
    </row>
    <row r="102" spans="1:10" x14ac:dyDescent="0.25">
      <c r="A102">
        <v>98</v>
      </c>
      <c r="H102" s="3" t="str">
        <f>_xlfn.CONCAT("(",FIXED(ABS(VLOOKUP($A102,'Reg1'!$A:$H,H$1,0)),4),")")</f>
        <v>(0.0003)</v>
      </c>
      <c r="I102" s="3" t="str">
        <f>_xlfn.CONCAT("(",FIXED(ABS(VLOOKUP($A102,'Reg1'!$A:$H,I$1,0)),4),")")</f>
        <v>(0.0003)</v>
      </c>
      <c r="J102" s="3" t="str">
        <f>_xlfn.CONCAT("(",FIXED(VLOOKUP($A101,Reg1_Robust!A:AG,4,0),4),")")</f>
        <v>(0.0018)</v>
      </c>
    </row>
    <row r="103" spans="1:10" x14ac:dyDescent="0.25">
      <c r="A103">
        <v>99</v>
      </c>
      <c r="B103" t="s">
        <v>174</v>
      </c>
      <c r="C103" t="s">
        <v>586</v>
      </c>
      <c r="H103" s="3" t="str">
        <f>VLOOKUP($A103,'Reg1'!$A:$H,H$1,0)</f>
        <v>0.024***</v>
      </c>
      <c r="I103" s="3" t="str">
        <f>VLOOKUP($A103,'Reg1'!$A:$H,I$1,0)</f>
        <v>0.018***</v>
      </c>
      <c r="J103" s="3" t="str">
        <f>_xlfn.CONCAT(FIXED(VLOOKUP($A103,Reg1_Robust!A:AG,3,0),3),VLOOKUP($A103,Reg1_Robust!A:AG,28,0))</f>
        <v>0.018</v>
      </c>
    </row>
    <row r="104" spans="1:10" x14ac:dyDescent="0.25">
      <c r="A104">
        <v>100</v>
      </c>
      <c r="H104" s="3" t="str">
        <f>_xlfn.CONCAT("(",FIXED(ABS(VLOOKUP($A104,'Reg1'!$A:$H,H$1,0)),4),")")</f>
        <v>(0.0010)</v>
      </c>
      <c r="I104" s="3" t="str">
        <f>_xlfn.CONCAT("(",FIXED(ABS(VLOOKUP($A104,'Reg1'!$A:$H,I$1,0)),4),")")</f>
        <v>(0.0010)</v>
      </c>
      <c r="J104" s="3" t="str">
        <f>_xlfn.CONCAT("(",FIXED(VLOOKUP($A103,Reg1_Robust!A:AG,4,0),4),")")</f>
        <v>(0.0130)</v>
      </c>
    </row>
    <row r="105" spans="1:10" x14ac:dyDescent="0.25">
      <c r="A105">
        <v>101</v>
      </c>
      <c r="B105" t="s">
        <v>175</v>
      </c>
      <c r="C105" t="s">
        <v>587</v>
      </c>
      <c r="H105" s="3" t="str">
        <f>VLOOKUP($A105,'Reg1'!$A:$H,H$1,0)</f>
        <v>0.014***</v>
      </c>
      <c r="I105" s="3" t="str">
        <f>VLOOKUP($A105,'Reg1'!$A:$H,I$1,0)</f>
        <v>0.008***</v>
      </c>
      <c r="J105" s="3" t="str">
        <f>_xlfn.CONCAT(FIXED(VLOOKUP($A105,Reg1_Robust!A:AG,3,0),3),VLOOKUP($A105,Reg1_Robust!A:AG,28,0))</f>
        <v>0.008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(0.0135)</v>
      </c>
    </row>
    <row r="107" spans="1:10" hidden="1" x14ac:dyDescent="0.25">
      <c r="A107">
        <v>103</v>
      </c>
      <c r="B107" t="s">
        <v>53</v>
      </c>
      <c r="H107" s="3" t="str">
        <f>VLOOKUP($A107,'Reg1'!$A:$H,H$1,0)</f>
        <v>0.00000***</v>
      </c>
      <c r="I107" s="3" t="str">
        <f>VLOOKUP($A107,'Reg1'!$A:$H,I$1,0)</f>
        <v>0.00000***</v>
      </c>
      <c r="J107" s="3" t="str">
        <f>_xlfn.CONCAT(FIXED(VLOOKUP($A107,Reg1_Robust!A:AG,3,0),3),VLOOKUP($A107,Reg1_Robust!A:AG,28,0))</f>
        <v>0.000</v>
      </c>
    </row>
    <row r="108" spans="1:10" hidden="1" x14ac:dyDescent="0.25">
      <c r="A108">
        <v>104</v>
      </c>
      <c r="H108" s="3" t="str">
        <f>_xlfn.CONCAT("(",FIXED(ABS(VLOOKUP($A108,'Reg1'!$A:$H,H$1,0)),4),")")</f>
        <v>(0.0000)</v>
      </c>
      <c r="I108" s="3" t="str">
        <f>_xlfn.CONCAT("(",FIXED(ABS(VLOOKUP($A108,'Reg1'!$A:$H,I$1,0)),4),")")</f>
        <v>(0.0000)</v>
      </c>
      <c r="J108" s="3" t="str">
        <f>_xlfn.CONCAT("(",FIXED(VLOOKUP($A107,Reg1_Robust!A:AG,4,0),4),")")</f>
        <v>(0.0000)</v>
      </c>
    </row>
    <row r="109" spans="1:10" hidden="1" x14ac:dyDescent="0.25">
      <c r="A109">
        <v>105</v>
      </c>
      <c r="B109" t="s">
        <v>54</v>
      </c>
      <c r="H109" s="3" t="str">
        <f>VLOOKUP($A109,'Reg1'!$A:$H,H$1,0)</f>
        <v>0.00001***</v>
      </c>
      <c r="I109" s="3" t="str">
        <f>VLOOKUP($A109,'Reg1'!$A:$H,I$1,0)</f>
        <v>0.00001***</v>
      </c>
      <c r="J109" s="3" t="str">
        <f>_xlfn.CONCAT(FIXED(VLOOKUP($A109,Reg1_Robust!A:AG,3,0),3),VLOOKUP($A109,Reg1_Robust!A:AG,28,0))</f>
        <v>0.000***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x14ac:dyDescent="0.25">
      <c r="A111">
        <v>107</v>
      </c>
      <c r="B111" t="s">
        <v>43</v>
      </c>
      <c r="C111" t="s">
        <v>588</v>
      </c>
      <c r="H111" s="3"/>
      <c r="I111" s="3" t="str">
        <f>VLOOKUP($A111,'Reg1'!$A:$H,I$1,0)</f>
        <v>-0.575***</v>
      </c>
      <c r="J111" s="3" t="str">
        <f>_xlfn.CONCAT(FIXED(VLOOKUP($A111,Reg1_Robust!A:AG,3,0),3),VLOOKUP($A111,Reg1_Robust!A:AG,28,0))</f>
        <v>-0.575*</v>
      </c>
    </row>
    <row r="112" spans="1:10" x14ac:dyDescent="0.25">
      <c r="A112">
        <v>108</v>
      </c>
      <c r="H112" s="3"/>
      <c r="I112" s="3" t="str">
        <f>_xlfn.CONCAT("(",FIXED(ABS(VLOOKUP($A112,'Reg1'!$A:$H,I$1,0)),4),")")</f>
        <v>(0.0380)</v>
      </c>
      <c r="J112" s="3" t="str">
        <f>_xlfn.CONCAT("(",FIXED(VLOOKUP($A111,Reg1_Robust!A:AG,4,0),4),")")</f>
        <v>(0.2816)</v>
      </c>
    </row>
    <row r="113" spans="1:10" x14ac:dyDescent="0.25">
      <c r="A113">
        <v>109</v>
      </c>
      <c r="B113" t="s">
        <v>44</v>
      </c>
      <c r="C113" t="s">
        <v>589</v>
      </c>
      <c r="H113" s="3"/>
      <c r="I113" s="3" t="str">
        <f>VLOOKUP($A113,'Reg1'!$A:$H,I$1,0)</f>
        <v>-0.211***</v>
      </c>
      <c r="J113" s="3" t="str">
        <f>_xlfn.CONCAT(FIXED(VLOOKUP($A113,Reg1_Robust!A:AG,3,0),3),VLOOKUP($A113,Reg1_Robust!A:AG,28,0))</f>
        <v>-0.211***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(0.0080)</v>
      </c>
      <c r="J114" s="3" t="str">
        <f>_xlfn.CONCAT("(",FIXED(VLOOKUP($A113,Reg1_Robust!A:AG,4,0),4),")")</f>
        <v>(0.0596)</v>
      </c>
    </row>
    <row r="115" spans="1:10" x14ac:dyDescent="0.25">
      <c r="A115">
        <v>111</v>
      </c>
      <c r="B115" t="s">
        <v>45</v>
      </c>
      <c r="C115" t="s">
        <v>590</v>
      </c>
      <c r="H115" s="3"/>
      <c r="I115" s="3" t="str">
        <f>VLOOKUP($A115,'Reg1'!$A:$H,I$1,0)</f>
        <v>-0.393***</v>
      </c>
      <c r="J115" s="3" t="str">
        <f>_xlfn.CONCAT(FIXED(VLOOKUP($A115,Reg1_Robust!A:AG,3,0),3),VLOOKUP($A115,Reg1_Robust!A:AG,28,0))</f>
        <v>-0.393**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(0.0150)</v>
      </c>
      <c r="J116" s="3" t="str">
        <f>_xlfn.CONCAT("(",FIXED(VLOOKUP($A115,Reg1_Robust!A:AG,4,0),4),")")</f>
        <v>(0.1321)</v>
      </c>
    </row>
    <row r="117" spans="1:10" x14ac:dyDescent="0.25">
      <c r="A117">
        <v>113</v>
      </c>
      <c r="B117" t="s">
        <v>48</v>
      </c>
      <c r="C117" t="s">
        <v>591</v>
      </c>
      <c r="H117" s="3"/>
      <c r="I117" s="3" t="str">
        <f>VLOOKUP($A117,'Reg1'!$A:$H,I$1,0)</f>
        <v>0.277***</v>
      </c>
      <c r="J117" s="3" t="str">
        <f>_xlfn.CONCAT(FIXED(VLOOKUP($A117,Reg1_Robust!A:AG,3,0),3),VLOOKUP($A117,Reg1_Robust!A:AG,28,0))</f>
        <v>0.277***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(0.0080)</v>
      </c>
      <c r="J118" s="3" t="str">
        <f>_xlfn.CONCAT("(",FIXED(VLOOKUP($A117,Reg1_Robust!A:AG,4,0),4),")")</f>
        <v>(0.0785)</v>
      </c>
    </row>
    <row r="119" spans="1:10" x14ac:dyDescent="0.25">
      <c r="A119">
        <v>115</v>
      </c>
      <c r="B119" t="s">
        <v>46</v>
      </c>
      <c r="C119" t="s">
        <v>592</v>
      </c>
      <c r="H119" s="3"/>
      <c r="I119" s="3" t="str">
        <f>VLOOKUP($A119,'Reg1'!$A:$H,I$1,0)</f>
        <v>-0.606***</v>
      </c>
      <c r="J119" s="3" t="str">
        <f>_xlfn.CONCAT(FIXED(VLOOKUP($A119,Reg1_Robust!A:AG,3,0),3),VLOOKUP($A119,Reg1_Robust!A:AG,28,0))</f>
        <v>-0.606***</v>
      </c>
    </row>
    <row r="120" spans="1:10" x14ac:dyDescent="0.25">
      <c r="A120">
        <v>116</v>
      </c>
      <c r="H120" s="3"/>
      <c r="I120" s="3" t="str">
        <f>_xlfn.CONCAT("(",FIXED(ABS(VLOOKUP($A120,'Reg1'!$A:$H,I$1,0)),4),")")</f>
        <v>(0.0110)</v>
      </c>
      <c r="J120" s="3" t="str">
        <f>_xlfn.CONCAT("(",FIXED(VLOOKUP($A119,Reg1_Robust!A:AG,4,0),4),")")</f>
        <v>(0.1012)</v>
      </c>
    </row>
    <row r="121" spans="1:10" x14ac:dyDescent="0.25">
      <c r="A121">
        <v>117</v>
      </c>
      <c r="B121" t="s">
        <v>259</v>
      </c>
      <c r="C121" s="70" t="s">
        <v>259</v>
      </c>
      <c r="D121" s="3" t="str">
        <f>VLOOKUP($A121,'Reg1'!$A:$H,D$1,0)</f>
        <v>13.521***</v>
      </c>
      <c r="E121" s="3" t="str">
        <f>VLOOKUP($A121,'Reg1'!$A:$H,E$1,0)</f>
        <v>13.415***</v>
      </c>
      <c r="F121" s="3" t="str">
        <f>VLOOKUP($A121,'Reg1'!$A:$H,F$1,0)</f>
        <v>12.983***</v>
      </c>
      <c r="G121" s="3" t="str">
        <f>VLOOKUP($A121,'Reg1'!$A:$H,G$1,0)</f>
        <v>12.564***</v>
      </c>
      <c r="H121" s="3" t="str">
        <f>VLOOKUP($A121,'Reg1'!$A:$H,H$1,0)</f>
        <v>-7.096***</v>
      </c>
      <c r="I121" s="3" t="str">
        <f>VLOOKUP($A121,'Reg1'!$A:$H,I$1,0)</f>
        <v>-3.929***</v>
      </c>
      <c r="J121" s="3" t="str">
        <f>_xlfn.CONCAT(FIXED(VLOOKUP($A121,Reg1_Robust!A:AG,3,0),3),VLOOKUP($A121,Reg1_Robust!A:AG,28,0))</f>
        <v>-3.929</v>
      </c>
    </row>
    <row r="122" spans="1:10" x14ac:dyDescent="0.25">
      <c r="A122">
        <v>118</v>
      </c>
      <c r="C122" s="21"/>
      <c r="D122" s="21" t="str">
        <f>_xlfn.CONCAT("(",FIXED(ABS(VLOOKUP($A122,'Reg1'!$A:$H,D$1,0)),4),")")</f>
        <v>(0.0030)</v>
      </c>
      <c r="E122" s="21" t="str">
        <f>_xlfn.CONCAT("(",FIXED(ABS(VLOOKUP($A122,'Reg1'!$A:$H,E$1,0)),4),")")</f>
        <v>(0.0080)</v>
      </c>
      <c r="F122" s="21" t="str">
        <f>_xlfn.CONCAT("(",FIXED(ABS(VLOOKUP($A122,'Reg1'!$A:$H,F$1,0)),4),")")</f>
        <v>(0.0090)</v>
      </c>
      <c r="G122" s="21" t="str">
        <f>_xlfn.CONCAT("(",FIXED(ABS(VLOOKUP($A122,'Reg1'!$A:$H,G$1,0)),4),")")</f>
        <v>(0.0130)</v>
      </c>
      <c r="H122" s="21" t="str">
        <f>_xlfn.CONCAT("(",FIXED(ABS(VLOOKUP($A122,'Reg1'!$A:$H,H$1,0)),4),")")</f>
        <v>(0.8360)</v>
      </c>
      <c r="I122" s="21" t="str">
        <f>_xlfn.CONCAT("(",FIXED(ABS(VLOOKUP($A122,'Reg1'!$A:$H,I$1,0)),4),")")</f>
        <v>(0.8040)</v>
      </c>
      <c r="J122" s="21" t="str">
        <f>_xlfn.CONCAT("(",FIXED(VLOOKUP($A121,Reg1_Robust!A:AG,4,0),4),")")</f>
        <v>(13.9085)</v>
      </c>
    </row>
    <row r="123" spans="1:10" x14ac:dyDescent="0.25">
      <c r="B123" t="s">
        <v>550</v>
      </c>
      <c r="C123" t="s">
        <v>550</v>
      </c>
      <c r="D123" s="3" t="s">
        <v>323</v>
      </c>
      <c r="E123" s="3" t="s">
        <v>324</v>
      </c>
      <c r="F123" s="3" t="s">
        <v>324</v>
      </c>
      <c r="G123" s="3" t="s">
        <v>324</v>
      </c>
      <c r="H123" s="3" t="s">
        <v>324</v>
      </c>
      <c r="I123" s="3" t="s">
        <v>324</v>
      </c>
      <c r="J123" s="3" t="s">
        <v>324</v>
      </c>
    </row>
    <row r="124" spans="1:10" x14ac:dyDescent="0.25">
      <c r="B124" t="s">
        <v>551</v>
      </c>
      <c r="C124" s="26" t="s">
        <v>551</v>
      </c>
      <c r="D124" s="21" t="s">
        <v>323</v>
      </c>
      <c r="E124" s="21" t="s">
        <v>323</v>
      </c>
      <c r="F124" s="21" t="s">
        <v>323</v>
      </c>
      <c r="G124" s="21" t="s">
        <v>323</v>
      </c>
      <c r="H124" s="21" t="s">
        <v>324</v>
      </c>
      <c r="I124" s="21" t="s">
        <v>324</v>
      </c>
      <c r="J124" s="21" t="s">
        <v>324</v>
      </c>
    </row>
    <row r="125" spans="1:10" x14ac:dyDescent="0.25">
      <c r="A125">
        <v>120</v>
      </c>
      <c r="B125" t="s">
        <v>187</v>
      </c>
      <c r="C125" t="s">
        <v>187</v>
      </c>
      <c r="D125" s="3">
        <f>VLOOKUP($A125,'Reg1'!$A:$H,D$1,0)</f>
        <v>50625</v>
      </c>
      <c r="E125" s="3">
        <f>VLOOKUP($A125,'Reg1'!$A:$H,E$1,0)</f>
        <v>50625</v>
      </c>
      <c r="F125" s="3">
        <f>VLOOKUP($A125,'Reg1'!$A:$H,F$1,0)</f>
        <v>50625</v>
      </c>
      <c r="G125" s="3">
        <f>VLOOKUP($A125,'Reg1'!$A:$H,G$1,0)</f>
        <v>50625</v>
      </c>
      <c r="H125" s="3">
        <f>VLOOKUP($A125,'Reg1'!$A:$H,H$1,0)</f>
        <v>50625</v>
      </c>
      <c r="I125" s="3">
        <f>VLOOKUP($A125,'Reg1'!$A:$H,I$1,0)</f>
        <v>50625</v>
      </c>
    </row>
    <row r="126" spans="1:10" ht="17.25" x14ac:dyDescent="0.25">
      <c r="A126">
        <v>121</v>
      </c>
      <c r="C126" t="s">
        <v>274</v>
      </c>
      <c r="D126" s="3">
        <f>VLOOKUP($A126,'Reg1'!$A:$H,D$1,0)</f>
        <v>4.0000000000000001E-3</v>
      </c>
      <c r="E126" s="3">
        <f>VLOOKUP($A126,'Reg1'!$A:$H,E$1,0)</f>
        <v>1.7000000000000001E-2</v>
      </c>
      <c r="F126" s="3">
        <f>VLOOKUP($A126,'Reg1'!$A:$H,F$1,0)</f>
        <v>0.63700000000000001</v>
      </c>
      <c r="G126" s="3">
        <f>VLOOKUP($A126,'Reg1'!$A:$H,G$1,0)</f>
        <v>0.71799999999999997</v>
      </c>
      <c r="H126" s="3">
        <f>VLOOKUP($A126,'Reg1'!$A:$H,H$1,0)</f>
        <v>0.78400000000000003</v>
      </c>
      <c r="I126" s="3">
        <f>VLOOKUP($A126,'Reg1'!$A:$H,I$1,0)</f>
        <v>0.80900000000000005</v>
      </c>
    </row>
    <row r="127" spans="1:10" ht="17.25" x14ac:dyDescent="0.25">
      <c r="A127">
        <v>122</v>
      </c>
      <c r="C127" t="s">
        <v>275</v>
      </c>
      <c r="D127" s="3">
        <f>VLOOKUP($A127,'Reg1'!$A:$H,D$1,0)</f>
        <v>4.0000000000000001E-3</v>
      </c>
      <c r="E127" s="3">
        <f>VLOOKUP($A127,'Reg1'!$A:$H,E$1,0)</f>
        <v>1.7000000000000001E-2</v>
      </c>
      <c r="F127" s="3">
        <f>VLOOKUP($A127,'Reg1'!$A:$H,F$1,0)</f>
        <v>0.63700000000000001</v>
      </c>
      <c r="G127" s="3">
        <f>VLOOKUP($A127,'Reg1'!$A:$H,G$1,0)</f>
        <v>0.71699999999999997</v>
      </c>
      <c r="H127" s="3">
        <f>VLOOKUP($A127,'Reg1'!$A:$H,H$1,0)</f>
        <v>0.78400000000000003</v>
      </c>
      <c r="I127" s="3">
        <f>VLOOKUP($A127,'Reg1'!$A:$H,I$1,0)</f>
        <v>0.80800000000000005</v>
      </c>
    </row>
    <row r="128" spans="1:10" hidden="1" x14ac:dyDescent="0.25">
      <c r="A128">
        <v>123</v>
      </c>
      <c r="C128" t="s">
        <v>262</v>
      </c>
      <c r="D128" s="3" t="str">
        <f>VLOOKUP($A128,'Reg1'!$A:$H,D$1,0)</f>
        <v>0.582 (df = 50623)</v>
      </c>
      <c r="E128" s="3" t="str">
        <f>VLOOKUP($A128,'Reg1'!$A:$H,E$1,0)</f>
        <v>0.578 (df = 50615)</v>
      </c>
      <c r="F128" s="3" t="str">
        <f>VLOOKUP($A128,'Reg1'!$A:$H,F$1,0)</f>
        <v>0.351 (df = 50603)</v>
      </c>
      <c r="G128" s="3" t="str">
        <f>VLOOKUP($A128,'Reg1'!$A:$H,G$1,0)</f>
        <v>0.310 (df = 50580)</v>
      </c>
      <c r="H128" s="3" t="str">
        <f>VLOOKUP($A128,'Reg1'!$A:$H,H$1,0)</f>
        <v>0.271 (df = 50571)</v>
      </c>
      <c r="I128" s="3" t="str">
        <f>VLOOKUP($A128,'Reg1'!$A:$H,I$1,0)</f>
        <v>0.255 (df = 50566)</v>
      </c>
    </row>
    <row r="129" spans="1:10" ht="15.75" hidden="1" thickBot="1" x14ac:dyDescent="0.3">
      <c r="A129">
        <v>124</v>
      </c>
      <c r="C129" s="16" t="s">
        <v>263</v>
      </c>
      <c r="D129" s="17" t="str">
        <f>VLOOKUP($A129,'Reg1'!$A:$H,D$1,0)</f>
        <v>189.640*** (df = 1; 50623)</v>
      </c>
      <c r="E129" s="17" t="str">
        <f>VLOOKUP($A129,'Reg1'!$A:$H,E$1,0)</f>
        <v>95.578*** (df = 9; 50615)</v>
      </c>
      <c r="F129" s="17" t="str">
        <f>VLOOKUP($A129,'Reg1'!$A:$H,F$1,0)</f>
        <v>4,222.744*** (df = 21; 50603)</v>
      </c>
      <c r="G129" s="17" t="str">
        <f>VLOOKUP($A129,'Reg1'!$A:$H,G$1,0)</f>
        <v>2,923.101*** (df = 44; 50580)</v>
      </c>
      <c r="H129" s="17" t="str">
        <f>VLOOKUP($A129,'Reg1'!$A:$H,H$1,0)</f>
        <v>3,465.907*** (df = 53; 50571)</v>
      </c>
      <c r="I129" s="17" t="str">
        <f>VLOOKUP($A129,'Reg1'!$A:$H,I$1,0)</f>
        <v>3,685.674*** (df = 58; 50566)</v>
      </c>
      <c r="J129" s="17"/>
    </row>
    <row r="130" spans="1:10" x14ac:dyDescent="0.25">
      <c r="A130">
        <v>125</v>
      </c>
      <c r="B130" t="s">
        <v>192</v>
      </c>
    </row>
    <row r="131" spans="1:10" x14ac:dyDescent="0.25">
      <c r="B131" t="s">
        <v>264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C465-6BC5-4558-8D24-956F59F55AA9}">
  <sheetPr codeName="Sheet13"/>
  <dimension ref="A1:AF61"/>
  <sheetViews>
    <sheetView topLeftCell="J1" workbookViewId="0">
      <selection activeCell="T26" sqref="T26"/>
    </sheetView>
  </sheetViews>
  <sheetFormatPr defaultColWidth="11.42578125" defaultRowHeight="15" x14ac:dyDescent="0.25"/>
  <sheetData>
    <row r="1" spans="1:3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277</v>
      </c>
      <c r="B2" t="s">
        <v>278</v>
      </c>
      <c r="C2" t="s">
        <v>279</v>
      </c>
      <c r="D2" t="s">
        <v>280</v>
      </c>
      <c r="E2" t="s">
        <v>281</v>
      </c>
      <c r="F2" t="s">
        <v>282</v>
      </c>
      <c r="G2" t="s">
        <v>283</v>
      </c>
      <c r="H2" t="s">
        <v>284</v>
      </c>
      <c r="I2" t="s">
        <v>285</v>
      </c>
      <c r="J2" t="s">
        <v>286</v>
      </c>
      <c r="K2" t="s">
        <v>287</v>
      </c>
      <c r="L2" t="s">
        <v>288</v>
      </c>
      <c r="M2" t="s">
        <v>289</v>
      </c>
      <c r="N2" t="s">
        <v>290</v>
      </c>
      <c r="O2" t="s">
        <v>291</v>
      </c>
      <c r="P2" t="s">
        <v>292</v>
      </c>
      <c r="Q2" t="s">
        <v>293</v>
      </c>
      <c r="R2" t="s">
        <v>294</v>
      </c>
      <c r="S2" t="s">
        <v>295</v>
      </c>
      <c r="T2" t="s">
        <v>296</v>
      </c>
      <c r="U2" t="s">
        <v>297</v>
      </c>
      <c r="V2" t="s">
        <v>298</v>
      </c>
      <c r="W2" t="s">
        <v>299</v>
      </c>
      <c r="X2" t="s">
        <v>300</v>
      </c>
      <c r="Y2" t="s">
        <v>301</v>
      </c>
      <c r="AA2" s="54" t="s">
        <v>302</v>
      </c>
      <c r="AB2" s="54"/>
      <c r="AC2" s="54"/>
      <c r="AD2" s="54"/>
      <c r="AE2" s="54"/>
      <c r="AF2" s="54"/>
    </row>
    <row r="3" spans="1:32" x14ac:dyDescent="0.25">
      <c r="A3" t="s">
        <v>276</v>
      </c>
      <c r="B3">
        <v>-5.3119429780415199</v>
      </c>
      <c r="C3">
        <v>13.657327140393599</v>
      </c>
      <c r="D3">
        <v>-0.38894455140718098</v>
      </c>
      <c r="E3">
        <v>0.70398201616081701</v>
      </c>
      <c r="F3">
        <v>-7.8712804113132098</v>
      </c>
      <c r="G3">
        <v>16.689900565382601</v>
      </c>
      <c r="H3">
        <v>-0.47161937127651099</v>
      </c>
      <c r="I3">
        <v>0.64627237388079195</v>
      </c>
      <c r="J3">
        <v>12.5824364226582</v>
      </c>
      <c r="K3">
        <v>0.10805974647582101</v>
      </c>
      <c r="L3">
        <v>116.439625605392</v>
      </c>
      <c r="M3">
        <v>2.0352429574508101E-13</v>
      </c>
      <c r="N3">
        <v>13.0239078595524</v>
      </c>
      <c r="O3">
        <v>0.161708453683126</v>
      </c>
      <c r="P3">
        <v>80.539437258321598</v>
      </c>
      <c r="Q3">
        <v>1.98674079033308E-22</v>
      </c>
      <c r="R3">
        <v>13.4466377627214</v>
      </c>
      <c r="S3">
        <v>5.3913619650101399E-2</v>
      </c>
      <c r="T3">
        <v>249.41077690553701</v>
      </c>
      <c r="U3">
        <v>3.4934576171254598E-28</v>
      </c>
      <c r="V3">
        <v>13.530676876027901</v>
      </c>
      <c r="W3">
        <v>6.17895218283641E-2</v>
      </c>
      <c r="X3">
        <v>218.980119535683</v>
      </c>
      <c r="Y3">
        <v>1.2436791722855501E-27</v>
      </c>
      <c r="AA3" t="str">
        <f>IF(E3&lt;0.01,"***",IF(E3&lt;0.05,"**",IF(E3&lt;0.1,"*","")))</f>
        <v/>
      </c>
      <c r="AB3" t="str">
        <f>IF(I3&lt;0.01,"***",IF(I3&lt;0.05,"**",IF(I3&lt;0.1,"*","")))</f>
        <v/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/>
      </c>
    </row>
    <row r="4" spans="1:32" x14ac:dyDescent="0.25">
      <c r="A4" t="s">
        <v>11</v>
      </c>
      <c r="B4">
        <v>1.9195134004526201E-2</v>
      </c>
      <c r="C4">
        <v>1.00897253354882E-2</v>
      </c>
      <c r="D4">
        <v>1.9024436608806199</v>
      </c>
      <c r="E4">
        <v>7.7612474082776106E-2</v>
      </c>
      <c r="F4">
        <v>1.79735389660289E-2</v>
      </c>
      <c r="G4">
        <v>1.16205574219171E-2</v>
      </c>
      <c r="H4">
        <v>1.5467019621734901</v>
      </c>
      <c r="I4">
        <v>0.143949768066266</v>
      </c>
      <c r="J4">
        <v>2.0295490779976701E-2</v>
      </c>
      <c r="K4">
        <v>1.16018661499216E-2</v>
      </c>
      <c r="L4">
        <v>1.7493298507080099</v>
      </c>
      <c r="M4">
        <v>0.101825271903855</v>
      </c>
      <c r="N4">
        <v>1.25453143386456E-2</v>
      </c>
      <c r="O4">
        <v>1.2050211152950199E-2</v>
      </c>
      <c r="P4">
        <v>1.0410866813378801</v>
      </c>
      <c r="Q4">
        <v>0.315261170090468</v>
      </c>
      <c r="R4">
        <v>3.3491247436910399E-2</v>
      </c>
      <c r="S4">
        <v>2.4872183939459402E-2</v>
      </c>
      <c r="T4">
        <v>1.34653424558255</v>
      </c>
      <c r="U4">
        <v>0.19925956828996599</v>
      </c>
      <c r="V4">
        <v>6.4420951976986204E-2</v>
      </c>
      <c r="W4">
        <v>2.8546743581097302E-2</v>
      </c>
      <c r="X4">
        <v>2.25668303615701</v>
      </c>
      <c r="Y4">
        <v>3.8955262231338598E-2</v>
      </c>
      <c r="AA4" t="str">
        <f t="shared" ref="AA4:AA61" si="0">IF(E4&lt;0.01,"***",IF(E4&lt;0.05,"**",IF(E4&lt;0.1,"*","")))</f>
        <v>*</v>
      </c>
      <c r="AB4" t="str">
        <f t="shared" ref="AB4:AB61" si="1">IF(I4&lt;0.01,"***",IF(I4&lt;0.05,"**",IF(I4&lt;0.1,"*","")))</f>
        <v/>
      </c>
      <c r="AC4" t="str">
        <f t="shared" ref="AC4:AC61" si="2">IF(M4&lt;0.01,"***",IF(M4&lt;0.05,"**",IF(M4&lt;0.1,"*","")))</f>
        <v/>
      </c>
      <c r="AD4" t="str">
        <f t="shared" ref="AD4:AD61" si="3">IF(Q4&lt;0.01,"***",IF(Q4&lt;0.05,"**",IF(Q4&lt;0.1,"*","")))</f>
        <v/>
      </c>
      <c r="AE4" t="str">
        <f t="shared" ref="AE4:AE61" si="4">IF(U4&lt;0.01,"***",IF(U4&lt;0.05,"**",IF(U4&lt;0.1,"*","")))</f>
        <v/>
      </c>
      <c r="AF4" t="str">
        <f t="shared" ref="AF4:AF61" si="5">IF(V4&lt;0.01,"***",IF(V4&lt;0.05,"**",IF(V4&lt;0.1,"*","")))</f>
        <v>*</v>
      </c>
    </row>
    <row r="5" spans="1:32" x14ac:dyDescent="0.25">
      <c r="A5" t="s">
        <v>16</v>
      </c>
      <c r="B5">
        <v>-1.29509287349637E-5</v>
      </c>
      <c r="C5">
        <v>7.9572624003493994E-5</v>
      </c>
      <c r="D5">
        <v>-0.16275608473581399</v>
      </c>
      <c r="E5">
        <v>0.87385087758184898</v>
      </c>
      <c r="F5">
        <v>4.2472636500775998E-5</v>
      </c>
      <c r="G5">
        <v>6.6462099811141694E-5</v>
      </c>
      <c r="H5">
        <v>0.63905047570669704</v>
      </c>
      <c r="I5">
        <v>0.53661203029361904</v>
      </c>
      <c r="J5">
        <v>9.4774296200072198E-5</v>
      </c>
      <c r="K5">
        <v>1.06802797239542E-4</v>
      </c>
      <c r="L5">
        <v>0.88737653553687201</v>
      </c>
      <c r="M5">
        <v>0.39488486057013</v>
      </c>
      <c r="N5">
        <v>6.07352927858742E-5</v>
      </c>
      <c r="O5">
        <v>1.5843796783713201E-4</v>
      </c>
      <c r="P5">
        <v>0.38333799413728797</v>
      </c>
      <c r="Q5">
        <v>0.70926436407268401</v>
      </c>
      <c r="R5">
        <v>9.7724421683166194E-4</v>
      </c>
      <c r="S5">
        <v>2.78878445319001E-4</v>
      </c>
      <c r="T5">
        <v>3.5041941506588001</v>
      </c>
      <c r="U5">
        <v>5.4826983597544704E-3</v>
      </c>
      <c r="AA5" t="str">
        <f t="shared" si="0"/>
        <v/>
      </c>
      <c r="AB5" t="str">
        <f t="shared" si="1"/>
        <v/>
      </c>
      <c r="AC5" t="str">
        <f t="shared" si="2"/>
        <v/>
      </c>
      <c r="AD5" t="str">
        <f t="shared" si="3"/>
        <v/>
      </c>
      <c r="AE5" t="str">
        <f t="shared" si="4"/>
        <v>***</v>
      </c>
      <c r="AF5" t="str">
        <f t="shared" si="5"/>
        <v>***</v>
      </c>
    </row>
    <row r="6" spans="1:32" x14ac:dyDescent="0.25">
      <c r="A6" t="s">
        <v>197</v>
      </c>
      <c r="B6">
        <v>2.8004377053353301E-2</v>
      </c>
      <c r="C6">
        <v>8.0016792635790104E-3</v>
      </c>
      <c r="D6">
        <v>3.4998124932125099</v>
      </c>
      <c r="E6">
        <v>3.2214705924792099E-3</v>
      </c>
      <c r="F6">
        <v>2.7868892719133301E-2</v>
      </c>
      <c r="G6">
        <v>7.4724564975971897E-3</v>
      </c>
      <c r="H6">
        <v>3.7295490081601201</v>
      </c>
      <c r="I6">
        <v>2.0182936537500801E-3</v>
      </c>
      <c r="J6">
        <v>2.18627481878798E-2</v>
      </c>
      <c r="K6">
        <v>9.8940499399615706E-3</v>
      </c>
      <c r="L6">
        <v>2.20968646009934</v>
      </c>
      <c r="M6">
        <v>4.3118649089599198E-2</v>
      </c>
      <c r="N6">
        <v>2.4783447857391901E-2</v>
      </c>
      <c r="O6">
        <v>1.1077741633985901E-2</v>
      </c>
      <c r="P6">
        <v>2.23722927255838</v>
      </c>
      <c r="Q6">
        <v>4.09080118299599E-2</v>
      </c>
      <c r="R6">
        <v>5.5236886018593702E-2</v>
      </c>
      <c r="S6">
        <v>1.18997506666823E-2</v>
      </c>
      <c r="T6">
        <v>4.6418523854663203</v>
      </c>
      <c r="U6">
        <v>3.2158712212150699E-4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</v>
      </c>
      <c r="AE6" t="str">
        <f t="shared" si="4"/>
        <v>***</v>
      </c>
      <c r="AF6" t="str">
        <f t="shared" si="5"/>
        <v>***</v>
      </c>
    </row>
    <row r="7" spans="1:32" x14ac:dyDescent="0.25">
      <c r="A7" t="s">
        <v>200</v>
      </c>
      <c r="B7">
        <v>3.5193900232549397E-2</v>
      </c>
      <c r="C7">
        <v>1.01863865186489E-2</v>
      </c>
      <c r="D7">
        <v>3.4549936003427302</v>
      </c>
      <c r="E7">
        <v>3.5814435841402099E-3</v>
      </c>
      <c r="F7">
        <v>3.6510904347600098E-2</v>
      </c>
      <c r="G7">
        <v>9.4760895440345605E-3</v>
      </c>
      <c r="H7">
        <v>3.8529505423030401</v>
      </c>
      <c r="I7">
        <v>1.59138424075623E-3</v>
      </c>
      <c r="J7">
        <v>2.5998250263629799E-2</v>
      </c>
      <c r="K7">
        <v>1.1949858754489701E-2</v>
      </c>
      <c r="L7">
        <v>2.1756115112123799</v>
      </c>
      <c r="M7">
        <v>4.6150877262421001E-2</v>
      </c>
      <c r="N7">
        <v>2.5934939072278899E-2</v>
      </c>
      <c r="O7">
        <v>1.4118989397811499E-2</v>
      </c>
      <c r="P7">
        <v>1.8368835290930201</v>
      </c>
      <c r="Q7">
        <v>8.6338860538681395E-2</v>
      </c>
      <c r="R7">
        <v>4.3941414153187697E-2</v>
      </c>
      <c r="S7">
        <v>2.0231583274334001E-2</v>
      </c>
      <c r="T7">
        <v>2.1719216710504399</v>
      </c>
      <c r="U7">
        <v>4.6507043941802502E-2</v>
      </c>
      <c r="AA7" t="str">
        <f t="shared" si="0"/>
        <v>***</v>
      </c>
      <c r="AB7" t="str">
        <f t="shared" si="1"/>
        <v>***</v>
      </c>
      <c r="AC7" t="str">
        <f t="shared" si="2"/>
        <v>**</v>
      </c>
      <c r="AD7" t="str">
        <f t="shared" si="3"/>
        <v>*</v>
      </c>
      <c r="AE7" t="str">
        <f t="shared" si="4"/>
        <v>**</v>
      </c>
      <c r="AF7" t="str">
        <f t="shared" si="5"/>
        <v>***</v>
      </c>
    </row>
    <row r="8" spans="1:32" x14ac:dyDescent="0.25">
      <c r="A8" t="s">
        <v>203</v>
      </c>
      <c r="B8">
        <v>2.2039666730333501E-2</v>
      </c>
      <c r="C8">
        <v>1.45274983885501E-2</v>
      </c>
      <c r="D8">
        <v>1.5170999260068201</v>
      </c>
      <c r="E8">
        <v>0.149778945646449</v>
      </c>
      <c r="F8">
        <v>2.2194662557799401E-2</v>
      </c>
      <c r="G8">
        <v>1.2721664676160699E-2</v>
      </c>
      <c r="H8">
        <v>1.74463508689946</v>
      </c>
      <c r="I8">
        <v>0.101254457630251</v>
      </c>
      <c r="J8">
        <v>1.04018057144629E-2</v>
      </c>
      <c r="K8">
        <v>1.2915823813208299E-2</v>
      </c>
      <c r="L8">
        <v>0.80535363945004901</v>
      </c>
      <c r="M8">
        <v>0.43305119232026601</v>
      </c>
      <c r="N8">
        <v>1.5936049793926099E-2</v>
      </c>
      <c r="O8">
        <v>1.34933943507872E-2</v>
      </c>
      <c r="P8">
        <v>1.1810260175932901</v>
      </c>
      <c r="Q8">
        <v>0.25578020429173798</v>
      </c>
      <c r="R8">
        <v>3.7188969754443302E-2</v>
      </c>
      <c r="S8">
        <v>2.0658119787153699E-2</v>
      </c>
      <c r="T8">
        <v>1.8002107712420901</v>
      </c>
      <c r="U8">
        <v>9.1758768467724905E-2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/>
      </c>
      <c r="AE8" t="str">
        <f t="shared" si="4"/>
        <v>*</v>
      </c>
      <c r="AF8" t="str">
        <f t="shared" si="5"/>
        <v>***</v>
      </c>
    </row>
    <row r="9" spans="1:32" x14ac:dyDescent="0.25">
      <c r="A9" t="s">
        <v>204</v>
      </c>
      <c r="B9">
        <v>3.2905878597925299E-3</v>
      </c>
      <c r="C9">
        <v>1.5800415639770301E-2</v>
      </c>
      <c r="D9">
        <v>0.208259575875332</v>
      </c>
      <c r="E9">
        <v>0.83801518058013102</v>
      </c>
      <c r="F9">
        <v>6.5872682901208304E-3</v>
      </c>
      <c r="G9">
        <v>1.52502925455015E-2</v>
      </c>
      <c r="H9">
        <v>0.431943732913106</v>
      </c>
      <c r="I9">
        <v>0.67233933796400203</v>
      </c>
      <c r="J9">
        <v>-7.9866274902464507E-3</v>
      </c>
      <c r="K9">
        <v>1.40526320977393E-2</v>
      </c>
      <c r="L9">
        <v>-0.56833676671371003</v>
      </c>
      <c r="M9">
        <v>0.57877958868566604</v>
      </c>
      <c r="N9">
        <v>3.8127185836198301E-3</v>
      </c>
      <c r="O9">
        <v>1.78338290650925E-2</v>
      </c>
      <c r="P9">
        <v>0.21379136077303501</v>
      </c>
      <c r="Q9">
        <v>0.83378390078428799</v>
      </c>
      <c r="R9">
        <v>3.1173697568035098E-2</v>
      </c>
      <c r="S9">
        <v>2.9811144155615001E-2</v>
      </c>
      <c r="T9">
        <v>1.0457061763650399</v>
      </c>
      <c r="U9">
        <v>0.313374182545261</v>
      </c>
      <c r="AA9" t="str">
        <f t="shared" si="0"/>
        <v/>
      </c>
      <c r="AB9" t="str">
        <f t="shared" si="1"/>
        <v/>
      </c>
      <c r="AC9" t="str">
        <f t="shared" si="2"/>
        <v/>
      </c>
      <c r="AD9" t="str">
        <f t="shared" si="3"/>
        <v/>
      </c>
      <c r="AE9" t="str">
        <f t="shared" si="4"/>
        <v/>
      </c>
      <c r="AF9" t="str">
        <f t="shared" si="5"/>
        <v>***</v>
      </c>
    </row>
    <row r="10" spans="1:32" x14ac:dyDescent="0.25">
      <c r="A10" t="s">
        <v>205</v>
      </c>
      <c r="B10">
        <v>7.2805378959375402E-2</v>
      </c>
      <c r="C10">
        <v>2.3679926816835201E-2</v>
      </c>
      <c r="D10">
        <v>3.0745609782718901</v>
      </c>
      <c r="E10">
        <v>8.0204259781459595E-3</v>
      </c>
      <c r="F10">
        <v>7.5914793733261904E-2</v>
      </c>
      <c r="G10">
        <v>2.2342710622535199E-2</v>
      </c>
      <c r="H10">
        <v>3.3977432289121201</v>
      </c>
      <c r="I10">
        <v>4.1856310262599304E-3</v>
      </c>
      <c r="J10">
        <v>6.1040756930293899E-2</v>
      </c>
      <c r="K10">
        <v>2.0574789852510801E-2</v>
      </c>
      <c r="L10">
        <v>2.9667742595604198</v>
      </c>
      <c r="M10">
        <v>9.9554611422489805E-3</v>
      </c>
      <c r="N10">
        <v>7.0587791913238496E-2</v>
      </c>
      <c r="O10">
        <v>2.5166276165769601E-2</v>
      </c>
      <c r="P10">
        <v>2.8048564455177498</v>
      </c>
      <c r="Q10">
        <v>1.3763609101408E-2</v>
      </c>
      <c r="R10">
        <v>8.47939502910149E-2</v>
      </c>
      <c r="S10">
        <v>5.4199228343820301E-2</v>
      </c>
      <c r="T10">
        <v>1.56448630141213</v>
      </c>
      <c r="U10">
        <v>0.139476463342948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>**</v>
      </c>
      <c r="AE10" t="str">
        <f t="shared" si="4"/>
        <v/>
      </c>
      <c r="AF10" t="str">
        <f t="shared" si="5"/>
        <v>***</v>
      </c>
    </row>
    <row r="11" spans="1:32" x14ac:dyDescent="0.25">
      <c r="A11" t="s">
        <v>209</v>
      </c>
      <c r="B11">
        <v>0.114038051803627</v>
      </c>
      <c r="C11">
        <v>2.6498083226168399E-2</v>
      </c>
      <c r="D11">
        <v>4.3036339961000598</v>
      </c>
      <c r="E11">
        <v>6.8339819885543905E-4</v>
      </c>
      <c r="F11">
        <v>0.117484683889198</v>
      </c>
      <c r="G11">
        <v>2.5450524124667601E-2</v>
      </c>
      <c r="H11">
        <v>4.6161989951054796</v>
      </c>
      <c r="I11">
        <v>3.7135320082906501E-4</v>
      </c>
      <c r="J11">
        <v>9.5250537922768996E-2</v>
      </c>
      <c r="K11">
        <v>2.32183728150877E-2</v>
      </c>
      <c r="L11">
        <v>4.1023778316141799</v>
      </c>
      <c r="M11">
        <v>1.0174248961336799E-3</v>
      </c>
      <c r="N11">
        <v>0.10669619506932899</v>
      </c>
      <c r="O11">
        <v>2.9573308573961302E-2</v>
      </c>
      <c r="P11">
        <v>3.6078545220088398</v>
      </c>
      <c r="Q11">
        <v>2.7389598230820201E-3</v>
      </c>
      <c r="R11">
        <v>0.101460592855642</v>
      </c>
      <c r="S11">
        <v>5.7293718470171201E-2</v>
      </c>
      <c r="T11">
        <v>1.7708851086086399</v>
      </c>
      <c r="U11">
        <v>9.7772205785100305E-2</v>
      </c>
      <c r="AA11" t="str">
        <f t="shared" si="0"/>
        <v>***</v>
      </c>
      <c r="AB11" t="str">
        <f t="shared" si="1"/>
        <v>***</v>
      </c>
      <c r="AC11" t="str">
        <f t="shared" si="2"/>
        <v>***</v>
      </c>
      <c r="AD11" t="str">
        <f t="shared" si="3"/>
        <v>***</v>
      </c>
      <c r="AE11" t="str">
        <f t="shared" si="4"/>
        <v>*</v>
      </c>
      <c r="AF11" t="str">
        <f t="shared" si="5"/>
        <v>***</v>
      </c>
    </row>
    <row r="12" spans="1:32" x14ac:dyDescent="0.25">
      <c r="A12" t="s">
        <v>211</v>
      </c>
      <c r="B12">
        <v>8.5631728636025403E-2</v>
      </c>
      <c r="C12">
        <v>2.8778834598010401E-2</v>
      </c>
      <c r="D12">
        <v>2.9755106428786902</v>
      </c>
      <c r="E12">
        <v>9.2366401109040507E-3</v>
      </c>
      <c r="F12">
        <v>7.8001089695041895E-2</v>
      </c>
      <c r="G12">
        <v>2.9868272184874801E-2</v>
      </c>
      <c r="H12">
        <v>2.6115032437176402</v>
      </c>
      <c r="I12">
        <v>1.93603578511134E-2</v>
      </c>
      <c r="J12">
        <v>4.3363092927297203E-2</v>
      </c>
      <c r="K12">
        <v>3.9450410237038901E-2</v>
      </c>
      <c r="L12">
        <v>1.0991797719402401</v>
      </c>
      <c r="M12">
        <v>0.28861846857387702</v>
      </c>
      <c r="N12">
        <v>0.111643609566925</v>
      </c>
      <c r="O12">
        <v>4.1652452319441702E-2</v>
      </c>
      <c r="P12">
        <v>2.6803610195794998</v>
      </c>
      <c r="Q12">
        <v>1.68952787562591E-2</v>
      </c>
      <c r="R12">
        <v>0.42125763885974798</v>
      </c>
      <c r="S12">
        <v>6.5901069959474506E-2</v>
      </c>
      <c r="T12">
        <v>6.3922731318140604</v>
      </c>
      <c r="U12">
        <v>1.09711066442451E-5</v>
      </c>
      <c r="AA12" t="str">
        <f t="shared" si="0"/>
        <v>***</v>
      </c>
      <c r="AB12" t="str">
        <f t="shared" si="1"/>
        <v>**</v>
      </c>
      <c r="AC12" t="str">
        <f t="shared" si="2"/>
        <v/>
      </c>
      <c r="AD12" t="str">
        <f t="shared" si="3"/>
        <v>**</v>
      </c>
      <c r="AE12" t="str">
        <f t="shared" si="4"/>
        <v>***</v>
      </c>
      <c r="AF12" t="str">
        <f t="shared" si="5"/>
        <v>***</v>
      </c>
    </row>
    <row r="13" spans="1:32" x14ac:dyDescent="0.25">
      <c r="A13" t="s">
        <v>15</v>
      </c>
      <c r="B13">
        <v>2.6054963841575001E-2</v>
      </c>
      <c r="C13">
        <v>2.26016684537436E-2</v>
      </c>
      <c r="D13">
        <v>1.1527894011408399</v>
      </c>
      <c r="E13">
        <v>0.26368095131706099</v>
      </c>
      <c r="F13">
        <v>1.54037235864033E-2</v>
      </c>
      <c r="G13">
        <v>2.4438426743270601E-2</v>
      </c>
      <c r="H13">
        <v>0.63030749680500098</v>
      </c>
      <c r="I13">
        <v>0.53622467484030401</v>
      </c>
      <c r="J13">
        <v>-1.1748764334494601E-2</v>
      </c>
      <c r="K13">
        <v>2.3919724927396101E-2</v>
      </c>
      <c r="L13">
        <v>-0.49117472588651601</v>
      </c>
      <c r="M13">
        <v>0.629109836119363</v>
      </c>
      <c r="N13">
        <v>3.10005322275115E-2</v>
      </c>
      <c r="O13">
        <v>1.8226268967591299E-2</v>
      </c>
      <c r="P13">
        <v>1.7008709946415499</v>
      </c>
      <c r="Q13">
        <v>0.10620152443842</v>
      </c>
      <c r="AA13" t="str">
        <f t="shared" si="0"/>
        <v/>
      </c>
      <c r="AB13" t="str">
        <f t="shared" si="1"/>
        <v/>
      </c>
      <c r="AC13" t="str">
        <f t="shared" si="2"/>
        <v/>
      </c>
      <c r="AD13" t="str">
        <f t="shared" si="3"/>
        <v/>
      </c>
      <c r="AE13" t="str">
        <f t="shared" si="4"/>
        <v>***</v>
      </c>
      <c r="AF13" t="str">
        <f t="shared" si="5"/>
        <v>***</v>
      </c>
    </row>
    <row r="14" spans="1:32" x14ac:dyDescent="0.25">
      <c r="A14" t="s">
        <v>13</v>
      </c>
      <c r="B14">
        <v>4.8836117591249402E-2</v>
      </c>
      <c r="C14">
        <v>1.6675923808721599E-2</v>
      </c>
      <c r="D14">
        <v>2.9285404605715399</v>
      </c>
      <c r="E14">
        <v>8.97704705628578E-3</v>
      </c>
      <c r="F14">
        <v>5.7532175138864203E-2</v>
      </c>
      <c r="G14">
        <v>1.9082967932939499E-2</v>
      </c>
      <c r="H14">
        <v>3.0148441972465299</v>
      </c>
      <c r="I14">
        <v>7.4362813965176203E-3</v>
      </c>
      <c r="J14">
        <v>8.6611530495497593E-2</v>
      </c>
      <c r="K14">
        <v>2.6104111640198699E-2</v>
      </c>
      <c r="L14">
        <v>3.3179267576423199</v>
      </c>
      <c r="M14">
        <v>3.8499261692990301E-3</v>
      </c>
      <c r="N14">
        <v>9.2698748928710703E-2</v>
      </c>
      <c r="O14">
        <v>2.7924062944216E-2</v>
      </c>
      <c r="P14">
        <v>3.3196726820841</v>
      </c>
      <c r="Q14">
        <v>3.7963046926654301E-3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5"/>
        <v>***</v>
      </c>
    </row>
    <row r="15" spans="1:32" x14ac:dyDescent="0.25">
      <c r="A15" t="s">
        <v>14</v>
      </c>
      <c r="B15">
        <v>6.8926890688419298E-2</v>
      </c>
      <c r="C15">
        <v>1.93005942316339E-2</v>
      </c>
      <c r="D15">
        <v>3.5712315310710698</v>
      </c>
      <c r="E15">
        <v>2.69144831997191E-3</v>
      </c>
      <c r="F15">
        <v>6.9060641819888094E-2</v>
      </c>
      <c r="G15">
        <v>1.8212460786262302E-2</v>
      </c>
      <c r="H15">
        <v>3.7919445719263098</v>
      </c>
      <c r="I15">
        <v>1.7036990727930599E-3</v>
      </c>
      <c r="J15">
        <v>5.9150705237565201E-2</v>
      </c>
      <c r="K15">
        <v>1.9529382976830999E-2</v>
      </c>
      <c r="L15">
        <v>3.0288056364985798</v>
      </c>
      <c r="M15">
        <v>8.3068872264115898E-3</v>
      </c>
      <c r="N15">
        <v>7.5096822260272006E-2</v>
      </c>
      <c r="O15">
        <v>2.0239837209672699E-2</v>
      </c>
      <c r="P15">
        <v>3.7103471476728598</v>
      </c>
      <c r="Q15">
        <v>2.0675050937772198E-3</v>
      </c>
      <c r="AA15" t="str">
        <f t="shared" si="0"/>
        <v>***</v>
      </c>
      <c r="AB15" t="str">
        <f t="shared" si="1"/>
        <v>***</v>
      </c>
      <c r="AC15" t="str">
        <f t="shared" si="2"/>
        <v>***</v>
      </c>
      <c r="AD15" t="str">
        <f t="shared" si="3"/>
        <v>***</v>
      </c>
      <c r="AE15" t="str">
        <f t="shared" si="4"/>
        <v>***</v>
      </c>
      <c r="AF15" t="str">
        <f t="shared" si="5"/>
        <v>***</v>
      </c>
    </row>
    <row r="16" spans="1:32" x14ac:dyDescent="0.25">
      <c r="A16" t="s">
        <v>59</v>
      </c>
      <c r="B16">
        <v>-0.10901250887641301</v>
      </c>
      <c r="C16">
        <v>3.5055560096605203E-2</v>
      </c>
      <c r="D16">
        <v>-3.1097066649626699</v>
      </c>
      <c r="E16">
        <v>7.3225376764827496E-3</v>
      </c>
      <c r="F16">
        <v>-0.111758107868939</v>
      </c>
      <c r="G16">
        <v>3.42383541033058E-2</v>
      </c>
      <c r="H16">
        <v>-3.26412033509953</v>
      </c>
      <c r="I16">
        <v>5.4191297901836303E-3</v>
      </c>
      <c r="J16">
        <v>-0.120767185981767</v>
      </c>
      <c r="K16">
        <v>3.8987854137142001E-2</v>
      </c>
      <c r="L16">
        <v>-3.0975591925875499</v>
      </c>
      <c r="M16">
        <v>7.5022589502761602E-3</v>
      </c>
      <c r="N16">
        <v>-0.19858720471694799</v>
      </c>
      <c r="O16">
        <v>5.68275567505876E-2</v>
      </c>
      <c r="P16">
        <v>-3.4945582050717801</v>
      </c>
      <c r="Q16">
        <v>3.1716686308483001E-3</v>
      </c>
      <c r="AA16" t="str">
        <f t="shared" si="0"/>
        <v>***</v>
      </c>
      <c r="AB16" t="str">
        <f t="shared" si="1"/>
        <v>***</v>
      </c>
      <c r="AC16" t="str">
        <f t="shared" si="2"/>
        <v>***</v>
      </c>
      <c r="AD16" t="str">
        <f t="shared" si="3"/>
        <v>***</v>
      </c>
      <c r="AE16" t="str">
        <f t="shared" si="4"/>
        <v>***</v>
      </c>
      <c r="AF16" t="str">
        <f t="shared" si="5"/>
        <v>***</v>
      </c>
    </row>
    <row r="17" spans="1:32" x14ac:dyDescent="0.25">
      <c r="A17" t="s">
        <v>60</v>
      </c>
      <c r="B17">
        <v>-6.1702915538246597E-2</v>
      </c>
      <c r="C17">
        <v>1.2644870972045001E-2</v>
      </c>
      <c r="D17">
        <v>-4.8796793320120004</v>
      </c>
      <c r="E17">
        <v>3.6520472438751698E-4</v>
      </c>
      <c r="F17">
        <v>-6.7168138150445297E-2</v>
      </c>
      <c r="G17">
        <v>1.37935626856067E-2</v>
      </c>
      <c r="H17">
        <v>-4.8695278864055798</v>
      </c>
      <c r="I17">
        <v>3.6835159070329899E-4</v>
      </c>
      <c r="J17">
        <v>-4.0370318685107397E-2</v>
      </c>
      <c r="K17">
        <v>1.4397801360674801E-2</v>
      </c>
      <c r="L17">
        <v>-2.8039224652294599</v>
      </c>
      <c r="M17">
        <v>1.5709823184716299E-2</v>
      </c>
      <c r="N17">
        <v>-6.8344955157965806E-2</v>
      </c>
      <c r="O17">
        <v>6.2506626627313502E-2</v>
      </c>
      <c r="P17">
        <v>-1.0934033533030401</v>
      </c>
      <c r="Q17">
        <v>0.29167999480117801</v>
      </c>
      <c r="AA17" t="str">
        <f t="shared" si="0"/>
        <v>***</v>
      </c>
      <c r="AB17" t="str">
        <f t="shared" si="1"/>
        <v>***</v>
      </c>
      <c r="AC17" t="str">
        <f t="shared" si="2"/>
        <v>**</v>
      </c>
      <c r="AD17" t="str">
        <f t="shared" si="3"/>
        <v/>
      </c>
      <c r="AE17" t="str">
        <f t="shared" si="4"/>
        <v>***</v>
      </c>
      <c r="AF17" t="str">
        <f t="shared" si="5"/>
        <v>***</v>
      </c>
    </row>
    <row r="18" spans="1:32" x14ac:dyDescent="0.25">
      <c r="A18" t="s">
        <v>18</v>
      </c>
      <c r="B18">
        <v>2.2680191208038E-4</v>
      </c>
      <c r="C18">
        <v>2.43780839964455E-5</v>
      </c>
      <c r="D18">
        <v>9.3035167207336595</v>
      </c>
      <c r="E18">
        <v>1.3390691665505899E-7</v>
      </c>
      <c r="F18">
        <v>2.4591612209892098E-4</v>
      </c>
      <c r="G18">
        <v>2.5154357735050899E-5</v>
      </c>
      <c r="H18">
        <v>9.7762830873734892</v>
      </c>
      <c r="I18">
        <v>7.66346884427493E-8</v>
      </c>
      <c r="J18">
        <v>3.01181366077549E-4</v>
      </c>
      <c r="K18">
        <v>2.82218243512897E-5</v>
      </c>
      <c r="L18">
        <v>10.671931138420099</v>
      </c>
      <c r="M18">
        <v>2.0922715747405901E-8</v>
      </c>
      <c r="N18">
        <v>3.3872454919924299E-4</v>
      </c>
      <c r="O18">
        <v>2.2508148338053299E-5</v>
      </c>
      <c r="P18">
        <v>15.0489744474707</v>
      </c>
      <c r="Q18">
        <v>1.7211671494107801E-10</v>
      </c>
      <c r="AA18" t="str">
        <f t="shared" si="0"/>
        <v>***</v>
      </c>
      <c r="AB18" t="str">
        <f t="shared" si="1"/>
        <v>***</v>
      </c>
      <c r="AC18" t="str">
        <f t="shared" si="2"/>
        <v>***</v>
      </c>
      <c r="AD18" t="str">
        <f t="shared" si="3"/>
        <v>***</v>
      </c>
      <c r="AE18" t="str">
        <f t="shared" si="4"/>
        <v>***</v>
      </c>
      <c r="AF18" t="str">
        <f t="shared" si="5"/>
        <v>***</v>
      </c>
    </row>
    <row r="19" spans="1:32" x14ac:dyDescent="0.25">
      <c r="A19" t="s">
        <v>33</v>
      </c>
      <c r="B19">
        <v>-1.61204169628738E-2</v>
      </c>
      <c r="C19">
        <v>5.9560452514539203E-3</v>
      </c>
      <c r="D19">
        <v>-2.7065638829622198</v>
      </c>
      <c r="E19">
        <v>1.6514300194493001E-2</v>
      </c>
      <c r="F19">
        <v>-1.62021016713574E-2</v>
      </c>
      <c r="G19">
        <v>5.14392724707252E-3</v>
      </c>
      <c r="H19">
        <v>-3.1497532708259599</v>
      </c>
      <c r="I19">
        <v>6.74782675006171E-3</v>
      </c>
      <c r="J19">
        <v>-1.20529331001439E-2</v>
      </c>
      <c r="K19">
        <v>5.9563145340072498E-3</v>
      </c>
      <c r="L19">
        <v>-2.0235555109335301</v>
      </c>
      <c r="M19">
        <v>6.1516710689289003E-2</v>
      </c>
      <c r="N19">
        <v>-1.8174639759523901E-2</v>
      </c>
      <c r="O19">
        <v>6.8970494606988599E-3</v>
      </c>
      <c r="P19">
        <v>-2.6351325828657002</v>
      </c>
      <c r="Q19">
        <v>1.9638926406803099E-2</v>
      </c>
      <c r="AA19" t="str">
        <f t="shared" si="0"/>
        <v>**</v>
      </c>
      <c r="AB19" t="str">
        <f t="shared" si="1"/>
        <v>***</v>
      </c>
      <c r="AC19" t="str">
        <f t="shared" si="2"/>
        <v>*</v>
      </c>
      <c r="AD19" t="str">
        <f t="shared" si="3"/>
        <v>**</v>
      </c>
      <c r="AE19" t="str">
        <f t="shared" si="4"/>
        <v>***</v>
      </c>
      <c r="AF19" t="str">
        <f t="shared" si="5"/>
        <v>***</v>
      </c>
    </row>
    <row r="20" spans="1:32" x14ac:dyDescent="0.25">
      <c r="A20" t="s">
        <v>34</v>
      </c>
      <c r="B20">
        <v>0.17320997412824499</v>
      </c>
      <c r="C20">
        <v>5.9533167121118599E-2</v>
      </c>
      <c r="D20">
        <v>2.9094701744298899</v>
      </c>
      <c r="E20">
        <v>1.0987746703026101E-2</v>
      </c>
      <c r="F20">
        <v>0.17898894809764199</v>
      </c>
      <c r="G20">
        <v>5.3512248393033299E-2</v>
      </c>
      <c r="H20">
        <v>3.3448220449085899</v>
      </c>
      <c r="I20">
        <v>4.4870495423994404E-3</v>
      </c>
      <c r="J20">
        <v>0.169674584597995</v>
      </c>
      <c r="K20">
        <v>5.93410991350585E-2</v>
      </c>
      <c r="L20">
        <v>2.8593097713242699</v>
      </c>
      <c r="M20">
        <v>1.21093713561812E-2</v>
      </c>
      <c r="N20">
        <v>0.22219302189661999</v>
      </c>
      <c r="O20">
        <v>6.2524539073554306E-2</v>
      </c>
      <c r="P20">
        <v>3.5536930809714602</v>
      </c>
      <c r="Q20">
        <v>2.9592440947997902E-3</v>
      </c>
      <c r="AA20" t="str">
        <f t="shared" si="0"/>
        <v>**</v>
      </c>
      <c r="AB20" t="str">
        <f t="shared" si="1"/>
        <v>***</v>
      </c>
      <c r="AC20" t="str">
        <f t="shared" si="2"/>
        <v>**</v>
      </c>
      <c r="AD20" t="str">
        <f t="shared" si="3"/>
        <v>***</v>
      </c>
      <c r="AE20" t="str">
        <f t="shared" si="4"/>
        <v>***</v>
      </c>
      <c r="AF20" t="str">
        <f t="shared" si="5"/>
        <v>***</v>
      </c>
    </row>
    <row r="21" spans="1:32" x14ac:dyDescent="0.25">
      <c r="A21" t="s">
        <v>21</v>
      </c>
      <c r="B21">
        <v>-4.3684581469553299E-2</v>
      </c>
      <c r="C21">
        <v>1.94135324171156E-2</v>
      </c>
      <c r="D21">
        <v>-2.25021292008865</v>
      </c>
      <c r="E21">
        <v>4.7799361705798502E-2</v>
      </c>
      <c r="F21">
        <v>-5.5598267805462301E-2</v>
      </c>
      <c r="G21">
        <v>2.0631922869065102E-2</v>
      </c>
      <c r="H21">
        <v>-2.6947690798526902</v>
      </c>
      <c r="I21">
        <v>2.2219122027572102E-2</v>
      </c>
      <c r="J21">
        <v>-2.9078949469911498E-2</v>
      </c>
      <c r="K21">
        <v>3.8623718106862097E-2</v>
      </c>
      <c r="L21">
        <v>-0.75287804735570396</v>
      </c>
      <c r="M21">
        <v>0.468683487539518</v>
      </c>
      <c r="N21">
        <v>-8.1281969323649395E-3</v>
      </c>
      <c r="O21">
        <v>4.1520598297454199E-2</v>
      </c>
      <c r="P21">
        <v>-0.19576300115269099</v>
      </c>
      <c r="Q21">
        <v>0.84867804956790005</v>
      </c>
      <c r="AA21" t="str">
        <f t="shared" si="0"/>
        <v>**</v>
      </c>
      <c r="AB21" t="str">
        <f t="shared" si="1"/>
        <v>**</v>
      </c>
      <c r="AC21" t="str">
        <f t="shared" si="2"/>
        <v/>
      </c>
      <c r="AD21" t="str">
        <f t="shared" si="3"/>
        <v/>
      </c>
      <c r="AE21" t="str">
        <f t="shared" si="4"/>
        <v>***</v>
      </c>
      <c r="AF21" t="str">
        <f t="shared" si="5"/>
        <v>***</v>
      </c>
    </row>
    <row r="22" spans="1:32" x14ac:dyDescent="0.25">
      <c r="A22" t="s">
        <v>221</v>
      </c>
      <c r="B22">
        <v>0.111746711900355</v>
      </c>
      <c r="C22">
        <v>1.2736937707437E-2</v>
      </c>
      <c r="D22">
        <v>8.7734363209696191</v>
      </c>
      <c r="E22">
        <v>1.8572348448884599E-7</v>
      </c>
      <c r="F22">
        <v>0.119743707943837</v>
      </c>
      <c r="G22">
        <v>1.4747279016111101E-2</v>
      </c>
      <c r="H22">
        <v>8.1197153598992209</v>
      </c>
      <c r="I22">
        <v>5.1421654388493605E-7</v>
      </c>
      <c r="J22">
        <v>0.151730793952466</v>
      </c>
      <c r="K22">
        <v>1.8801264314627801E-2</v>
      </c>
      <c r="L22">
        <v>8.0702441821647</v>
      </c>
      <c r="M22">
        <v>5.4037046471917603E-7</v>
      </c>
      <c r="N22">
        <v>0.15307581354389299</v>
      </c>
      <c r="O22">
        <v>2.4856208908533201E-2</v>
      </c>
      <c r="P22">
        <v>6.1584537733484002</v>
      </c>
      <c r="Q22">
        <v>1.4257303234912401E-5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5"/>
        <v>***</v>
      </c>
    </row>
    <row r="23" spans="1:32" x14ac:dyDescent="0.25">
      <c r="A23" t="s">
        <v>222</v>
      </c>
      <c r="B23">
        <v>5.2387580323470198E-2</v>
      </c>
      <c r="C23">
        <v>5.2820631428545503E-3</v>
      </c>
      <c r="D23">
        <v>9.9180147807091092</v>
      </c>
      <c r="E23">
        <v>2.55288010129789E-8</v>
      </c>
      <c r="F23">
        <v>5.5306878908648903E-2</v>
      </c>
      <c r="G23">
        <v>7.29745959866707E-3</v>
      </c>
      <c r="H23">
        <v>7.5789222483329803</v>
      </c>
      <c r="I23">
        <v>9.7679590737245604E-7</v>
      </c>
      <c r="J23">
        <v>6.8373210845737206E-2</v>
      </c>
      <c r="K23">
        <v>1.2297981829185799E-2</v>
      </c>
      <c r="L23">
        <v>5.55970986096861</v>
      </c>
      <c r="M23">
        <v>4.0019680891322699E-5</v>
      </c>
      <c r="N23">
        <v>6.5195164716054396E-2</v>
      </c>
      <c r="O23">
        <v>1.49387761579959E-2</v>
      </c>
      <c r="P23">
        <v>4.3641570116946298</v>
      </c>
      <c r="Q23">
        <v>4.5710356382459101E-4</v>
      </c>
      <c r="AA23" t="str">
        <f t="shared" si="0"/>
        <v>***</v>
      </c>
      <c r="AB23" t="str">
        <f t="shared" si="1"/>
        <v>***</v>
      </c>
      <c r="AC23" t="str">
        <f t="shared" si="2"/>
        <v>***</v>
      </c>
      <c r="AD23" t="str">
        <f t="shared" si="3"/>
        <v>***</v>
      </c>
      <c r="AE23" t="str">
        <f t="shared" si="4"/>
        <v>***</v>
      </c>
      <c r="AF23" t="str">
        <f t="shared" si="5"/>
        <v>***</v>
      </c>
    </row>
    <row r="24" spans="1:32" x14ac:dyDescent="0.25">
      <c r="A24" t="s">
        <v>225</v>
      </c>
      <c r="B24">
        <v>-5.38706379291033E-2</v>
      </c>
      <c r="C24">
        <v>9.8633445555543695E-3</v>
      </c>
      <c r="D24">
        <v>-5.4617009094310696</v>
      </c>
      <c r="E24">
        <v>3.3581073729893097E-5</v>
      </c>
      <c r="F24">
        <v>-5.5456525673582099E-2</v>
      </c>
      <c r="G24">
        <v>9.7129062665018504E-3</v>
      </c>
      <c r="H24">
        <v>-5.7095707661508204</v>
      </c>
      <c r="I24">
        <v>1.9913604864268898E-5</v>
      </c>
      <c r="J24">
        <v>-5.44892546725851E-2</v>
      </c>
      <c r="K24">
        <v>1.5514772015294101E-2</v>
      </c>
      <c r="L24">
        <v>-3.5120886480878402</v>
      </c>
      <c r="M24">
        <v>2.4648240254725E-3</v>
      </c>
      <c r="N24">
        <v>-2.80271229858578E-2</v>
      </c>
      <c r="O24">
        <v>1.6467423804572601E-2</v>
      </c>
      <c r="P24">
        <v>-1.7019737463777</v>
      </c>
      <c r="Q24">
        <v>0.10581807099646701</v>
      </c>
      <c r="AA24" t="str">
        <f t="shared" si="0"/>
        <v>***</v>
      </c>
      <c r="AB24" t="str">
        <f t="shared" si="1"/>
        <v>***</v>
      </c>
      <c r="AC24" t="str">
        <f t="shared" si="2"/>
        <v>***</v>
      </c>
      <c r="AD24" t="str">
        <f t="shared" si="3"/>
        <v/>
      </c>
      <c r="AE24" t="str">
        <f t="shared" si="4"/>
        <v>***</v>
      </c>
      <c r="AF24" t="str">
        <f t="shared" si="5"/>
        <v>***</v>
      </c>
    </row>
    <row r="25" spans="1:32" x14ac:dyDescent="0.25">
      <c r="A25" t="s">
        <v>22</v>
      </c>
      <c r="B25">
        <v>1.9967538245024199E-2</v>
      </c>
      <c r="C25">
        <v>1.36765767466715E-2</v>
      </c>
      <c r="D25">
        <v>1.4599807111734899</v>
      </c>
      <c r="E25">
        <v>0.166297390493161</v>
      </c>
      <c r="F25">
        <v>1.96989219525152E-2</v>
      </c>
      <c r="G25">
        <v>1.4546178394046301E-2</v>
      </c>
      <c r="H25">
        <v>1.35423349136003</v>
      </c>
      <c r="I25">
        <v>0.197047803727218</v>
      </c>
      <c r="J25">
        <v>4.1626216915945501E-2</v>
      </c>
      <c r="K25">
        <v>2.1111908335176201E-2</v>
      </c>
      <c r="L25">
        <v>1.9716937121496001</v>
      </c>
      <c r="M25">
        <v>6.8657708742460397E-2</v>
      </c>
      <c r="AA25" t="str">
        <f t="shared" si="0"/>
        <v/>
      </c>
      <c r="AB25" t="str">
        <f t="shared" si="1"/>
        <v/>
      </c>
      <c r="AC25" t="str">
        <f t="shared" si="2"/>
        <v>*</v>
      </c>
      <c r="AD25" t="str">
        <f t="shared" si="3"/>
        <v>***</v>
      </c>
      <c r="AE25" t="str">
        <f t="shared" si="4"/>
        <v>***</v>
      </c>
      <c r="AF25" t="str">
        <f t="shared" si="5"/>
        <v>***</v>
      </c>
    </row>
    <row r="26" spans="1:32" x14ac:dyDescent="0.25">
      <c r="A26" t="s">
        <v>23</v>
      </c>
      <c r="B26">
        <v>-6.12632391033592E-2</v>
      </c>
      <c r="C26">
        <v>2.65373810925616E-2</v>
      </c>
      <c r="D26">
        <v>-2.3085638665577002</v>
      </c>
      <c r="E26">
        <v>5.99013683002338E-2</v>
      </c>
      <c r="F26">
        <v>-6.7205527906065404E-2</v>
      </c>
      <c r="G26">
        <v>3.0868055786678301E-2</v>
      </c>
      <c r="H26">
        <v>-2.1771869394854799</v>
      </c>
      <c r="I26">
        <v>7.1816482668917297E-2</v>
      </c>
      <c r="J26">
        <v>-5.6595879340571899E-2</v>
      </c>
      <c r="K26">
        <v>3.45813233082077E-2</v>
      </c>
      <c r="L26">
        <v>-1.6366024757398201</v>
      </c>
      <c r="M26">
        <v>0.15224328415918501</v>
      </c>
      <c r="AA26" t="str">
        <f t="shared" si="0"/>
        <v>*</v>
      </c>
      <c r="AB26" t="str">
        <f t="shared" si="1"/>
        <v>*</v>
      </c>
      <c r="AC26" t="str">
        <f t="shared" si="2"/>
        <v/>
      </c>
      <c r="AD26" t="str">
        <f t="shared" si="3"/>
        <v>***</v>
      </c>
      <c r="AE26" t="str">
        <f t="shared" si="4"/>
        <v>***</v>
      </c>
      <c r="AF26" t="str">
        <f t="shared" si="5"/>
        <v>***</v>
      </c>
    </row>
    <row r="27" spans="1:32" x14ac:dyDescent="0.25">
      <c r="A27" t="s">
        <v>24</v>
      </c>
      <c r="B27">
        <v>-0.184316899235651</v>
      </c>
      <c r="C27">
        <v>4.1323444796438499E-2</v>
      </c>
      <c r="D27">
        <v>-4.4603469082407399</v>
      </c>
      <c r="E27">
        <v>7.3414151795335599E-4</v>
      </c>
      <c r="F27">
        <v>-0.17734544101966401</v>
      </c>
      <c r="G27">
        <v>4.2754729650112198E-2</v>
      </c>
      <c r="H27">
        <v>-4.1479724575734398</v>
      </c>
      <c r="I27">
        <v>1.30716123748963E-3</v>
      </c>
      <c r="J27">
        <v>-0.13825408220421101</v>
      </c>
      <c r="K27">
        <v>4.9456334616794898E-2</v>
      </c>
      <c r="L27">
        <v>-2.79547773354924</v>
      </c>
      <c r="M27">
        <v>1.59500945931411E-2</v>
      </c>
      <c r="AA27" t="str">
        <f t="shared" si="0"/>
        <v>***</v>
      </c>
      <c r="AB27" t="str">
        <f t="shared" si="1"/>
        <v>***</v>
      </c>
      <c r="AC27" t="str">
        <f t="shared" si="2"/>
        <v>**</v>
      </c>
      <c r="AD27" t="str">
        <f t="shared" si="3"/>
        <v>***</v>
      </c>
      <c r="AE27" t="str">
        <f t="shared" si="4"/>
        <v>***</v>
      </c>
      <c r="AF27" t="str">
        <f t="shared" si="5"/>
        <v>***</v>
      </c>
    </row>
    <row r="28" spans="1:32" x14ac:dyDescent="0.25">
      <c r="A28" t="s">
        <v>25</v>
      </c>
      <c r="B28">
        <v>-0.137233993696569</v>
      </c>
      <c r="C28">
        <v>8.0836160021663397E-2</v>
      </c>
      <c r="D28">
        <v>-1.69768076142894</v>
      </c>
      <c r="E28">
        <v>0.119776130103089</v>
      </c>
      <c r="F28">
        <v>-0.111477918651283</v>
      </c>
      <c r="G28">
        <v>8.5363860605860001E-2</v>
      </c>
      <c r="H28">
        <v>-1.30591467935121</v>
      </c>
      <c r="I28">
        <v>0.220074019080366</v>
      </c>
      <c r="J28">
        <v>-7.1089122127143606E-2</v>
      </c>
      <c r="K28">
        <v>9.0261484317496796E-2</v>
      </c>
      <c r="L28">
        <v>-0.78759088291841095</v>
      </c>
      <c r="M28">
        <v>0.44834719758852798</v>
      </c>
      <c r="AA28" t="str">
        <f t="shared" si="0"/>
        <v/>
      </c>
      <c r="AB28" t="str">
        <f t="shared" si="1"/>
        <v/>
      </c>
      <c r="AC28" t="str">
        <f t="shared" si="2"/>
        <v/>
      </c>
      <c r="AD28" t="str">
        <f t="shared" si="3"/>
        <v>***</v>
      </c>
      <c r="AE28" t="str">
        <f t="shared" si="4"/>
        <v>***</v>
      </c>
      <c r="AF28" t="str">
        <f t="shared" si="5"/>
        <v>***</v>
      </c>
    </row>
    <row r="29" spans="1:32" x14ac:dyDescent="0.25">
      <c r="A29" t="s">
        <v>26</v>
      </c>
      <c r="B29">
        <v>-0.12812893795508701</v>
      </c>
      <c r="C29">
        <v>3.7696284700629398E-2</v>
      </c>
      <c r="D29">
        <v>-3.3989805354199198</v>
      </c>
      <c r="E29">
        <v>8.9253710280131696E-3</v>
      </c>
      <c r="F29">
        <v>-0.11484278433153999</v>
      </c>
      <c r="G29">
        <v>3.4140501430844898E-2</v>
      </c>
      <c r="H29">
        <v>-3.3638282836637798</v>
      </c>
      <c r="I29">
        <v>9.6568566713012994E-3</v>
      </c>
      <c r="J29">
        <v>-0.11825903029514299</v>
      </c>
      <c r="K29">
        <v>3.88838340499938E-2</v>
      </c>
      <c r="L29">
        <v>-3.0413418116920998</v>
      </c>
      <c r="M29">
        <v>1.5711183072108399E-2</v>
      </c>
      <c r="AA29" t="str">
        <f t="shared" si="0"/>
        <v>***</v>
      </c>
      <c r="AB29" t="str">
        <f t="shared" si="1"/>
        <v>***</v>
      </c>
      <c r="AC29" t="str">
        <f t="shared" si="2"/>
        <v>**</v>
      </c>
      <c r="AD29" t="str">
        <f t="shared" si="3"/>
        <v>***</v>
      </c>
      <c r="AE29" t="str">
        <f t="shared" si="4"/>
        <v>***</v>
      </c>
      <c r="AF29" t="str">
        <f t="shared" si="5"/>
        <v>***</v>
      </c>
    </row>
    <row r="30" spans="1:32" x14ac:dyDescent="0.25">
      <c r="A30" t="s">
        <v>27</v>
      </c>
      <c r="B30">
        <v>-0.14419760432189599</v>
      </c>
      <c r="C30">
        <v>0.18639586199468999</v>
      </c>
      <c r="D30">
        <v>-0.77360947168453498</v>
      </c>
      <c r="E30">
        <v>0.53832270140560301</v>
      </c>
      <c r="F30">
        <v>-0.12106050060229</v>
      </c>
      <c r="G30">
        <v>0.20204747848989901</v>
      </c>
      <c r="H30">
        <v>-0.59916857912355304</v>
      </c>
      <c r="I30">
        <v>0.624432863918857</v>
      </c>
      <c r="J30">
        <v>-0.10944837458518999</v>
      </c>
      <c r="K30">
        <v>0.20567312303339699</v>
      </c>
      <c r="L30">
        <v>-0.53214719050781001</v>
      </c>
      <c r="M30">
        <v>0.66073776531737205</v>
      </c>
      <c r="AA30" t="str">
        <f t="shared" si="0"/>
        <v/>
      </c>
      <c r="AB30" t="str">
        <f t="shared" si="1"/>
        <v/>
      </c>
      <c r="AC30" t="str">
        <f t="shared" si="2"/>
        <v/>
      </c>
      <c r="AD30" t="str">
        <f t="shared" si="3"/>
        <v>***</v>
      </c>
      <c r="AE30" t="str">
        <f t="shared" si="4"/>
        <v>***</v>
      </c>
      <c r="AF30" t="str">
        <f t="shared" si="5"/>
        <v>***</v>
      </c>
    </row>
    <row r="31" spans="1:32" x14ac:dyDescent="0.25">
      <c r="A31" t="s">
        <v>29</v>
      </c>
      <c r="B31">
        <v>-0.10855254702045</v>
      </c>
      <c r="C31">
        <v>2.9101637045404399E-2</v>
      </c>
      <c r="D31">
        <v>-3.7301182353104698</v>
      </c>
      <c r="E31">
        <v>2.1618040608102598E-3</v>
      </c>
      <c r="F31">
        <v>-0.128322822830823</v>
      </c>
      <c r="G31">
        <v>2.8783495021417301E-2</v>
      </c>
      <c r="H31">
        <v>-4.4582085231602404</v>
      </c>
      <c r="I31">
        <v>5.1148635761816405E-4</v>
      </c>
      <c r="J31">
        <v>-0.14061774010813</v>
      </c>
      <c r="K31">
        <v>3.8751637819703602E-2</v>
      </c>
      <c r="L31">
        <v>-3.6286915345970701</v>
      </c>
      <c r="M31">
        <v>2.6597780034987701E-3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5"/>
        <v>***</v>
      </c>
    </row>
    <row r="32" spans="1:32" x14ac:dyDescent="0.25">
      <c r="A32" t="s">
        <v>31</v>
      </c>
      <c r="B32">
        <v>-5.9079888239252198E-2</v>
      </c>
      <c r="C32">
        <v>2.65551733511772E-2</v>
      </c>
      <c r="D32">
        <v>-2.22479768661097</v>
      </c>
      <c r="E32">
        <v>4.5496437360500998E-2</v>
      </c>
      <c r="F32">
        <v>-6.6223109318197401E-2</v>
      </c>
      <c r="G32">
        <v>2.8710928016104802E-2</v>
      </c>
      <c r="H32">
        <v>-2.3065471544859499</v>
      </c>
      <c r="I32">
        <v>3.9212014717476998E-2</v>
      </c>
      <c r="J32">
        <v>-0.101230683239336</v>
      </c>
      <c r="K32">
        <v>3.9056800553909497E-2</v>
      </c>
      <c r="L32">
        <v>-2.59188366183781</v>
      </c>
      <c r="M32">
        <v>2.31459471421093E-2</v>
      </c>
      <c r="AA32" t="str">
        <f t="shared" si="0"/>
        <v>**</v>
      </c>
      <c r="AB32" t="str">
        <f t="shared" si="1"/>
        <v>**</v>
      </c>
      <c r="AC32" t="str">
        <f t="shared" si="2"/>
        <v>**</v>
      </c>
      <c r="AD32" t="str">
        <f t="shared" si="3"/>
        <v>***</v>
      </c>
      <c r="AE32" t="str">
        <f t="shared" si="4"/>
        <v>***</v>
      </c>
      <c r="AF32" t="str">
        <f t="shared" si="5"/>
        <v>***</v>
      </c>
    </row>
    <row r="33" spans="1:32" x14ac:dyDescent="0.25">
      <c r="A33" t="s">
        <v>237</v>
      </c>
      <c r="B33">
        <v>3.70754340167931E-5</v>
      </c>
      <c r="C33">
        <v>9.7101457985838399E-2</v>
      </c>
      <c r="D33">
        <v>3.8182159965301801E-4</v>
      </c>
      <c r="E33">
        <v>0.99972673324627603</v>
      </c>
      <c r="F33">
        <v>-4.36777962256567E-2</v>
      </c>
      <c r="G33">
        <v>0.112055783715759</v>
      </c>
      <c r="H33">
        <v>-0.38978618307155</v>
      </c>
      <c r="I33">
        <v>0.73100443107643398</v>
      </c>
      <c r="J33">
        <v>-1.2032126203913E-2</v>
      </c>
      <c r="K33">
        <v>4.7158232406048002E-2</v>
      </c>
      <c r="L33">
        <v>-0.25514370641190198</v>
      </c>
      <c r="M33">
        <v>0.82390053528944796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5"/>
        <v>***</v>
      </c>
    </row>
    <row r="34" spans="1:32" x14ac:dyDescent="0.25">
      <c r="A34" t="s">
        <v>238</v>
      </c>
      <c r="B34">
        <v>-8.1189523371150499E-2</v>
      </c>
      <c r="C34">
        <v>5.8413874135477203E-2</v>
      </c>
      <c r="D34">
        <v>-1.3899013645773699</v>
      </c>
      <c r="E34">
        <v>0.20341843486231401</v>
      </c>
      <c r="F34">
        <v>-9.4585763141758594E-2</v>
      </c>
      <c r="G34">
        <v>5.6326188949789698E-2</v>
      </c>
      <c r="H34">
        <v>-1.67925018371249</v>
      </c>
      <c r="I34">
        <v>0.134172477346298</v>
      </c>
      <c r="J34">
        <v>-4.2025079662207497E-2</v>
      </c>
      <c r="K34">
        <v>6.3061747901591997E-2</v>
      </c>
      <c r="L34">
        <v>-0.66641158960242797</v>
      </c>
      <c r="M34">
        <v>0.52566832009711095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5"/>
        <v>***</v>
      </c>
    </row>
    <row r="35" spans="1:32" x14ac:dyDescent="0.25">
      <c r="A35" t="s">
        <v>241</v>
      </c>
      <c r="B35">
        <v>-8.3515025514179705E-2</v>
      </c>
      <c r="C35">
        <v>2.7974617784048899E-2</v>
      </c>
      <c r="D35">
        <v>-2.9853857578636802</v>
      </c>
      <c r="E35">
        <v>2.46025320553983E-2</v>
      </c>
      <c r="F35">
        <v>-6.2522500096575506E-2</v>
      </c>
      <c r="G35">
        <v>3.0399375968132299E-2</v>
      </c>
      <c r="H35">
        <v>-2.05670340608695</v>
      </c>
      <c r="I35">
        <v>8.5306604425611499E-2</v>
      </c>
      <c r="J35">
        <v>-8.4015822867254106E-2</v>
      </c>
      <c r="K35">
        <v>4.7120187961869099E-2</v>
      </c>
      <c r="L35">
        <v>-1.7830111996845599</v>
      </c>
      <c r="M35">
        <v>0.12558379053392599</v>
      </c>
      <c r="AA35" t="str">
        <f t="shared" si="0"/>
        <v>**</v>
      </c>
      <c r="AB35" t="str">
        <f t="shared" si="1"/>
        <v>*</v>
      </c>
      <c r="AC35" t="str">
        <f t="shared" si="2"/>
        <v/>
      </c>
      <c r="AD35" t="str">
        <f t="shared" si="3"/>
        <v>***</v>
      </c>
      <c r="AE35" t="str">
        <f t="shared" si="4"/>
        <v>***</v>
      </c>
      <c r="AF35" t="str">
        <f t="shared" si="5"/>
        <v>***</v>
      </c>
    </row>
    <row r="36" spans="1:32" x14ac:dyDescent="0.25">
      <c r="A36" t="s">
        <v>243</v>
      </c>
      <c r="B36">
        <v>-0.12467607289610801</v>
      </c>
      <c r="C36">
        <v>4.9933989408923303E-2</v>
      </c>
      <c r="D36">
        <v>-2.49681778627982</v>
      </c>
      <c r="E36">
        <v>2.43958205241608E-2</v>
      </c>
      <c r="F36">
        <v>-0.14122028498759001</v>
      </c>
      <c r="G36">
        <v>4.5753894502047102E-2</v>
      </c>
      <c r="H36">
        <v>-3.0865194433070902</v>
      </c>
      <c r="I36">
        <v>7.2293138352635504E-3</v>
      </c>
      <c r="J36">
        <v>-0.113491559405487</v>
      </c>
      <c r="K36">
        <v>4.9190624611739099E-2</v>
      </c>
      <c r="L36">
        <v>-2.3071786605938498</v>
      </c>
      <c r="M36">
        <v>3.6226657887372102E-2</v>
      </c>
      <c r="AA36" t="str">
        <f t="shared" si="0"/>
        <v>**</v>
      </c>
      <c r="AB36" t="str">
        <f t="shared" si="1"/>
        <v>***</v>
      </c>
      <c r="AC36" t="str">
        <f t="shared" si="2"/>
        <v>**</v>
      </c>
      <c r="AD36" t="str">
        <f t="shared" si="3"/>
        <v>***</v>
      </c>
      <c r="AE36" t="str">
        <f t="shared" si="4"/>
        <v>***</v>
      </c>
      <c r="AF36" t="str">
        <f t="shared" si="5"/>
        <v>***</v>
      </c>
    </row>
    <row r="37" spans="1:32" x14ac:dyDescent="0.25">
      <c r="A37" t="s">
        <v>244</v>
      </c>
      <c r="B37">
        <v>-9.3070638457631305E-3</v>
      </c>
      <c r="C37">
        <v>6.3091337983370896E-2</v>
      </c>
      <c r="D37">
        <v>-0.14751730020714099</v>
      </c>
      <c r="E37">
        <v>0.88686424468710001</v>
      </c>
      <c r="F37">
        <v>-4.5985388173157199E-2</v>
      </c>
      <c r="G37">
        <v>8.3905139666820103E-2</v>
      </c>
      <c r="H37">
        <v>-0.54806402034203305</v>
      </c>
      <c r="I37">
        <v>0.60103496252907396</v>
      </c>
      <c r="J37">
        <v>4.7494281967536203E-2</v>
      </c>
      <c r="K37">
        <v>8.3969318335895701E-2</v>
      </c>
      <c r="L37">
        <v>0.56561471390715201</v>
      </c>
      <c r="M37">
        <v>0.59072732265261896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5"/>
        <v>***</v>
      </c>
    </row>
    <row r="38" spans="1:32" x14ac:dyDescent="0.25">
      <c r="A38" t="s">
        <v>245</v>
      </c>
      <c r="B38">
        <v>4.1276223068145099E-4</v>
      </c>
      <c r="C38">
        <v>0.16652420437349499</v>
      </c>
      <c r="D38">
        <v>2.4786921050568198E-3</v>
      </c>
      <c r="E38">
        <v>0.99806440747532599</v>
      </c>
      <c r="F38">
        <v>5.5688615161691601E-2</v>
      </c>
      <c r="G38">
        <v>0.164848730637837</v>
      </c>
      <c r="H38">
        <v>0.33781646328861398</v>
      </c>
      <c r="I38">
        <v>0.74190297707484798</v>
      </c>
      <c r="J38">
        <v>0.15459394445485</v>
      </c>
      <c r="K38">
        <v>0.176111909450301</v>
      </c>
      <c r="L38">
        <v>0.87781652551144695</v>
      </c>
      <c r="M38">
        <v>0.399805893396044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5"/>
        <v>***</v>
      </c>
    </row>
    <row r="39" spans="1:32" x14ac:dyDescent="0.25">
      <c r="A39" t="s">
        <v>247</v>
      </c>
      <c r="B39">
        <v>0.22919788687721801</v>
      </c>
      <c r="C39">
        <v>0.13265151009762399</v>
      </c>
      <c r="D39">
        <v>1.72781965850627</v>
      </c>
      <c r="E39">
        <v>0.19342044911599701</v>
      </c>
      <c r="F39">
        <v>0.51335521430652797</v>
      </c>
      <c r="G39">
        <v>0.18905971690360199</v>
      </c>
      <c r="H39">
        <v>2.7153072199313599</v>
      </c>
      <c r="I39">
        <v>9.1445601959915301E-2</v>
      </c>
      <c r="J39">
        <v>0.594819092068397</v>
      </c>
      <c r="K39">
        <v>0.13209675180677899</v>
      </c>
      <c r="L39">
        <v>4.5029047567986602</v>
      </c>
      <c r="M39">
        <v>3.3134902620313197E-2</v>
      </c>
      <c r="AA39" t="str">
        <f t="shared" si="0"/>
        <v/>
      </c>
      <c r="AB39" t="str">
        <f t="shared" si="1"/>
        <v>*</v>
      </c>
      <c r="AC39" t="str">
        <f t="shared" si="2"/>
        <v>**</v>
      </c>
      <c r="AD39" t="str">
        <f t="shared" si="3"/>
        <v>***</v>
      </c>
      <c r="AE39" t="str">
        <f t="shared" si="4"/>
        <v>***</v>
      </c>
      <c r="AF39" t="str">
        <f t="shared" si="5"/>
        <v>***</v>
      </c>
    </row>
    <row r="40" spans="1:32" x14ac:dyDescent="0.25">
      <c r="A40" t="s">
        <v>166</v>
      </c>
      <c r="B40">
        <v>0.39480671331589301</v>
      </c>
      <c r="C40">
        <v>3.4280918059816097E-2</v>
      </c>
      <c r="D40">
        <v>11.5168068902648</v>
      </c>
      <c r="E40">
        <v>3.9784269951660496E-3</v>
      </c>
      <c r="F40">
        <v>0.34982363797945198</v>
      </c>
      <c r="G40">
        <v>5.1995757441592801E-2</v>
      </c>
      <c r="H40">
        <v>6.7279265692477201</v>
      </c>
      <c r="I40">
        <v>1.53317202624266E-2</v>
      </c>
      <c r="J40">
        <v>0.35576930645439903</v>
      </c>
      <c r="K40">
        <v>6.0128444073485103E-2</v>
      </c>
      <c r="L40">
        <v>5.9168220953730497</v>
      </c>
      <c r="M40">
        <v>2.0221157595476099E-2</v>
      </c>
      <c r="AA40" t="str">
        <f t="shared" si="0"/>
        <v>***</v>
      </c>
      <c r="AB40" t="str">
        <f t="shared" si="1"/>
        <v>**</v>
      </c>
      <c r="AC40" t="str">
        <f t="shared" si="2"/>
        <v>**</v>
      </c>
      <c r="AD40" t="str">
        <f t="shared" si="3"/>
        <v>***</v>
      </c>
      <c r="AE40" t="str">
        <f t="shared" si="4"/>
        <v>***</v>
      </c>
      <c r="AF40" t="str">
        <f t="shared" si="5"/>
        <v>***</v>
      </c>
    </row>
    <row r="41" spans="1:32" x14ac:dyDescent="0.25">
      <c r="A41" t="s">
        <v>167</v>
      </c>
      <c r="B41">
        <v>0.63282836380333096</v>
      </c>
      <c r="C41">
        <v>5.7444539607847102E-2</v>
      </c>
      <c r="D41">
        <v>11.0163362457671</v>
      </c>
      <c r="E41">
        <v>7.8699972042465605E-4</v>
      </c>
      <c r="F41">
        <v>0.58951955102355502</v>
      </c>
      <c r="G41">
        <v>7.3633466247208998E-2</v>
      </c>
      <c r="H41">
        <v>8.0061360828018895</v>
      </c>
      <c r="I41">
        <v>2.7935722850704501E-3</v>
      </c>
      <c r="J41">
        <v>0.611690398690524</v>
      </c>
      <c r="K41">
        <v>8.4862386302148707E-2</v>
      </c>
      <c r="L41">
        <v>7.20802731745757</v>
      </c>
      <c r="M41">
        <v>4.0248023272881897E-3</v>
      </c>
      <c r="AA41" t="str">
        <f t="shared" si="0"/>
        <v>***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5"/>
        <v>***</v>
      </c>
    </row>
    <row r="42" spans="1:32" x14ac:dyDescent="0.25">
      <c r="A42" t="s">
        <v>168</v>
      </c>
      <c r="B42">
        <v>0.631737066082531</v>
      </c>
      <c r="C42">
        <v>5.8787069768880401E-2</v>
      </c>
      <c r="D42">
        <v>10.746190762121399</v>
      </c>
      <c r="E42">
        <v>3.0371762791441601E-5</v>
      </c>
      <c r="F42">
        <v>0.58720665476607803</v>
      </c>
      <c r="G42">
        <v>8.1778647854307093E-2</v>
      </c>
      <c r="H42">
        <v>7.1804397623719201</v>
      </c>
      <c r="I42">
        <v>3.6265390901626401E-4</v>
      </c>
      <c r="J42">
        <v>0.59979493945268403</v>
      </c>
      <c r="K42">
        <v>9.2964225307871004E-2</v>
      </c>
      <c r="L42">
        <v>6.4518898260737902</v>
      </c>
      <c r="M42">
        <v>6.5528109954364998E-4</v>
      </c>
      <c r="AA42" t="str">
        <f t="shared" si="0"/>
        <v>***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5"/>
        <v>***</v>
      </c>
    </row>
    <row r="43" spans="1:32" x14ac:dyDescent="0.25">
      <c r="A43" t="s">
        <v>169</v>
      </c>
      <c r="B43">
        <v>0.65683477453141703</v>
      </c>
      <c r="C43">
        <v>5.0979695914372E-2</v>
      </c>
      <c r="D43">
        <v>12.8842426921233</v>
      </c>
      <c r="E43">
        <v>3.4045932770066397E-5</v>
      </c>
      <c r="F43">
        <v>0.61514789952785298</v>
      </c>
      <c r="G43">
        <v>7.1723114179813696E-2</v>
      </c>
      <c r="H43">
        <v>8.5767037106844608</v>
      </c>
      <c r="I43">
        <v>3.3156843238559198E-4</v>
      </c>
      <c r="J43">
        <v>0.62307282797603902</v>
      </c>
      <c r="K43">
        <v>8.4423621795571793E-2</v>
      </c>
      <c r="L43">
        <v>7.3803138828227901</v>
      </c>
      <c r="M43">
        <v>7.0613710848784796E-4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5"/>
        <v>***</v>
      </c>
    </row>
    <row r="44" spans="1:32" x14ac:dyDescent="0.25">
      <c r="A44" t="s">
        <v>170</v>
      </c>
      <c r="B44">
        <v>0.58075277331830799</v>
      </c>
      <c r="C44">
        <v>4.0566448203012903E-2</v>
      </c>
      <c r="D44">
        <v>14.316086299001499</v>
      </c>
      <c r="E44">
        <v>2.65898404187091E-7</v>
      </c>
      <c r="F44">
        <v>0.52992113731919999</v>
      </c>
      <c r="G44">
        <v>7.5496040488310504E-2</v>
      </c>
      <c r="H44">
        <v>7.0191911243511003</v>
      </c>
      <c r="I44">
        <v>8.7503479388781498E-5</v>
      </c>
      <c r="J44">
        <v>0.53179686567530404</v>
      </c>
      <c r="K44">
        <v>8.9085295923693297E-2</v>
      </c>
      <c r="L44">
        <v>5.9695246018020596</v>
      </c>
      <c r="M44">
        <v>2.8436819081831098E-4</v>
      </c>
      <c r="AA44" t="str">
        <f t="shared" si="0"/>
        <v>***</v>
      </c>
      <c r="AB44" t="str">
        <f t="shared" si="1"/>
        <v>***</v>
      </c>
      <c r="AC44" t="str">
        <f t="shared" si="2"/>
        <v>***</v>
      </c>
      <c r="AD44" t="str">
        <f t="shared" si="3"/>
        <v>***</v>
      </c>
      <c r="AE44" t="str">
        <f t="shared" si="4"/>
        <v>***</v>
      </c>
      <c r="AF44" t="str">
        <f t="shared" si="5"/>
        <v>***</v>
      </c>
    </row>
    <row r="45" spans="1:32" x14ac:dyDescent="0.25">
      <c r="A45" t="s">
        <v>50</v>
      </c>
      <c r="B45">
        <v>9.2068661476664794E-6</v>
      </c>
      <c r="C45">
        <v>1.4078373064398399E-4</v>
      </c>
      <c r="D45">
        <v>6.5397230955251198E-2</v>
      </c>
      <c r="E45">
        <v>0.94934095167244403</v>
      </c>
      <c r="F45">
        <v>1.04651978939019E-4</v>
      </c>
      <c r="G45">
        <v>1.5723318769573499E-4</v>
      </c>
      <c r="H45">
        <v>0.66558454021509394</v>
      </c>
      <c r="I45">
        <v>0.52345718326905999</v>
      </c>
      <c r="J45">
        <v>-1.5695439444292299E-4</v>
      </c>
      <c r="K45">
        <v>2.5228750231559002E-4</v>
      </c>
      <c r="L45">
        <v>-0.62212512709641399</v>
      </c>
      <c r="M45">
        <v>0.550852784199098</v>
      </c>
      <c r="AA45" t="str">
        <f t="shared" si="0"/>
        <v/>
      </c>
      <c r="AB45" t="str">
        <f t="shared" si="1"/>
        <v/>
      </c>
      <c r="AC45" t="str">
        <f t="shared" si="2"/>
        <v/>
      </c>
      <c r="AD45" t="str">
        <f t="shared" si="3"/>
        <v>***</v>
      </c>
      <c r="AE45" t="str">
        <f t="shared" si="4"/>
        <v>***</v>
      </c>
      <c r="AF45" t="str">
        <f t="shared" si="5"/>
        <v>***</v>
      </c>
    </row>
    <row r="46" spans="1:32" x14ac:dyDescent="0.25">
      <c r="A46" t="s">
        <v>52</v>
      </c>
      <c r="B46">
        <v>3.0116740928220601E-3</v>
      </c>
      <c r="C46">
        <v>4.9292306139445104E-3</v>
      </c>
      <c r="D46">
        <v>0.61098259113749098</v>
      </c>
      <c r="E46">
        <v>0.54991862035684702</v>
      </c>
      <c r="F46">
        <v>-2.1223001712696301E-3</v>
      </c>
      <c r="G46">
        <v>5.0019564745328203E-3</v>
      </c>
      <c r="H46">
        <v>-0.42429401016886098</v>
      </c>
      <c r="I46">
        <v>0.67708670353145906</v>
      </c>
      <c r="J46">
        <v>-1.10132998209275E-2</v>
      </c>
      <c r="K46">
        <v>6.2890265975714598E-3</v>
      </c>
      <c r="L46">
        <v>-1.7511930741683199</v>
      </c>
      <c r="M46">
        <v>9.9313688921547599E-2</v>
      </c>
      <c r="AA46" t="str">
        <f t="shared" si="0"/>
        <v/>
      </c>
      <c r="AB46" t="str">
        <f t="shared" si="1"/>
        <v/>
      </c>
      <c r="AC46" t="str">
        <f t="shared" si="2"/>
        <v>*</v>
      </c>
      <c r="AD46" t="str">
        <f t="shared" si="3"/>
        <v>***</v>
      </c>
      <c r="AE46" t="str">
        <f t="shared" si="4"/>
        <v>***</v>
      </c>
      <c r="AF46" t="str">
        <f t="shared" si="5"/>
        <v>***</v>
      </c>
    </row>
    <row r="47" spans="1:32" x14ac:dyDescent="0.25">
      <c r="A47" t="s">
        <v>51</v>
      </c>
      <c r="B47">
        <v>1.25222298557531E-2</v>
      </c>
      <c r="C47">
        <v>6.2503861008393197E-3</v>
      </c>
      <c r="D47">
        <v>2.0034330125736601</v>
      </c>
      <c r="E47">
        <v>0.13387144463789599</v>
      </c>
      <c r="F47">
        <v>1.6756576374285501E-2</v>
      </c>
      <c r="G47">
        <v>4.0701356928253499E-3</v>
      </c>
      <c r="H47">
        <v>4.1169576738739302</v>
      </c>
      <c r="I47">
        <v>2.3765419986594299E-2</v>
      </c>
      <c r="J47">
        <v>2.2475986980933799E-2</v>
      </c>
      <c r="K47">
        <v>3.1607963345882399E-3</v>
      </c>
      <c r="L47">
        <v>7.1108621378042001</v>
      </c>
      <c r="M47">
        <v>4.8600248704705699E-3</v>
      </c>
      <c r="AA47" t="str">
        <f t="shared" si="0"/>
        <v/>
      </c>
      <c r="AB47" t="str">
        <f t="shared" si="1"/>
        <v>**</v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5"/>
        <v>***</v>
      </c>
    </row>
    <row r="48" spans="1:32" x14ac:dyDescent="0.25">
      <c r="A48" t="s">
        <v>164</v>
      </c>
      <c r="B48">
        <v>-6.6917679403118097E-3</v>
      </c>
      <c r="C48">
        <v>7.4722316778717797E-3</v>
      </c>
      <c r="D48">
        <v>-0.895551453540817</v>
      </c>
      <c r="E48">
        <v>0.39275514482167301</v>
      </c>
      <c r="F48">
        <v>-9.94952729422394E-3</v>
      </c>
      <c r="G48">
        <v>9.8187316214647796E-3</v>
      </c>
      <c r="H48">
        <v>-1.01332103552695</v>
      </c>
      <c r="I48">
        <v>0.33579890022382403</v>
      </c>
      <c r="AA48" t="str">
        <f t="shared" si="0"/>
        <v/>
      </c>
      <c r="AB48" t="str">
        <f t="shared" si="1"/>
        <v/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5"/>
        <v>***</v>
      </c>
    </row>
    <row r="49" spans="1:32" x14ac:dyDescent="0.25">
      <c r="A49" t="s">
        <v>39</v>
      </c>
      <c r="B49">
        <v>-4.0123837629806397E-2</v>
      </c>
      <c r="C49">
        <v>3.5106831437174399E-2</v>
      </c>
      <c r="D49">
        <v>-1.14290683571402</v>
      </c>
      <c r="E49">
        <v>0.27353009335849499</v>
      </c>
      <c r="F49">
        <v>-2.5962720874589298E-2</v>
      </c>
      <c r="G49">
        <v>3.8450582618054903E-2</v>
      </c>
      <c r="H49">
        <v>-0.675223081337607</v>
      </c>
      <c r="I49">
        <v>0.51134118288272201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5"/>
        <v>***</v>
      </c>
    </row>
    <row r="50" spans="1:32" x14ac:dyDescent="0.25">
      <c r="A50" t="s">
        <v>40</v>
      </c>
      <c r="B50">
        <v>-9.4442819957407508E-3</v>
      </c>
      <c r="C50">
        <v>8.0130267725910202E-3</v>
      </c>
      <c r="D50">
        <v>-1.17861605405406</v>
      </c>
      <c r="E50">
        <v>0.26548280271646801</v>
      </c>
      <c r="F50">
        <v>-6.7127128543212899E-3</v>
      </c>
      <c r="G50">
        <v>9.5416800435774805E-3</v>
      </c>
      <c r="H50">
        <v>-0.70351477136771401</v>
      </c>
      <c r="I50">
        <v>0.49906486649839399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5"/>
        <v>***</v>
      </c>
    </row>
    <row r="51" spans="1:32" x14ac:dyDescent="0.25">
      <c r="A51" t="s">
        <v>41</v>
      </c>
      <c r="B51">
        <v>-6.4962723608940499E-3</v>
      </c>
      <c r="C51">
        <v>6.10871009657911E-3</v>
      </c>
      <c r="D51">
        <v>-1.0634442064179801</v>
      </c>
      <c r="E51">
        <v>0.30524515923713802</v>
      </c>
      <c r="F51">
        <v>-5.7684853967703304E-3</v>
      </c>
      <c r="G51">
        <v>8.0111681657973593E-3</v>
      </c>
      <c r="H51">
        <v>-0.72005546224808203</v>
      </c>
      <c r="I51">
        <v>0.483459055100391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5"/>
        <v>***</v>
      </c>
    </row>
    <row r="52" spans="1:32" x14ac:dyDescent="0.25">
      <c r="A52" t="s">
        <v>173</v>
      </c>
      <c r="B52">
        <v>-1.26138846773091E-3</v>
      </c>
      <c r="C52">
        <v>1.9817174394556E-3</v>
      </c>
      <c r="D52">
        <v>-0.63651277554353503</v>
      </c>
      <c r="E52">
        <v>0.63177484937475203</v>
      </c>
      <c r="F52">
        <v>-5.4252910084693002E-4</v>
      </c>
      <c r="G52">
        <v>5.51041092652389E-3</v>
      </c>
      <c r="H52">
        <v>-9.8455289102943794E-2</v>
      </c>
      <c r="I52">
        <v>0.93649791212672495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5"/>
        <v>***</v>
      </c>
    </row>
    <row r="53" spans="1:32" x14ac:dyDescent="0.25">
      <c r="A53" t="s">
        <v>174</v>
      </c>
      <c r="B53">
        <v>2.1214429476907101E-2</v>
      </c>
      <c r="C53">
        <v>1.47250257449472E-2</v>
      </c>
      <c r="D53">
        <v>1.4407057647547199</v>
      </c>
      <c r="E53">
        <v>0.17487601145671</v>
      </c>
      <c r="F53">
        <v>2.65856834615684E-2</v>
      </c>
      <c r="G53">
        <v>1.52990358001798E-2</v>
      </c>
      <c r="H53">
        <v>1.7377358814505099</v>
      </c>
      <c r="I53">
        <v>0.107052269616671</v>
      </c>
      <c r="AA53" t="str">
        <f t="shared" si="0"/>
        <v/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5"/>
        <v>***</v>
      </c>
    </row>
    <row r="54" spans="1:32" x14ac:dyDescent="0.25">
      <c r="A54" t="s">
        <v>175</v>
      </c>
      <c r="B54">
        <v>6.8973596605279696E-3</v>
      </c>
      <c r="C54">
        <v>1.3882605314211101E-2</v>
      </c>
      <c r="D54">
        <v>0.49683467219711103</v>
      </c>
      <c r="E54">
        <v>0.62656130948657496</v>
      </c>
      <c r="F54">
        <v>1.1808382848148001E-2</v>
      </c>
      <c r="G54">
        <v>1.70087540163451E-2</v>
      </c>
      <c r="H54">
        <v>0.69425325551773898</v>
      </c>
      <c r="I54">
        <v>0.49814744085196899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5"/>
        <v>***</v>
      </c>
    </row>
    <row r="55" spans="1:32" x14ac:dyDescent="0.25">
      <c r="A55" t="s">
        <v>53</v>
      </c>
      <c r="B55">
        <v>4.6200821691810203E-6</v>
      </c>
      <c r="C55">
        <v>5.2394340375591102E-6</v>
      </c>
      <c r="D55">
        <v>0.88179031094995397</v>
      </c>
      <c r="E55">
        <v>0.39565193164016599</v>
      </c>
      <c r="F55">
        <v>5.05199889182251E-6</v>
      </c>
      <c r="G55">
        <v>6.3367224828122697E-6</v>
      </c>
      <c r="H55">
        <v>0.797257400103217</v>
      </c>
      <c r="I55">
        <v>0.44242928030962297</v>
      </c>
      <c r="AA55" t="str">
        <f t="shared" si="0"/>
        <v/>
      </c>
      <c r="AB55" t="str">
        <f t="shared" si="1"/>
        <v/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5"/>
        <v>***</v>
      </c>
    </row>
    <row r="56" spans="1:32" x14ac:dyDescent="0.25">
      <c r="A56" t="s">
        <v>54</v>
      </c>
      <c r="B56">
        <v>1.2764034913799701E-5</v>
      </c>
      <c r="C56">
        <v>2.5424586715136898E-6</v>
      </c>
      <c r="D56">
        <v>5.0203509920578098</v>
      </c>
      <c r="E56">
        <v>1.4319406107476799E-4</v>
      </c>
      <c r="F56">
        <v>1.43722346655316E-5</v>
      </c>
      <c r="G56">
        <v>3.4939603100903502E-6</v>
      </c>
      <c r="H56">
        <v>4.1134510383605098</v>
      </c>
      <c r="I56">
        <v>1.0461608377460301E-3</v>
      </c>
      <c r="AA56" t="str">
        <f t="shared" si="0"/>
        <v>***</v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5"/>
        <v>***</v>
      </c>
    </row>
    <row r="57" spans="1:32" x14ac:dyDescent="0.25">
      <c r="A57" t="s">
        <v>43</v>
      </c>
      <c r="B57">
        <v>-0.51153046132450097</v>
      </c>
      <c r="C57">
        <v>0.27149202116953203</v>
      </c>
      <c r="D57">
        <v>-1.88414546814647</v>
      </c>
      <c r="E57">
        <v>9.1187060308717205E-2</v>
      </c>
      <c r="AA57" t="str">
        <f t="shared" si="0"/>
        <v>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5"/>
        <v>***</v>
      </c>
    </row>
    <row r="58" spans="1:32" x14ac:dyDescent="0.25">
      <c r="A58" t="s">
        <v>44</v>
      </c>
      <c r="B58">
        <v>-0.157184800332069</v>
      </c>
      <c r="C58">
        <v>5.7766218137680903E-2</v>
      </c>
      <c r="D58">
        <v>-2.7210505620678198</v>
      </c>
      <c r="E58">
        <v>1.7170999934685099E-2</v>
      </c>
      <c r="AA58" t="str">
        <f t="shared" si="0"/>
        <v>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5"/>
        <v>***</v>
      </c>
    </row>
    <row r="59" spans="1:32" x14ac:dyDescent="0.25">
      <c r="A59" t="s">
        <v>45</v>
      </c>
      <c r="B59">
        <v>-0.38228995296727297</v>
      </c>
      <c r="C59">
        <v>0.13736898675161699</v>
      </c>
      <c r="D59">
        <v>-2.7829422201279601</v>
      </c>
      <c r="E59">
        <v>1.51649627312432E-2</v>
      </c>
      <c r="AA59" t="str">
        <f t="shared" si="0"/>
        <v>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5"/>
        <v>***</v>
      </c>
    </row>
    <row r="60" spans="1:32" x14ac:dyDescent="0.25">
      <c r="A60" t="s">
        <v>48</v>
      </c>
      <c r="B60">
        <v>0.204190834718745</v>
      </c>
      <c r="C60">
        <v>0.105170743230871</v>
      </c>
      <c r="D60">
        <v>1.94151746432471</v>
      </c>
      <c r="E60">
        <v>7.062891123284E-2</v>
      </c>
      <c r="AA60" t="str">
        <f t="shared" si="0"/>
        <v>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5"/>
        <v>***</v>
      </c>
    </row>
    <row r="61" spans="1:32" x14ac:dyDescent="0.25">
      <c r="A61" t="s">
        <v>46</v>
      </c>
      <c r="B61">
        <v>-0.60309459020608802</v>
      </c>
      <c r="C61">
        <v>9.5191421952741495E-2</v>
      </c>
      <c r="D61">
        <v>-6.33559808052346</v>
      </c>
      <c r="E61">
        <v>2.5134304797285503E-4</v>
      </c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5"/>
        <v>***</v>
      </c>
    </row>
  </sheetData>
  <mergeCells count="1">
    <mergeCell ref="AA2:AF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39DF6-3CEF-41CB-BDFE-8C914424728C}">
  <sheetPr codeName="Sheet14"/>
  <dimension ref="A1:H128"/>
  <sheetViews>
    <sheetView topLeftCell="B1" workbookViewId="0">
      <selection activeCell="H122" sqref="H4:H122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273</v>
      </c>
      <c r="C2" s="53"/>
      <c r="D2" s="53"/>
      <c r="E2" s="53"/>
      <c r="F2" s="53"/>
      <c r="G2" s="53"/>
      <c r="H2" s="53"/>
    </row>
    <row r="3" spans="1:8" ht="21" x14ac:dyDescent="0.35">
      <c r="B3" s="52" t="s">
        <v>304</v>
      </c>
      <c r="C3" s="52"/>
      <c r="D3" s="52"/>
      <c r="E3" s="52"/>
      <c r="F3" s="52"/>
      <c r="G3" s="52"/>
      <c r="H3" s="52"/>
    </row>
    <row r="4" spans="1:8" x14ac:dyDescent="0.25">
      <c r="B4" s="19" t="s">
        <v>271</v>
      </c>
      <c r="C4" s="22" t="s">
        <v>266</v>
      </c>
      <c r="D4" s="22" t="s">
        <v>267</v>
      </c>
      <c r="E4" s="22" t="s">
        <v>268</v>
      </c>
      <c r="F4" s="22" t="s">
        <v>269</v>
      </c>
      <c r="G4" s="22" t="s">
        <v>270</v>
      </c>
      <c r="H4" s="22" t="s">
        <v>303</v>
      </c>
    </row>
    <row r="5" spans="1:8" x14ac:dyDescent="0.25">
      <c r="A5">
        <v>1</v>
      </c>
      <c r="B5" s="18" t="str">
        <f>'Reg1'!C8</f>
        <v>0.072***</v>
      </c>
      <c r="C5" s="3" t="e">
        <f>_xlfn.CONCAT(FIXED(VLOOKUP($B5,Sheet5!A:$AZ,22,0),4),VLOOKUP($B5,Sheet5!$A:$AF,32,0))</f>
        <v>#N/A</v>
      </c>
      <c r="D5" s="3" t="e">
        <f>_xlfn.CONCAT(FIXED(VLOOKUP($B5,Sheet5!$A:$AZ,18,0),4),VLOOKUP($B5,Sheet5!$A:$AF,31,0))</f>
        <v>#N/A</v>
      </c>
      <c r="E5" s="3" t="e">
        <f>_xlfn.CONCAT(FIXED(VLOOKUP($B5,Sheet5!$A:$AZ,14,0),4),VLOOKUP($B5,Sheet5!$A:$AF,30,0))</f>
        <v>#N/A</v>
      </c>
      <c r="F5" s="3" t="e">
        <f>_xlfn.CONCAT(FIXED(VLOOKUP($B5,Sheet5!$A:$AZ,10,0),4),VLOOKUP($B5,Sheet5!$A:$AF,29,0))</f>
        <v>#N/A</v>
      </c>
      <c r="G5" s="3" t="e">
        <f>_xlfn.CONCAT(FIXED(VLOOKUP($B5,Sheet5!$A:$AZ,6,0),4),VLOOKUP($B5,Sheet5!$A:$AF,28,0))</f>
        <v>#N/A</v>
      </c>
      <c r="H5" s="3" t="e">
        <f>_xlfn.CONCAT(FIXED(VLOOKUP($B5,Sheet5!$A:$AZ,2,0),4),VLOOKUP($B5,Sheet5!$A:$AF,27,0))</f>
        <v>#N/A</v>
      </c>
    </row>
    <row r="6" spans="1:8" x14ac:dyDescent="0.25">
      <c r="A6">
        <v>2</v>
      </c>
      <c r="C6" s="3" t="e">
        <f>_xlfn.CONCAT("(",FIXED(VLOOKUP($B5,Sheet5!$A:$AZ,23,0), 4),")")</f>
        <v>#N/A</v>
      </c>
      <c r="D6" s="3" t="e">
        <f>_xlfn.CONCAT("(",FIXED(VLOOKUP($B5,Sheet5!$A:$AZ,19,0), 4),")")</f>
        <v>#N/A</v>
      </c>
      <c r="E6" s="3" t="e">
        <f>_xlfn.CONCAT("(",FIXED(VLOOKUP($B5,Sheet5!$A:$AZ,15,0), 4),")")</f>
        <v>#N/A</v>
      </c>
      <c r="F6" s="3" t="e">
        <f>_xlfn.CONCAT("(",FIXED(VLOOKUP($B5,Sheet5!$A:$AZ,11,0), 4),")")</f>
        <v>#N/A</v>
      </c>
      <c r="G6" s="3" t="e">
        <f>_xlfn.CONCAT("(",FIXED(VLOOKUP($B5,Sheet5!$A:$AZ,7,0), 4),")")</f>
        <v>#N/A</v>
      </c>
      <c r="H6" s="3" t="e">
        <f>_xlfn.CONCAT("(",FIXED(VLOOKUP($B5,Sheet5!$A:$AZ,3,0), 4),")")</f>
        <v>#N/A</v>
      </c>
    </row>
    <row r="7" spans="1:8" x14ac:dyDescent="0.25">
      <c r="A7">
        <f>A6+2</f>
        <v>4</v>
      </c>
      <c r="B7" t="s">
        <v>16</v>
      </c>
      <c r="D7" s="3" t="str">
        <f>_xlfn.CONCAT(FIXED(VLOOKUP($B7,Sheet5!$A:$AZ,18,0),4),VLOOKUP($B7,Sheet5!$A:$AF,31,0))</f>
        <v>0.0010***</v>
      </c>
      <c r="E7" s="3" t="str">
        <f>_xlfn.CONCAT(FIXED(VLOOKUP($B7,Sheet5!$A:$AZ,14,0),4),VLOOKUP($B7,Sheet5!$A:$AF,30,0))</f>
        <v>0.0001</v>
      </c>
      <c r="F7" s="3" t="str">
        <f>_xlfn.CONCAT(FIXED(VLOOKUP($B7,Sheet5!$A:$AZ,10,0),4),VLOOKUP($B7,Sheet5!$A:$AF,29,0))</f>
        <v>0.0001</v>
      </c>
      <c r="G7" s="3" t="str">
        <f>_xlfn.CONCAT(FIXED(VLOOKUP($B7,Sheet5!$A:$AZ,6,0),4),VLOOKUP($B7,Sheet5!$A:$AF,28,0))</f>
        <v>0.0000</v>
      </c>
      <c r="H7" s="3" t="str">
        <f>_xlfn.CONCAT(FIXED(VLOOKUP($B7,Sheet5!$A:$AZ,2,0),4),VLOOKUP($B7,Sheet5!$A:$AF,27,0))</f>
        <v>0.0000</v>
      </c>
    </row>
    <row r="8" spans="1:8" x14ac:dyDescent="0.25">
      <c r="A8">
        <f>A7+1</f>
        <v>5</v>
      </c>
      <c r="D8" s="3" t="str">
        <f>_xlfn.CONCAT("(",FIXED(VLOOKUP($B7,Sheet5!$A:$AZ,19,0), 4),")")</f>
        <v>(0.0003)</v>
      </c>
      <c r="E8" s="3" t="str">
        <f>_xlfn.CONCAT("(",FIXED(VLOOKUP($B7,Sheet5!$A:$AZ,15,0), 4),")")</f>
        <v>(0.0002)</v>
      </c>
      <c r="F8" s="3" t="str">
        <f>_xlfn.CONCAT("(",FIXED(VLOOKUP($B7,Sheet5!$A:$AZ,11,0), 4),")")</f>
        <v>(0.0001)</v>
      </c>
      <c r="G8" s="3" t="str">
        <f>_xlfn.CONCAT("(",FIXED(VLOOKUP($B7,Sheet5!$A:$AZ,7,0), 4),")")</f>
        <v>(0.0001)</v>
      </c>
      <c r="H8" s="3" t="str">
        <f>_xlfn.CONCAT("(",FIXED(VLOOKUP($B7,Sheet5!$A:$AZ,3,0), 4),")")</f>
        <v>(0.0001)</v>
      </c>
    </row>
    <row r="9" spans="1:8" x14ac:dyDescent="0.25">
      <c r="A9">
        <f t="shared" ref="A9" si="0">A8+2</f>
        <v>7</v>
      </c>
      <c r="B9" t="s">
        <v>197</v>
      </c>
      <c r="D9" s="3" t="str">
        <f>_xlfn.CONCAT(FIXED(VLOOKUP($B9,Sheet5!$A:$AZ,18,0),4),VLOOKUP($B9,Sheet5!$A:$AF,31,0))</f>
        <v>0.0552***</v>
      </c>
      <c r="E9" s="3" t="str">
        <f>_xlfn.CONCAT(FIXED(VLOOKUP($B9,Sheet5!$A:$AZ,14,0),4),VLOOKUP($B9,Sheet5!$A:$AF,30,0))</f>
        <v>0.0248**</v>
      </c>
      <c r="F9" s="3" t="str">
        <f>_xlfn.CONCAT(FIXED(VLOOKUP($B9,Sheet5!$A:$AZ,10,0),4),VLOOKUP($B9,Sheet5!$A:$AF,29,0))</f>
        <v>0.0219**</v>
      </c>
      <c r="G9" s="3" t="str">
        <f>_xlfn.CONCAT(FIXED(VLOOKUP($B9,Sheet5!$A:$AZ,6,0),4),VLOOKUP($B9,Sheet5!$A:$AF,28,0))</f>
        <v>0.0279***</v>
      </c>
      <c r="H9" s="3" t="str">
        <f>_xlfn.CONCAT(FIXED(VLOOKUP($B9,Sheet5!$A:$AZ,2,0),4),VLOOKUP($B9,Sheet5!$A:$AF,27,0))</f>
        <v>0.0280***</v>
      </c>
    </row>
    <row r="10" spans="1:8" x14ac:dyDescent="0.25">
      <c r="A10">
        <f t="shared" ref="A10" si="1">A9+1</f>
        <v>8</v>
      </c>
      <c r="D10" s="3" t="str">
        <f>_xlfn.CONCAT("(",FIXED(VLOOKUP($B9,Sheet5!$A:$AZ,19,0), 4),")")</f>
        <v>(0.0119)</v>
      </c>
      <c r="E10" s="3" t="str">
        <f>_xlfn.CONCAT("(",FIXED(VLOOKUP($B9,Sheet5!$A:$AZ,15,0), 4),")")</f>
        <v>(0.0111)</v>
      </c>
      <c r="F10" s="3" t="str">
        <f>_xlfn.CONCAT("(",FIXED(VLOOKUP($B9,Sheet5!$A:$AZ,11,0), 4),")")</f>
        <v>(0.0099)</v>
      </c>
      <c r="G10" s="3" t="str">
        <f>_xlfn.CONCAT("(",FIXED(VLOOKUP($B9,Sheet5!$A:$AZ,7,0), 4),")")</f>
        <v>(0.0075)</v>
      </c>
      <c r="H10" s="3" t="str">
        <f>_xlfn.CONCAT("(",FIXED(VLOOKUP($B9,Sheet5!$A:$AZ,3,0), 4),")")</f>
        <v>(0.0080)</v>
      </c>
    </row>
    <row r="11" spans="1:8" x14ac:dyDescent="0.25">
      <c r="A11">
        <f t="shared" ref="A11" si="2">A10+2</f>
        <v>10</v>
      </c>
      <c r="B11" t="s">
        <v>200</v>
      </c>
      <c r="D11" s="3" t="str">
        <f>_xlfn.CONCAT(FIXED(VLOOKUP($B11,Sheet5!$A:$AZ,18,0),4),VLOOKUP($B11,Sheet5!$A:$AF,31,0))</f>
        <v>0.0439**</v>
      </c>
      <c r="E11" s="3" t="str">
        <f>_xlfn.CONCAT(FIXED(VLOOKUP($B11,Sheet5!$A:$AZ,14,0),4),VLOOKUP($B11,Sheet5!$A:$AF,30,0))</f>
        <v>0.0259*</v>
      </c>
      <c r="F11" s="3" t="str">
        <f>_xlfn.CONCAT(FIXED(VLOOKUP($B11,Sheet5!$A:$AZ,10,0),4),VLOOKUP($B11,Sheet5!$A:$AF,29,0))</f>
        <v>0.0260**</v>
      </c>
      <c r="G11" s="3" t="str">
        <f>_xlfn.CONCAT(FIXED(VLOOKUP($B11,Sheet5!$A:$AZ,6,0),4),VLOOKUP($B11,Sheet5!$A:$AF,28,0))</f>
        <v>0.0365***</v>
      </c>
      <c r="H11" s="3" t="str">
        <f>_xlfn.CONCAT(FIXED(VLOOKUP($B11,Sheet5!$A:$AZ,2,0),4),VLOOKUP($B11,Sheet5!$A:$AF,27,0))</f>
        <v>0.0352***</v>
      </c>
    </row>
    <row r="12" spans="1:8" x14ac:dyDescent="0.25">
      <c r="A12">
        <f t="shared" ref="A12" si="3">A11+1</f>
        <v>11</v>
      </c>
      <c r="D12" s="3" t="str">
        <f>_xlfn.CONCAT("(",FIXED(VLOOKUP($B11,Sheet5!$A:$AZ,19,0), 4),")")</f>
        <v>(0.0202)</v>
      </c>
      <c r="E12" s="3" t="str">
        <f>_xlfn.CONCAT("(",FIXED(VLOOKUP($B11,Sheet5!$A:$AZ,15,0), 4),")")</f>
        <v>(0.0141)</v>
      </c>
      <c r="F12" s="3" t="str">
        <f>_xlfn.CONCAT("(",FIXED(VLOOKUP($B11,Sheet5!$A:$AZ,11,0), 4),")")</f>
        <v>(0.0119)</v>
      </c>
      <c r="G12" s="3" t="str">
        <f>_xlfn.CONCAT("(",FIXED(VLOOKUP($B11,Sheet5!$A:$AZ,7,0), 4),")")</f>
        <v>(0.0095)</v>
      </c>
      <c r="H12" s="3" t="str">
        <f>_xlfn.CONCAT("(",FIXED(VLOOKUP($B11,Sheet5!$A:$AZ,3,0), 4),")")</f>
        <v>(0.0102)</v>
      </c>
    </row>
    <row r="13" spans="1:8" x14ac:dyDescent="0.25">
      <c r="A13">
        <f t="shared" ref="A13" si="4">A12+2</f>
        <v>13</v>
      </c>
      <c r="B13" t="s">
        <v>203</v>
      </c>
      <c r="D13" s="3" t="str">
        <f>_xlfn.CONCAT(FIXED(VLOOKUP($B13,Sheet5!$A:$AZ,18,0),4),VLOOKUP($B13,Sheet5!$A:$AF,31,0))</f>
        <v>0.0372*</v>
      </c>
      <c r="E13" s="3" t="str">
        <f>_xlfn.CONCAT(FIXED(VLOOKUP($B13,Sheet5!$A:$AZ,14,0),4),VLOOKUP($B13,Sheet5!$A:$AF,30,0))</f>
        <v>0.0159</v>
      </c>
      <c r="F13" s="3" t="str">
        <f>_xlfn.CONCAT(FIXED(VLOOKUP($B13,Sheet5!$A:$AZ,10,0),4),VLOOKUP($B13,Sheet5!$A:$AF,29,0))</f>
        <v>0.0104</v>
      </c>
      <c r="G13" s="3" t="str">
        <f>_xlfn.CONCAT(FIXED(VLOOKUP($B13,Sheet5!$A:$AZ,6,0),4),VLOOKUP($B13,Sheet5!$A:$AF,28,0))</f>
        <v>0.0222</v>
      </c>
      <c r="H13" s="3" t="str">
        <f>_xlfn.CONCAT(FIXED(VLOOKUP($B13,Sheet5!$A:$AZ,2,0),4),VLOOKUP($B13,Sheet5!$A:$AF,27,0))</f>
        <v>0.0220</v>
      </c>
    </row>
    <row r="14" spans="1:8" x14ac:dyDescent="0.25">
      <c r="A14">
        <f t="shared" ref="A14" si="5">A13+1</f>
        <v>14</v>
      </c>
      <c r="D14" s="3" t="str">
        <f>_xlfn.CONCAT("(",FIXED(VLOOKUP($B13,Sheet5!$A:$AZ,19,0), 4),")")</f>
        <v>(0.0207)</v>
      </c>
      <c r="E14" s="3" t="str">
        <f>_xlfn.CONCAT("(",FIXED(VLOOKUP($B13,Sheet5!$A:$AZ,15,0), 4),")")</f>
        <v>(0.0135)</v>
      </c>
      <c r="F14" s="3" t="str">
        <f>_xlfn.CONCAT("(",FIXED(VLOOKUP($B13,Sheet5!$A:$AZ,11,0), 4),")")</f>
        <v>(0.0129)</v>
      </c>
      <c r="G14" s="3" t="str">
        <f>_xlfn.CONCAT("(",FIXED(VLOOKUP($B13,Sheet5!$A:$AZ,7,0), 4),")")</f>
        <v>(0.0127)</v>
      </c>
      <c r="H14" s="3" t="str">
        <f>_xlfn.CONCAT("(",FIXED(VLOOKUP($B13,Sheet5!$A:$AZ,3,0), 4),")")</f>
        <v>(0.0145)</v>
      </c>
    </row>
    <row r="15" spans="1:8" x14ac:dyDescent="0.25">
      <c r="A15">
        <f t="shared" ref="A15" si="6">A14+2</f>
        <v>16</v>
      </c>
      <c r="B15" t="s">
        <v>204</v>
      </c>
      <c r="D15" s="3" t="str">
        <f>_xlfn.CONCAT(FIXED(VLOOKUP($B15,Sheet5!$A:$AZ,18,0),4),VLOOKUP($B15,Sheet5!$A:$AF,31,0))</f>
        <v>0.0312</v>
      </c>
      <c r="E15" s="3" t="str">
        <f>_xlfn.CONCAT(FIXED(VLOOKUP($B15,Sheet5!$A:$AZ,14,0),4),VLOOKUP($B15,Sheet5!$A:$AF,30,0))</f>
        <v>0.0038</v>
      </c>
      <c r="F15" s="3" t="str">
        <f>_xlfn.CONCAT(FIXED(VLOOKUP($B15,Sheet5!$A:$AZ,10,0),4),VLOOKUP($B15,Sheet5!$A:$AF,29,0))</f>
        <v>-0.0080</v>
      </c>
      <c r="G15" s="3" t="str">
        <f>_xlfn.CONCAT(FIXED(VLOOKUP($B15,Sheet5!$A:$AZ,6,0),4),VLOOKUP($B15,Sheet5!$A:$AF,28,0))</f>
        <v>0.0066</v>
      </c>
      <c r="H15" s="3" t="str">
        <f>_xlfn.CONCAT(FIXED(VLOOKUP($B15,Sheet5!$A:$AZ,2,0),4),VLOOKUP($B15,Sheet5!$A:$AF,27,0))</f>
        <v>0.0033</v>
      </c>
    </row>
    <row r="16" spans="1:8" x14ac:dyDescent="0.25">
      <c r="A16">
        <f t="shared" ref="A16" si="7">A15+1</f>
        <v>17</v>
      </c>
      <c r="D16" s="3" t="str">
        <f>_xlfn.CONCAT("(",FIXED(VLOOKUP($B15,Sheet5!$A:$AZ,19,0), 4),")")</f>
        <v>(0.0298)</v>
      </c>
      <c r="E16" s="3" t="str">
        <f>_xlfn.CONCAT("(",FIXED(VLOOKUP($B15,Sheet5!$A:$AZ,15,0), 4),")")</f>
        <v>(0.0178)</v>
      </c>
      <c r="F16" s="3" t="str">
        <f>_xlfn.CONCAT("(",FIXED(VLOOKUP($B15,Sheet5!$A:$AZ,11,0), 4),")")</f>
        <v>(0.0141)</v>
      </c>
      <c r="G16" s="3" t="str">
        <f>_xlfn.CONCAT("(",FIXED(VLOOKUP($B15,Sheet5!$A:$AZ,7,0), 4),")")</f>
        <v>(0.0153)</v>
      </c>
      <c r="H16" s="3" t="str">
        <f>_xlfn.CONCAT("(",FIXED(VLOOKUP($B15,Sheet5!$A:$AZ,3,0), 4),")")</f>
        <v>(0.0158)</v>
      </c>
    </row>
    <row r="17" spans="1:8" x14ac:dyDescent="0.25">
      <c r="A17">
        <f t="shared" ref="A17" si="8">A16+2</f>
        <v>19</v>
      </c>
      <c r="B17" t="s">
        <v>205</v>
      </c>
      <c r="D17" s="3" t="str">
        <f>_xlfn.CONCAT(FIXED(VLOOKUP($B17,Sheet5!$A:$AZ,18,0),4),VLOOKUP($B17,Sheet5!$A:$AF,31,0))</f>
        <v>0.0848</v>
      </c>
      <c r="E17" s="3" t="str">
        <f>_xlfn.CONCAT(FIXED(VLOOKUP($B17,Sheet5!$A:$AZ,14,0),4),VLOOKUP($B17,Sheet5!$A:$AF,30,0))</f>
        <v>0.0706**</v>
      </c>
      <c r="F17" s="3" t="str">
        <f>_xlfn.CONCAT(FIXED(VLOOKUP($B17,Sheet5!$A:$AZ,10,0),4),VLOOKUP($B17,Sheet5!$A:$AF,29,0))</f>
        <v>0.0610***</v>
      </c>
      <c r="G17" s="3" t="str">
        <f>_xlfn.CONCAT(FIXED(VLOOKUP($B17,Sheet5!$A:$AZ,6,0),4),VLOOKUP($B17,Sheet5!$A:$AF,28,0))</f>
        <v>0.0759***</v>
      </c>
      <c r="H17" s="3" t="str">
        <f>_xlfn.CONCAT(FIXED(VLOOKUP($B17,Sheet5!$A:$AZ,2,0),4),VLOOKUP($B17,Sheet5!$A:$AF,27,0))</f>
        <v>0.0728***</v>
      </c>
    </row>
    <row r="18" spans="1:8" x14ac:dyDescent="0.25">
      <c r="A18">
        <f t="shared" ref="A18" si="9">A17+1</f>
        <v>20</v>
      </c>
      <c r="D18" s="3" t="str">
        <f>_xlfn.CONCAT("(",FIXED(VLOOKUP($B17,Sheet5!$A:$AZ,19,0), 4),")")</f>
        <v>(0.0542)</v>
      </c>
      <c r="E18" s="3" t="str">
        <f>_xlfn.CONCAT("(",FIXED(VLOOKUP($B17,Sheet5!$A:$AZ,15,0), 4),")")</f>
        <v>(0.0252)</v>
      </c>
      <c r="F18" s="3" t="str">
        <f>_xlfn.CONCAT("(",FIXED(VLOOKUP($B17,Sheet5!$A:$AZ,11,0), 4),")")</f>
        <v>(0.0206)</v>
      </c>
      <c r="G18" s="3" t="str">
        <f>_xlfn.CONCAT("(",FIXED(VLOOKUP($B17,Sheet5!$A:$AZ,7,0), 4),")")</f>
        <v>(0.0223)</v>
      </c>
      <c r="H18" s="3" t="str">
        <f>_xlfn.CONCAT("(",FIXED(VLOOKUP($B17,Sheet5!$A:$AZ,3,0), 4),")")</f>
        <v>(0.0237)</v>
      </c>
    </row>
    <row r="19" spans="1:8" x14ac:dyDescent="0.25">
      <c r="A19">
        <f t="shared" ref="A19:A79" si="10">A18+2</f>
        <v>22</v>
      </c>
      <c r="B19" t="s">
        <v>209</v>
      </c>
      <c r="D19" s="3" t="str">
        <f>_xlfn.CONCAT(FIXED(VLOOKUP($B19,Sheet5!$A:$AZ,18,0),4),VLOOKUP($B19,Sheet5!$A:$AF,31,0))</f>
        <v>0.1015*</v>
      </c>
      <c r="E19" s="3" t="str">
        <f>_xlfn.CONCAT(FIXED(VLOOKUP($B19,Sheet5!$A:$AZ,14,0),4),VLOOKUP($B19,Sheet5!$A:$AF,30,0))</f>
        <v>0.1067***</v>
      </c>
      <c r="F19" s="3" t="str">
        <f>_xlfn.CONCAT(FIXED(VLOOKUP($B19,Sheet5!$A:$AZ,10,0),4),VLOOKUP($B19,Sheet5!$A:$AF,29,0))</f>
        <v>0.0953***</v>
      </c>
      <c r="G19" s="3" t="str">
        <f>_xlfn.CONCAT(FIXED(VLOOKUP($B19,Sheet5!$A:$AZ,6,0),4),VLOOKUP($B19,Sheet5!$A:$AF,28,0))</f>
        <v>0.1175***</v>
      </c>
      <c r="H19" s="3" t="str">
        <f>_xlfn.CONCAT(FIXED(VLOOKUP($B19,Sheet5!$A:$AZ,2,0),4),VLOOKUP($B19,Sheet5!$A:$AF,27,0))</f>
        <v>0.1140***</v>
      </c>
    </row>
    <row r="20" spans="1:8" x14ac:dyDescent="0.25">
      <c r="A20">
        <f t="shared" ref="A20:A80" si="11">A19+1</f>
        <v>23</v>
      </c>
      <c r="D20" s="3" t="str">
        <f>_xlfn.CONCAT("(",FIXED(VLOOKUP($B19,Sheet5!$A:$AZ,19,0), 4),")")</f>
        <v>(0.0573)</v>
      </c>
      <c r="E20" s="3" t="str">
        <f>_xlfn.CONCAT("(",FIXED(VLOOKUP($B19,Sheet5!$A:$AZ,15,0), 4),")")</f>
        <v>(0.0296)</v>
      </c>
      <c r="F20" s="3" t="str">
        <f>_xlfn.CONCAT("(",FIXED(VLOOKUP($B19,Sheet5!$A:$AZ,11,0), 4),")")</f>
        <v>(0.0232)</v>
      </c>
      <c r="G20" s="3" t="str">
        <f>_xlfn.CONCAT("(",FIXED(VLOOKUP($B19,Sheet5!$A:$AZ,7,0), 4),")")</f>
        <v>(0.0255)</v>
      </c>
      <c r="H20" s="3" t="str">
        <f>_xlfn.CONCAT("(",FIXED(VLOOKUP($B19,Sheet5!$A:$AZ,3,0), 4),")")</f>
        <v>(0.0265)</v>
      </c>
    </row>
    <row r="21" spans="1:8" x14ac:dyDescent="0.25">
      <c r="A21">
        <f t="shared" ref="A21:A81" si="12">A20+2</f>
        <v>25</v>
      </c>
      <c r="B21" t="s">
        <v>211</v>
      </c>
      <c r="D21" s="3" t="str">
        <f>_xlfn.CONCAT(FIXED(VLOOKUP($B21,Sheet5!$A:$AZ,18,0),4),VLOOKUP($B21,Sheet5!$A:$AF,31,0))</f>
        <v>0.4213***</v>
      </c>
      <c r="E21" s="3" t="str">
        <f>_xlfn.CONCAT(FIXED(VLOOKUP($B21,Sheet5!$A:$AZ,14,0),4),VLOOKUP($B21,Sheet5!$A:$AF,30,0))</f>
        <v>0.1116**</v>
      </c>
      <c r="F21" s="3" t="str">
        <f>_xlfn.CONCAT(FIXED(VLOOKUP($B21,Sheet5!$A:$AZ,10,0),4),VLOOKUP($B21,Sheet5!$A:$AF,29,0))</f>
        <v>0.0434</v>
      </c>
      <c r="G21" s="3" t="str">
        <f>_xlfn.CONCAT(FIXED(VLOOKUP($B21,Sheet5!$A:$AZ,6,0),4),VLOOKUP($B21,Sheet5!$A:$AF,28,0))</f>
        <v>0.0780**</v>
      </c>
      <c r="H21" s="3" t="str">
        <f>_xlfn.CONCAT(FIXED(VLOOKUP($B21,Sheet5!$A:$AZ,2,0),4),VLOOKUP($B21,Sheet5!$A:$AF,27,0))</f>
        <v>0.0856***</v>
      </c>
    </row>
    <row r="22" spans="1:8" x14ac:dyDescent="0.25">
      <c r="A22">
        <f t="shared" ref="A22:A82" si="13">A21+1</f>
        <v>26</v>
      </c>
      <c r="D22" s="3" t="str">
        <f>_xlfn.CONCAT("(",FIXED(VLOOKUP($B21,Sheet5!$A:$AZ,19,0), 4),")")</f>
        <v>(0.0659)</v>
      </c>
      <c r="E22" s="3" t="str">
        <f>_xlfn.CONCAT("(",FIXED(VLOOKUP($B21,Sheet5!$A:$AZ,15,0), 4),")")</f>
        <v>(0.0417)</v>
      </c>
      <c r="F22" s="3" t="str">
        <f>_xlfn.CONCAT("(",FIXED(VLOOKUP($B21,Sheet5!$A:$AZ,11,0), 4),")")</f>
        <v>(0.0395)</v>
      </c>
      <c r="G22" s="3" t="str">
        <f>_xlfn.CONCAT("(",FIXED(VLOOKUP($B21,Sheet5!$A:$AZ,7,0), 4),")")</f>
        <v>(0.0299)</v>
      </c>
      <c r="H22" s="3" t="str">
        <f>_xlfn.CONCAT("(",FIXED(VLOOKUP($B21,Sheet5!$A:$AZ,3,0), 4),")")</f>
        <v>(0.0288)</v>
      </c>
    </row>
    <row r="23" spans="1:8" x14ac:dyDescent="0.25">
      <c r="A23">
        <f t="shared" ref="A23:A83" si="14">A22+2</f>
        <v>28</v>
      </c>
      <c r="B23" t="s">
        <v>15</v>
      </c>
      <c r="D23" s="3" t="str">
        <f>_xlfn.CONCAT(FIXED(VLOOKUP($B23,Sheet5!$A:$AZ,18,0),4),VLOOKUP($B23,Sheet5!$A:$AF,31,0))</f>
        <v>0.0000***</v>
      </c>
      <c r="E23" s="3" t="str">
        <f>_xlfn.CONCAT(FIXED(VLOOKUP($B23,Sheet5!$A:$AZ,14,0),4),VLOOKUP($B23,Sheet5!$A:$AF,30,0))</f>
        <v>0.0310</v>
      </c>
      <c r="F23" s="3" t="str">
        <f>_xlfn.CONCAT(FIXED(VLOOKUP($B23,Sheet5!$A:$AZ,10,0),4),VLOOKUP($B23,Sheet5!$A:$AF,29,0))</f>
        <v>-0.0117</v>
      </c>
      <c r="G23" s="3" t="str">
        <f>_xlfn.CONCAT(FIXED(VLOOKUP($B23,Sheet5!$A:$AZ,6,0),4),VLOOKUP($B23,Sheet5!$A:$AF,28,0))</f>
        <v>0.0154</v>
      </c>
      <c r="H23" s="3" t="str">
        <f>_xlfn.CONCAT(FIXED(VLOOKUP($B23,Sheet5!$A:$AZ,2,0),4),VLOOKUP($B23,Sheet5!$A:$AF,27,0))</f>
        <v>0.0261</v>
      </c>
    </row>
    <row r="24" spans="1:8" x14ac:dyDescent="0.25">
      <c r="A24">
        <f t="shared" ref="A24:A84" si="15">A23+1</f>
        <v>29</v>
      </c>
      <c r="D24" s="3" t="str">
        <f>_xlfn.CONCAT("(",FIXED(VLOOKUP($B23,Sheet5!$A:$AZ,19,0), 4),")")</f>
        <v>(0.0000)</v>
      </c>
      <c r="E24" s="3" t="str">
        <f>_xlfn.CONCAT("(",FIXED(VLOOKUP($B23,Sheet5!$A:$AZ,15,0), 4),")")</f>
        <v>(0.0182)</v>
      </c>
      <c r="F24" s="3" t="str">
        <f>_xlfn.CONCAT("(",FIXED(VLOOKUP($B23,Sheet5!$A:$AZ,11,0), 4),")")</f>
        <v>(0.0239)</v>
      </c>
      <c r="G24" s="3" t="str">
        <f>_xlfn.CONCAT("(",FIXED(VLOOKUP($B23,Sheet5!$A:$AZ,7,0), 4),")")</f>
        <v>(0.0244)</v>
      </c>
      <c r="H24" s="3" t="str">
        <f>_xlfn.CONCAT("(",FIXED(VLOOKUP($B23,Sheet5!$A:$AZ,3,0), 4),")")</f>
        <v>(0.0226)</v>
      </c>
    </row>
    <row r="25" spans="1:8" x14ac:dyDescent="0.25">
      <c r="A25">
        <f t="shared" ref="A25:A85" si="16">A24+2</f>
        <v>31</v>
      </c>
      <c r="B25" t="s">
        <v>13</v>
      </c>
      <c r="D25" s="3" t="str">
        <f>_xlfn.CONCAT(FIXED(VLOOKUP($B25,Sheet5!$A:$AZ,18,0),4),VLOOKUP($B25,Sheet5!$A:$AF,31,0))</f>
        <v>0.0000***</v>
      </c>
      <c r="E25" s="3" t="str">
        <f>_xlfn.CONCAT(FIXED(VLOOKUP($B25,Sheet5!$A:$AZ,14,0),4),VLOOKUP($B25,Sheet5!$A:$AF,30,0))</f>
        <v>0.0927***</v>
      </c>
      <c r="F25" s="3" t="str">
        <f>_xlfn.CONCAT(FIXED(VLOOKUP($B25,Sheet5!$A:$AZ,10,0),4),VLOOKUP($B25,Sheet5!$A:$AF,29,0))</f>
        <v>0.0866***</v>
      </c>
      <c r="G25" s="3" t="str">
        <f>_xlfn.CONCAT(FIXED(VLOOKUP($B25,Sheet5!$A:$AZ,6,0),4),VLOOKUP($B25,Sheet5!$A:$AF,28,0))</f>
        <v>0.0575***</v>
      </c>
      <c r="H25" s="3" t="str">
        <f>_xlfn.CONCAT(FIXED(VLOOKUP($B25,Sheet5!$A:$AZ,2,0),4),VLOOKUP($B25,Sheet5!$A:$AF,27,0))</f>
        <v>0.0488***</v>
      </c>
    </row>
    <row r="26" spans="1:8" x14ac:dyDescent="0.25">
      <c r="A26">
        <f t="shared" ref="A26:A86" si="17">A25+1</f>
        <v>32</v>
      </c>
      <c r="D26" s="3" t="str">
        <f>_xlfn.CONCAT("(",FIXED(VLOOKUP($B25,Sheet5!$A:$AZ,19,0), 4),")")</f>
        <v>(0.0000)</v>
      </c>
      <c r="E26" s="3" t="str">
        <f>_xlfn.CONCAT("(",FIXED(VLOOKUP($B25,Sheet5!$A:$AZ,15,0), 4),")")</f>
        <v>(0.0279)</v>
      </c>
      <c r="F26" s="3" t="str">
        <f>_xlfn.CONCAT("(",FIXED(VLOOKUP($B25,Sheet5!$A:$AZ,11,0), 4),")")</f>
        <v>(0.0261)</v>
      </c>
      <c r="G26" s="3" t="str">
        <f>_xlfn.CONCAT("(",FIXED(VLOOKUP($B25,Sheet5!$A:$AZ,7,0), 4),")")</f>
        <v>(0.0191)</v>
      </c>
      <c r="H26" s="3" t="str">
        <f>_xlfn.CONCAT("(",FIXED(VLOOKUP($B25,Sheet5!$A:$AZ,3,0), 4),")")</f>
        <v>(0.0167)</v>
      </c>
    </row>
    <row r="27" spans="1:8" x14ac:dyDescent="0.25">
      <c r="A27">
        <f t="shared" ref="A27" si="18">A26+2</f>
        <v>34</v>
      </c>
      <c r="B27" t="s">
        <v>14</v>
      </c>
      <c r="D27" s="3" t="str">
        <f>_xlfn.CONCAT(FIXED(VLOOKUP($B27,Sheet5!$A:$AZ,18,0),4),VLOOKUP($B27,Sheet5!$A:$AF,31,0))</f>
        <v>0.0000***</v>
      </c>
      <c r="E27" s="3" t="str">
        <f>_xlfn.CONCAT(FIXED(VLOOKUP($B27,Sheet5!$A:$AZ,14,0),4),VLOOKUP($B27,Sheet5!$A:$AF,30,0))</f>
        <v>0.0751***</v>
      </c>
      <c r="F27" s="3" t="str">
        <f>_xlfn.CONCAT(FIXED(VLOOKUP($B27,Sheet5!$A:$AZ,10,0),4),VLOOKUP($B27,Sheet5!$A:$AF,29,0))</f>
        <v>0.0592***</v>
      </c>
      <c r="G27" s="3" t="str">
        <f>_xlfn.CONCAT(FIXED(VLOOKUP($B27,Sheet5!$A:$AZ,6,0),4),VLOOKUP($B27,Sheet5!$A:$AF,28,0))</f>
        <v>0.0691***</v>
      </c>
      <c r="H27" s="3" t="str">
        <f>_xlfn.CONCAT(FIXED(VLOOKUP($B27,Sheet5!$A:$AZ,2,0),4),VLOOKUP($B27,Sheet5!$A:$AF,27,0))</f>
        <v>0.0689***</v>
      </c>
    </row>
    <row r="28" spans="1:8" x14ac:dyDescent="0.25">
      <c r="A28">
        <f t="shared" ref="A28" si="19">A27+1</f>
        <v>35</v>
      </c>
      <c r="D28" s="3" t="str">
        <f>_xlfn.CONCAT("(",FIXED(VLOOKUP($B27,Sheet5!$A:$AZ,19,0), 4),")")</f>
        <v>(0.0000)</v>
      </c>
      <c r="E28" s="3" t="str">
        <f>_xlfn.CONCAT("(",FIXED(VLOOKUP($B27,Sheet5!$A:$AZ,15,0), 4),")")</f>
        <v>(0.0202)</v>
      </c>
      <c r="F28" s="3" t="str">
        <f>_xlfn.CONCAT("(",FIXED(VLOOKUP($B27,Sheet5!$A:$AZ,11,0), 4),")")</f>
        <v>(0.0195)</v>
      </c>
      <c r="G28" s="3" t="str">
        <f>_xlfn.CONCAT("(",FIXED(VLOOKUP($B27,Sheet5!$A:$AZ,7,0), 4),")")</f>
        <v>(0.0182)</v>
      </c>
      <c r="H28" s="3" t="str">
        <f>_xlfn.CONCAT("(",FIXED(VLOOKUP($B27,Sheet5!$A:$AZ,3,0), 4),")")</f>
        <v>(0.0193)</v>
      </c>
    </row>
    <row r="29" spans="1:8" x14ac:dyDescent="0.25">
      <c r="A29">
        <f t="shared" si="10"/>
        <v>37</v>
      </c>
      <c r="B29" t="s">
        <v>59</v>
      </c>
      <c r="D29" s="3" t="str">
        <f>_xlfn.CONCAT(FIXED(VLOOKUP($B29,Sheet5!$A:$AZ,18,0),4),VLOOKUP($B29,Sheet5!$A:$AF,31,0))</f>
        <v>0.0000***</v>
      </c>
      <c r="E29" s="3" t="str">
        <f>_xlfn.CONCAT(FIXED(VLOOKUP($B29,Sheet5!$A:$AZ,14,0),4),VLOOKUP($B29,Sheet5!$A:$AF,30,0))</f>
        <v>-0.1986***</v>
      </c>
      <c r="F29" s="3" t="str">
        <f>_xlfn.CONCAT(FIXED(VLOOKUP($B29,Sheet5!$A:$AZ,10,0),4),VLOOKUP($B29,Sheet5!$A:$AF,29,0))</f>
        <v>-0.1208***</v>
      </c>
      <c r="G29" s="3" t="str">
        <f>_xlfn.CONCAT(FIXED(VLOOKUP($B29,Sheet5!$A:$AZ,6,0),4),VLOOKUP($B29,Sheet5!$A:$AF,28,0))</f>
        <v>-0.1118***</v>
      </c>
      <c r="H29" s="3" t="str">
        <f>_xlfn.CONCAT(FIXED(VLOOKUP($B29,Sheet5!$A:$AZ,2,0),4),VLOOKUP($B29,Sheet5!$A:$AF,27,0))</f>
        <v>-0.1090***</v>
      </c>
    </row>
    <row r="30" spans="1:8" x14ac:dyDescent="0.25">
      <c r="A30">
        <f t="shared" si="11"/>
        <v>38</v>
      </c>
      <c r="D30" s="3" t="str">
        <f>_xlfn.CONCAT("(",FIXED(VLOOKUP($B29,Sheet5!$A:$AZ,19,0), 4),")")</f>
        <v>(0.0000)</v>
      </c>
      <c r="E30" s="3" t="str">
        <f>_xlfn.CONCAT("(",FIXED(VLOOKUP($B29,Sheet5!$A:$AZ,15,0), 4),")")</f>
        <v>(0.0568)</v>
      </c>
      <c r="F30" s="3" t="str">
        <f>_xlfn.CONCAT("(",FIXED(VLOOKUP($B29,Sheet5!$A:$AZ,11,0), 4),")")</f>
        <v>(0.0390)</v>
      </c>
      <c r="G30" s="3" t="str">
        <f>_xlfn.CONCAT("(",FIXED(VLOOKUP($B29,Sheet5!$A:$AZ,7,0), 4),")")</f>
        <v>(0.0342)</v>
      </c>
      <c r="H30" s="3" t="str">
        <f>_xlfn.CONCAT("(",FIXED(VLOOKUP($B29,Sheet5!$A:$AZ,3,0), 4),")")</f>
        <v>(0.0351)</v>
      </c>
    </row>
    <row r="31" spans="1:8" x14ac:dyDescent="0.25">
      <c r="A31">
        <f t="shared" si="12"/>
        <v>40</v>
      </c>
      <c r="B31" t="s">
        <v>60</v>
      </c>
      <c r="D31" s="3" t="str">
        <f>_xlfn.CONCAT(FIXED(VLOOKUP($B31,Sheet5!$A:$AZ,18,0),4),VLOOKUP($B31,Sheet5!$A:$AF,31,0))</f>
        <v>0.0000***</v>
      </c>
      <c r="E31" s="3" t="str">
        <f>_xlfn.CONCAT(FIXED(VLOOKUP($B31,Sheet5!$A:$AZ,14,0),4),VLOOKUP($B31,Sheet5!$A:$AF,30,0))</f>
        <v>-0.0683</v>
      </c>
      <c r="F31" s="3" t="str">
        <f>_xlfn.CONCAT(FIXED(VLOOKUP($B31,Sheet5!$A:$AZ,10,0),4),VLOOKUP($B31,Sheet5!$A:$AF,29,0))</f>
        <v>-0.0404**</v>
      </c>
      <c r="G31" s="3" t="str">
        <f>_xlfn.CONCAT(FIXED(VLOOKUP($B31,Sheet5!$A:$AZ,6,0),4),VLOOKUP($B31,Sheet5!$A:$AF,28,0))</f>
        <v>-0.0672***</v>
      </c>
      <c r="H31" s="3" t="str">
        <f>_xlfn.CONCAT(FIXED(VLOOKUP($B31,Sheet5!$A:$AZ,2,0),4),VLOOKUP($B31,Sheet5!$A:$AF,27,0))</f>
        <v>-0.0617***</v>
      </c>
    </row>
    <row r="32" spans="1:8" x14ac:dyDescent="0.25">
      <c r="A32">
        <f t="shared" si="13"/>
        <v>41</v>
      </c>
      <c r="D32" s="3" t="str">
        <f>_xlfn.CONCAT("(",FIXED(VLOOKUP($B31,Sheet5!$A:$AZ,19,0), 4),")")</f>
        <v>(0.0000)</v>
      </c>
      <c r="E32" s="3" t="str">
        <f>_xlfn.CONCAT("(",FIXED(VLOOKUP($B31,Sheet5!$A:$AZ,15,0), 4),")")</f>
        <v>(0.0625)</v>
      </c>
      <c r="F32" s="3" t="str">
        <f>_xlfn.CONCAT("(",FIXED(VLOOKUP($B31,Sheet5!$A:$AZ,11,0), 4),")")</f>
        <v>(0.0144)</v>
      </c>
      <c r="G32" s="3" t="str">
        <f>_xlfn.CONCAT("(",FIXED(VLOOKUP($B31,Sheet5!$A:$AZ,7,0), 4),")")</f>
        <v>(0.0138)</v>
      </c>
      <c r="H32" s="3" t="str">
        <f>_xlfn.CONCAT("(",FIXED(VLOOKUP($B31,Sheet5!$A:$AZ,3,0), 4),")")</f>
        <v>(0.0126)</v>
      </c>
    </row>
    <row r="33" spans="1:8" x14ac:dyDescent="0.25">
      <c r="A33">
        <f t="shared" si="14"/>
        <v>43</v>
      </c>
      <c r="B33" t="s">
        <v>18</v>
      </c>
      <c r="D33" s="3" t="str">
        <f>_xlfn.CONCAT(FIXED(VLOOKUP($B33,Sheet5!$A:$AZ,18,0),4),VLOOKUP($B33,Sheet5!$A:$AF,31,0))</f>
        <v>0.0000***</v>
      </c>
      <c r="E33" s="3" t="str">
        <f>_xlfn.CONCAT(FIXED(VLOOKUP($B33,Sheet5!$A:$AZ,14,0),4),VLOOKUP($B33,Sheet5!$A:$AF,30,0))</f>
        <v>0.0003***</v>
      </c>
      <c r="F33" s="3" t="str">
        <f>_xlfn.CONCAT(FIXED(VLOOKUP($B33,Sheet5!$A:$AZ,10,0),4),VLOOKUP($B33,Sheet5!$A:$AF,29,0))</f>
        <v>0.0003***</v>
      </c>
      <c r="G33" s="3" t="str">
        <f>_xlfn.CONCAT(FIXED(VLOOKUP($B33,Sheet5!$A:$AZ,6,0),4),VLOOKUP($B33,Sheet5!$A:$AF,28,0))</f>
        <v>0.0002***</v>
      </c>
      <c r="H33" s="3" t="str">
        <f>_xlfn.CONCAT(FIXED(VLOOKUP($B33,Sheet5!$A:$AZ,2,0),4),VLOOKUP($B33,Sheet5!$A:$AF,27,0))</f>
        <v>0.0002***</v>
      </c>
    </row>
    <row r="34" spans="1:8" x14ac:dyDescent="0.25">
      <c r="A34">
        <f t="shared" si="15"/>
        <v>44</v>
      </c>
      <c r="D34" s="3" t="str">
        <f>_xlfn.CONCAT("(",FIXED(VLOOKUP($B33,Sheet5!$A:$AZ,19,0), 4),")")</f>
        <v>(0.0000)</v>
      </c>
      <c r="E34" s="3" t="str">
        <f>_xlfn.CONCAT("(",FIXED(VLOOKUP($B33,Sheet5!$A:$AZ,15,0), 4),")")</f>
        <v>(0.0000)</v>
      </c>
      <c r="F34" s="3" t="str">
        <f>_xlfn.CONCAT("(",FIXED(VLOOKUP($B33,Sheet5!$A:$AZ,11,0), 4),")")</f>
        <v>(0.0000)</v>
      </c>
      <c r="G34" s="3" t="str">
        <f>_xlfn.CONCAT("(",FIXED(VLOOKUP($B33,Sheet5!$A:$AZ,7,0), 4),")")</f>
        <v>(0.0000)</v>
      </c>
      <c r="H34" s="3" t="str">
        <f>_xlfn.CONCAT("(",FIXED(VLOOKUP($B33,Sheet5!$A:$AZ,3,0), 4),")")</f>
        <v>(0.0000)</v>
      </c>
    </row>
    <row r="35" spans="1:8" x14ac:dyDescent="0.25">
      <c r="A35">
        <f t="shared" si="16"/>
        <v>46</v>
      </c>
      <c r="B35" t="s">
        <v>33</v>
      </c>
      <c r="D35" s="3" t="str">
        <f>_xlfn.CONCAT(FIXED(VLOOKUP($B35,Sheet5!$A:$AZ,18,0),4),VLOOKUP($B35,Sheet5!$A:$AF,31,0))</f>
        <v>0.0000***</v>
      </c>
      <c r="E35" s="3" t="str">
        <f>_xlfn.CONCAT(FIXED(VLOOKUP($B35,Sheet5!$A:$AZ,14,0),4),VLOOKUP($B35,Sheet5!$A:$AF,30,0))</f>
        <v>-0.0182**</v>
      </c>
      <c r="F35" s="3" t="str">
        <f>_xlfn.CONCAT(FIXED(VLOOKUP($B35,Sheet5!$A:$AZ,10,0),4),VLOOKUP($B35,Sheet5!$A:$AF,29,0))</f>
        <v>-0.0121*</v>
      </c>
      <c r="G35" s="3" t="str">
        <f>_xlfn.CONCAT(FIXED(VLOOKUP($B35,Sheet5!$A:$AZ,6,0),4),VLOOKUP($B35,Sheet5!$A:$AF,28,0))</f>
        <v>-0.0162***</v>
      </c>
      <c r="H35" s="3" t="str">
        <f>_xlfn.CONCAT(FIXED(VLOOKUP($B35,Sheet5!$A:$AZ,2,0),4),VLOOKUP($B35,Sheet5!$A:$AF,27,0))</f>
        <v>-0.0161**</v>
      </c>
    </row>
    <row r="36" spans="1:8" x14ac:dyDescent="0.25">
      <c r="A36">
        <f t="shared" si="17"/>
        <v>47</v>
      </c>
      <c r="D36" s="3" t="str">
        <f>_xlfn.CONCAT("(",FIXED(VLOOKUP($B35,Sheet5!$A:$AZ,19,0), 4),")")</f>
        <v>(0.0000)</v>
      </c>
      <c r="E36" s="3" t="str">
        <f>_xlfn.CONCAT("(",FIXED(VLOOKUP($B35,Sheet5!$A:$AZ,15,0), 4),")")</f>
        <v>(0.0069)</v>
      </c>
      <c r="F36" s="3" t="str">
        <f>_xlfn.CONCAT("(",FIXED(VLOOKUP($B35,Sheet5!$A:$AZ,11,0), 4),")")</f>
        <v>(0.0060)</v>
      </c>
      <c r="G36" s="3" t="str">
        <f>_xlfn.CONCAT("(",FIXED(VLOOKUP($B35,Sheet5!$A:$AZ,7,0), 4),")")</f>
        <v>(0.0051)</v>
      </c>
      <c r="H36" s="3" t="str">
        <f>_xlfn.CONCAT("(",FIXED(VLOOKUP($B35,Sheet5!$A:$AZ,3,0), 4),")")</f>
        <v>(0.0060)</v>
      </c>
    </row>
    <row r="37" spans="1:8" x14ac:dyDescent="0.25">
      <c r="A37">
        <f t="shared" ref="A37" si="20">A36+2</f>
        <v>49</v>
      </c>
      <c r="B37" t="s">
        <v>34</v>
      </c>
      <c r="D37" s="3" t="str">
        <f>_xlfn.CONCAT(FIXED(VLOOKUP($B37,Sheet5!$A:$AZ,18,0),4),VLOOKUP($B37,Sheet5!$A:$AF,31,0))</f>
        <v>0.0000***</v>
      </c>
      <c r="E37" s="3" t="str">
        <f>_xlfn.CONCAT(FIXED(VLOOKUP($B37,Sheet5!$A:$AZ,14,0),4),VLOOKUP($B37,Sheet5!$A:$AF,30,0))</f>
        <v>0.2222***</v>
      </c>
      <c r="F37" s="3" t="str">
        <f>_xlfn.CONCAT(FIXED(VLOOKUP($B37,Sheet5!$A:$AZ,10,0),4),VLOOKUP($B37,Sheet5!$A:$AF,29,0))</f>
        <v>0.1697**</v>
      </c>
      <c r="G37" s="3" t="str">
        <f>_xlfn.CONCAT(FIXED(VLOOKUP($B37,Sheet5!$A:$AZ,6,0),4),VLOOKUP($B37,Sheet5!$A:$AF,28,0))</f>
        <v>0.1790***</v>
      </c>
      <c r="H37" s="3" t="str">
        <f>_xlfn.CONCAT(FIXED(VLOOKUP($B37,Sheet5!$A:$AZ,2,0),4),VLOOKUP($B37,Sheet5!$A:$AF,27,0))</f>
        <v>0.1732**</v>
      </c>
    </row>
    <row r="38" spans="1:8" x14ac:dyDescent="0.25">
      <c r="A38">
        <f t="shared" ref="A38" si="21">A37+1</f>
        <v>50</v>
      </c>
      <c r="D38" s="3" t="str">
        <f>_xlfn.CONCAT("(",FIXED(VLOOKUP($B37,Sheet5!$A:$AZ,19,0), 4),")")</f>
        <v>(0.0000)</v>
      </c>
      <c r="E38" s="3" t="str">
        <f>_xlfn.CONCAT("(",FIXED(VLOOKUP($B37,Sheet5!$A:$AZ,15,0), 4),")")</f>
        <v>(0.0625)</v>
      </c>
      <c r="F38" s="3" t="str">
        <f>_xlfn.CONCAT("(",FIXED(VLOOKUP($B37,Sheet5!$A:$AZ,11,0), 4),")")</f>
        <v>(0.0593)</v>
      </c>
      <c r="G38" s="3" t="str">
        <f>_xlfn.CONCAT("(",FIXED(VLOOKUP($B37,Sheet5!$A:$AZ,7,0), 4),")")</f>
        <v>(0.0535)</v>
      </c>
      <c r="H38" s="3" t="str">
        <f>_xlfn.CONCAT("(",FIXED(VLOOKUP($B37,Sheet5!$A:$AZ,3,0), 4),")")</f>
        <v>(0.0595)</v>
      </c>
    </row>
    <row r="39" spans="1:8" x14ac:dyDescent="0.25">
      <c r="A39">
        <f t="shared" si="10"/>
        <v>52</v>
      </c>
      <c r="B39" t="s">
        <v>21</v>
      </c>
      <c r="D39" s="3" t="str">
        <f>_xlfn.CONCAT(FIXED(VLOOKUP($B39,Sheet5!$A:$AZ,18,0),4),VLOOKUP($B39,Sheet5!$A:$AF,31,0))</f>
        <v>0.0000***</v>
      </c>
      <c r="E39" s="3" t="str">
        <f>_xlfn.CONCAT(FIXED(VLOOKUP($B39,Sheet5!$A:$AZ,14,0),4),VLOOKUP($B39,Sheet5!$A:$AF,30,0))</f>
        <v>-0.0081</v>
      </c>
      <c r="F39" s="3" t="str">
        <f>_xlfn.CONCAT(FIXED(VLOOKUP($B39,Sheet5!$A:$AZ,10,0),4),VLOOKUP($B39,Sheet5!$A:$AF,29,0))</f>
        <v>-0.0291</v>
      </c>
      <c r="G39" s="3" t="str">
        <f>_xlfn.CONCAT(FIXED(VLOOKUP($B39,Sheet5!$A:$AZ,6,0),4),VLOOKUP($B39,Sheet5!$A:$AF,28,0))</f>
        <v>-0.0556**</v>
      </c>
      <c r="H39" s="3" t="str">
        <f>_xlfn.CONCAT(FIXED(VLOOKUP($B39,Sheet5!$A:$AZ,2,0),4),VLOOKUP($B39,Sheet5!$A:$AF,27,0))</f>
        <v>-0.0437**</v>
      </c>
    </row>
    <row r="40" spans="1:8" x14ac:dyDescent="0.25">
      <c r="A40">
        <f t="shared" si="11"/>
        <v>53</v>
      </c>
      <c r="D40" s="3" t="str">
        <f>_xlfn.CONCAT("(",FIXED(VLOOKUP($B39,Sheet5!$A:$AZ,19,0), 4),")")</f>
        <v>(0.0000)</v>
      </c>
      <c r="E40" s="3" t="str">
        <f>_xlfn.CONCAT("(",FIXED(VLOOKUP($B39,Sheet5!$A:$AZ,15,0), 4),")")</f>
        <v>(0.0415)</v>
      </c>
      <c r="F40" s="3" t="str">
        <f>_xlfn.CONCAT("(",FIXED(VLOOKUP($B39,Sheet5!$A:$AZ,11,0), 4),")")</f>
        <v>(0.0386)</v>
      </c>
      <c r="G40" s="3" t="str">
        <f>_xlfn.CONCAT("(",FIXED(VLOOKUP($B39,Sheet5!$A:$AZ,7,0), 4),")")</f>
        <v>(0.0206)</v>
      </c>
      <c r="H40" s="3" t="str">
        <f>_xlfn.CONCAT("(",FIXED(VLOOKUP($B39,Sheet5!$A:$AZ,3,0), 4),")")</f>
        <v>(0.0194)</v>
      </c>
    </row>
    <row r="41" spans="1:8" x14ac:dyDescent="0.25">
      <c r="A41">
        <f t="shared" si="12"/>
        <v>55</v>
      </c>
      <c r="B41" t="s">
        <v>221</v>
      </c>
      <c r="D41" s="3" t="str">
        <f>_xlfn.CONCAT(FIXED(VLOOKUP($B41,Sheet5!$A:$AZ,18,0),4),VLOOKUP($B41,Sheet5!$A:$AF,31,0))</f>
        <v>0.0000***</v>
      </c>
      <c r="E41" s="3" t="str">
        <f>_xlfn.CONCAT(FIXED(VLOOKUP($B41,Sheet5!$A:$AZ,14,0),4),VLOOKUP($B41,Sheet5!$A:$AF,30,0))</f>
        <v>0.1531***</v>
      </c>
      <c r="F41" s="3" t="str">
        <f>_xlfn.CONCAT(FIXED(VLOOKUP($B41,Sheet5!$A:$AZ,10,0),4),VLOOKUP($B41,Sheet5!$A:$AF,29,0))</f>
        <v>0.1517***</v>
      </c>
      <c r="G41" s="3" t="str">
        <f>_xlfn.CONCAT(FIXED(VLOOKUP($B41,Sheet5!$A:$AZ,6,0),4),VLOOKUP($B41,Sheet5!$A:$AF,28,0))</f>
        <v>0.1197***</v>
      </c>
      <c r="H41" s="3" t="str">
        <f>_xlfn.CONCAT(FIXED(VLOOKUP($B41,Sheet5!$A:$AZ,2,0),4),VLOOKUP($B41,Sheet5!$A:$AF,27,0))</f>
        <v>0.1117***</v>
      </c>
    </row>
    <row r="42" spans="1:8" x14ac:dyDescent="0.25">
      <c r="A42">
        <f t="shared" si="13"/>
        <v>56</v>
      </c>
      <c r="D42" s="3" t="str">
        <f>_xlfn.CONCAT("(",FIXED(VLOOKUP($B41,Sheet5!$A:$AZ,19,0), 4),")")</f>
        <v>(0.0000)</v>
      </c>
      <c r="E42" s="3" t="str">
        <f>_xlfn.CONCAT("(",FIXED(VLOOKUP($B41,Sheet5!$A:$AZ,15,0), 4),")")</f>
        <v>(0.0249)</v>
      </c>
      <c r="F42" s="3" t="str">
        <f>_xlfn.CONCAT("(",FIXED(VLOOKUP($B41,Sheet5!$A:$AZ,11,0), 4),")")</f>
        <v>(0.0188)</v>
      </c>
      <c r="G42" s="3" t="str">
        <f>_xlfn.CONCAT("(",FIXED(VLOOKUP($B41,Sheet5!$A:$AZ,7,0), 4),")")</f>
        <v>(0.0147)</v>
      </c>
      <c r="H42" s="3" t="str">
        <f>_xlfn.CONCAT("(",FIXED(VLOOKUP($B41,Sheet5!$A:$AZ,3,0), 4),")")</f>
        <v>(0.0127)</v>
      </c>
    </row>
    <row r="43" spans="1:8" x14ac:dyDescent="0.25">
      <c r="A43">
        <f t="shared" si="14"/>
        <v>58</v>
      </c>
      <c r="B43" t="s">
        <v>222</v>
      </c>
      <c r="D43" s="3" t="str">
        <f>_xlfn.CONCAT(FIXED(VLOOKUP($B43,Sheet5!$A:$AZ,18,0),4),VLOOKUP($B43,Sheet5!$A:$AF,31,0))</f>
        <v>0.0000***</v>
      </c>
      <c r="E43" s="3" t="str">
        <f>_xlfn.CONCAT(FIXED(VLOOKUP($B43,Sheet5!$A:$AZ,14,0),4),VLOOKUP($B43,Sheet5!$A:$AF,30,0))</f>
        <v>0.0652***</v>
      </c>
      <c r="F43" s="3" t="str">
        <f>_xlfn.CONCAT(FIXED(VLOOKUP($B43,Sheet5!$A:$AZ,10,0),4),VLOOKUP($B43,Sheet5!$A:$AF,29,0))</f>
        <v>0.0684***</v>
      </c>
      <c r="G43" s="3" t="str">
        <f>_xlfn.CONCAT(FIXED(VLOOKUP($B43,Sheet5!$A:$AZ,6,0),4),VLOOKUP($B43,Sheet5!$A:$AF,28,0))</f>
        <v>0.0553***</v>
      </c>
      <c r="H43" s="3" t="str">
        <f>_xlfn.CONCAT(FIXED(VLOOKUP($B43,Sheet5!$A:$AZ,2,0),4),VLOOKUP($B43,Sheet5!$A:$AF,27,0))</f>
        <v>0.0524***</v>
      </c>
    </row>
    <row r="44" spans="1:8" x14ac:dyDescent="0.25">
      <c r="A44">
        <f t="shared" si="15"/>
        <v>59</v>
      </c>
      <c r="D44" s="3" t="str">
        <f>_xlfn.CONCAT("(",FIXED(VLOOKUP($B43,Sheet5!$A:$AZ,19,0), 4),")")</f>
        <v>(0.0000)</v>
      </c>
      <c r="E44" s="3" t="str">
        <f>_xlfn.CONCAT("(",FIXED(VLOOKUP($B43,Sheet5!$A:$AZ,15,0), 4),")")</f>
        <v>(0.0149)</v>
      </c>
      <c r="F44" s="3" t="str">
        <f>_xlfn.CONCAT("(",FIXED(VLOOKUP($B43,Sheet5!$A:$AZ,11,0), 4),")")</f>
        <v>(0.0123)</v>
      </c>
      <c r="G44" s="3" t="str">
        <f>_xlfn.CONCAT("(",FIXED(VLOOKUP($B43,Sheet5!$A:$AZ,7,0), 4),")")</f>
        <v>(0.0073)</v>
      </c>
      <c r="H44" s="3" t="str">
        <f>_xlfn.CONCAT("(",FIXED(VLOOKUP($B43,Sheet5!$A:$AZ,3,0), 4),")")</f>
        <v>(0.0053)</v>
      </c>
    </row>
    <row r="45" spans="1:8" x14ac:dyDescent="0.25">
      <c r="A45">
        <f t="shared" si="16"/>
        <v>61</v>
      </c>
      <c r="B45" t="s">
        <v>225</v>
      </c>
      <c r="D45" s="3" t="str">
        <f>_xlfn.CONCAT(FIXED(VLOOKUP($B45,Sheet5!$A:$AZ,18,0),4),VLOOKUP($B45,Sheet5!$A:$AF,31,0))</f>
        <v>0.0000***</v>
      </c>
      <c r="E45" s="3" t="str">
        <f>_xlfn.CONCAT(FIXED(VLOOKUP($B45,Sheet5!$A:$AZ,14,0),4),VLOOKUP($B45,Sheet5!$A:$AF,30,0))</f>
        <v>-0.0280</v>
      </c>
      <c r="F45" s="3" t="str">
        <f>_xlfn.CONCAT(FIXED(VLOOKUP($B45,Sheet5!$A:$AZ,10,0),4),VLOOKUP($B45,Sheet5!$A:$AF,29,0))</f>
        <v>-0.0545***</v>
      </c>
      <c r="G45" s="3" t="str">
        <f>_xlfn.CONCAT(FIXED(VLOOKUP($B45,Sheet5!$A:$AZ,6,0),4),VLOOKUP($B45,Sheet5!$A:$AF,28,0))</f>
        <v>-0.0555***</v>
      </c>
      <c r="H45" s="3" t="str">
        <f>_xlfn.CONCAT(FIXED(VLOOKUP($B45,Sheet5!$A:$AZ,2,0),4),VLOOKUP($B45,Sheet5!$A:$AF,27,0))</f>
        <v>-0.0539***</v>
      </c>
    </row>
    <row r="46" spans="1:8" x14ac:dyDescent="0.25">
      <c r="A46">
        <f t="shared" si="17"/>
        <v>62</v>
      </c>
      <c r="D46" s="3" t="str">
        <f>_xlfn.CONCAT("(",FIXED(VLOOKUP($B45,Sheet5!$A:$AZ,19,0), 4),")")</f>
        <v>(0.0000)</v>
      </c>
      <c r="E46" s="3" t="str">
        <f>_xlfn.CONCAT("(",FIXED(VLOOKUP($B45,Sheet5!$A:$AZ,15,0), 4),")")</f>
        <v>(0.0165)</v>
      </c>
      <c r="F46" s="3" t="str">
        <f>_xlfn.CONCAT("(",FIXED(VLOOKUP($B45,Sheet5!$A:$AZ,11,0), 4),")")</f>
        <v>(0.0155)</v>
      </c>
      <c r="G46" s="3" t="str">
        <f>_xlfn.CONCAT("(",FIXED(VLOOKUP($B45,Sheet5!$A:$AZ,7,0), 4),")")</f>
        <v>(0.0097)</v>
      </c>
      <c r="H46" s="3" t="str">
        <f>_xlfn.CONCAT("(",FIXED(VLOOKUP($B45,Sheet5!$A:$AZ,3,0), 4),")")</f>
        <v>(0.0099)</v>
      </c>
    </row>
    <row r="47" spans="1:8" x14ac:dyDescent="0.25">
      <c r="A47">
        <f t="shared" ref="A47" si="22">A46+2</f>
        <v>64</v>
      </c>
      <c r="B47" t="s">
        <v>22</v>
      </c>
      <c r="D47" s="3" t="str">
        <f>_xlfn.CONCAT(FIXED(VLOOKUP($B47,Sheet5!$A:$AZ,18,0),4),VLOOKUP($B47,Sheet5!$A:$AF,31,0))</f>
        <v>0.0000***</v>
      </c>
      <c r="E47" s="3" t="str">
        <f>_xlfn.CONCAT(FIXED(VLOOKUP($B47,Sheet5!$A:$AZ,14,0),4),VLOOKUP($B47,Sheet5!$A:$AF,30,0))</f>
        <v>0.0000***</v>
      </c>
      <c r="F47" s="3" t="str">
        <f>_xlfn.CONCAT(FIXED(VLOOKUP($B47,Sheet5!$A:$AZ,10,0),4),VLOOKUP($B47,Sheet5!$A:$AF,29,0))</f>
        <v>0.0416*</v>
      </c>
      <c r="G47" s="3" t="str">
        <f>_xlfn.CONCAT(FIXED(VLOOKUP($B47,Sheet5!$A:$AZ,6,0),4),VLOOKUP($B47,Sheet5!$A:$AF,28,0))</f>
        <v>0.0197</v>
      </c>
      <c r="H47" s="3" t="str">
        <f>_xlfn.CONCAT(FIXED(VLOOKUP($B47,Sheet5!$A:$AZ,2,0),4),VLOOKUP($B47,Sheet5!$A:$AF,27,0))</f>
        <v>0.0200</v>
      </c>
    </row>
    <row r="48" spans="1:8" x14ac:dyDescent="0.25">
      <c r="A48">
        <f t="shared" ref="A48" si="23">A47+1</f>
        <v>65</v>
      </c>
      <c r="D48" s="3" t="str">
        <f>_xlfn.CONCAT("(",FIXED(VLOOKUP($B47,Sheet5!$A:$AZ,19,0), 4),")")</f>
        <v>(0.0000)</v>
      </c>
      <c r="E48" s="3" t="str">
        <f>_xlfn.CONCAT("(",FIXED(VLOOKUP($B47,Sheet5!$A:$AZ,15,0), 4),")")</f>
        <v>(0.0000)</v>
      </c>
      <c r="F48" s="3" t="str">
        <f>_xlfn.CONCAT("(",FIXED(VLOOKUP($B47,Sheet5!$A:$AZ,11,0), 4),")")</f>
        <v>(0.0211)</v>
      </c>
      <c r="G48" s="3" t="str">
        <f>_xlfn.CONCAT("(",FIXED(VLOOKUP($B47,Sheet5!$A:$AZ,7,0), 4),")")</f>
        <v>(0.0145)</v>
      </c>
      <c r="H48" s="3" t="str">
        <f>_xlfn.CONCAT("(",FIXED(VLOOKUP($B47,Sheet5!$A:$AZ,3,0), 4),")")</f>
        <v>(0.0137)</v>
      </c>
    </row>
    <row r="49" spans="1:8" x14ac:dyDescent="0.25">
      <c r="A49">
        <f t="shared" si="10"/>
        <v>67</v>
      </c>
      <c r="B49" t="s">
        <v>23</v>
      </c>
      <c r="D49" s="3" t="str">
        <f>_xlfn.CONCAT(FIXED(VLOOKUP($B49,Sheet5!$A:$AZ,18,0),4),VLOOKUP($B49,Sheet5!$A:$AF,31,0))</f>
        <v>0.0000***</v>
      </c>
      <c r="E49" s="3" t="str">
        <f>_xlfn.CONCAT(FIXED(VLOOKUP($B49,Sheet5!$A:$AZ,14,0),4),VLOOKUP($B49,Sheet5!$A:$AF,30,0))</f>
        <v>0.0000***</v>
      </c>
      <c r="F49" s="3" t="str">
        <f>_xlfn.CONCAT(FIXED(VLOOKUP($B49,Sheet5!$A:$AZ,10,0),4),VLOOKUP($B49,Sheet5!$A:$AF,29,0))</f>
        <v>-0.0566</v>
      </c>
      <c r="G49" s="3" t="str">
        <f>_xlfn.CONCAT(FIXED(VLOOKUP($B49,Sheet5!$A:$AZ,6,0),4),VLOOKUP($B49,Sheet5!$A:$AF,28,0))</f>
        <v>-0.0672*</v>
      </c>
      <c r="H49" s="3" t="str">
        <f>_xlfn.CONCAT(FIXED(VLOOKUP($B49,Sheet5!$A:$AZ,2,0),4),VLOOKUP($B49,Sheet5!$A:$AF,27,0))</f>
        <v>-0.0613*</v>
      </c>
    </row>
    <row r="50" spans="1:8" x14ac:dyDescent="0.25">
      <c r="A50">
        <f t="shared" si="11"/>
        <v>68</v>
      </c>
      <c r="D50" s="3" t="str">
        <f>_xlfn.CONCAT("(",FIXED(VLOOKUP($B49,Sheet5!$A:$AZ,19,0), 4),")")</f>
        <v>(0.0000)</v>
      </c>
      <c r="E50" s="3" t="str">
        <f>_xlfn.CONCAT("(",FIXED(VLOOKUP($B49,Sheet5!$A:$AZ,15,0), 4),")")</f>
        <v>(0.0000)</v>
      </c>
      <c r="F50" s="3" t="str">
        <f>_xlfn.CONCAT("(",FIXED(VLOOKUP($B49,Sheet5!$A:$AZ,11,0), 4),")")</f>
        <v>(0.0346)</v>
      </c>
      <c r="G50" s="3" t="str">
        <f>_xlfn.CONCAT("(",FIXED(VLOOKUP($B49,Sheet5!$A:$AZ,7,0), 4),")")</f>
        <v>(0.0309)</v>
      </c>
      <c r="H50" s="3" t="str">
        <f>_xlfn.CONCAT("(",FIXED(VLOOKUP($B49,Sheet5!$A:$AZ,3,0), 4),")")</f>
        <v>(0.0265)</v>
      </c>
    </row>
    <row r="51" spans="1:8" x14ac:dyDescent="0.25">
      <c r="A51">
        <f t="shared" si="12"/>
        <v>70</v>
      </c>
      <c r="B51" t="s">
        <v>24</v>
      </c>
      <c r="D51" s="3" t="str">
        <f>_xlfn.CONCAT(FIXED(VLOOKUP($B51,Sheet5!$A:$AZ,18,0),4),VLOOKUP($B51,Sheet5!$A:$AF,31,0))</f>
        <v>0.0000***</v>
      </c>
      <c r="E51" s="3" t="str">
        <f>_xlfn.CONCAT(FIXED(VLOOKUP($B51,Sheet5!$A:$AZ,14,0),4),VLOOKUP($B51,Sheet5!$A:$AF,30,0))</f>
        <v>0.0000***</v>
      </c>
      <c r="F51" s="3" t="str">
        <f>_xlfn.CONCAT(FIXED(VLOOKUP($B51,Sheet5!$A:$AZ,10,0),4),VLOOKUP($B51,Sheet5!$A:$AF,29,0))</f>
        <v>-0.1383**</v>
      </c>
      <c r="G51" s="3" t="str">
        <f>_xlfn.CONCAT(FIXED(VLOOKUP($B51,Sheet5!$A:$AZ,6,0),4),VLOOKUP($B51,Sheet5!$A:$AF,28,0))</f>
        <v>-0.1773***</v>
      </c>
      <c r="H51" s="3" t="str">
        <f>_xlfn.CONCAT(FIXED(VLOOKUP($B51,Sheet5!$A:$AZ,2,0),4),VLOOKUP($B51,Sheet5!$A:$AF,27,0))</f>
        <v>-0.1843***</v>
      </c>
    </row>
    <row r="52" spans="1:8" x14ac:dyDescent="0.25">
      <c r="A52">
        <f t="shared" si="13"/>
        <v>71</v>
      </c>
      <c r="D52" s="3" t="str">
        <f>_xlfn.CONCAT("(",FIXED(VLOOKUP($B51,Sheet5!$A:$AZ,19,0), 4),")")</f>
        <v>(0.0000)</v>
      </c>
      <c r="E52" s="3" t="str">
        <f>_xlfn.CONCAT("(",FIXED(VLOOKUP($B51,Sheet5!$A:$AZ,15,0), 4),")")</f>
        <v>(0.0000)</v>
      </c>
      <c r="F52" s="3" t="str">
        <f>_xlfn.CONCAT("(",FIXED(VLOOKUP($B51,Sheet5!$A:$AZ,11,0), 4),")")</f>
        <v>(0.0495)</v>
      </c>
      <c r="G52" s="3" t="str">
        <f>_xlfn.CONCAT("(",FIXED(VLOOKUP($B51,Sheet5!$A:$AZ,7,0), 4),")")</f>
        <v>(0.0428)</v>
      </c>
      <c r="H52" s="3" t="str">
        <f>_xlfn.CONCAT("(",FIXED(VLOOKUP($B51,Sheet5!$A:$AZ,3,0), 4),")")</f>
        <v>(0.0413)</v>
      </c>
    </row>
    <row r="53" spans="1:8" x14ac:dyDescent="0.25">
      <c r="A53">
        <f t="shared" si="14"/>
        <v>73</v>
      </c>
      <c r="B53" t="s">
        <v>25</v>
      </c>
      <c r="D53" s="3" t="str">
        <f>_xlfn.CONCAT(FIXED(VLOOKUP($B53,Sheet5!$A:$AZ,18,0),4),VLOOKUP($B53,Sheet5!$A:$AF,31,0))</f>
        <v>0.0000***</v>
      </c>
      <c r="E53" s="3" t="str">
        <f>_xlfn.CONCAT(FIXED(VLOOKUP($B53,Sheet5!$A:$AZ,14,0),4),VLOOKUP($B53,Sheet5!$A:$AF,30,0))</f>
        <v>0.0000***</v>
      </c>
      <c r="F53" s="3" t="str">
        <f>_xlfn.CONCAT(FIXED(VLOOKUP($B53,Sheet5!$A:$AZ,10,0),4),VLOOKUP($B53,Sheet5!$A:$AF,29,0))</f>
        <v>-0.0711</v>
      </c>
      <c r="G53" s="3" t="str">
        <f>_xlfn.CONCAT(FIXED(VLOOKUP($B53,Sheet5!$A:$AZ,6,0),4),VLOOKUP($B53,Sheet5!$A:$AF,28,0))</f>
        <v>-0.1115</v>
      </c>
      <c r="H53" s="3" t="str">
        <f>_xlfn.CONCAT(FIXED(VLOOKUP($B53,Sheet5!$A:$AZ,2,0),4),VLOOKUP($B53,Sheet5!$A:$AF,27,0))</f>
        <v>-0.1372</v>
      </c>
    </row>
    <row r="54" spans="1:8" x14ac:dyDescent="0.25">
      <c r="A54">
        <f t="shared" si="15"/>
        <v>74</v>
      </c>
      <c r="D54" s="3" t="str">
        <f>_xlfn.CONCAT("(",FIXED(VLOOKUP($B53,Sheet5!$A:$AZ,19,0), 4),")")</f>
        <v>(0.0000)</v>
      </c>
      <c r="E54" s="3" t="str">
        <f>_xlfn.CONCAT("(",FIXED(VLOOKUP($B53,Sheet5!$A:$AZ,15,0), 4),")")</f>
        <v>(0.0000)</v>
      </c>
      <c r="F54" s="3" t="str">
        <f>_xlfn.CONCAT("(",FIXED(VLOOKUP($B53,Sheet5!$A:$AZ,11,0), 4),")")</f>
        <v>(0.0903)</v>
      </c>
      <c r="G54" s="3" t="str">
        <f>_xlfn.CONCAT("(",FIXED(VLOOKUP($B53,Sheet5!$A:$AZ,7,0), 4),")")</f>
        <v>(0.0854)</v>
      </c>
      <c r="H54" s="3" t="str">
        <f>_xlfn.CONCAT("(",FIXED(VLOOKUP($B53,Sheet5!$A:$AZ,3,0), 4),")")</f>
        <v>(0.0808)</v>
      </c>
    </row>
    <row r="55" spans="1:8" x14ac:dyDescent="0.25">
      <c r="A55">
        <f t="shared" si="16"/>
        <v>76</v>
      </c>
      <c r="B55" t="s">
        <v>26</v>
      </c>
      <c r="D55" s="3" t="str">
        <f>_xlfn.CONCAT(FIXED(VLOOKUP($B55,Sheet5!$A:$AZ,18,0),4),VLOOKUP($B55,Sheet5!$A:$AF,31,0))</f>
        <v>0.0000***</v>
      </c>
      <c r="E55" s="3" t="str">
        <f>_xlfn.CONCAT(FIXED(VLOOKUP($B55,Sheet5!$A:$AZ,14,0),4),VLOOKUP($B55,Sheet5!$A:$AF,30,0))</f>
        <v>0.0000***</v>
      </c>
      <c r="F55" s="3" t="str">
        <f>_xlfn.CONCAT(FIXED(VLOOKUP($B55,Sheet5!$A:$AZ,10,0),4),VLOOKUP($B55,Sheet5!$A:$AF,29,0))</f>
        <v>-0.1183**</v>
      </c>
      <c r="G55" s="3" t="str">
        <f>_xlfn.CONCAT(FIXED(VLOOKUP($B55,Sheet5!$A:$AZ,6,0),4),VLOOKUP($B55,Sheet5!$A:$AF,28,0))</f>
        <v>-0.1148***</v>
      </c>
      <c r="H55" s="3" t="str">
        <f>_xlfn.CONCAT(FIXED(VLOOKUP($B55,Sheet5!$A:$AZ,2,0),4),VLOOKUP($B55,Sheet5!$A:$AF,27,0))</f>
        <v>-0.1281***</v>
      </c>
    </row>
    <row r="56" spans="1:8" x14ac:dyDescent="0.25">
      <c r="A56">
        <f t="shared" si="17"/>
        <v>77</v>
      </c>
      <c r="D56" s="3" t="str">
        <f>_xlfn.CONCAT("(",FIXED(VLOOKUP($B55,Sheet5!$A:$AZ,19,0), 4),")")</f>
        <v>(0.0000)</v>
      </c>
      <c r="E56" s="3" t="str">
        <f>_xlfn.CONCAT("(",FIXED(VLOOKUP($B55,Sheet5!$A:$AZ,15,0), 4),")")</f>
        <v>(0.0000)</v>
      </c>
      <c r="F56" s="3" t="str">
        <f>_xlfn.CONCAT("(",FIXED(VLOOKUP($B55,Sheet5!$A:$AZ,11,0), 4),")")</f>
        <v>(0.0389)</v>
      </c>
      <c r="G56" s="3" t="str">
        <f>_xlfn.CONCAT("(",FIXED(VLOOKUP($B55,Sheet5!$A:$AZ,7,0), 4),")")</f>
        <v>(0.0341)</v>
      </c>
      <c r="H56" s="3" t="str">
        <f>_xlfn.CONCAT("(",FIXED(VLOOKUP($B55,Sheet5!$A:$AZ,3,0), 4),")")</f>
        <v>(0.0377)</v>
      </c>
    </row>
    <row r="57" spans="1:8" x14ac:dyDescent="0.25">
      <c r="A57">
        <f t="shared" ref="A57" si="24">A56+2</f>
        <v>79</v>
      </c>
      <c r="B57" t="s">
        <v>27</v>
      </c>
      <c r="D57" s="3" t="str">
        <f>_xlfn.CONCAT(FIXED(VLOOKUP($B57,Sheet5!$A:$AZ,18,0),4),VLOOKUP($B57,Sheet5!$A:$AF,31,0))</f>
        <v>0.0000***</v>
      </c>
      <c r="E57" s="3" t="str">
        <f>_xlfn.CONCAT(FIXED(VLOOKUP($B57,Sheet5!$A:$AZ,14,0),4),VLOOKUP($B57,Sheet5!$A:$AF,30,0))</f>
        <v>0.0000***</v>
      </c>
      <c r="F57" s="3" t="str">
        <f>_xlfn.CONCAT(FIXED(VLOOKUP($B57,Sheet5!$A:$AZ,10,0),4),VLOOKUP($B57,Sheet5!$A:$AF,29,0))</f>
        <v>-0.1094</v>
      </c>
      <c r="G57" s="3" t="str">
        <f>_xlfn.CONCAT(FIXED(VLOOKUP($B57,Sheet5!$A:$AZ,6,0),4),VLOOKUP($B57,Sheet5!$A:$AF,28,0))</f>
        <v>-0.1211</v>
      </c>
      <c r="H57" s="3" t="str">
        <f>_xlfn.CONCAT(FIXED(VLOOKUP($B57,Sheet5!$A:$AZ,2,0),4),VLOOKUP($B57,Sheet5!$A:$AF,27,0))</f>
        <v>-0.1442</v>
      </c>
    </row>
    <row r="58" spans="1:8" x14ac:dyDescent="0.25">
      <c r="A58">
        <f t="shared" ref="A58" si="25">A57+1</f>
        <v>80</v>
      </c>
      <c r="D58" s="3" t="str">
        <f>_xlfn.CONCAT("(",FIXED(VLOOKUP($B57,Sheet5!$A:$AZ,19,0), 4),")")</f>
        <v>(0.0000)</v>
      </c>
      <c r="E58" s="3" t="str">
        <f>_xlfn.CONCAT("(",FIXED(VLOOKUP($B57,Sheet5!$A:$AZ,15,0), 4),")")</f>
        <v>(0.0000)</v>
      </c>
      <c r="F58" s="3" t="str">
        <f>_xlfn.CONCAT("(",FIXED(VLOOKUP($B57,Sheet5!$A:$AZ,11,0), 4),")")</f>
        <v>(0.2057)</v>
      </c>
      <c r="G58" s="3" t="str">
        <f>_xlfn.CONCAT("(",FIXED(VLOOKUP($B57,Sheet5!$A:$AZ,7,0), 4),")")</f>
        <v>(0.2020)</v>
      </c>
      <c r="H58" s="3" t="str">
        <f>_xlfn.CONCAT("(",FIXED(VLOOKUP($B57,Sheet5!$A:$AZ,3,0), 4),")")</f>
        <v>(0.1864)</v>
      </c>
    </row>
    <row r="59" spans="1:8" x14ac:dyDescent="0.25">
      <c r="A59">
        <f t="shared" si="10"/>
        <v>82</v>
      </c>
      <c r="B59" t="s">
        <v>29</v>
      </c>
      <c r="D59" s="3" t="str">
        <f>_xlfn.CONCAT(FIXED(VLOOKUP($B59,Sheet5!$A:$AZ,18,0),4),VLOOKUP($B59,Sheet5!$A:$AF,31,0))</f>
        <v>0.0000***</v>
      </c>
      <c r="E59" s="3" t="str">
        <f>_xlfn.CONCAT(FIXED(VLOOKUP($B59,Sheet5!$A:$AZ,14,0),4),VLOOKUP($B59,Sheet5!$A:$AF,30,0))</f>
        <v>0.0000***</v>
      </c>
      <c r="F59" s="3" t="str">
        <f>_xlfn.CONCAT(FIXED(VLOOKUP($B59,Sheet5!$A:$AZ,10,0),4),VLOOKUP($B59,Sheet5!$A:$AF,29,0))</f>
        <v>-0.1406***</v>
      </c>
      <c r="G59" s="3" t="str">
        <f>_xlfn.CONCAT(FIXED(VLOOKUP($B59,Sheet5!$A:$AZ,6,0),4),VLOOKUP($B59,Sheet5!$A:$AF,28,0))</f>
        <v>-0.1283***</v>
      </c>
      <c r="H59" s="3" t="str">
        <f>_xlfn.CONCAT(FIXED(VLOOKUP($B59,Sheet5!$A:$AZ,2,0),4),VLOOKUP($B59,Sheet5!$A:$AF,27,0))</f>
        <v>-0.1086***</v>
      </c>
    </row>
    <row r="60" spans="1:8" x14ac:dyDescent="0.25">
      <c r="A60">
        <f t="shared" si="11"/>
        <v>83</v>
      </c>
      <c r="D60" s="3" t="str">
        <f>_xlfn.CONCAT("(",FIXED(VLOOKUP($B59,Sheet5!$A:$AZ,19,0), 4),")")</f>
        <v>(0.0000)</v>
      </c>
      <c r="E60" s="3" t="str">
        <f>_xlfn.CONCAT("(",FIXED(VLOOKUP($B59,Sheet5!$A:$AZ,15,0), 4),")")</f>
        <v>(0.0000)</v>
      </c>
      <c r="F60" s="3" t="str">
        <f>_xlfn.CONCAT("(",FIXED(VLOOKUP($B59,Sheet5!$A:$AZ,11,0), 4),")")</f>
        <v>(0.0388)</v>
      </c>
      <c r="G60" s="3" t="str">
        <f>_xlfn.CONCAT("(",FIXED(VLOOKUP($B59,Sheet5!$A:$AZ,7,0), 4),")")</f>
        <v>(0.0288)</v>
      </c>
      <c r="H60" s="3" t="str">
        <f>_xlfn.CONCAT("(",FIXED(VLOOKUP($B59,Sheet5!$A:$AZ,3,0), 4),")")</f>
        <v>(0.0291)</v>
      </c>
    </row>
    <row r="61" spans="1:8" x14ac:dyDescent="0.25">
      <c r="A61">
        <f t="shared" si="12"/>
        <v>85</v>
      </c>
      <c r="B61" t="s">
        <v>31</v>
      </c>
      <c r="D61" s="3" t="str">
        <f>_xlfn.CONCAT(FIXED(VLOOKUP($B61,Sheet5!$A:$AZ,18,0),4),VLOOKUP($B61,Sheet5!$A:$AF,31,0))</f>
        <v>0.0000***</v>
      </c>
      <c r="E61" s="3" t="str">
        <f>_xlfn.CONCAT(FIXED(VLOOKUP($B61,Sheet5!$A:$AZ,14,0),4),VLOOKUP($B61,Sheet5!$A:$AF,30,0))</f>
        <v>0.0000***</v>
      </c>
      <c r="F61" s="3" t="str">
        <f>_xlfn.CONCAT(FIXED(VLOOKUP($B61,Sheet5!$A:$AZ,10,0),4),VLOOKUP($B61,Sheet5!$A:$AF,29,0))</f>
        <v>-0.1012**</v>
      </c>
      <c r="G61" s="3" t="str">
        <f>_xlfn.CONCAT(FIXED(VLOOKUP($B61,Sheet5!$A:$AZ,6,0),4),VLOOKUP($B61,Sheet5!$A:$AF,28,0))</f>
        <v>-0.0662**</v>
      </c>
      <c r="H61" s="3" t="str">
        <f>_xlfn.CONCAT(FIXED(VLOOKUP($B61,Sheet5!$A:$AZ,2,0),4),VLOOKUP($B61,Sheet5!$A:$AF,27,0))</f>
        <v>-0.0591**</v>
      </c>
    </row>
    <row r="62" spans="1:8" x14ac:dyDescent="0.25">
      <c r="A62">
        <f t="shared" si="13"/>
        <v>86</v>
      </c>
      <c r="D62" s="3" t="str">
        <f>_xlfn.CONCAT("(",FIXED(VLOOKUP($B61,Sheet5!$A:$AZ,19,0), 4),")")</f>
        <v>(0.0000)</v>
      </c>
      <c r="E62" s="3" t="str">
        <f>_xlfn.CONCAT("(",FIXED(VLOOKUP($B61,Sheet5!$A:$AZ,15,0), 4),")")</f>
        <v>(0.0000)</v>
      </c>
      <c r="F62" s="3" t="str">
        <f>_xlfn.CONCAT("(",FIXED(VLOOKUP($B61,Sheet5!$A:$AZ,11,0), 4),")")</f>
        <v>(0.0391)</v>
      </c>
      <c r="G62" s="3" t="str">
        <f>_xlfn.CONCAT("(",FIXED(VLOOKUP($B61,Sheet5!$A:$AZ,7,0), 4),")")</f>
        <v>(0.0287)</v>
      </c>
      <c r="H62" s="3" t="str">
        <f>_xlfn.CONCAT("(",FIXED(VLOOKUP($B61,Sheet5!$A:$AZ,3,0), 4),")")</f>
        <v>(0.0266)</v>
      </c>
    </row>
    <row r="63" spans="1:8" x14ac:dyDescent="0.25">
      <c r="A63">
        <f t="shared" si="14"/>
        <v>88</v>
      </c>
      <c r="B63" t="s">
        <v>237</v>
      </c>
      <c r="D63" s="3" t="str">
        <f>_xlfn.CONCAT(FIXED(VLOOKUP($B63,Sheet5!$A:$AZ,18,0),4),VLOOKUP($B63,Sheet5!$A:$AF,31,0))</f>
        <v>0.0000***</v>
      </c>
      <c r="E63" s="3" t="str">
        <f>_xlfn.CONCAT(FIXED(VLOOKUP($B63,Sheet5!$A:$AZ,14,0),4),VLOOKUP($B63,Sheet5!$A:$AF,30,0))</f>
        <v>0.0000***</v>
      </c>
      <c r="F63" s="3" t="str">
        <f>_xlfn.CONCAT(FIXED(VLOOKUP($B63,Sheet5!$A:$AZ,10,0),4),VLOOKUP($B63,Sheet5!$A:$AF,29,0))</f>
        <v>-0.0120</v>
      </c>
      <c r="G63" s="3" t="str">
        <f>_xlfn.CONCAT(FIXED(VLOOKUP($B63,Sheet5!$A:$AZ,6,0),4),VLOOKUP($B63,Sheet5!$A:$AF,28,0))</f>
        <v>-0.0437</v>
      </c>
      <c r="H63" s="3" t="str">
        <f>_xlfn.CONCAT(FIXED(VLOOKUP($B63,Sheet5!$A:$AZ,2,0),4),VLOOKUP($B63,Sheet5!$A:$AF,27,0))</f>
        <v>0.0000</v>
      </c>
    </row>
    <row r="64" spans="1:8" x14ac:dyDescent="0.25">
      <c r="A64">
        <f t="shared" si="15"/>
        <v>89</v>
      </c>
      <c r="D64" s="3" t="str">
        <f>_xlfn.CONCAT("(",FIXED(VLOOKUP($B63,Sheet5!$A:$AZ,19,0), 4),")")</f>
        <v>(0.0000)</v>
      </c>
      <c r="E64" s="3" t="str">
        <f>_xlfn.CONCAT("(",FIXED(VLOOKUP($B63,Sheet5!$A:$AZ,15,0), 4),")")</f>
        <v>(0.0000)</v>
      </c>
      <c r="F64" s="3" t="str">
        <f>_xlfn.CONCAT("(",FIXED(VLOOKUP($B63,Sheet5!$A:$AZ,11,0), 4),")")</f>
        <v>(0.0472)</v>
      </c>
      <c r="G64" s="3" t="str">
        <f>_xlfn.CONCAT("(",FIXED(VLOOKUP($B63,Sheet5!$A:$AZ,7,0), 4),")")</f>
        <v>(0.1121)</v>
      </c>
      <c r="H64" s="3" t="str">
        <f>_xlfn.CONCAT("(",FIXED(VLOOKUP($B63,Sheet5!$A:$AZ,3,0), 4),")")</f>
        <v>(0.0971)</v>
      </c>
    </row>
    <row r="65" spans="1:8" x14ac:dyDescent="0.25">
      <c r="A65">
        <f t="shared" si="16"/>
        <v>91</v>
      </c>
      <c r="B65" t="s">
        <v>238</v>
      </c>
      <c r="D65" s="3" t="str">
        <f>_xlfn.CONCAT(FIXED(VLOOKUP($B65,Sheet5!$A:$AZ,18,0),4),VLOOKUP($B65,Sheet5!$A:$AF,31,0))</f>
        <v>0.0000***</v>
      </c>
      <c r="E65" s="3" t="str">
        <f>_xlfn.CONCAT(FIXED(VLOOKUP($B65,Sheet5!$A:$AZ,14,0),4),VLOOKUP($B65,Sheet5!$A:$AF,30,0))</f>
        <v>0.0000***</v>
      </c>
      <c r="F65" s="3" t="str">
        <f>_xlfn.CONCAT(FIXED(VLOOKUP($B65,Sheet5!$A:$AZ,10,0),4),VLOOKUP($B65,Sheet5!$A:$AF,29,0))</f>
        <v>-0.0420</v>
      </c>
      <c r="G65" s="3" t="str">
        <f>_xlfn.CONCAT(FIXED(VLOOKUP($B65,Sheet5!$A:$AZ,6,0),4),VLOOKUP($B65,Sheet5!$A:$AF,28,0))</f>
        <v>-0.0946</v>
      </c>
      <c r="H65" s="3" t="str">
        <f>_xlfn.CONCAT(FIXED(VLOOKUP($B65,Sheet5!$A:$AZ,2,0),4),VLOOKUP($B65,Sheet5!$A:$AF,27,0))</f>
        <v>-0.0812</v>
      </c>
    </row>
    <row r="66" spans="1:8" x14ac:dyDescent="0.25">
      <c r="A66">
        <f t="shared" si="17"/>
        <v>92</v>
      </c>
      <c r="D66" s="3" t="str">
        <f>_xlfn.CONCAT("(",FIXED(VLOOKUP($B65,Sheet5!$A:$AZ,19,0), 4),")")</f>
        <v>(0.0000)</v>
      </c>
      <c r="E66" s="3" t="str">
        <f>_xlfn.CONCAT("(",FIXED(VLOOKUP($B65,Sheet5!$A:$AZ,15,0), 4),")")</f>
        <v>(0.0000)</v>
      </c>
      <c r="F66" s="3" t="str">
        <f>_xlfn.CONCAT("(",FIXED(VLOOKUP($B65,Sheet5!$A:$AZ,11,0), 4),")")</f>
        <v>(0.0631)</v>
      </c>
      <c r="G66" s="3" t="str">
        <f>_xlfn.CONCAT("(",FIXED(VLOOKUP($B65,Sheet5!$A:$AZ,7,0), 4),")")</f>
        <v>(0.0563)</v>
      </c>
      <c r="H66" s="3" t="str">
        <f>_xlfn.CONCAT("(",FIXED(VLOOKUP($B65,Sheet5!$A:$AZ,3,0), 4),")")</f>
        <v>(0.0584)</v>
      </c>
    </row>
    <row r="67" spans="1:8" x14ac:dyDescent="0.25">
      <c r="A67">
        <f t="shared" ref="A67" si="26">A66+2</f>
        <v>94</v>
      </c>
      <c r="B67" t="s">
        <v>241</v>
      </c>
      <c r="D67" s="3" t="str">
        <f>_xlfn.CONCAT(FIXED(VLOOKUP($B67,Sheet5!$A:$AZ,18,0),4),VLOOKUP($B67,Sheet5!$A:$AF,31,0))</f>
        <v>0.0000***</v>
      </c>
      <c r="E67" s="3" t="str">
        <f>_xlfn.CONCAT(FIXED(VLOOKUP($B67,Sheet5!$A:$AZ,14,0),4),VLOOKUP($B67,Sheet5!$A:$AF,30,0))</f>
        <v>0.0000***</v>
      </c>
      <c r="F67" s="3" t="str">
        <f>_xlfn.CONCAT(FIXED(VLOOKUP($B67,Sheet5!$A:$AZ,10,0),4),VLOOKUP($B67,Sheet5!$A:$AF,29,0))</f>
        <v>-0.0840</v>
      </c>
      <c r="G67" s="3" t="str">
        <f>_xlfn.CONCAT(FIXED(VLOOKUP($B67,Sheet5!$A:$AZ,6,0),4),VLOOKUP($B67,Sheet5!$A:$AF,28,0))</f>
        <v>-0.0625*</v>
      </c>
      <c r="H67" s="3" t="str">
        <f>_xlfn.CONCAT(FIXED(VLOOKUP($B67,Sheet5!$A:$AZ,2,0),4),VLOOKUP($B67,Sheet5!$A:$AF,27,0))</f>
        <v>-0.0835**</v>
      </c>
    </row>
    <row r="68" spans="1:8" x14ac:dyDescent="0.25">
      <c r="A68">
        <f t="shared" ref="A68" si="27">A67+1</f>
        <v>95</v>
      </c>
      <c r="D68" s="3" t="str">
        <f>_xlfn.CONCAT("(",FIXED(VLOOKUP($B67,Sheet5!$A:$AZ,19,0), 4),")")</f>
        <v>(0.0000)</v>
      </c>
      <c r="E68" s="3" t="str">
        <f>_xlfn.CONCAT("(",FIXED(VLOOKUP($B67,Sheet5!$A:$AZ,15,0), 4),")")</f>
        <v>(0.0000)</v>
      </c>
      <c r="F68" s="3" t="str">
        <f>_xlfn.CONCAT("(",FIXED(VLOOKUP($B67,Sheet5!$A:$AZ,11,0), 4),")")</f>
        <v>(0.0471)</v>
      </c>
      <c r="G68" s="3" t="str">
        <f>_xlfn.CONCAT("(",FIXED(VLOOKUP($B67,Sheet5!$A:$AZ,7,0), 4),")")</f>
        <v>(0.0304)</v>
      </c>
      <c r="H68" s="3" t="str">
        <f>_xlfn.CONCAT("(",FIXED(VLOOKUP($B67,Sheet5!$A:$AZ,3,0), 4),")")</f>
        <v>(0.0280)</v>
      </c>
    </row>
    <row r="69" spans="1:8" x14ac:dyDescent="0.25">
      <c r="A69">
        <f t="shared" si="10"/>
        <v>97</v>
      </c>
      <c r="B69" t="s">
        <v>243</v>
      </c>
      <c r="D69" s="3" t="str">
        <f>_xlfn.CONCAT(FIXED(VLOOKUP($B69,Sheet5!$A:$AZ,18,0),4),VLOOKUP($B69,Sheet5!$A:$AF,31,0))</f>
        <v>0.0000***</v>
      </c>
      <c r="E69" s="3" t="str">
        <f>_xlfn.CONCAT(FIXED(VLOOKUP($B69,Sheet5!$A:$AZ,14,0),4),VLOOKUP($B69,Sheet5!$A:$AF,30,0))</f>
        <v>0.0000***</v>
      </c>
      <c r="F69" s="3" t="str">
        <f>_xlfn.CONCAT(FIXED(VLOOKUP($B69,Sheet5!$A:$AZ,10,0),4),VLOOKUP($B69,Sheet5!$A:$AF,29,0))</f>
        <v>-0.1135**</v>
      </c>
      <c r="G69" s="3" t="str">
        <f>_xlfn.CONCAT(FIXED(VLOOKUP($B69,Sheet5!$A:$AZ,6,0),4),VLOOKUP($B69,Sheet5!$A:$AF,28,0))</f>
        <v>-0.1412***</v>
      </c>
      <c r="H69" s="3" t="str">
        <f>_xlfn.CONCAT(FIXED(VLOOKUP($B69,Sheet5!$A:$AZ,2,0),4),VLOOKUP($B69,Sheet5!$A:$AF,27,0))</f>
        <v>-0.1247**</v>
      </c>
    </row>
    <row r="70" spans="1:8" x14ac:dyDescent="0.25">
      <c r="A70">
        <f t="shared" si="11"/>
        <v>98</v>
      </c>
      <c r="D70" s="3" t="str">
        <f>_xlfn.CONCAT("(",FIXED(VLOOKUP($B69,Sheet5!$A:$AZ,19,0), 4),")")</f>
        <v>(0.0000)</v>
      </c>
      <c r="E70" s="3" t="str">
        <f>_xlfn.CONCAT("(",FIXED(VLOOKUP($B69,Sheet5!$A:$AZ,15,0), 4),")")</f>
        <v>(0.0000)</v>
      </c>
      <c r="F70" s="3" t="str">
        <f>_xlfn.CONCAT("(",FIXED(VLOOKUP($B69,Sheet5!$A:$AZ,11,0), 4),")")</f>
        <v>(0.0492)</v>
      </c>
      <c r="G70" s="3" t="str">
        <f>_xlfn.CONCAT("(",FIXED(VLOOKUP($B69,Sheet5!$A:$AZ,7,0), 4),")")</f>
        <v>(0.0458)</v>
      </c>
      <c r="H70" s="3" t="str">
        <f>_xlfn.CONCAT("(",FIXED(VLOOKUP($B69,Sheet5!$A:$AZ,3,0), 4),")")</f>
        <v>(0.0499)</v>
      </c>
    </row>
    <row r="71" spans="1:8" x14ac:dyDescent="0.25">
      <c r="A71">
        <f t="shared" si="12"/>
        <v>100</v>
      </c>
      <c r="B71" t="s">
        <v>244</v>
      </c>
      <c r="D71" s="3" t="str">
        <f>_xlfn.CONCAT(FIXED(VLOOKUP($B71,Sheet5!$A:$AZ,18,0),4),VLOOKUP($B71,Sheet5!$A:$AF,31,0))</f>
        <v>0.0000***</v>
      </c>
      <c r="E71" s="3" t="str">
        <f>_xlfn.CONCAT(FIXED(VLOOKUP($B71,Sheet5!$A:$AZ,14,0),4),VLOOKUP($B71,Sheet5!$A:$AF,30,0))</f>
        <v>0.0000***</v>
      </c>
      <c r="F71" s="3" t="str">
        <f>_xlfn.CONCAT(FIXED(VLOOKUP($B71,Sheet5!$A:$AZ,10,0),4),VLOOKUP($B71,Sheet5!$A:$AF,29,0))</f>
        <v>0.0475</v>
      </c>
      <c r="G71" s="3" t="str">
        <f>_xlfn.CONCAT(FIXED(VLOOKUP($B71,Sheet5!$A:$AZ,6,0),4),VLOOKUP($B71,Sheet5!$A:$AF,28,0))</f>
        <v>-0.0460</v>
      </c>
      <c r="H71" s="3" t="str">
        <f>_xlfn.CONCAT(FIXED(VLOOKUP($B71,Sheet5!$A:$AZ,2,0),4),VLOOKUP($B71,Sheet5!$A:$AF,27,0))</f>
        <v>-0.0093</v>
      </c>
    </row>
    <row r="72" spans="1:8" x14ac:dyDescent="0.25">
      <c r="A72">
        <f t="shared" si="13"/>
        <v>101</v>
      </c>
      <c r="D72" s="3" t="str">
        <f>_xlfn.CONCAT("(",FIXED(VLOOKUP($B71,Sheet5!$A:$AZ,19,0), 4),")")</f>
        <v>(0.0000)</v>
      </c>
      <c r="E72" s="3" t="str">
        <f>_xlfn.CONCAT("(",FIXED(VLOOKUP($B71,Sheet5!$A:$AZ,15,0), 4),")")</f>
        <v>(0.0000)</v>
      </c>
      <c r="F72" s="3" t="str">
        <f>_xlfn.CONCAT("(",FIXED(VLOOKUP($B71,Sheet5!$A:$AZ,11,0), 4),")")</f>
        <v>(0.0840)</v>
      </c>
      <c r="G72" s="3" t="str">
        <f>_xlfn.CONCAT("(",FIXED(VLOOKUP($B71,Sheet5!$A:$AZ,7,0), 4),")")</f>
        <v>(0.0839)</v>
      </c>
      <c r="H72" s="3" t="str">
        <f>_xlfn.CONCAT("(",FIXED(VLOOKUP($B71,Sheet5!$A:$AZ,3,0), 4),")")</f>
        <v>(0.0631)</v>
      </c>
    </row>
    <row r="73" spans="1:8" x14ac:dyDescent="0.25">
      <c r="A73">
        <f t="shared" si="14"/>
        <v>103</v>
      </c>
      <c r="B73" t="s">
        <v>245</v>
      </c>
      <c r="D73" s="3" t="str">
        <f>_xlfn.CONCAT(FIXED(VLOOKUP($B73,Sheet5!$A:$AZ,18,0),4),VLOOKUP($B73,Sheet5!$A:$AF,31,0))</f>
        <v>0.0000***</v>
      </c>
      <c r="E73" s="3" t="str">
        <f>_xlfn.CONCAT(FIXED(VLOOKUP($B73,Sheet5!$A:$AZ,14,0),4),VLOOKUP($B73,Sheet5!$A:$AF,30,0))</f>
        <v>0.0000***</v>
      </c>
      <c r="F73" s="3" t="str">
        <f>_xlfn.CONCAT(FIXED(VLOOKUP($B73,Sheet5!$A:$AZ,10,0),4),VLOOKUP($B73,Sheet5!$A:$AF,29,0))</f>
        <v>0.1546</v>
      </c>
      <c r="G73" s="3" t="str">
        <f>_xlfn.CONCAT(FIXED(VLOOKUP($B73,Sheet5!$A:$AZ,6,0),4),VLOOKUP($B73,Sheet5!$A:$AF,28,0))</f>
        <v>0.0557</v>
      </c>
      <c r="H73" s="3" t="str">
        <f>_xlfn.CONCAT(FIXED(VLOOKUP($B73,Sheet5!$A:$AZ,2,0),4),VLOOKUP($B73,Sheet5!$A:$AF,27,0))</f>
        <v>0.0004</v>
      </c>
    </row>
    <row r="74" spans="1:8" x14ac:dyDescent="0.25">
      <c r="A74">
        <f t="shared" si="15"/>
        <v>104</v>
      </c>
      <c r="D74" s="3" t="str">
        <f>_xlfn.CONCAT("(",FIXED(VLOOKUP($B73,Sheet5!$A:$AZ,19,0), 4),")")</f>
        <v>(0.0000)</v>
      </c>
      <c r="E74" s="3" t="str">
        <f>_xlfn.CONCAT("(",FIXED(VLOOKUP($B73,Sheet5!$A:$AZ,15,0), 4),")")</f>
        <v>(0.0000)</v>
      </c>
      <c r="F74" s="3" t="str">
        <f>_xlfn.CONCAT("(",FIXED(VLOOKUP($B73,Sheet5!$A:$AZ,11,0), 4),")")</f>
        <v>(0.1761)</v>
      </c>
      <c r="G74" s="3" t="str">
        <f>_xlfn.CONCAT("(",FIXED(VLOOKUP($B73,Sheet5!$A:$AZ,7,0), 4),")")</f>
        <v>(0.1648)</v>
      </c>
      <c r="H74" s="3" t="str">
        <f>_xlfn.CONCAT("(",FIXED(VLOOKUP($B73,Sheet5!$A:$AZ,3,0), 4),")")</f>
        <v>(0.1665)</v>
      </c>
    </row>
    <row r="75" spans="1:8" x14ac:dyDescent="0.25">
      <c r="A75">
        <f t="shared" si="16"/>
        <v>106</v>
      </c>
      <c r="B75" t="s">
        <v>247</v>
      </c>
      <c r="D75" s="3" t="str">
        <f>_xlfn.CONCAT(FIXED(VLOOKUP($B75,Sheet5!$A:$AZ,18,0),4),VLOOKUP($B75,Sheet5!$A:$AF,31,0))</f>
        <v>0.0000***</v>
      </c>
      <c r="E75" s="3" t="str">
        <f>_xlfn.CONCAT(FIXED(VLOOKUP($B75,Sheet5!$A:$AZ,14,0),4),VLOOKUP($B75,Sheet5!$A:$AF,30,0))</f>
        <v>0.0000***</v>
      </c>
      <c r="F75" s="3" t="str">
        <f>_xlfn.CONCAT(FIXED(VLOOKUP($B75,Sheet5!$A:$AZ,10,0),4),VLOOKUP($B75,Sheet5!$A:$AF,29,0))</f>
        <v>0.5948**</v>
      </c>
      <c r="G75" s="3" t="str">
        <f>_xlfn.CONCAT(FIXED(VLOOKUP($B75,Sheet5!$A:$AZ,6,0),4),VLOOKUP($B75,Sheet5!$A:$AF,28,0))</f>
        <v>0.5134*</v>
      </c>
      <c r="H75" s="3" t="str">
        <f>_xlfn.CONCAT(FIXED(VLOOKUP($B75,Sheet5!$A:$AZ,2,0),4),VLOOKUP($B75,Sheet5!$A:$AF,27,0))</f>
        <v>0.2292</v>
      </c>
    </row>
    <row r="76" spans="1:8" x14ac:dyDescent="0.25">
      <c r="A76">
        <f t="shared" si="17"/>
        <v>107</v>
      </c>
      <c r="D76" s="3" t="str">
        <f>_xlfn.CONCAT("(",FIXED(VLOOKUP($B75,Sheet5!$A:$AZ,19,0), 4),")")</f>
        <v>(0.0000)</v>
      </c>
      <c r="E76" s="3" t="str">
        <f>_xlfn.CONCAT("(",FIXED(VLOOKUP($B75,Sheet5!$A:$AZ,15,0), 4),")")</f>
        <v>(0.0000)</v>
      </c>
      <c r="F76" s="3" t="str">
        <f>_xlfn.CONCAT("(",FIXED(VLOOKUP($B75,Sheet5!$A:$AZ,11,0), 4),")")</f>
        <v>(0.1321)</v>
      </c>
      <c r="G76" s="3" t="str">
        <f>_xlfn.CONCAT("(",FIXED(VLOOKUP($B75,Sheet5!$A:$AZ,7,0), 4),")")</f>
        <v>(0.1891)</v>
      </c>
      <c r="H76" s="3" t="str">
        <f>_xlfn.CONCAT("(",FIXED(VLOOKUP($B75,Sheet5!$A:$AZ,3,0), 4),")")</f>
        <v>(0.1327)</v>
      </c>
    </row>
    <row r="77" spans="1:8" x14ac:dyDescent="0.25">
      <c r="A77">
        <f t="shared" ref="A77" si="28">A76+2</f>
        <v>109</v>
      </c>
      <c r="B77" t="s">
        <v>166</v>
      </c>
      <c r="D77" s="3" t="str">
        <f>_xlfn.CONCAT(FIXED(VLOOKUP($B77,Sheet5!$A:$AZ,18,0),4),VLOOKUP($B77,Sheet5!$A:$AF,31,0))</f>
        <v>0.0000***</v>
      </c>
      <c r="E77" s="3" t="str">
        <f>_xlfn.CONCAT(FIXED(VLOOKUP($B77,Sheet5!$A:$AZ,14,0),4),VLOOKUP($B77,Sheet5!$A:$AF,30,0))</f>
        <v>0.0000***</v>
      </c>
      <c r="F77" s="3" t="str">
        <f>_xlfn.CONCAT(FIXED(VLOOKUP($B77,Sheet5!$A:$AZ,10,0),4),VLOOKUP($B77,Sheet5!$A:$AF,29,0))</f>
        <v>0.3558**</v>
      </c>
      <c r="G77" s="3" t="str">
        <f>_xlfn.CONCAT(FIXED(VLOOKUP($B77,Sheet5!$A:$AZ,6,0),4),VLOOKUP($B77,Sheet5!$A:$AF,28,0))</f>
        <v>0.3498**</v>
      </c>
      <c r="H77" s="3" t="str">
        <f>_xlfn.CONCAT(FIXED(VLOOKUP($B77,Sheet5!$A:$AZ,2,0),4),VLOOKUP($B77,Sheet5!$A:$AF,27,0))</f>
        <v>0.3948***</v>
      </c>
    </row>
    <row r="78" spans="1:8" x14ac:dyDescent="0.25">
      <c r="A78">
        <f t="shared" ref="A78" si="29">A77+1</f>
        <v>110</v>
      </c>
      <c r="D78" s="3" t="str">
        <f>_xlfn.CONCAT("(",FIXED(VLOOKUP($B77,Sheet5!$A:$AZ,19,0), 4),")")</f>
        <v>(0.0000)</v>
      </c>
      <c r="E78" s="3" t="str">
        <f>_xlfn.CONCAT("(",FIXED(VLOOKUP($B77,Sheet5!$A:$AZ,15,0), 4),")")</f>
        <v>(0.0000)</v>
      </c>
      <c r="F78" s="3" t="str">
        <f>_xlfn.CONCAT("(",FIXED(VLOOKUP($B77,Sheet5!$A:$AZ,11,0), 4),")")</f>
        <v>(0.0601)</v>
      </c>
      <c r="G78" s="3" t="str">
        <f>_xlfn.CONCAT("(",FIXED(VLOOKUP($B77,Sheet5!$A:$AZ,7,0), 4),")")</f>
        <v>(0.0520)</v>
      </c>
      <c r="H78" s="3" t="str">
        <f>_xlfn.CONCAT("(",FIXED(VLOOKUP($B77,Sheet5!$A:$AZ,3,0), 4),")")</f>
        <v>(0.0343)</v>
      </c>
    </row>
    <row r="79" spans="1:8" x14ac:dyDescent="0.25">
      <c r="A79">
        <f t="shared" si="10"/>
        <v>112</v>
      </c>
      <c r="B79" t="s">
        <v>167</v>
      </c>
      <c r="D79" s="3" t="str">
        <f>_xlfn.CONCAT(FIXED(VLOOKUP($B79,Sheet5!$A:$AZ,18,0),4),VLOOKUP($B79,Sheet5!$A:$AF,31,0))</f>
        <v>0.0000***</v>
      </c>
      <c r="E79" s="3" t="str">
        <f>_xlfn.CONCAT(FIXED(VLOOKUP($B79,Sheet5!$A:$AZ,14,0),4),VLOOKUP($B79,Sheet5!$A:$AF,30,0))</f>
        <v>0.0000***</v>
      </c>
      <c r="F79" s="3" t="str">
        <f>_xlfn.CONCAT(FIXED(VLOOKUP($B79,Sheet5!$A:$AZ,10,0),4),VLOOKUP($B79,Sheet5!$A:$AF,29,0))</f>
        <v>0.6117***</v>
      </c>
      <c r="G79" s="3" t="str">
        <f>_xlfn.CONCAT(FIXED(VLOOKUP($B79,Sheet5!$A:$AZ,6,0),4),VLOOKUP($B79,Sheet5!$A:$AF,28,0))</f>
        <v>0.5895***</v>
      </c>
      <c r="H79" s="3" t="str">
        <f>_xlfn.CONCAT(FIXED(VLOOKUP($B79,Sheet5!$A:$AZ,2,0),4),VLOOKUP($B79,Sheet5!$A:$AF,27,0))</f>
        <v>0.6328***</v>
      </c>
    </row>
    <row r="80" spans="1:8" x14ac:dyDescent="0.25">
      <c r="A80">
        <f t="shared" si="11"/>
        <v>113</v>
      </c>
      <c r="D80" s="3" t="str">
        <f>_xlfn.CONCAT("(",FIXED(VLOOKUP($B79,Sheet5!$A:$AZ,19,0), 4),")")</f>
        <v>(0.0000)</v>
      </c>
      <c r="E80" s="3" t="str">
        <f>_xlfn.CONCAT("(",FIXED(VLOOKUP($B79,Sheet5!$A:$AZ,15,0), 4),")")</f>
        <v>(0.0000)</v>
      </c>
      <c r="F80" s="3" t="str">
        <f>_xlfn.CONCAT("(",FIXED(VLOOKUP($B79,Sheet5!$A:$AZ,11,0), 4),")")</f>
        <v>(0.0849)</v>
      </c>
      <c r="G80" s="3" t="str">
        <f>_xlfn.CONCAT("(",FIXED(VLOOKUP($B79,Sheet5!$A:$AZ,7,0), 4),")")</f>
        <v>(0.0736)</v>
      </c>
      <c r="H80" s="3" t="str">
        <f>_xlfn.CONCAT("(",FIXED(VLOOKUP($B79,Sheet5!$A:$AZ,3,0), 4),")")</f>
        <v>(0.0574)</v>
      </c>
    </row>
    <row r="81" spans="1:8" x14ac:dyDescent="0.25">
      <c r="A81">
        <f t="shared" si="12"/>
        <v>115</v>
      </c>
      <c r="B81" t="s">
        <v>168</v>
      </c>
      <c r="D81" s="3" t="str">
        <f>_xlfn.CONCAT(FIXED(VLOOKUP($B81,Sheet5!$A:$AZ,18,0),4),VLOOKUP($B81,Sheet5!$A:$AF,31,0))</f>
        <v>0.0000***</v>
      </c>
      <c r="E81" s="3" t="str">
        <f>_xlfn.CONCAT(FIXED(VLOOKUP($B81,Sheet5!$A:$AZ,14,0),4),VLOOKUP($B81,Sheet5!$A:$AF,30,0))</f>
        <v>0.0000***</v>
      </c>
      <c r="F81" s="3" t="str">
        <f>_xlfn.CONCAT(FIXED(VLOOKUP($B81,Sheet5!$A:$AZ,10,0),4),VLOOKUP($B81,Sheet5!$A:$AF,29,0))</f>
        <v>0.5998***</v>
      </c>
      <c r="G81" s="3" t="str">
        <f>_xlfn.CONCAT(FIXED(VLOOKUP($B81,Sheet5!$A:$AZ,6,0),4),VLOOKUP($B81,Sheet5!$A:$AF,28,0))</f>
        <v>0.5872***</v>
      </c>
      <c r="H81" s="3" t="str">
        <f>_xlfn.CONCAT(FIXED(VLOOKUP($B81,Sheet5!$A:$AZ,2,0),4),VLOOKUP($B81,Sheet5!$A:$AF,27,0))</f>
        <v>0.6317***</v>
      </c>
    </row>
    <row r="82" spans="1:8" x14ac:dyDescent="0.25">
      <c r="A82">
        <f t="shared" si="13"/>
        <v>116</v>
      </c>
      <c r="D82" s="3" t="str">
        <f>_xlfn.CONCAT("(",FIXED(VLOOKUP($B81,Sheet5!$A:$AZ,19,0), 4),")")</f>
        <v>(0.0000)</v>
      </c>
      <c r="E82" s="3" t="str">
        <f>_xlfn.CONCAT("(",FIXED(VLOOKUP($B81,Sheet5!$A:$AZ,15,0), 4),")")</f>
        <v>(0.0000)</v>
      </c>
      <c r="F82" s="3" t="str">
        <f>_xlfn.CONCAT("(",FIXED(VLOOKUP($B81,Sheet5!$A:$AZ,11,0), 4),")")</f>
        <v>(0.0930)</v>
      </c>
      <c r="G82" s="3" t="str">
        <f>_xlfn.CONCAT("(",FIXED(VLOOKUP($B81,Sheet5!$A:$AZ,7,0), 4),")")</f>
        <v>(0.0818)</v>
      </c>
      <c r="H82" s="3" t="str">
        <f>_xlfn.CONCAT("(",FIXED(VLOOKUP($B81,Sheet5!$A:$AZ,3,0), 4),")")</f>
        <v>(0.0588)</v>
      </c>
    </row>
    <row r="83" spans="1:8" x14ac:dyDescent="0.25">
      <c r="A83">
        <f t="shared" si="14"/>
        <v>118</v>
      </c>
      <c r="B83" t="s">
        <v>169</v>
      </c>
      <c r="D83" s="3" t="str">
        <f>_xlfn.CONCAT(FIXED(VLOOKUP($B83,Sheet5!$A:$AZ,18,0),4),VLOOKUP($B83,Sheet5!$A:$AF,31,0))</f>
        <v>0.0000***</v>
      </c>
      <c r="E83" s="3" t="str">
        <f>_xlfn.CONCAT(FIXED(VLOOKUP($B83,Sheet5!$A:$AZ,14,0),4),VLOOKUP($B83,Sheet5!$A:$AF,30,0))</f>
        <v>0.0000***</v>
      </c>
      <c r="F83" s="3" t="str">
        <f>_xlfn.CONCAT(FIXED(VLOOKUP($B83,Sheet5!$A:$AZ,10,0),4),VLOOKUP($B83,Sheet5!$A:$AF,29,0))</f>
        <v>0.6231***</v>
      </c>
      <c r="G83" s="3" t="str">
        <f>_xlfn.CONCAT(FIXED(VLOOKUP($B83,Sheet5!$A:$AZ,6,0),4),VLOOKUP($B83,Sheet5!$A:$AF,28,0))</f>
        <v>0.6151***</v>
      </c>
      <c r="H83" s="3" t="str">
        <f>_xlfn.CONCAT(FIXED(VLOOKUP($B83,Sheet5!$A:$AZ,2,0),4),VLOOKUP($B83,Sheet5!$A:$AF,27,0))</f>
        <v>0.6568***</v>
      </c>
    </row>
    <row r="84" spans="1:8" x14ac:dyDescent="0.25">
      <c r="A84">
        <f t="shared" si="15"/>
        <v>119</v>
      </c>
      <c r="D84" s="3" t="str">
        <f>_xlfn.CONCAT("(",FIXED(VLOOKUP($B83,Sheet5!$A:$AZ,19,0), 4),")")</f>
        <v>(0.0000)</v>
      </c>
      <c r="E84" s="3" t="str">
        <f>_xlfn.CONCAT("(",FIXED(VLOOKUP($B83,Sheet5!$A:$AZ,15,0), 4),")")</f>
        <v>(0.0000)</v>
      </c>
      <c r="F84" s="3" t="str">
        <f>_xlfn.CONCAT("(",FIXED(VLOOKUP($B83,Sheet5!$A:$AZ,11,0), 4),")")</f>
        <v>(0.0844)</v>
      </c>
      <c r="G84" s="3" t="str">
        <f>_xlfn.CONCAT("(",FIXED(VLOOKUP($B83,Sheet5!$A:$AZ,7,0), 4),")")</f>
        <v>(0.0717)</v>
      </c>
      <c r="H84" s="3" t="str">
        <f>_xlfn.CONCAT("(",FIXED(VLOOKUP($B83,Sheet5!$A:$AZ,3,0), 4),")")</f>
        <v>(0.0510)</v>
      </c>
    </row>
    <row r="85" spans="1:8" x14ac:dyDescent="0.25">
      <c r="A85">
        <f t="shared" si="16"/>
        <v>121</v>
      </c>
      <c r="B85" t="s">
        <v>170</v>
      </c>
      <c r="D85" s="3" t="str">
        <f>_xlfn.CONCAT(FIXED(VLOOKUP($B85,Sheet5!$A:$AZ,18,0),4),VLOOKUP($B85,Sheet5!$A:$AF,31,0))</f>
        <v>0.0000***</v>
      </c>
      <c r="E85" s="3" t="str">
        <f>_xlfn.CONCAT(FIXED(VLOOKUP($B85,Sheet5!$A:$AZ,14,0),4),VLOOKUP($B85,Sheet5!$A:$AF,30,0))</f>
        <v>0.0000***</v>
      </c>
      <c r="F85" s="3" t="str">
        <f>_xlfn.CONCAT(FIXED(VLOOKUP($B85,Sheet5!$A:$AZ,10,0),4),VLOOKUP($B85,Sheet5!$A:$AF,29,0))</f>
        <v>0.5318***</v>
      </c>
      <c r="G85" s="3" t="str">
        <f>_xlfn.CONCAT(FIXED(VLOOKUP($B85,Sheet5!$A:$AZ,6,0),4),VLOOKUP($B85,Sheet5!$A:$AF,28,0))</f>
        <v>0.5299***</v>
      </c>
      <c r="H85" s="3" t="str">
        <f>_xlfn.CONCAT(FIXED(VLOOKUP($B85,Sheet5!$A:$AZ,2,0),4),VLOOKUP($B85,Sheet5!$A:$AF,27,0))</f>
        <v>0.5808***</v>
      </c>
    </row>
    <row r="86" spans="1:8" x14ac:dyDescent="0.25">
      <c r="A86">
        <f t="shared" si="17"/>
        <v>122</v>
      </c>
      <c r="D86" s="3" t="str">
        <f>_xlfn.CONCAT("(",FIXED(VLOOKUP($B85,Sheet5!$A:$AZ,19,0), 4),")")</f>
        <v>(0.0000)</v>
      </c>
      <c r="E86" s="3" t="str">
        <f>_xlfn.CONCAT("(",FIXED(VLOOKUP($B85,Sheet5!$A:$AZ,15,0), 4),")")</f>
        <v>(0.0000)</v>
      </c>
      <c r="F86" s="3" t="str">
        <f>_xlfn.CONCAT("(",FIXED(VLOOKUP($B85,Sheet5!$A:$AZ,11,0), 4),")")</f>
        <v>(0.0891)</v>
      </c>
      <c r="G86" s="3" t="str">
        <f>_xlfn.CONCAT("(",FIXED(VLOOKUP($B85,Sheet5!$A:$AZ,7,0), 4),")")</f>
        <v>(0.0755)</v>
      </c>
      <c r="H86" s="3" t="str">
        <f>_xlfn.CONCAT("(",FIXED(VLOOKUP($B85,Sheet5!$A:$AZ,3,0), 4),")")</f>
        <v>(0.0406)</v>
      </c>
    </row>
    <row r="87" spans="1:8" x14ac:dyDescent="0.25">
      <c r="A87">
        <f t="shared" ref="A87" si="30">A86+2</f>
        <v>124</v>
      </c>
      <c r="B87" t="s">
        <v>50</v>
      </c>
      <c r="D87" s="3" t="str">
        <f>_xlfn.CONCAT(FIXED(VLOOKUP($B87,Sheet5!$A:$AZ,18,0),4),VLOOKUP($B87,Sheet5!$A:$AF,31,0))</f>
        <v>0.0000***</v>
      </c>
      <c r="E87" s="3" t="str">
        <f>_xlfn.CONCAT(FIXED(VLOOKUP($B87,Sheet5!$A:$AZ,14,0),4),VLOOKUP($B87,Sheet5!$A:$AF,30,0))</f>
        <v>0.0000***</v>
      </c>
      <c r="F87" s="3" t="str">
        <f>_xlfn.CONCAT(FIXED(VLOOKUP($B87,Sheet5!$A:$AZ,10,0),4),VLOOKUP($B87,Sheet5!$A:$AF,29,0))</f>
        <v>-0.0002</v>
      </c>
      <c r="G87" s="3" t="str">
        <f>_xlfn.CONCAT(FIXED(VLOOKUP($B87,Sheet5!$A:$AZ,6,0),4),VLOOKUP($B87,Sheet5!$A:$AF,28,0))</f>
        <v>0.0001</v>
      </c>
      <c r="H87" s="3" t="str">
        <f>_xlfn.CONCAT(FIXED(VLOOKUP($B87,Sheet5!$A:$AZ,2,0),4),VLOOKUP($B87,Sheet5!$A:$AF,27,0))</f>
        <v>0.0000</v>
      </c>
    </row>
    <row r="88" spans="1:8" x14ac:dyDescent="0.25">
      <c r="A88">
        <f t="shared" ref="A88" si="31">A87+1</f>
        <v>125</v>
      </c>
      <c r="D88" s="3" t="str">
        <f>_xlfn.CONCAT("(",FIXED(VLOOKUP($B87,Sheet5!$A:$AZ,19,0), 4),")")</f>
        <v>(0.0000)</v>
      </c>
      <c r="E88" s="3" t="str">
        <f>_xlfn.CONCAT("(",FIXED(VLOOKUP($B87,Sheet5!$A:$AZ,15,0), 4),")")</f>
        <v>(0.0000)</v>
      </c>
      <c r="F88" s="3" t="str">
        <f>_xlfn.CONCAT("(",FIXED(VLOOKUP($B87,Sheet5!$A:$AZ,11,0), 4),")")</f>
        <v>(0.0003)</v>
      </c>
      <c r="G88" s="3" t="str">
        <f>_xlfn.CONCAT("(",FIXED(VLOOKUP($B87,Sheet5!$A:$AZ,7,0), 4),")")</f>
        <v>(0.0002)</v>
      </c>
      <c r="H88" s="3" t="str">
        <f>_xlfn.CONCAT("(",FIXED(VLOOKUP($B87,Sheet5!$A:$AZ,3,0), 4),")")</f>
        <v>(0.0001)</v>
      </c>
    </row>
    <row r="89" spans="1:8" x14ac:dyDescent="0.25">
      <c r="A89">
        <f t="shared" ref="A89:A99" si="32">A88+2</f>
        <v>127</v>
      </c>
      <c r="B89" t="s">
        <v>52</v>
      </c>
      <c r="D89" s="3" t="str">
        <f>_xlfn.CONCAT(FIXED(VLOOKUP($B89,Sheet5!$A:$AZ,18,0),4),VLOOKUP($B89,Sheet5!$A:$AF,31,0))</f>
        <v>0.0000***</v>
      </c>
      <c r="E89" s="3" t="str">
        <f>_xlfn.CONCAT(FIXED(VLOOKUP($B89,Sheet5!$A:$AZ,14,0),4),VLOOKUP($B89,Sheet5!$A:$AF,30,0))</f>
        <v>0.0000***</v>
      </c>
      <c r="F89" s="3" t="str">
        <f>_xlfn.CONCAT(FIXED(VLOOKUP($B89,Sheet5!$A:$AZ,10,0),4),VLOOKUP($B89,Sheet5!$A:$AF,29,0))</f>
        <v>-0.0110*</v>
      </c>
      <c r="G89" s="3" t="str">
        <f>_xlfn.CONCAT(FIXED(VLOOKUP($B89,Sheet5!$A:$AZ,6,0),4),VLOOKUP($B89,Sheet5!$A:$AF,28,0))</f>
        <v>-0.0021</v>
      </c>
      <c r="H89" s="3" t="str">
        <f>_xlfn.CONCAT(FIXED(VLOOKUP($B89,Sheet5!$A:$AZ,2,0),4),VLOOKUP($B89,Sheet5!$A:$AF,27,0))</f>
        <v>0.0030</v>
      </c>
    </row>
    <row r="90" spans="1:8" x14ac:dyDescent="0.25">
      <c r="A90">
        <f t="shared" ref="A90:A100" si="33">A89+1</f>
        <v>128</v>
      </c>
      <c r="D90" s="3" t="str">
        <f>_xlfn.CONCAT("(",FIXED(VLOOKUP($B89,Sheet5!$A:$AZ,19,0), 4),")")</f>
        <v>(0.0000)</v>
      </c>
      <c r="E90" s="3" t="str">
        <f>_xlfn.CONCAT("(",FIXED(VLOOKUP($B89,Sheet5!$A:$AZ,15,0), 4),")")</f>
        <v>(0.0000)</v>
      </c>
      <c r="F90" s="3" t="str">
        <f>_xlfn.CONCAT("(",FIXED(VLOOKUP($B89,Sheet5!$A:$AZ,11,0), 4),")")</f>
        <v>(0.0063)</v>
      </c>
      <c r="G90" s="3" t="str">
        <f>_xlfn.CONCAT("(",FIXED(VLOOKUP($B89,Sheet5!$A:$AZ,7,0), 4),")")</f>
        <v>(0.0050)</v>
      </c>
      <c r="H90" s="3" t="str">
        <f>_xlfn.CONCAT("(",FIXED(VLOOKUP($B89,Sheet5!$A:$AZ,3,0), 4),")")</f>
        <v>(0.0049)</v>
      </c>
    </row>
    <row r="91" spans="1:8" x14ac:dyDescent="0.25">
      <c r="A91">
        <f t="shared" ref="A91:A101" si="34">A90+2</f>
        <v>130</v>
      </c>
      <c r="B91" t="s">
        <v>51</v>
      </c>
      <c r="D91" s="3" t="str">
        <f>_xlfn.CONCAT(FIXED(VLOOKUP($B91,Sheet5!$A:$AZ,18,0),4),VLOOKUP($B91,Sheet5!$A:$AF,31,0))</f>
        <v>0.0000***</v>
      </c>
      <c r="E91" s="3" t="str">
        <f>_xlfn.CONCAT(FIXED(VLOOKUP($B91,Sheet5!$A:$AZ,14,0),4),VLOOKUP($B91,Sheet5!$A:$AF,30,0))</f>
        <v>0.0000***</v>
      </c>
      <c r="F91" s="3" t="str">
        <f>_xlfn.CONCAT(FIXED(VLOOKUP($B91,Sheet5!$A:$AZ,10,0),4),VLOOKUP($B91,Sheet5!$A:$AF,29,0))</f>
        <v>0.0225***</v>
      </c>
      <c r="G91" s="3" t="str">
        <f>_xlfn.CONCAT(FIXED(VLOOKUP($B91,Sheet5!$A:$AZ,6,0),4),VLOOKUP($B91,Sheet5!$A:$AF,28,0))</f>
        <v>0.0168**</v>
      </c>
      <c r="H91" s="3" t="str">
        <f>_xlfn.CONCAT(FIXED(VLOOKUP($B91,Sheet5!$A:$AZ,2,0),4),VLOOKUP($B91,Sheet5!$A:$AF,27,0))</f>
        <v>0.0125</v>
      </c>
    </row>
    <row r="92" spans="1:8" x14ac:dyDescent="0.25">
      <c r="A92">
        <f t="shared" ref="A92:A102" si="35">A91+1</f>
        <v>131</v>
      </c>
      <c r="D92" s="3" t="str">
        <f>_xlfn.CONCAT("(",FIXED(VLOOKUP($B91,Sheet5!$A:$AZ,19,0), 4),")")</f>
        <v>(0.0000)</v>
      </c>
      <c r="E92" s="3" t="str">
        <f>_xlfn.CONCAT("(",FIXED(VLOOKUP($B91,Sheet5!$A:$AZ,15,0), 4),")")</f>
        <v>(0.0000)</v>
      </c>
      <c r="F92" s="3" t="str">
        <f>_xlfn.CONCAT("(",FIXED(VLOOKUP($B91,Sheet5!$A:$AZ,11,0), 4),")")</f>
        <v>(0.0032)</v>
      </c>
      <c r="G92" s="3" t="str">
        <f>_xlfn.CONCAT("(",FIXED(VLOOKUP($B91,Sheet5!$A:$AZ,7,0), 4),")")</f>
        <v>(0.0041)</v>
      </c>
      <c r="H92" s="3" t="str">
        <f>_xlfn.CONCAT("(",FIXED(VLOOKUP($B91,Sheet5!$A:$AZ,3,0), 4),")")</f>
        <v>(0.0063)</v>
      </c>
    </row>
    <row r="93" spans="1:8" x14ac:dyDescent="0.25">
      <c r="A93">
        <f t="shared" ref="A93:A103" si="36">A92+2</f>
        <v>133</v>
      </c>
      <c r="B93" t="s">
        <v>164</v>
      </c>
      <c r="D93" s="3" t="str">
        <f>_xlfn.CONCAT(FIXED(VLOOKUP($B93,Sheet5!$A:$AZ,18,0),4),VLOOKUP($B93,Sheet5!$A:$AF,31,0))</f>
        <v>0.0000***</v>
      </c>
      <c r="E93" s="3" t="str">
        <f>_xlfn.CONCAT(FIXED(VLOOKUP($B93,Sheet5!$A:$AZ,14,0),4),VLOOKUP($B93,Sheet5!$A:$AF,30,0))</f>
        <v>0.0000***</v>
      </c>
      <c r="F93" s="3" t="str">
        <f>_xlfn.CONCAT(FIXED(VLOOKUP($B93,Sheet5!$A:$AZ,10,0),4),VLOOKUP($B93,Sheet5!$A:$AF,29,0))</f>
        <v>0.0000***</v>
      </c>
      <c r="G93" s="3" t="str">
        <f>_xlfn.CONCAT(FIXED(VLOOKUP($B93,Sheet5!$A:$AZ,6,0),4),VLOOKUP($B93,Sheet5!$A:$AF,28,0))</f>
        <v>-0.0099</v>
      </c>
      <c r="H93" s="3" t="str">
        <f>_xlfn.CONCAT(FIXED(VLOOKUP($B93,Sheet5!$A:$AZ,2,0),4),VLOOKUP($B93,Sheet5!$A:$AF,27,0))</f>
        <v>-0.0067</v>
      </c>
    </row>
    <row r="94" spans="1:8" x14ac:dyDescent="0.25">
      <c r="A94">
        <f t="shared" ref="A94:A104" si="37">A93+1</f>
        <v>134</v>
      </c>
      <c r="D94" s="3" t="str">
        <f>_xlfn.CONCAT("(",FIXED(VLOOKUP($B93,Sheet5!$A:$AZ,19,0), 4),")")</f>
        <v>(0.0000)</v>
      </c>
      <c r="E94" s="3" t="str">
        <f>_xlfn.CONCAT("(",FIXED(VLOOKUP($B93,Sheet5!$A:$AZ,15,0), 4),")")</f>
        <v>(0.0000)</v>
      </c>
      <c r="F94" s="3" t="str">
        <f>_xlfn.CONCAT("(",FIXED(VLOOKUP($B93,Sheet5!$A:$AZ,11,0), 4),")")</f>
        <v>(0.0000)</v>
      </c>
      <c r="G94" s="3" t="str">
        <f>_xlfn.CONCAT("(",FIXED(VLOOKUP($B93,Sheet5!$A:$AZ,7,0), 4),")")</f>
        <v>(0.0098)</v>
      </c>
      <c r="H94" s="3" t="str">
        <f>_xlfn.CONCAT("(",FIXED(VLOOKUP($B93,Sheet5!$A:$AZ,3,0), 4),")")</f>
        <v>(0.0075)</v>
      </c>
    </row>
    <row r="95" spans="1:8" x14ac:dyDescent="0.25">
      <c r="A95">
        <f t="shared" ref="A95:A119" si="38">A94+2</f>
        <v>136</v>
      </c>
      <c r="B95" t="s">
        <v>39</v>
      </c>
      <c r="D95" s="3" t="str">
        <f>_xlfn.CONCAT(FIXED(VLOOKUP($B95,Sheet5!$A:$AZ,18,0),4),VLOOKUP($B95,Sheet5!$A:$AF,31,0))</f>
        <v>0.0000***</v>
      </c>
      <c r="E95" s="3" t="str">
        <f>_xlfn.CONCAT(FIXED(VLOOKUP($B95,Sheet5!$A:$AZ,14,0),4),VLOOKUP($B95,Sheet5!$A:$AF,30,0))</f>
        <v>0.0000***</v>
      </c>
      <c r="F95" s="3" t="str">
        <f>_xlfn.CONCAT(FIXED(VLOOKUP($B95,Sheet5!$A:$AZ,10,0),4),VLOOKUP($B95,Sheet5!$A:$AF,29,0))</f>
        <v>0.0000***</v>
      </c>
      <c r="G95" s="3" t="str">
        <f>_xlfn.CONCAT(FIXED(VLOOKUP($B95,Sheet5!$A:$AZ,6,0),4),VLOOKUP($B95,Sheet5!$A:$AF,28,0))</f>
        <v>-0.0260</v>
      </c>
      <c r="H95" s="3" t="str">
        <f>_xlfn.CONCAT(FIXED(VLOOKUP($B95,Sheet5!$A:$AZ,2,0),4),VLOOKUP($B95,Sheet5!$A:$AF,27,0))</f>
        <v>-0.0401</v>
      </c>
    </row>
    <row r="96" spans="1:8" x14ac:dyDescent="0.25">
      <c r="A96">
        <f t="shared" ref="A96:A120" si="39">A95+1</f>
        <v>137</v>
      </c>
      <c r="D96" s="3" t="str">
        <f>_xlfn.CONCAT("(",FIXED(VLOOKUP($B95,Sheet5!$A:$AZ,19,0), 4),")")</f>
        <v>(0.0000)</v>
      </c>
      <c r="E96" s="3" t="str">
        <f>_xlfn.CONCAT("(",FIXED(VLOOKUP($B95,Sheet5!$A:$AZ,15,0), 4),")")</f>
        <v>(0.0000)</v>
      </c>
      <c r="F96" s="3" t="str">
        <f>_xlfn.CONCAT("(",FIXED(VLOOKUP($B95,Sheet5!$A:$AZ,11,0), 4),")")</f>
        <v>(0.0000)</v>
      </c>
      <c r="G96" s="3" t="str">
        <f>_xlfn.CONCAT("(",FIXED(VLOOKUP($B95,Sheet5!$A:$AZ,7,0), 4),")")</f>
        <v>(0.0385)</v>
      </c>
      <c r="H96" s="3" t="str">
        <f>_xlfn.CONCAT("(",FIXED(VLOOKUP($B95,Sheet5!$A:$AZ,3,0), 4),")")</f>
        <v>(0.0351)</v>
      </c>
    </row>
    <row r="97" spans="1:8" x14ac:dyDescent="0.25">
      <c r="A97">
        <f t="shared" ref="A97" si="40">A96+2</f>
        <v>139</v>
      </c>
      <c r="B97" t="s">
        <v>40</v>
      </c>
      <c r="D97" s="3" t="str">
        <f>_xlfn.CONCAT(FIXED(VLOOKUP($B97,Sheet5!$A:$AZ,18,0),4),VLOOKUP($B97,Sheet5!$A:$AF,31,0))</f>
        <v>0.0000***</v>
      </c>
      <c r="E97" s="3" t="str">
        <f>_xlfn.CONCAT(FIXED(VLOOKUP($B97,Sheet5!$A:$AZ,14,0),4),VLOOKUP($B97,Sheet5!$A:$AF,30,0))</f>
        <v>0.0000***</v>
      </c>
      <c r="F97" s="3" t="str">
        <f>_xlfn.CONCAT(FIXED(VLOOKUP($B97,Sheet5!$A:$AZ,10,0),4),VLOOKUP($B97,Sheet5!$A:$AF,29,0))</f>
        <v>0.0000***</v>
      </c>
      <c r="G97" s="3" t="str">
        <f>_xlfn.CONCAT(FIXED(VLOOKUP($B97,Sheet5!$A:$AZ,6,0),4),VLOOKUP($B97,Sheet5!$A:$AF,28,0))</f>
        <v>-0.0067</v>
      </c>
      <c r="H97" s="3" t="str">
        <f>_xlfn.CONCAT(FIXED(VLOOKUP($B97,Sheet5!$A:$AZ,2,0),4),VLOOKUP($B97,Sheet5!$A:$AF,27,0))</f>
        <v>-0.0094</v>
      </c>
    </row>
    <row r="98" spans="1:8" x14ac:dyDescent="0.25">
      <c r="A98">
        <f t="shared" ref="A98" si="41">A97+1</f>
        <v>140</v>
      </c>
      <c r="D98" s="3" t="str">
        <f>_xlfn.CONCAT("(",FIXED(VLOOKUP($B97,Sheet5!$A:$AZ,19,0), 4),")")</f>
        <v>(0.0000)</v>
      </c>
      <c r="E98" s="3" t="str">
        <f>_xlfn.CONCAT("(",FIXED(VLOOKUP($B97,Sheet5!$A:$AZ,15,0), 4),")")</f>
        <v>(0.0000)</v>
      </c>
      <c r="F98" s="3" t="str">
        <f>_xlfn.CONCAT("(",FIXED(VLOOKUP($B97,Sheet5!$A:$AZ,11,0), 4),")")</f>
        <v>(0.0000)</v>
      </c>
      <c r="G98" s="3" t="str">
        <f>_xlfn.CONCAT("(",FIXED(VLOOKUP($B97,Sheet5!$A:$AZ,7,0), 4),")")</f>
        <v>(0.0095)</v>
      </c>
      <c r="H98" s="3" t="str">
        <f>_xlfn.CONCAT("(",FIXED(VLOOKUP($B97,Sheet5!$A:$AZ,3,0), 4),")")</f>
        <v>(0.0080)</v>
      </c>
    </row>
    <row r="99" spans="1:8" x14ac:dyDescent="0.25">
      <c r="A99">
        <f t="shared" si="32"/>
        <v>142</v>
      </c>
      <c r="B99" t="s">
        <v>41</v>
      </c>
      <c r="D99" s="3" t="str">
        <f>_xlfn.CONCAT(FIXED(VLOOKUP($B99,Sheet5!$A:$AZ,18,0),4),VLOOKUP($B99,Sheet5!$A:$AF,31,0))</f>
        <v>0.0000***</v>
      </c>
      <c r="E99" s="3" t="str">
        <f>_xlfn.CONCAT(FIXED(VLOOKUP($B99,Sheet5!$A:$AZ,14,0),4),VLOOKUP($B99,Sheet5!$A:$AF,30,0))</f>
        <v>0.0000***</v>
      </c>
      <c r="F99" s="3" t="str">
        <f>_xlfn.CONCAT(FIXED(VLOOKUP($B99,Sheet5!$A:$AZ,10,0),4),VLOOKUP($B99,Sheet5!$A:$AF,29,0))</f>
        <v>0.0000***</v>
      </c>
      <c r="G99" s="3" t="str">
        <f>_xlfn.CONCAT(FIXED(VLOOKUP($B99,Sheet5!$A:$AZ,6,0),4),VLOOKUP($B99,Sheet5!$A:$AF,28,0))</f>
        <v>-0.0058</v>
      </c>
      <c r="H99" s="3" t="str">
        <f>_xlfn.CONCAT(FIXED(VLOOKUP($B99,Sheet5!$A:$AZ,2,0),4),VLOOKUP($B99,Sheet5!$A:$AF,27,0))</f>
        <v>-0.0065</v>
      </c>
    </row>
    <row r="100" spans="1:8" x14ac:dyDescent="0.25">
      <c r="A100">
        <f t="shared" si="33"/>
        <v>143</v>
      </c>
      <c r="D100" s="3" t="str">
        <f>_xlfn.CONCAT("(",FIXED(VLOOKUP($B99,Sheet5!$A:$AZ,19,0), 4),")")</f>
        <v>(0.0000)</v>
      </c>
      <c r="E100" s="3" t="str">
        <f>_xlfn.CONCAT("(",FIXED(VLOOKUP($B99,Sheet5!$A:$AZ,15,0), 4),")")</f>
        <v>(0.0000)</v>
      </c>
      <c r="F100" s="3" t="str">
        <f>_xlfn.CONCAT("(",FIXED(VLOOKUP($B99,Sheet5!$A:$AZ,11,0), 4),")")</f>
        <v>(0.0000)</v>
      </c>
      <c r="G100" s="3" t="str">
        <f>_xlfn.CONCAT("(",FIXED(VLOOKUP($B99,Sheet5!$A:$AZ,7,0), 4),")")</f>
        <v>(0.0080)</v>
      </c>
      <c r="H100" s="3" t="str">
        <f>_xlfn.CONCAT("(",FIXED(VLOOKUP($B99,Sheet5!$A:$AZ,3,0), 4),")")</f>
        <v>(0.0061)</v>
      </c>
    </row>
    <row r="101" spans="1:8" x14ac:dyDescent="0.25">
      <c r="A101">
        <f t="shared" si="34"/>
        <v>145</v>
      </c>
      <c r="B101" t="s">
        <v>173</v>
      </c>
      <c r="D101" s="3" t="str">
        <f>_xlfn.CONCAT(FIXED(VLOOKUP($B101,Sheet5!$A:$AZ,18,0),4),VLOOKUP($B101,Sheet5!$A:$AF,31,0))</f>
        <v>0.0000***</v>
      </c>
      <c r="E101" s="3" t="str">
        <f>_xlfn.CONCAT(FIXED(VLOOKUP($B101,Sheet5!$A:$AZ,14,0),4),VLOOKUP($B101,Sheet5!$A:$AF,30,0))</f>
        <v>0.0000***</v>
      </c>
      <c r="F101" s="3" t="str">
        <f>_xlfn.CONCAT(FIXED(VLOOKUP($B101,Sheet5!$A:$AZ,10,0),4),VLOOKUP($B101,Sheet5!$A:$AF,29,0))</f>
        <v>0.0000***</v>
      </c>
      <c r="G101" s="3" t="str">
        <f>_xlfn.CONCAT(FIXED(VLOOKUP($B101,Sheet5!$A:$AZ,6,0),4),VLOOKUP($B101,Sheet5!$A:$AF,28,0))</f>
        <v>-0.0005</v>
      </c>
      <c r="H101" s="3" t="str">
        <f>_xlfn.CONCAT(FIXED(VLOOKUP($B101,Sheet5!$A:$AZ,2,0),4),VLOOKUP($B101,Sheet5!$A:$AF,27,0))</f>
        <v>-0.0013</v>
      </c>
    </row>
    <row r="102" spans="1:8" x14ac:dyDescent="0.25">
      <c r="A102">
        <f t="shared" si="35"/>
        <v>146</v>
      </c>
      <c r="D102" s="3" t="str">
        <f>_xlfn.CONCAT("(",FIXED(VLOOKUP($B101,Sheet5!$A:$AZ,19,0), 4),")")</f>
        <v>(0.0000)</v>
      </c>
      <c r="E102" s="3" t="str">
        <f>_xlfn.CONCAT("(",FIXED(VLOOKUP($B101,Sheet5!$A:$AZ,15,0), 4),")")</f>
        <v>(0.0000)</v>
      </c>
      <c r="F102" s="3" t="str">
        <f>_xlfn.CONCAT("(",FIXED(VLOOKUP($B101,Sheet5!$A:$AZ,11,0), 4),")")</f>
        <v>(0.0000)</v>
      </c>
      <c r="G102" s="3" t="str">
        <f>_xlfn.CONCAT("(",FIXED(VLOOKUP($B101,Sheet5!$A:$AZ,7,0), 4),")")</f>
        <v>(0.0055)</v>
      </c>
      <c r="H102" s="3" t="str">
        <f>_xlfn.CONCAT("(",FIXED(VLOOKUP($B101,Sheet5!$A:$AZ,3,0), 4),")")</f>
        <v>(0.0020)</v>
      </c>
    </row>
    <row r="103" spans="1:8" x14ac:dyDescent="0.25">
      <c r="A103">
        <f t="shared" si="36"/>
        <v>148</v>
      </c>
      <c r="B103" t="s">
        <v>174</v>
      </c>
      <c r="D103" s="3" t="str">
        <f>_xlfn.CONCAT(FIXED(VLOOKUP($B103,Sheet5!$A:$AZ,18,0),4),VLOOKUP($B103,Sheet5!$A:$AF,31,0))</f>
        <v>0.0000***</v>
      </c>
      <c r="E103" s="3" t="str">
        <f>_xlfn.CONCAT(FIXED(VLOOKUP($B103,Sheet5!$A:$AZ,14,0),4),VLOOKUP($B103,Sheet5!$A:$AF,30,0))</f>
        <v>0.0000***</v>
      </c>
      <c r="F103" s="3" t="str">
        <f>_xlfn.CONCAT(FIXED(VLOOKUP($B103,Sheet5!$A:$AZ,10,0),4),VLOOKUP($B103,Sheet5!$A:$AF,29,0))</f>
        <v>0.0000***</v>
      </c>
      <c r="G103" s="3" t="str">
        <f>_xlfn.CONCAT(FIXED(VLOOKUP($B103,Sheet5!$A:$AZ,6,0),4),VLOOKUP($B103,Sheet5!$A:$AF,28,0))</f>
        <v>0.0266</v>
      </c>
      <c r="H103" s="3" t="str">
        <f>_xlfn.CONCAT(FIXED(VLOOKUP($B103,Sheet5!$A:$AZ,2,0),4),VLOOKUP($B103,Sheet5!$A:$AF,27,0))</f>
        <v>0.0212</v>
      </c>
    </row>
    <row r="104" spans="1:8" x14ac:dyDescent="0.25">
      <c r="A104">
        <f t="shared" si="37"/>
        <v>149</v>
      </c>
      <c r="D104" s="3" t="str">
        <f>_xlfn.CONCAT("(",FIXED(VLOOKUP($B103,Sheet5!$A:$AZ,19,0), 4),")")</f>
        <v>(0.0000)</v>
      </c>
      <c r="E104" s="3" t="str">
        <f>_xlfn.CONCAT("(",FIXED(VLOOKUP($B103,Sheet5!$A:$AZ,15,0), 4),")")</f>
        <v>(0.0000)</v>
      </c>
      <c r="F104" s="3" t="str">
        <f>_xlfn.CONCAT("(",FIXED(VLOOKUP($B103,Sheet5!$A:$AZ,11,0), 4),")")</f>
        <v>(0.0000)</v>
      </c>
      <c r="G104" s="3" t="str">
        <f>_xlfn.CONCAT("(",FIXED(VLOOKUP($B103,Sheet5!$A:$AZ,7,0), 4),")")</f>
        <v>(0.0153)</v>
      </c>
      <c r="H104" s="3" t="str">
        <f>_xlfn.CONCAT("(",FIXED(VLOOKUP($B103,Sheet5!$A:$AZ,3,0), 4),")")</f>
        <v>(0.0147)</v>
      </c>
    </row>
    <row r="105" spans="1:8" x14ac:dyDescent="0.25">
      <c r="A105">
        <f t="shared" si="38"/>
        <v>151</v>
      </c>
      <c r="B105" t="s">
        <v>175</v>
      </c>
      <c r="D105" s="3" t="str">
        <f>_xlfn.CONCAT(FIXED(VLOOKUP($B105,Sheet5!$A:$AZ,18,0),4),VLOOKUP($B105,Sheet5!$A:$AF,31,0))</f>
        <v>0.0000***</v>
      </c>
      <c r="E105" s="3" t="str">
        <f>_xlfn.CONCAT(FIXED(VLOOKUP($B105,Sheet5!$A:$AZ,14,0),4),VLOOKUP($B105,Sheet5!$A:$AF,30,0))</f>
        <v>0.0000***</v>
      </c>
      <c r="F105" s="3" t="str">
        <f>_xlfn.CONCAT(FIXED(VLOOKUP($B105,Sheet5!$A:$AZ,10,0),4),VLOOKUP($B105,Sheet5!$A:$AF,29,0))</f>
        <v>0.0000***</v>
      </c>
      <c r="G105" s="3" t="str">
        <f>_xlfn.CONCAT(FIXED(VLOOKUP($B105,Sheet5!$A:$AZ,6,0),4),VLOOKUP($B105,Sheet5!$A:$AF,28,0))</f>
        <v>0.0118</v>
      </c>
      <c r="H105" s="3" t="str">
        <f>_xlfn.CONCAT(FIXED(VLOOKUP($B105,Sheet5!$A:$AZ,2,0),4),VLOOKUP($B105,Sheet5!$A:$AF,27,0))</f>
        <v>0.0069</v>
      </c>
    </row>
    <row r="106" spans="1:8" x14ac:dyDescent="0.25">
      <c r="A106">
        <f t="shared" si="39"/>
        <v>152</v>
      </c>
      <c r="D106" s="3" t="str">
        <f>_xlfn.CONCAT("(",FIXED(VLOOKUP($B105,Sheet5!$A:$AZ,19,0), 4),")")</f>
        <v>(0.0000)</v>
      </c>
      <c r="E106" s="3" t="str">
        <f>_xlfn.CONCAT("(",FIXED(VLOOKUP($B105,Sheet5!$A:$AZ,15,0), 4),")")</f>
        <v>(0.0000)</v>
      </c>
      <c r="F106" s="3" t="str">
        <f>_xlfn.CONCAT("(",FIXED(VLOOKUP($B105,Sheet5!$A:$AZ,11,0), 4),")")</f>
        <v>(0.0000)</v>
      </c>
      <c r="G106" s="3" t="str">
        <f>_xlfn.CONCAT("(",FIXED(VLOOKUP($B105,Sheet5!$A:$AZ,7,0), 4),")")</f>
        <v>(0.0170)</v>
      </c>
      <c r="H106" s="3" t="str">
        <f>_xlfn.CONCAT("(",FIXED(VLOOKUP($B105,Sheet5!$A:$AZ,3,0), 4),")")</f>
        <v>(0.0139)</v>
      </c>
    </row>
    <row r="107" spans="1:8" x14ac:dyDescent="0.25">
      <c r="A107">
        <f t="shared" si="38"/>
        <v>154</v>
      </c>
      <c r="B107" t="s">
        <v>53</v>
      </c>
      <c r="D107" s="3" t="str">
        <f>_xlfn.CONCAT(FIXED(VLOOKUP($B107,Sheet5!$A:$AZ,18,0),4),VLOOKUP($B107,Sheet5!$A:$AF,31,0))</f>
        <v>0.0000***</v>
      </c>
      <c r="E107" s="3" t="str">
        <f>_xlfn.CONCAT(FIXED(VLOOKUP($B107,Sheet5!$A:$AZ,14,0),4),VLOOKUP($B107,Sheet5!$A:$AF,30,0))</f>
        <v>0.0000***</v>
      </c>
      <c r="F107" s="3" t="str">
        <f>_xlfn.CONCAT(FIXED(VLOOKUP($B107,Sheet5!$A:$AZ,10,0),4),VLOOKUP($B107,Sheet5!$A:$AF,29,0))</f>
        <v>0.0000***</v>
      </c>
      <c r="G107" s="3" t="str">
        <f>_xlfn.CONCAT(FIXED(VLOOKUP($B107,Sheet5!$A:$AZ,6,0),4),VLOOKUP($B107,Sheet5!$A:$AF,28,0))</f>
        <v>0.0000</v>
      </c>
      <c r="H107" s="3" t="str">
        <f>_xlfn.CONCAT(FIXED(VLOOKUP($B107,Sheet5!$A:$AZ,2,0),4),VLOOKUP($B107,Sheet5!$A:$AF,27,0))</f>
        <v>0.0000</v>
      </c>
    </row>
    <row r="108" spans="1:8" x14ac:dyDescent="0.25">
      <c r="A108">
        <f t="shared" si="39"/>
        <v>155</v>
      </c>
      <c r="D108" s="3" t="str">
        <f>_xlfn.CONCAT("(",FIXED(VLOOKUP($B107,Sheet5!$A:$AZ,19,0), 4),")")</f>
        <v>(0.0000)</v>
      </c>
      <c r="E108" s="3" t="str">
        <f>_xlfn.CONCAT("(",FIXED(VLOOKUP($B107,Sheet5!$A:$AZ,15,0), 4),")")</f>
        <v>(0.0000)</v>
      </c>
      <c r="F108" s="3" t="str">
        <f>_xlfn.CONCAT("(",FIXED(VLOOKUP($B107,Sheet5!$A:$AZ,11,0), 4),")")</f>
        <v>(0.0000)</v>
      </c>
      <c r="G108" s="3" t="str">
        <f>_xlfn.CONCAT("(",FIXED(VLOOKUP($B107,Sheet5!$A:$AZ,7,0), 4),")")</f>
        <v>(0.0000)</v>
      </c>
      <c r="H108" s="3" t="str">
        <f>_xlfn.CONCAT("(",FIXED(VLOOKUP($B107,Sheet5!$A:$AZ,3,0),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D109" s="3" t="str">
        <f>_xlfn.CONCAT(FIXED(VLOOKUP($B109,Sheet5!$A:$AZ,18,0),4),VLOOKUP($B109,Sheet5!$A:$AF,31,0))</f>
        <v>0.0000***</v>
      </c>
      <c r="E109" s="3" t="str">
        <f>_xlfn.CONCAT(FIXED(VLOOKUP($B109,Sheet5!$A:$AZ,14,0),4),VLOOKUP($B109,Sheet5!$A:$AF,30,0))</f>
        <v>0.0000***</v>
      </c>
      <c r="F109" s="3" t="str">
        <f>_xlfn.CONCAT(FIXED(VLOOKUP($B109,Sheet5!$A:$AZ,10,0),4),VLOOKUP($B109,Sheet5!$A:$AF,29,0))</f>
        <v>0.0000***</v>
      </c>
      <c r="G109" s="3" t="str">
        <f>_xlfn.CONCAT(FIXED(VLOOKUP($B109,Sheet5!$A:$AZ,6,0),4),VLOOKUP($B109,Sheet5!$A:$AF,28,0))</f>
        <v>0.0000***</v>
      </c>
      <c r="H109" s="3" t="str">
        <f>_xlfn.CONCAT(FIXED(VLOOKUP($B109,Sheet5!$A:$AZ,2,0),4),VLOOKUP($B109,Sheet5!$A:$AF,27,0))</f>
        <v>0.0000***</v>
      </c>
    </row>
    <row r="110" spans="1:8" x14ac:dyDescent="0.25">
      <c r="A110">
        <f t="shared" ref="A110:A122" si="43">A109+1</f>
        <v>158</v>
      </c>
      <c r="D110" s="3" t="str">
        <f>_xlfn.CONCAT("(",FIXED(VLOOKUP($B109,Sheet5!$A:$AZ,19,0), 4),")")</f>
        <v>(0.0000)</v>
      </c>
      <c r="E110" s="3" t="str">
        <f>_xlfn.CONCAT("(",FIXED(VLOOKUP($B109,Sheet5!$A:$AZ,15,0), 4),")")</f>
        <v>(0.0000)</v>
      </c>
      <c r="F110" s="3" t="str">
        <f>_xlfn.CONCAT("(",FIXED(VLOOKUP($B109,Sheet5!$A:$AZ,11,0), 4),")")</f>
        <v>(0.0000)</v>
      </c>
      <c r="G110" s="3" t="str">
        <f>_xlfn.CONCAT("(",FIXED(VLOOKUP($B109,Sheet5!$A:$AZ,7,0), 4),")")</f>
        <v>(0.0000)</v>
      </c>
      <c r="H110" s="3" t="str">
        <f>_xlfn.CONCAT("(",FIXED(VLOOKUP($B109,Sheet5!$A:$AZ,3,0), 4),")")</f>
        <v>(0.0000)</v>
      </c>
    </row>
    <row r="111" spans="1:8" x14ac:dyDescent="0.25">
      <c r="A111">
        <f t="shared" si="38"/>
        <v>160</v>
      </c>
      <c r="B111" t="s">
        <v>43</v>
      </c>
      <c r="D111" s="3" t="str">
        <f>_xlfn.CONCAT(FIXED(VLOOKUP($B111,Sheet5!$A:$AZ,18,0),4),VLOOKUP($B111,Sheet5!$A:$AF,31,0))</f>
        <v>0.0000***</v>
      </c>
      <c r="E111" s="3" t="str">
        <f>_xlfn.CONCAT(FIXED(VLOOKUP($B111,Sheet5!$A:$AZ,14,0),4),VLOOKUP($B111,Sheet5!$A:$AF,30,0))</f>
        <v>0.0000***</v>
      </c>
      <c r="F111" s="3" t="str">
        <f>_xlfn.CONCAT(FIXED(VLOOKUP($B111,Sheet5!$A:$AZ,10,0),4),VLOOKUP($B111,Sheet5!$A:$AF,29,0))</f>
        <v>0.0000***</v>
      </c>
      <c r="G111" s="3" t="str">
        <f>_xlfn.CONCAT(FIXED(VLOOKUP($B111,Sheet5!$A:$AZ,6,0),4),VLOOKUP($B111,Sheet5!$A:$AF,28,0))</f>
        <v>0.0000***</v>
      </c>
      <c r="H111" s="3" t="str">
        <f>_xlfn.CONCAT(FIXED(VLOOKUP($B111,Sheet5!$A:$AZ,2,0),4),VLOOKUP($B111,Sheet5!$A:$AF,27,0))</f>
        <v>-0.5115*</v>
      </c>
    </row>
    <row r="112" spans="1:8" x14ac:dyDescent="0.25">
      <c r="A112">
        <f t="shared" si="39"/>
        <v>161</v>
      </c>
      <c r="D112" s="3" t="str">
        <f>_xlfn.CONCAT("(",FIXED(VLOOKUP($B111,Sheet5!$A:$AZ,19,0), 4),")")</f>
        <v>(0.0000)</v>
      </c>
      <c r="E112" s="3" t="str">
        <f>_xlfn.CONCAT("(",FIXED(VLOOKUP($B111,Sheet5!$A:$AZ,15,0), 4),")")</f>
        <v>(0.0000)</v>
      </c>
      <c r="F112" s="3" t="str">
        <f>_xlfn.CONCAT("(",FIXED(VLOOKUP($B111,Sheet5!$A:$AZ,11,0), 4),")")</f>
        <v>(0.0000)</v>
      </c>
      <c r="G112" s="3" t="str">
        <f>_xlfn.CONCAT("(",FIXED(VLOOKUP($B111,Sheet5!$A:$AZ,7,0), 4),")")</f>
        <v>(0.0000)</v>
      </c>
      <c r="H112" s="3" t="str">
        <f>_xlfn.CONCAT("(",FIXED(VLOOKUP($B111,Sheet5!$A:$AZ,3,0), 4),")")</f>
        <v>(0.2715)</v>
      </c>
    </row>
    <row r="113" spans="1:8" x14ac:dyDescent="0.25">
      <c r="A113">
        <f t="shared" si="42"/>
        <v>163</v>
      </c>
      <c r="B113" t="s">
        <v>44</v>
      </c>
      <c r="D113" s="3" t="str">
        <f>_xlfn.CONCAT(FIXED(VLOOKUP($B113,Sheet5!$A:$AZ,18,0),4),VLOOKUP($B113,Sheet5!$A:$AF,31,0))</f>
        <v>0.0000***</v>
      </c>
      <c r="E113" s="3" t="str">
        <f>_xlfn.CONCAT(FIXED(VLOOKUP($B113,Sheet5!$A:$AZ,14,0),4),VLOOKUP($B113,Sheet5!$A:$AF,30,0))</f>
        <v>0.0000***</v>
      </c>
      <c r="F113" s="3" t="str">
        <f>_xlfn.CONCAT(FIXED(VLOOKUP($B113,Sheet5!$A:$AZ,10,0),4),VLOOKUP($B113,Sheet5!$A:$AF,29,0))</f>
        <v>0.0000***</v>
      </c>
      <c r="G113" s="3" t="str">
        <f>_xlfn.CONCAT(FIXED(VLOOKUP($B113,Sheet5!$A:$AZ,6,0),4),VLOOKUP($B113,Sheet5!$A:$AF,28,0))</f>
        <v>0.0000***</v>
      </c>
      <c r="H113" s="3" t="str">
        <f>_xlfn.CONCAT(FIXED(VLOOKUP($B113,Sheet5!$A:$AZ,2,0),4),VLOOKUP($B113,Sheet5!$A:$AF,27,0))</f>
        <v>-0.1572**</v>
      </c>
    </row>
    <row r="114" spans="1:8" x14ac:dyDescent="0.25">
      <c r="A114">
        <f t="shared" si="43"/>
        <v>164</v>
      </c>
      <c r="D114" s="3" t="str">
        <f>_xlfn.CONCAT("(",FIXED(VLOOKUP($B113,Sheet5!$A:$AZ,19,0), 4),")")</f>
        <v>(0.0000)</v>
      </c>
      <c r="E114" s="3" t="str">
        <f>_xlfn.CONCAT("(",FIXED(VLOOKUP($B113,Sheet5!$A:$AZ,15,0), 4),")")</f>
        <v>(0.0000)</v>
      </c>
      <c r="F114" s="3" t="str">
        <f>_xlfn.CONCAT("(",FIXED(VLOOKUP($B113,Sheet5!$A:$AZ,11,0), 4),")")</f>
        <v>(0.0000)</v>
      </c>
      <c r="G114" s="3" t="str">
        <f>_xlfn.CONCAT("(",FIXED(VLOOKUP($B113,Sheet5!$A:$AZ,7,0), 4),")")</f>
        <v>(0.0000)</v>
      </c>
      <c r="H114" s="3" t="str">
        <f>_xlfn.CONCAT("(",FIXED(VLOOKUP($B113,Sheet5!$A:$AZ,3,0), 4),")")</f>
        <v>(0.0578)</v>
      </c>
    </row>
    <row r="115" spans="1:8" x14ac:dyDescent="0.25">
      <c r="A115">
        <f t="shared" si="38"/>
        <v>166</v>
      </c>
      <c r="B115" t="s">
        <v>45</v>
      </c>
      <c r="D115" s="3" t="str">
        <f>_xlfn.CONCAT(FIXED(VLOOKUP($B115,Sheet5!$A:$AZ,18,0),4),VLOOKUP($B115,Sheet5!$A:$AF,31,0))</f>
        <v>0.0000***</v>
      </c>
      <c r="E115" s="3" t="str">
        <f>_xlfn.CONCAT(FIXED(VLOOKUP($B115,Sheet5!$A:$AZ,14,0),4),VLOOKUP($B115,Sheet5!$A:$AF,30,0))</f>
        <v>0.0000***</v>
      </c>
      <c r="F115" s="3" t="str">
        <f>_xlfn.CONCAT(FIXED(VLOOKUP($B115,Sheet5!$A:$AZ,10,0),4),VLOOKUP($B115,Sheet5!$A:$AF,29,0))</f>
        <v>0.0000***</v>
      </c>
      <c r="G115" s="3" t="str">
        <f>_xlfn.CONCAT(FIXED(VLOOKUP($B115,Sheet5!$A:$AZ,6,0),4),VLOOKUP($B115,Sheet5!$A:$AF,28,0))</f>
        <v>0.0000***</v>
      </c>
      <c r="H115" s="3" t="str">
        <f>_xlfn.CONCAT(FIXED(VLOOKUP($B115,Sheet5!$A:$AZ,2,0),4),VLOOKUP($B115,Sheet5!$A:$AF,27,0))</f>
        <v>-0.3823**</v>
      </c>
    </row>
    <row r="116" spans="1:8" x14ac:dyDescent="0.25">
      <c r="A116">
        <f t="shared" si="39"/>
        <v>167</v>
      </c>
      <c r="D116" s="3" t="str">
        <f>_xlfn.CONCAT("(",FIXED(VLOOKUP($B115,Sheet5!$A:$AZ,19,0), 4),")")</f>
        <v>(0.0000)</v>
      </c>
      <c r="E116" s="3" t="str">
        <f>_xlfn.CONCAT("(",FIXED(VLOOKUP($B115,Sheet5!$A:$AZ,15,0), 4),")")</f>
        <v>(0.0000)</v>
      </c>
      <c r="F116" s="3" t="str">
        <f>_xlfn.CONCAT("(",FIXED(VLOOKUP($B115,Sheet5!$A:$AZ,11,0), 4),")")</f>
        <v>(0.0000)</v>
      </c>
      <c r="G116" s="3" t="str">
        <f>_xlfn.CONCAT("(",FIXED(VLOOKUP($B115,Sheet5!$A:$AZ,7,0), 4),")")</f>
        <v>(0.0000)</v>
      </c>
      <c r="H116" s="3" t="str">
        <f>_xlfn.CONCAT("(",FIXED(VLOOKUP($B115,Sheet5!$A:$AZ,3,0), 4),")")</f>
        <v>(0.1374)</v>
      </c>
    </row>
    <row r="117" spans="1:8" x14ac:dyDescent="0.25">
      <c r="A117">
        <f t="shared" si="42"/>
        <v>169</v>
      </c>
      <c r="B117" t="s">
        <v>48</v>
      </c>
      <c r="D117" s="3" t="str">
        <f>_xlfn.CONCAT(FIXED(VLOOKUP($B117,Sheet5!$A:$AZ,18,0),4),VLOOKUP($B117,Sheet5!$A:$AF,31,0))</f>
        <v>0.0000***</v>
      </c>
      <c r="E117" s="3" t="str">
        <f>_xlfn.CONCAT(FIXED(VLOOKUP($B117,Sheet5!$A:$AZ,14,0),4),VLOOKUP($B117,Sheet5!$A:$AF,30,0))</f>
        <v>0.0000***</v>
      </c>
      <c r="F117" s="3" t="str">
        <f>_xlfn.CONCAT(FIXED(VLOOKUP($B117,Sheet5!$A:$AZ,10,0),4),VLOOKUP($B117,Sheet5!$A:$AF,29,0))</f>
        <v>0.0000***</v>
      </c>
      <c r="G117" s="3" t="str">
        <f>_xlfn.CONCAT(FIXED(VLOOKUP($B117,Sheet5!$A:$AZ,6,0),4),VLOOKUP($B117,Sheet5!$A:$AF,28,0))</f>
        <v>0.0000***</v>
      </c>
      <c r="H117" s="3" t="str">
        <f>_xlfn.CONCAT(FIXED(VLOOKUP($B117,Sheet5!$A:$AZ,2,0),4),VLOOKUP($B117,Sheet5!$A:$AF,27,0))</f>
        <v>0.2042*</v>
      </c>
    </row>
    <row r="118" spans="1:8" x14ac:dyDescent="0.25">
      <c r="A118">
        <f t="shared" si="43"/>
        <v>170</v>
      </c>
      <c r="D118" s="3" t="str">
        <f>_xlfn.CONCAT("(",FIXED(VLOOKUP($B117,Sheet5!$A:$AZ,19,0), 4),")")</f>
        <v>(0.0000)</v>
      </c>
      <c r="E118" s="3" t="str">
        <f>_xlfn.CONCAT("(",FIXED(VLOOKUP($B117,Sheet5!$A:$AZ,15,0), 4),")")</f>
        <v>(0.0000)</v>
      </c>
      <c r="F118" s="3" t="str">
        <f>_xlfn.CONCAT("(",FIXED(VLOOKUP($B117,Sheet5!$A:$AZ,11,0), 4),")")</f>
        <v>(0.0000)</v>
      </c>
      <c r="G118" s="3" t="str">
        <f>_xlfn.CONCAT("(",FIXED(VLOOKUP($B117,Sheet5!$A:$AZ,7,0), 4),")")</f>
        <v>(0.0000)</v>
      </c>
      <c r="H118" s="3" t="str">
        <f>_xlfn.CONCAT("(",FIXED(VLOOKUP($B117,Sheet5!$A:$AZ,3,0), 4),")")</f>
        <v>(0.1052)</v>
      </c>
    </row>
    <row r="119" spans="1:8" x14ac:dyDescent="0.25">
      <c r="A119">
        <f t="shared" si="38"/>
        <v>172</v>
      </c>
      <c r="B119" t="s">
        <v>46</v>
      </c>
      <c r="D119" s="3" t="str">
        <f>_xlfn.CONCAT(FIXED(VLOOKUP($B119,Sheet5!$A:$AZ,18,0),4),VLOOKUP($B119,Sheet5!$A:$AF,31,0))</f>
        <v>0.0000***</v>
      </c>
      <c r="E119" s="3" t="str">
        <f>_xlfn.CONCAT(FIXED(VLOOKUP($B119,Sheet5!$A:$AZ,14,0),4),VLOOKUP($B119,Sheet5!$A:$AF,30,0))</f>
        <v>0.0000***</v>
      </c>
      <c r="F119" s="3" t="str">
        <f>_xlfn.CONCAT(FIXED(VLOOKUP($B119,Sheet5!$A:$AZ,10,0),4),VLOOKUP($B119,Sheet5!$A:$AF,29,0))</f>
        <v>0.0000***</v>
      </c>
      <c r="G119" s="3" t="str">
        <f>_xlfn.CONCAT(FIXED(VLOOKUP($B119,Sheet5!$A:$AZ,6,0),4),VLOOKUP($B119,Sheet5!$A:$AF,28,0))</f>
        <v>0.0000***</v>
      </c>
      <c r="H119" s="3" t="str">
        <f>_xlfn.CONCAT(FIXED(VLOOKUP($B119,Sheet5!$A:$AZ,2,0),4),VLOOKUP($B119,Sheet5!$A:$AF,27,0))</f>
        <v>-0.6031***</v>
      </c>
    </row>
    <row r="120" spans="1:8" x14ac:dyDescent="0.25">
      <c r="A120">
        <f t="shared" si="39"/>
        <v>173</v>
      </c>
      <c r="D120" s="3" t="str">
        <f>_xlfn.CONCAT("(",FIXED(VLOOKUP($B119,Sheet5!$A:$AZ,19,0), 4),")")</f>
        <v>(0.0000)</v>
      </c>
      <c r="E120" s="3" t="str">
        <f>_xlfn.CONCAT("(",FIXED(VLOOKUP($B119,Sheet5!$A:$AZ,15,0), 4),")")</f>
        <v>(0.0000)</v>
      </c>
      <c r="F120" s="3" t="str">
        <f>_xlfn.CONCAT("(",FIXED(VLOOKUP($B119,Sheet5!$A:$AZ,11,0), 4),")")</f>
        <v>(0.0000)</v>
      </c>
      <c r="G120" s="3" t="str">
        <f>_xlfn.CONCAT("(",FIXED(VLOOKUP($B119,Sheet5!$A:$AZ,7,0), 4),")")</f>
        <v>(0.0000)</v>
      </c>
      <c r="H120" s="3" t="str">
        <f>_xlfn.CONCAT("(",FIXED(VLOOKUP($B119,Sheet5!$A:$AZ,3,0), 4),")")</f>
        <v>(0.0952)</v>
      </c>
    </row>
    <row r="121" spans="1:8" x14ac:dyDescent="0.25">
      <c r="A121">
        <f t="shared" si="42"/>
        <v>175</v>
      </c>
      <c r="B121" t="s">
        <v>276</v>
      </c>
      <c r="C121" s="3" t="str">
        <f>_xlfn.CONCAT(FIXED(VLOOKUP($B121,Sheet5!A:$AZ,22,0),4),VLOOKUP($B121,Sheet5!$A:$AF,32,0))</f>
        <v>13.5307</v>
      </c>
      <c r="D121" s="3" t="str">
        <f>_xlfn.CONCAT(FIXED(VLOOKUP($B121,Sheet5!$A:$AZ,18,0),4),VLOOKUP($B121,Sheet5!$A:$AF,31,0))</f>
        <v>13.4466***</v>
      </c>
      <c r="E121" s="3" t="str">
        <f>_xlfn.CONCAT(FIXED(VLOOKUP($B121,Sheet5!$A:$AZ,14,0),4),VLOOKUP($B121,Sheet5!$A:$AF,30,0))</f>
        <v>13.0239***</v>
      </c>
      <c r="F121" s="3" t="str">
        <f>_xlfn.CONCAT(FIXED(VLOOKUP($B121,Sheet5!$A:$AZ,10,0),4),VLOOKUP($B121,Sheet5!$A:$AF,29,0))</f>
        <v>12.5824***</v>
      </c>
      <c r="G121" s="3" t="str">
        <f>_xlfn.CONCAT(FIXED(VLOOKUP($B121,Sheet5!$A:$AZ,6,0),4),VLOOKUP($B121,Sheet5!$A:$AF,28,0))</f>
        <v>-7.8713</v>
      </c>
      <c r="H121" s="3" t="str">
        <f>_xlfn.CONCAT(FIXED(VLOOKUP($B121,Sheet5!$A:$AZ,2,0),4),VLOOKUP($B121,Sheet5!$A:$AF,27,0))</f>
        <v>-5.3119</v>
      </c>
    </row>
    <row r="122" spans="1:8" ht="15.75" thickBot="1" x14ac:dyDescent="0.3">
      <c r="A122">
        <f t="shared" si="43"/>
        <v>176</v>
      </c>
      <c r="C122" s="3" t="str">
        <f>_xlfn.CONCAT("(",FIXED(VLOOKUP($B121,Sheet5!$A:$AZ,23,0), 4),")")</f>
        <v>(0.0618)</v>
      </c>
      <c r="D122" s="3" t="str">
        <f>_xlfn.CONCAT("(",FIXED(VLOOKUP($B121,Sheet5!$A:$AZ,19,0), 4),")")</f>
        <v>(0.0539)</v>
      </c>
      <c r="E122" s="3" t="str">
        <f>_xlfn.CONCAT("(",FIXED(VLOOKUP($B121,Sheet5!$A:$AZ,15,0), 4),")")</f>
        <v>(0.1617)</v>
      </c>
      <c r="F122" s="3" t="str">
        <f>_xlfn.CONCAT("(",FIXED(VLOOKUP($B121,Sheet5!$A:$AZ,11,0), 4),")")</f>
        <v>(0.1081)</v>
      </c>
      <c r="G122" s="3" t="str">
        <f>_xlfn.CONCAT("(",FIXED(VLOOKUP($B121,Sheet5!$A:$AZ,7,0), 4),")")</f>
        <v>(16.6899)</v>
      </c>
      <c r="H122" s="3" t="str">
        <f>_xlfn.CONCAT("(",FIXED(VLOOKUP($B121,Sheet5!$A:$AZ,3,0), 4),")")</f>
        <v>(13.6573)</v>
      </c>
    </row>
    <row r="123" spans="1:8" x14ac:dyDescent="0.25">
      <c r="A123">
        <v>179</v>
      </c>
      <c r="B123" s="14" t="s">
        <v>187</v>
      </c>
      <c r="C123" s="15"/>
      <c r="D123" s="15"/>
      <c r="E123" s="15"/>
      <c r="F123" s="15"/>
      <c r="G123" s="15"/>
      <c r="H123" s="15"/>
    </row>
    <row r="124" spans="1:8" ht="17.25" x14ac:dyDescent="0.25">
      <c r="A124">
        <v>180</v>
      </c>
      <c r="B124" t="s">
        <v>274</v>
      </c>
      <c r="E124" s="3"/>
      <c r="F124" s="3"/>
      <c r="G124" s="3"/>
      <c r="H124" s="3"/>
    </row>
    <row r="125" spans="1:8" ht="17.25" x14ac:dyDescent="0.25">
      <c r="A125">
        <v>181</v>
      </c>
      <c r="B125" t="s">
        <v>275</v>
      </c>
      <c r="E125" s="3"/>
      <c r="F125" s="3"/>
      <c r="G125" s="3"/>
      <c r="H125" s="3"/>
    </row>
    <row r="126" spans="1:8" x14ac:dyDescent="0.25">
      <c r="A126">
        <v>182</v>
      </c>
      <c r="B126" t="s">
        <v>262</v>
      </c>
      <c r="E126" s="3"/>
      <c r="F126" s="3"/>
      <c r="G126" s="3"/>
      <c r="H126" s="3"/>
    </row>
    <row r="127" spans="1:8" ht="15.75" thickBot="1" x14ac:dyDescent="0.3">
      <c r="A127">
        <v>183</v>
      </c>
      <c r="B127" s="16" t="s">
        <v>263</v>
      </c>
      <c r="C127" s="17"/>
      <c r="D127" s="17"/>
      <c r="E127" s="17"/>
      <c r="F127" s="17"/>
      <c r="G127" s="17"/>
      <c r="H127" s="17"/>
    </row>
    <row r="128" spans="1:8" x14ac:dyDescent="0.25">
      <c r="B128" t="s">
        <v>264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F64A4-9B68-45AE-AF35-FCA7C3CC7A28}">
  <sheetPr codeName="Sheet15"/>
  <dimension ref="A1:AF61"/>
  <sheetViews>
    <sheetView topLeftCell="F1" workbookViewId="0">
      <selection activeCell="AA3" sqref="AA3"/>
    </sheetView>
  </sheetViews>
  <sheetFormatPr defaultColWidth="11.42578125" defaultRowHeight="15" x14ac:dyDescent="0.25"/>
  <sheetData>
    <row r="1" spans="1:32" x14ac:dyDescent="0.25">
      <c r="A1" t="s">
        <v>277</v>
      </c>
      <c r="B1" t="s">
        <v>278</v>
      </c>
      <c r="C1" t="s">
        <v>279</v>
      </c>
      <c r="D1" t="s">
        <v>280</v>
      </c>
      <c r="E1" t="s">
        <v>281</v>
      </c>
      <c r="F1" t="s">
        <v>282</v>
      </c>
      <c r="G1" t="s">
        <v>283</v>
      </c>
      <c r="H1" t="s">
        <v>284</v>
      </c>
      <c r="I1" t="s">
        <v>285</v>
      </c>
      <c r="J1" t="s">
        <v>286</v>
      </c>
      <c r="K1" t="s">
        <v>287</v>
      </c>
      <c r="L1" t="s">
        <v>288</v>
      </c>
      <c r="M1" t="s">
        <v>289</v>
      </c>
      <c r="N1" t="s">
        <v>290</v>
      </c>
      <c r="O1" t="s">
        <v>291</v>
      </c>
      <c r="P1" t="s">
        <v>292</v>
      </c>
      <c r="Q1" t="s">
        <v>293</v>
      </c>
      <c r="R1" t="s">
        <v>294</v>
      </c>
      <c r="S1" t="s">
        <v>295</v>
      </c>
      <c r="T1" t="s">
        <v>296</v>
      </c>
      <c r="U1" t="s">
        <v>297</v>
      </c>
      <c r="V1" t="s">
        <v>298</v>
      </c>
      <c r="W1" t="s">
        <v>299</v>
      </c>
      <c r="X1" t="s">
        <v>300</v>
      </c>
      <c r="Y1" t="s">
        <v>301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276</v>
      </c>
      <c r="B2">
        <v>0.50325488377252603</v>
      </c>
      <c r="C2">
        <v>15.2655807531001</v>
      </c>
      <c r="D2">
        <v>3.2966638604320801E-2</v>
      </c>
      <c r="E2">
        <v>0.97430605783640301</v>
      </c>
      <c r="F2">
        <v>-9.5039678180379799</v>
      </c>
      <c r="G2">
        <v>19.489838413369998</v>
      </c>
      <c r="H2">
        <v>-0.487637076124668</v>
      </c>
      <c r="I2">
        <v>0.63814753579081795</v>
      </c>
      <c r="J2">
        <v>12.801110764747101</v>
      </c>
      <c r="K2">
        <v>0.118397815880161</v>
      </c>
      <c r="L2">
        <v>108.119484042713</v>
      </c>
      <c r="M2">
        <v>5.8807262283452198E-19</v>
      </c>
      <c r="N2">
        <v>13.0770644048193</v>
      </c>
      <c r="O2">
        <v>7.3591301417680305E-2</v>
      </c>
      <c r="P2">
        <v>177.698507199895</v>
      </c>
      <c r="Q2">
        <v>2.8865552959922502E-24</v>
      </c>
      <c r="R2">
        <v>13.7133593249204</v>
      </c>
      <c r="S2">
        <v>6.8361130950890206E-2</v>
      </c>
      <c r="T2">
        <v>200.601703543669</v>
      </c>
      <c r="U2">
        <v>1.17029150433321E-26</v>
      </c>
      <c r="V2">
        <v>13.8849318870283</v>
      </c>
      <c r="W2">
        <v>8.2671099489799296E-2</v>
      </c>
      <c r="X2">
        <v>167.953879562731</v>
      </c>
      <c r="Y2">
        <v>1.7710459821011101E-24</v>
      </c>
      <c r="AA2" s="54" t="s">
        <v>302</v>
      </c>
      <c r="AB2" s="54"/>
      <c r="AC2" s="54"/>
      <c r="AD2" s="54"/>
      <c r="AE2" s="54"/>
      <c r="AF2" s="54"/>
    </row>
    <row r="3" spans="1:32" x14ac:dyDescent="0.25">
      <c r="A3" t="s">
        <v>11</v>
      </c>
      <c r="B3">
        <v>3.2290939321977997E-2</v>
      </c>
      <c r="C3">
        <v>1.0586755969346599E-2</v>
      </c>
      <c r="D3">
        <v>3.05012597017204</v>
      </c>
      <c r="E3">
        <v>9.8906405819431699E-3</v>
      </c>
      <c r="F3">
        <v>4.1635796803707097E-2</v>
      </c>
      <c r="G3">
        <v>1.1009518935485E-2</v>
      </c>
      <c r="H3">
        <v>3.7817998268307602</v>
      </c>
      <c r="I3">
        <v>2.53278907942301E-3</v>
      </c>
      <c r="J3">
        <v>4.7108405407167701E-2</v>
      </c>
      <c r="K3">
        <v>1.3017557708659901E-2</v>
      </c>
      <c r="L3">
        <v>3.6188359184940602</v>
      </c>
      <c r="M3">
        <v>3.4192559555555899E-3</v>
      </c>
      <c r="N3">
        <v>4.4406251779484297E-2</v>
      </c>
      <c r="O3">
        <v>1.44777389711071E-2</v>
      </c>
      <c r="P3">
        <v>3.0672090350644399</v>
      </c>
      <c r="Q3">
        <v>9.5776846354955099E-3</v>
      </c>
      <c r="R3">
        <v>6.8153886785554701E-2</v>
      </c>
      <c r="S3">
        <v>2.2070229154781101E-2</v>
      </c>
      <c r="T3">
        <v>3.0880461778436299</v>
      </c>
      <c r="U3">
        <v>9.2131373566061298E-3</v>
      </c>
      <c r="V3">
        <v>5.6540042354934802E-2</v>
      </c>
      <c r="W3">
        <v>2.4495885342635498E-2</v>
      </c>
      <c r="X3">
        <v>2.3081444725954099</v>
      </c>
      <c r="Y3">
        <v>3.6476868345888799E-2</v>
      </c>
      <c r="AA3" t="str">
        <f>IF(E3&lt;0.01,"***",IF(E3&lt;0.05,"**",IF(E3&lt;0.1,"*","")))</f>
        <v>***</v>
      </c>
      <c r="AB3" t="str">
        <f>IF(I3&lt;0.01,"***",IF(I3&lt;0.05,"**",IF(I3&lt;0.1,"*","")))</f>
        <v>***</v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>*</v>
      </c>
    </row>
    <row r="4" spans="1:32" x14ac:dyDescent="0.25">
      <c r="A4" t="s">
        <v>16</v>
      </c>
      <c r="B4">
        <v>9.38745676999199E-5</v>
      </c>
      <c r="C4">
        <v>6.2497115918424106E-5</v>
      </c>
      <c r="D4">
        <v>1.5020623963264499</v>
      </c>
      <c r="E4">
        <v>0.15356546673463101</v>
      </c>
      <c r="F4">
        <v>1.73978565843861E-4</v>
      </c>
      <c r="G4">
        <v>9.2357279406039399E-5</v>
      </c>
      <c r="H4">
        <v>1.8837558551176301</v>
      </c>
      <c r="I4">
        <v>7.8930369569198605E-2</v>
      </c>
      <c r="J4">
        <v>2.79762886425745E-4</v>
      </c>
      <c r="K4">
        <v>1.17991037403805E-4</v>
      </c>
      <c r="L4">
        <v>2.3710520102328001</v>
      </c>
      <c r="M4">
        <v>3.1351598317402501E-2</v>
      </c>
      <c r="N4">
        <v>1.0670227288798E-4</v>
      </c>
      <c r="O4">
        <v>1.2384625614762901E-4</v>
      </c>
      <c r="P4">
        <v>0.86157043585384996</v>
      </c>
      <c r="Q4">
        <v>0.40220637425762901</v>
      </c>
      <c r="R4">
        <v>1.854947073425E-3</v>
      </c>
      <c r="S4">
        <v>2.89036194577227E-4</v>
      </c>
      <c r="T4">
        <v>6.4176982268197396</v>
      </c>
      <c r="U4">
        <v>1.2241640381788701E-5</v>
      </c>
      <c r="AA4" t="str">
        <f t="shared" ref="AA4:AA61" si="0">IF(E4&lt;0.01,"***",IF(E4&lt;0.05,"**",IF(E4&lt;0.1,"*","")))</f>
        <v/>
      </c>
      <c r="AB4" t="str">
        <f t="shared" ref="AB4:AB61" si="1">IF(I4&lt;0.01,"***",IF(I4&lt;0.05,"**",IF(I4&lt;0.1,"*","")))</f>
        <v>*</v>
      </c>
      <c r="AC4" t="str">
        <f t="shared" ref="AC4:AC61" si="2">IF(M4&lt;0.01,"***",IF(M4&lt;0.05,"**",IF(M4&lt;0.1,"*","")))</f>
        <v>**</v>
      </c>
      <c r="AD4" t="str">
        <f t="shared" ref="AD4:AD61" si="3">IF(Q4&lt;0.01,"***",IF(Q4&lt;0.05,"**",IF(Q4&lt;0.1,"*","")))</f>
        <v/>
      </c>
      <c r="AE4" t="str">
        <f t="shared" ref="AE4:AF61" si="4">IF(U4&lt;0.01,"***",IF(U4&lt;0.05,"**",IF(U4&lt;0.1,"*","")))</f>
        <v>***</v>
      </c>
      <c r="AF4" t="str">
        <f t="shared" si="4"/>
        <v>***</v>
      </c>
    </row>
    <row r="5" spans="1:32" x14ac:dyDescent="0.25">
      <c r="A5" t="s">
        <v>197</v>
      </c>
      <c r="B5">
        <v>3.2896634156623798E-2</v>
      </c>
      <c r="C5">
        <v>7.3818279150253798E-3</v>
      </c>
      <c r="D5">
        <v>4.4564347117418102</v>
      </c>
      <c r="E5">
        <v>5.0072387323814803E-4</v>
      </c>
      <c r="F5">
        <v>3.76697012079917E-2</v>
      </c>
      <c r="G5">
        <v>7.0873964096947496E-3</v>
      </c>
      <c r="H5">
        <v>5.3150267080396203</v>
      </c>
      <c r="I5">
        <v>9.7211905191816104E-5</v>
      </c>
      <c r="J5">
        <v>3.3860860924261799E-2</v>
      </c>
      <c r="K5">
        <v>9.7790523546584605E-3</v>
      </c>
      <c r="L5">
        <v>3.46259123033854</v>
      </c>
      <c r="M5">
        <v>3.6411840191924198E-3</v>
      </c>
      <c r="N5">
        <v>2.64526015172977E-2</v>
      </c>
      <c r="O5">
        <v>1.0620811308135599E-2</v>
      </c>
      <c r="P5">
        <v>2.49063849736554</v>
      </c>
      <c r="Q5">
        <v>2.5436283566625799E-2</v>
      </c>
      <c r="R5">
        <v>9.8098339185814107E-2</v>
      </c>
      <c r="S5">
        <v>1.8005490145594501E-2</v>
      </c>
      <c r="T5">
        <v>5.4482459734547204</v>
      </c>
      <c r="U5">
        <v>7.6338449545678596E-5</v>
      </c>
      <c r="AA5" t="str">
        <f t="shared" si="0"/>
        <v>***</v>
      </c>
      <c r="AB5" t="str">
        <f t="shared" si="1"/>
        <v>***</v>
      </c>
      <c r="AC5" t="str">
        <f t="shared" si="2"/>
        <v>***</v>
      </c>
      <c r="AD5" t="str">
        <f t="shared" si="3"/>
        <v>**</v>
      </c>
      <c r="AE5" t="str">
        <f t="shared" si="4"/>
        <v>***</v>
      </c>
      <c r="AF5" t="str">
        <f t="shared" si="4"/>
        <v>***</v>
      </c>
    </row>
    <row r="6" spans="1:32" x14ac:dyDescent="0.25">
      <c r="A6" t="s">
        <v>200</v>
      </c>
      <c r="B6">
        <v>3.5335104739919299E-2</v>
      </c>
      <c r="C6">
        <v>8.2427516601222203E-3</v>
      </c>
      <c r="D6">
        <v>4.28680933223644</v>
      </c>
      <c r="E6">
        <v>7.4757684408406795E-4</v>
      </c>
      <c r="F6">
        <v>4.0003716185543298E-2</v>
      </c>
      <c r="G6">
        <v>8.8485572467451798E-3</v>
      </c>
      <c r="H6">
        <v>4.5209309348434301</v>
      </c>
      <c r="I6">
        <v>4.75909146121439E-4</v>
      </c>
      <c r="J6">
        <v>3.3101072466710998E-2</v>
      </c>
      <c r="K6">
        <v>1.1885232552826501E-2</v>
      </c>
      <c r="L6">
        <v>2.7850588803867402</v>
      </c>
      <c r="M6">
        <v>1.45719211139375E-2</v>
      </c>
      <c r="N6">
        <v>2.6842312332985001E-2</v>
      </c>
      <c r="O6">
        <v>1.1760306889756199E-2</v>
      </c>
      <c r="P6">
        <v>2.28244998915513</v>
      </c>
      <c r="Q6">
        <v>3.8563196266552698E-2</v>
      </c>
      <c r="R6">
        <v>0.124976646236943</v>
      </c>
      <c r="S6">
        <v>2.16363935989013E-2</v>
      </c>
      <c r="T6">
        <v>5.7762235497180701</v>
      </c>
      <c r="U6">
        <v>4.7597912068528597E-5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</v>
      </c>
      <c r="AE6" t="str">
        <f t="shared" si="4"/>
        <v>***</v>
      </c>
      <c r="AF6" t="str">
        <f t="shared" si="4"/>
        <v>***</v>
      </c>
    </row>
    <row r="7" spans="1:32" x14ac:dyDescent="0.25">
      <c r="A7" t="s">
        <v>203</v>
      </c>
      <c r="B7">
        <v>1.1124360182002401E-2</v>
      </c>
      <c r="C7">
        <v>1.1003725581650199E-2</v>
      </c>
      <c r="D7">
        <v>1.0109630687767699</v>
      </c>
      <c r="E7">
        <v>0.32902796649444099</v>
      </c>
      <c r="F7">
        <v>1.6252688858282099E-2</v>
      </c>
      <c r="G7">
        <v>1.0240793688215901E-2</v>
      </c>
      <c r="H7">
        <v>1.5870536359876199</v>
      </c>
      <c r="I7">
        <v>0.13461563870472901</v>
      </c>
      <c r="J7">
        <v>5.7794678020620504E-3</v>
      </c>
      <c r="K7">
        <v>1.0830625103591099E-2</v>
      </c>
      <c r="L7">
        <v>0.53362273615635902</v>
      </c>
      <c r="M7">
        <v>0.60189809986387</v>
      </c>
      <c r="N7">
        <v>1.7309917340910699E-3</v>
      </c>
      <c r="O7">
        <v>1.06965012353025E-2</v>
      </c>
      <c r="P7">
        <v>0.161827844078411</v>
      </c>
      <c r="Q7">
        <v>0.87373143635269002</v>
      </c>
      <c r="R7">
        <v>7.7647746896431696E-2</v>
      </c>
      <c r="S7">
        <v>1.61020198938241E-2</v>
      </c>
      <c r="T7">
        <v>4.8222364280032597</v>
      </c>
      <c r="U7">
        <v>2.6312372939984102E-4</v>
      </c>
      <c r="AA7" t="str">
        <f t="shared" si="0"/>
        <v/>
      </c>
      <c r="AB7" t="str">
        <f t="shared" si="1"/>
        <v/>
      </c>
      <c r="AC7" t="str">
        <f t="shared" si="2"/>
        <v/>
      </c>
      <c r="AD7" t="str">
        <f t="shared" si="3"/>
        <v/>
      </c>
      <c r="AE7" t="str">
        <f t="shared" si="4"/>
        <v>***</v>
      </c>
      <c r="AF7" t="str">
        <f t="shared" si="4"/>
        <v>***</v>
      </c>
    </row>
    <row r="8" spans="1:32" x14ac:dyDescent="0.25">
      <c r="A8" t="s">
        <v>204</v>
      </c>
      <c r="B8">
        <v>3.8924246994016102E-3</v>
      </c>
      <c r="C8">
        <v>1.69165442596289E-2</v>
      </c>
      <c r="D8">
        <v>0.230095735846643</v>
      </c>
      <c r="E8">
        <v>0.821769822934174</v>
      </c>
      <c r="F8">
        <v>3.8914499040414198E-3</v>
      </c>
      <c r="G8">
        <v>1.57665555862735E-2</v>
      </c>
      <c r="H8">
        <v>0.24681674337477699</v>
      </c>
      <c r="I8">
        <v>0.80909015253973204</v>
      </c>
      <c r="J8">
        <v>-1.12738589024752E-2</v>
      </c>
      <c r="K8">
        <v>1.36819149142692E-2</v>
      </c>
      <c r="L8">
        <v>-0.82399715048055699</v>
      </c>
      <c r="M8">
        <v>0.42551469428799199</v>
      </c>
      <c r="N8">
        <v>-1.53519189841166E-2</v>
      </c>
      <c r="O8">
        <v>1.34472644805791E-2</v>
      </c>
      <c r="P8">
        <v>-1.1416388073788699</v>
      </c>
      <c r="Q8">
        <v>0.27521057964123002</v>
      </c>
      <c r="R8">
        <v>5.73111338770163E-2</v>
      </c>
      <c r="S8">
        <v>2.4334941879820202E-2</v>
      </c>
      <c r="T8">
        <v>2.3550963943144501</v>
      </c>
      <c r="U8">
        <v>3.5794268265955699E-2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/>
      </c>
      <c r="AE8" t="str">
        <f t="shared" si="4"/>
        <v>**</v>
      </c>
      <c r="AF8" t="str">
        <f t="shared" si="4"/>
        <v>***</v>
      </c>
    </row>
    <row r="9" spans="1:32" x14ac:dyDescent="0.25">
      <c r="A9" t="s">
        <v>205</v>
      </c>
      <c r="B9">
        <v>0.12746687612968999</v>
      </c>
      <c r="C9">
        <v>1.6494649323071299E-2</v>
      </c>
      <c r="D9">
        <v>7.7277712082911796</v>
      </c>
      <c r="E9">
        <v>3.8687565230042801E-6</v>
      </c>
      <c r="F9">
        <v>0.123546796465414</v>
      </c>
      <c r="G9">
        <v>1.59193021546464E-2</v>
      </c>
      <c r="H9">
        <v>7.7608173565167</v>
      </c>
      <c r="I9">
        <v>3.70241183323799E-6</v>
      </c>
      <c r="J9">
        <v>0.111652272940783</v>
      </c>
      <c r="K9">
        <v>1.33617123656142E-2</v>
      </c>
      <c r="L9">
        <v>8.3561350435978206</v>
      </c>
      <c r="M9">
        <v>1.6746176385180299E-6</v>
      </c>
      <c r="N9">
        <v>9.1262785979759203E-2</v>
      </c>
      <c r="O9">
        <v>1.40672566789151E-2</v>
      </c>
      <c r="P9">
        <v>6.4876036645119104</v>
      </c>
      <c r="Q9">
        <v>2.34519911647216E-5</v>
      </c>
      <c r="R9">
        <v>0.19436631882847</v>
      </c>
      <c r="S9">
        <v>2.7744112865428199E-2</v>
      </c>
      <c r="T9">
        <v>7.0056779170138199</v>
      </c>
      <c r="U9">
        <v>1.0834641750100801E-5</v>
      </c>
      <c r="AA9" t="str">
        <f t="shared" si="0"/>
        <v>***</v>
      </c>
      <c r="AB9" t="str">
        <f t="shared" si="1"/>
        <v>***</v>
      </c>
      <c r="AC9" t="str">
        <f t="shared" si="2"/>
        <v>***</v>
      </c>
      <c r="AD9" t="str">
        <f t="shared" si="3"/>
        <v>***</v>
      </c>
      <c r="AE9" t="str">
        <f t="shared" si="4"/>
        <v>***</v>
      </c>
      <c r="AF9" t="str">
        <f t="shared" si="4"/>
        <v>***</v>
      </c>
    </row>
    <row r="10" spans="1:32" x14ac:dyDescent="0.25">
      <c r="A10" t="s">
        <v>209</v>
      </c>
      <c r="B10">
        <v>0.153523865813363</v>
      </c>
      <c r="C10">
        <v>1.8762120957469E-2</v>
      </c>
      <c r="D10">
        <v>8.1826498273504793</v>
      </c>
      <c r="E10">
        <v>2.1088866851695702E-6</v>
      </c>
      <c r="F10">
        <v>0.15115982538446501</v>
      </c>
      <c r="G10">
        <v>1.8463321041973599E-2</v>
      </c>
      <c r="H10">
        <v>8.1870333641941109</v>
      </c>
      <c r="I10">
        <v>2.0993225134337099E-6</v>
      </c>
      <c r="J10">
        <v>0.12606231884938801</v>
      </c>
      <c r="K10">
        <v>1.3995111534391E-2</v>
      </c>
      <c r="L10">
        <v>9.0075965839649097</v>
      </c>
      <c r="M10">
        <v>7.4043821087750702E-7</v>
      </c>
      <c r="N10">
        <v>3.6870819625154302E-2</v>
      </c>
      <c r="O10">
        <v>2.4113434580046798E-2</v>
      </c>
      <c r="P10">
        <v>1.52905715288124</v>
      </c>
      <c r="Q10">
        <v>0.15085046437594901</v>
      </c>
      <c r="R10">
        <v>4.2996450910681203E-2</v>
      </c>
      <c r="S10">
        <v>4.90263834386871E-2</v>
      </c>
      <c r="T10">
        <v>0.87700637687160699</v>
      </c>
      <c r="U10">
        <v>0.39676563787983798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/>
      </c>
      <c r="AE10" t="str">
        <f t="shared" si="4"/>
        <v/>
      </c>
      <c r="AF10" t="str">
        <f t="shared" si="4"/>
        <v>***</v>
      </c>
    </row>
    <row r="11" spans="1:32" x14ac:dyDescent="0.25">
      <c r="A11" t="s">
        <v>211</v>
      </c>
      <c r="B11">
        <v>7.8342087471207494E-2</v>
      </c>
      <c r="C11">
        <v>3.4660088467358199E-2</v>
      </c>
      <c r="D11">
        <v>2.2602968121384799</v>
      </c>
      <c r="E11">
        <v>3.9135677328227099E-2</v>
      </c>
      <c r="F11">
        <v>7.1966320618744806E-2</v>
      </c>
      <c r="G11">
        <v>3.7309432409369001E-2</v>
      </c>
      <c r="H11">
        <v>1.92890419315714</v>
      </c>
      <c r="I11">
        <v>7.2932478533362197E-2</v>
      </c>
      <c r="J11">
        <v>1.8482498257172401E-2</v>
      </c>
      <c r="K11">
        <v>4.7738669220780398E-2</v>
      </c>
      <c r="L11">
        <v>0.38715989697356501</v>
      </c>
      <c r="M11">
        <v>0.70408843753233397</v>
      </c>
      <c r="N11">
        <v>-1.3601910196961799E-2</v>
      </c>
      <c r="O11">
        <v>3.3733998055683799E-2</v>
      </c>
      <c r="P11">
        <v>-0.40321073637668198</v>
      </c>
      <c r="Q11">
        <v>0.69315935967260101</v>
      </c>
      <c r="R11">
        <v>8.2857672191273907E-2</v>
      </c>
      <c r="S11">
        <v>5.4149982545707902E-2</v>
      </c>
      <c r="T11">
        <v>1.5301514108768901</v>
      </c>
      <c r="U11">
        <v>0.149291305327514</v>
      </c>
      <c r="AA11" t="str">
        <f t="shared" si="0"/>
        <v>**</v>
      </c>
      <c r="AB11" t="str">
        <f t="shared" si="1"/>
        <v>*</v>
      </c>
      <c r="AC11" t="str">
        <f t="shared" si="2"/>
        <v/>
      </c>
      <c r="AD11" t="str">
        <f t="shared" si="3"/>
        <v/>
      </c>
      <c r="AE11" t="str">
        <f t="shared" si="4"/>
        <v/>
      </c>
      <c r="AF11" t="str">
        <f t="shared" si="4"/>
        <v>***</v>
      </c>
    </row>
    <row r="12" spans="1:32" x14ac:dyDescent="0.25">
      <c r="A12" t="s">
        <v>15</v>
      </c>
      <c r="B12">
        <v>-2.8909156865308101E-2</v>
      </c>
      <c r="C12">
        <v>6.1768616125343701E-3</v>
      </c>
      <c r="D12">
        <v>-4.6802338596422999</v>
      </c>
      <c r="E12">
        <v>2.4007473623102499E-4</v>
      </c>
      <c r="F12">
        <v>-4.4984890678900102E-2</v>
      </c>
      <c r="G12">
        <v>8.7974659017244199E-3</v>
      </c>
      <c r="H12">
        <v>-5.1133918768679196</v>
      </c>
      <c r="I12">
        <v>1.03394485046498E-4</v>
      </c>
      <c r="J12">
        <v>-7.0246293251639405E-2</v>
      </c>
      <c r="K12">
        <v>9.9317004932530407E-3</v>
      </c>
      <c r="L12">
        <v>-7.0729371369344296</v>
      </c>
      <c r="M12">
        <v>2.8579868934010999E-6</v>
      </c>
      <c r="N12">
        <v>-4.94827017418214E-2</v>
      </c>
      <c r="O12">
        <v>1.27040479670013E-2</v>
      </c>
      <c r="P12">
        <v>-3.8950342339978898</v>
      </c>
      <c r="Q12">
        <v>1.2727473431111301E-3</v>
      </c>
      <c r="AA12" t="str">
        <f t="shared" si="0"/>
        <v>***</v>
      </c>
      <c r="AB12" t="str">
        <f t="shared" si="1"/>
        <v>***</v>
      </c>
      <c r="AC12" t="str">
        <f t="shared" si="2"/>
        <v>***</v>
      </c>
      <c r="AD12" t="str">
        <f t="shared" si="3"/>
        <v>***</v>
      </c>
      <c r="AE12" t="str">
        <f t="shared" si="4"/>
        <v>***</v>
      </c>
      <c r="AF12" t="str">
        <f t="shared" si="4"/>
        <v>***</v>
      </c>
    </row>
    <row r="13" spans="1:32" x14ac:dyDescent="0.25">
      <c r="A13" t="s">
        <v>13</v>
      </c>
      <c r="B13">
        <v>6.5795151205987196E-2</v>
      </c>
      <c r="C13">
        <v>6.5925386300429399E-3</v>
      </c>
      <c r="D13">
        <v>9.9802450767829001</v>
      </c>
      <c r="E13">
        <v>3.3742292340550403E-8</v>
      </c>
      <c r="F13">
        <v>7.7940267111898304E-2</v>
      </c>
      <c r="G13">
        <v>6.9310537018149104E-3</v>
      </c>
      <c r="H13">
        <v>11.245081983925401</v>
      </c>
      <c r="I13">
        <v>6.3589231801341603E-9</v>
      </c>
      <c r="J13">
        <v>0.10769435140828899</v>
      </c>
      <c r="K13">
        <v>1.55240353047718E-2</v>
      </c>
      <c r="L13">
        <v>6.9372652982298799</v>
      </c>
      <c r="M13">
        <v>3.8682900309083797E-6</v>
      </c>
      <c r="N13">
        <v>0.109882833157371</v>
      </c>
      <c r="O13">
        <v>1.5991397861826798E-2</v>
      </c>
      <c r="P13">
        <v>6.8713713526991498</v>
      </c>
      <c r="Q13">
        <v>4.3163872188676699E-6</v>
      </c>
      <c r="AA13" t="str">
        <f t="shared" si="0"/>
        <v>***</v>
      </c>
      <c r="AB13" t="str">
        <f t="shared" si="1"/>
        <v>***</v>
      </c>
      <c r="AC13" t="str">
        <f t="shared" si="2"/>
        <v>***</v>
      </c>
      <c r="AD13" t="str">
        <f t="shared" si="3"/>
        <v>***</v>
      </c>
      <c r="AE13" t="str">
        <f t="shared" si="4"/>
        <v>***</v>
      </c>
      <c r="AF13" t="str">
        <f t="shared" si="4"/>
        <v>***</v>
      </c>
    </row>
    <row r="14" spans="1:32" x14ac:dyDescent="0.25">
      <c r="A14" t="s">
        <v>14</v>
      </c>
      <c r="B14">
        <v>4.2706233119788398E-2</v>
      </c>
      <c r="C14">
        <v>5.4301313659788899E-3</v>
      </c>
      <c r="D14">
        <v>7.8646777106265597</v>
      </c>
      <c r="E14">
        <v>7.79171365587912E-7</v>
      </c>
      <c r="F14">
        <v>4.7864258545382198E-2</v>
      </c>
      <c r="G14">
        <v>6.6313030578549204E-3</v>
      </c>
      <c r="H14">
        <v>7.2179265715636403</v>
      </c>
      <c r="I14">
        <v>2.26317564194625E-6</v>
      </c>
      <c r="J14">
        <v>3.7097034717773897E-2</v>
      </c>
      <c r="K14">
        <v>7.2698928390309602E-3</v>
      </c>
      <c r="L14">
        <v>5.1028310236714196</v>
      </c>
      <c r="M14">
        <v>1.12419888235457E-4</v>
      </c>
      <c r="N14">
        <v>5.0971347469114803E-2</v>
      </c>
      <c r="O14">
        <v>1.0495227287017E-2</v>
      </c>
      <c r="P14">
        <v>4.8566215933377999</v>
      </c>
      <c r="Q14">
        <v>1.84409509277053E-4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4"/>
        <v>***</v>
      </c>
    </row>
    <row r="15" spans="1:32" x14ac:dyDescent="0.25">
      <c r="A15" t="s">
        <v>59</v>
      </c>
      <c r="B15">
        <v>-5.0009518366563803E-2</v>
      </c>
      <c r="C15">
        <v>9.1237706919719292E-3</v>
      </c>
      <c r="D15">
        <v>-5.4812335880566998</v>
      </c>
      <c r="E15">
        <v>5.3184924952240902E-5</v>
      </c>
      <c r="F15">
        <v>-5.5069384825826101E-2</v>
      </c>
      <c r="G15">
        <v>9.4105936321536698E-3</v>
      </c>
      <c r="H15">
        <v>-5.8518502634804701</v>
      </c>
      <c r="I15">
        <v>2.6467502225890699E-5</v>
      </c>
      <c r="J15">
        <v>-4.8965048911405303E-2</v>
      </c>
      <c r="K15">
        <v>1.9963752125662499E-2</v>
      </c>
      <c r="L15">
        <v>-2.4526976994701699</v>
      </c>
      <c r="M15">
        <v>2.6290366041966499E-2</v>
      </c>
      <c r="N15">
        <v>-8.9905339584185201E-2</v>
      </c>
      <c r="O15">
        <v>2.2445993350742599E-2</v>
      </c>
      <c r="P15">
        <v>-4.0054070309706704</v>
      </c>
      <c r="Q15">
        <v>1.0520601927793E-3</v>
      </c>
      <c r="AA15" t="str">
        <f t="shared" si="0"/>
        <v>***</v>
      </c>
      <c r="AB15" t="str">
        <f t="shared" si="1"/>
        <v>***</v>
      </c>
      <c r="AC15" t="str">
        <f t="shared" si="2"/>
        <v>**</v>
      </c>
      <c r="AD15" t="str">
        <f t="shared" si="3"/>
        <v>***</v>
      </c>
      <c r="AE15" t="str">
        <f t="shared" si="4"/>
        <v>***</v>
      </c>
      <c r="AF15" t="str">
        <f t="shared" si="4"/>
        <v>***</v>
      </c>
    </row>
    <row r="16" spans="1:32" x14ac:dyDescent="0.25">
      <c r="A16" t="s">
        <v>60</v>
      </c>
      <c r="B16">
        <v>-9.0459566029661306E-2</v>
      </c>
      <c r="C16">
        <v>1.2808876396895401E-2</v>
      </c>
      <c r="D16">
        <v>-7.06225614383996</v>
      </c>
      <c r="E16">
        <v>3.0633170600198799E-6</v>
      </c>
      <c r="F16">
        <v>-0.102994051872579</v>
      </c>
      <c r="G16">
        <v>1.6120305446123601E-2</v>
      </c>
      <c r="H16">
        <v>-6.3890881110658704</v>
      </c>
      <c r="I16">
        <v>9.9386441996389304E-6</v>
      </c>
      <c r="J16">
        <v>-6.8721515814217204E-2</v>
      </c>
      <c r="K16">
        <v>3.0092752347895699E-2</v>
      </c>
      <c r="L16">
        <v>-2.28365670975333</v>
      </c>
      <c r="M16">
        <v>3.6870956618328503E-2</v>
      </c>
      <c r="N16">
        <v>-0.23235606674158699</v>
      </c>
      <c r="O16">
        <v>4.5400250595856499E-2</v>
      </c>
      <c r="P16">
        <v>-5.1179467886636001</v>
      </c>
      <c r="Q16">
        <v>9.2394355112885004E-5</v>
      </c>
      <c r="AA16" t="str">
        <f t="shared" si="0"/>
        <v>***</v>
      </c>
      <c r="AB16" t="str">
        <f t="shared" si="1"/>
        <v>***</v>
      </c>
      <c r="AC16" t="str">
        <f t="shared" si="2"/>
        <v>**</v>
      </c>
      <c r="AD16" t="str">
        <f t="shared" si="3"/>
        <v>***</v>
      </c>
      <c r="AE16" t="str">
        <f t="shared" si="4"/>
        <v>***</v>
      </c>
      <c r="AF16" t="str">
        <f t="shared" si="4"/>
        <v>***</v>
      </c>
    </row>
    <row r="17" spans="1:32" x14ac:dyDescent="0.25">
      <c r="A17" t="s">
        <v>18</v>
      </c>
      <c r="B17">
        <v>1.8189384391595001E-4</v>
      </c>
      <c r="C17">
        <v>9.1919714779749798E-6</v>
      </c>
      <c r="D17">
        <v>19.788338590017201</v>
      </c>
      <c r="E17">
        <v>1.4563239026471801E-11</v>
      </c>
      <c r="F17">
        <v>2.0110168697643301E-4</v>
      </c>
      <c r="G17">
        <v>1.26918717998739E-5</v>
      </c>
      <c r="H17">
        <v>15.8449195002451</v>
      </c>
      <c r="I17">
        <v>3.9249380549402199E-10</v>
      </c>
      <c r="J17">
        <v>2.4999344138486302E-4</v>
      </c>
      <c r="K17">
        <v>1.79418291214454E-5</v>
      </c>
      <c r="L17">
        <v>13.9335538028312</v>
      </c>
      <c r="M17">
        <v>1.9337780283945802E-9</v>
      </c>
      <c r="N17">
        <v>2.7264505175916002E-4</v>
      </c>
      <c r="O17">
        <v>1.55152044295449E-5</v>
      </c>
      <c r="P17">
        <v>17.572765669782299</v>
      </c>
      <c r="Q17">
        <v>7.2000569174589802E-11</v>
      </c>
      <c r="AA17" t="str">
        <f t="shared" si="0"/>
        <v>***</v>
      </c>
      <c r="AB17" t="str">
        <f t="shared" si="1"/>
        <v>***</v>
      </c>
      <c r="AC17" t="str">
        <f t="shared" si="2"/>
        <v>***</v>
      </c>
      <c r="AD17" t="str">
        <f t="shared" si="3"/>
        <v>***</v>
      </c>
      <c r="AE17" t="str">
        <f t="shared" si="4"/>
        <v>***</v>
      </c>
      <c r="AF17" t="str">
        <f t="shared" si="4"/>
        <v>***</v>
      </c>
    </row>
    <row r="18" spans="1:32" x14ac:dyDescent="0.25">
      <c r="A18" t="s">
        <v>33</v>
      </c>
      <c r="B18">
        <v>-2.7511017774445199E-3</v>
      </c>
      <c r="C18">
        <v>1.0295863580708901E-3</v>
      </c>
      <c r="D18">
        <v>-2.6720456772554599</v>
      </c>
      <c r="E18">
        <v>1.7570452714528E-2</v>
      </c>
      <c r="F18">
        <v>-3.65446317299687E-3</v>
      </c>
      <c r="G18">
        <v>1.0254746592704301E-3</v>
      </c>
      <c r="H18">
        <v>-3.5636796482097499</v>
      </c>
      <c r="I18">
        <v>2.96845960364397E-3</v>
      </c>
      <c r="J18">
        <v>2.8282167221342701E-3</v>
      </c>
      <c r="K18">
        <v>2.0544858487484999E-3</v>
      </c>
      <c r="L18">
        <v>1.37660559884464</v>
      </c>
      <c r="M18">
        <v>0.19044692278532799</v>
      </c>
      <c r="N18">
        <v>5.1840642130572404E-4</v>
      </c>
      <c r="O18">
        <v>1.9682722270041499E-3</v>
      </c>
      <c r="P18">
        <v>0.263381464308307</v>
      </c>
      <c r="Q18">
        <v>0.79648348843595895</v>
      </c>
      <c r="AA18" t="str">
        <f t="shared" si="0"/>
        <v>**</v>
      </c>
      <c r="AB18" t="str">
        <f t="shared" si="1"/>
        <v>***</v>
      </c>
      <c r="AC18" t="str">
        <f t="shared" si="2"/>
        <v/>
      </c>
      <c r="AD18" t="str">
        <f t="shared" si="3"/>
        <v/>
      </c>
      <c r="AE18" t="str">
        <f t="shared" si="4"/>
        <v>***</v>
      </c>
      <c r="AF18" t="str">
        <f t="shared" si="4"/>
        <v>***</v>
      </c>
    </row>
    <row r="19" spans="1:32" x14ac:dyDescent="0.25">
      <c r="A19" t="s">
        <v>34</v>
      </c>
      <c r="B19">
        <v>3.9142709069914301E-2</v>
      </c>
      <c r="C19">
        <v>1.08975871301483E-2</v>
      </c>
      <c r="D19">
        <v>3.5918693379037698</v>
      </c>
      <c r="E19">
        <v>3.0095213567750802E-3</v>
      </c>
      <c r="F19">
        <v>4.9482262467589799E-2</v>
      </c>
      <c r="G19">
        <v>1.19536359959415E-2</v>
      </c>
      <c r="H19">
        <v>4.1395155820697704</v>
      </c>
      <c r="I19">
        <v>1.0111620327739E-3</v>
      </c>
      <c r="J19">
        <v>2.1870560173123499E-2</v>
      </c>
      <c r="K19">
        <v>2.1848786814938698E-2</v>
      </c>
      <c r="L19">
        <v>1.0009965476970999</v>
      </c>
      <c r="M19">
        <v>0.33415873966071502</v>
      </c>
      <c r="N19">
        <v>4.0356780614184899E-2</v>
      </c>
      <c r="O19">
        <v>2.17152134704711E-2</v>
      </c>
      <c r="P19">
        <v>1.85845654564083</v>
      </c>
      <c r="Q19">
        <v>8.5389106549197402E-2</v>
      </c>
      <c r="AA19" t="str">
        <f t="shared" si="0"/>
        <v>***</v>
      </c>
      <c r="AB19" t="str">
        <f t="shared" si="1"/>
        <v>***</v>
      </c>
      <c r="AC19" t="str">
        <f t="shared" si="2"/>
        <v/>
      </c>
      <c r="AD19" t="str">
        <f t="shared" si="3"/>
        <v>*</v>
      </c>
      <c r="AE19" t="str">
        <f t="shared" si="4"/>
        <v>***</v>
      </c>
      <c r="AF19" t="str">
        <f t="shared" si="4"/>
        <v>***</v>
      </c>
    </row>
    <row r="20" spans="1:32" x14ac:dyDescent="0.25">
      <c r="A20" t="s">
        <v>21</v>
      </c>
      <c r="B20">
        <v>-3.1634492032009E-2</v>
      </c>
      <c r="C20">
        <v>1.4536242195345999E-2</v>
      </c>
      <c r="D20">
        <v>-2.1762496528942901</v>
      </c>
      <c r="E20">
        <v>5.5075864989075497E-2</v>
      </c>
      <c r="F20">
        <v>-5.1328513536911501E-2</v>
      </c>
      <c r="G20">
        <v>1.75371292342207E-2</v>
      </c>
      <c r="H20">
        <v>-2.92684810902532</v>
      </c>
      <c r="I20">
        <v>1.5365929310669799E-2</v>
      </c>
      <c r="J20">
        <v>-2.8539460246064699E-2</v>
      </c>
      <c r="K20">
        <v>3.1808211184865001E-2</v>
      </c>
      <c r="L20">
        <v>-0.89723562510941401</v>
      </c>
      <c r="M20">
        <v>0.39113466793950802</v>
      </c>
      <c r="N20">
        <v>-1.20932247637983E-2</v>
      </c>
      <c r="O20">
        <v>3.1995806408343298E-2</v>
      </c>
      <c r="P20">
        <v>-0.37796280579585001</v>
      </c>
      <c r="Q20">
        <v>0.713528283568863</v>
      </c>
      <c r="AA20" t="str">
        <f t="shared" si="0"/>
        <v>*</v>
      </c>
      <c r="AB20" t="str">
        <f t="shared" si="1"/>
        <v>**</v>
      </c>
      <c r="AC20" t="str">
        <f t="shared" si="2"/>
        <v/>
      </c>
      <c r="AD20" t="str">
        <f t="shared" si="3"/>
        <v/>
      </c>
      <c r="AE20" t="str">
        <f t="shared" si="4"/>
        <v>***</v>
      </c>
      <c r="AF20" t="str">
        <f t="shared" si="4"/>
        <v>***</v>
      </c>
    </row>
    <row r="21" spans="1:32" x14ac:dyDescent="0.25">
      <c r="A21" t="s">
        <v>221</v>
      </c>
      <c r="B21">
        <v>0.114557891551665</v>
      </c>
      <c r="C21">
        <v>1.0472467121633799E-2</v>
      </c>
      <c r="D21">
        <v>10.9389592940343</v>
      </c>
      <c r="E21">
        <v>1.68634351001132E-8</v>
      </c>
      <c r="F21">
        <v>0.121874087550869</v>
      </c>
      <c r="G21">
        <v>1.32856777299536E-2</v>
      </c>
      <c r="H21">
        <v>9.1733436583437697</v>
      </c>
      <c r="I21">
        <v>1.6702068360621199E-7</v>
      </c>
      <c r="J21">
        <v>0.15589271649334099</v>
      </c>
      <c r="K21">
        <v>2.27093314528902E-2</v>
      </c>
      <c r="L21">
        <v>6.8646986291399799</v>
      </c>
      <c r="M21">
        <v>5.7451972072024097E-6</v>
      </c>
      <c r="N21">
        <v>0.144841654539414</v>
      </c>
      <c r="O21">
        <v>2.3778390255965599E-2</v>
      </c>
      <c r="P21">
        <v>6.0913145499021297</v>
      </c>
      <c r="Q21">
        <v>2.1578654961845802E-5</v>
      </c>
      <c r="AA21" t="str">
        <f t="shared" si="0"/>
        <v>***</v>
      </c>
      <c r="AB21" t="str">
        <f t="shared" si="1"/>
        <v>***</v>
      </c>
      <c r="AC21" t="str">
        <f t="shared" si="2"/>
        <v>***</v>
      </c>
      <c r="AD21" t="str">
        <f t="shared" si="3"/>
        <v>***</v>
      </c>
      <c r="AE21" t="str">
        <f t="shared" si="4"/>
        <v>***</v>
      </c>
      <c r="AF21" t="str">
        <f t="shared" si="4"/>
        <v>***</v>
      </c>
    </row>
    <row r="22" spans="1:32" x14ac:dyDescent="0.25">
      <c r="A22" t="s">
        <v>222</v>
      </c>
      <c r="B22">
        <v>5.7634931139187599E-2</v>
      </c>
      <c r="C22">
        <v>3.9208450114741004E-3</v>
      </c>
      <c r="D22">
        <v>14.699619844835199</v>
      </c>
      <c r="E22">
        <v>1.00407044805448E-10</v>
      </c>
      <c r="F22">
        <v>6.0891565317747802E-2</v>
      </c>
      <c r="G22">
        <v>5.0900745108061699E-3</v>
      </c>
      <c r="H22">
        <v>11.962804314254299</v>
      </c>
      <c r="I22">
        <v>2.1153376552886801E-9</v>
      </c>
      <c r="J22">
        <v>7.69796450302319E-2</v>
      </c>
      <c r="K22">
        <v>1.0051151481742401E-2</v>
      </c>
      <c r="L22">
        <v>7.6587886641707703</v>
      </c>
      <c r="M22">
        <v>9.7186720494333001E-7</v>
      </c>
      <c r="N22">
        <v>7.4417674549396101E-2</v>
      </c>
      <c r="O22">
        <v>1.2385602941966899E-2</v>
      </c>
      <c r="P22">
        <v>6.0084014398073702</v>
      </c>
      <c r="Q22">
        <v>1.7987379712236001E-5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4"/>
        <v>***</v>
      </c>
    </row>
    <row r="23" spans="1:32" x14ac:dyDescent="0.25">
      <c r="A23" t="s">
        <v>225</v>
      </c>
      <c r="B23">
        <v>-5.0635821426904197E-2</v>
      </c>
      <c r="C23">
        <v>1.08911738368425E-2</v>
      </c>
      <c r="D23">
        <v>-4.6492528891251297</v>
      </c>
      <c r="E23">
        <v>2.2813629210715101E-4</v>
      </c>
      <c r="F23">
        <v>-4.7708927150721898E-2</v>
      </c>
      <c r="G23">
        <v>1.3461477985539301E-2</v>
      </c>
      <c r="H23">
        <v>-3.5441076531100202</v>
      </c>
      <c r="I23">
        <v>2.4843794704184001E-3</v>
      </c>
      <c r="J23">
        <v>-4.2691184474437698E-2</v>
      </c>
      <c r="K23">
        <v>1.87171940007104E-2</v>
      </c>
      <c r="L23">
        <v>-2.2808538754696599</v>
      </c>
      <c r="M23">
        <v>3.5685196227965503E-2</v>
      </c>
      <c r="N23">
        <v>-3.7838418550324097E-2</v>
      </c>
      <c r="O23">
        <v>1.9909976626913899E-2</v>
      </c>
      <c r="P23">
        <v>-1.90047528730772</v>
      </c>
      <c r="Q23">
        <v>7.4367434341936905E-2</v>
      </c>
      <c r="AA23" t="str">
        <f t="shared" si="0"/>
        <v>***</v>
      </c>
      <c r="AB23" t="str">
        <f t="shared" si="1"/>
        <v>***</v>
      </c>
      <c r="AC23" t="str">
        <f t="shared" si="2"/>
        <v>**</v>
      </c>
      <c r="AD23" t="str">
        <f t="shared" si="3"/>
        <v>*</v>
      </c>
      <c r="AE23" t="str">
        <f t="shared" si="4"/>
        <v>***</v>
      </c>
      <c r="AF23" t="str">
        <f t="shared" si="4"/>
        <v>***</v>
      </c>
    </row>
    <row r="24" spans="1:32" x14ac:dyDescent="0.25">
      <c r="A24" t="s">
        <v>22</v>
      </c>
      <c r="B24">
        <v>3.6774390346567702E-2</v>
      </c>
      <c r="C24">
        <v>1.48938892174122E-2</v>
      </c>
      <c r="D24">
        <v>2.4690925123556999</v>
      </c>
      <c r="E24">
        <v>2.7385921765869702E-2</v>
      </c>
      <c r="F24">
        <v>3.8384737770962699E-2</v>
      </c>
      <c r="G24">
        <v>1.42432801253158E-2</v>
      </c>
      <c r="H24">
        <v>2.69493666018252</v>
      </c>
      <c r="I24">
        <v>1.7726464956459301E-2</v>
      </c>
      <c r="J24">
        <v>5.2474427621268201E-2</v>
      </c>
      <c r="K24">
        <v>1.8296336991153999E-2</v>
      </c>
      <c r="L24">
        <v>2.8680291386543</v>
      </c>
      <c r="M24">
        <v>1.2670757272072E-2</v>
      </c>
      <c r="AA24" t="str">
        <f t="shared" si="0"/>
        <v>**</v>
      </c>
      <c r="AB24" t="str">
        <f t="shared" si="1"/>
        <v>**</v>
      </c>
      <c r="AC24" t="str">
        <f t="shared" si="2"/>
        <v>**</v>
      </c>
      <c r="AD24" t="str">
        <f t="shared" si="3"/>
        <v>***</v>
      </c>
      <c r="AE24" t="str">
        <f t="shared" si="4"/>
        <v>***</v>
      </c>
      <c r="AF24" t="str">
        <f t="shared" si="4"/>
        <v>***</v>
      </c>
    </row>
    <row r="25" spans="1:32" x14ac:dyDescent="0.25">
      <c r="A25" t="s">
        <v>23</v>
      </c>
      <c r="B25">
        <v>-0.11333164938877401</v>
      </c>
      <c r="C25">
        <v>3.3320827501815503E-2</v>
      </c>
      <c r="D25">
        <v>-3.4012255362685502</v>
      </c>
      <c r="E25">
        <v>1.36062406582992E-2</v>
      </c>
      <c r="F25">
        <v>-0.12648720511401099</v>
      </c>
      <c r="G25">
        <v>3.7984922510819703E-2</v>
      </c>
      <c r="H25">
        <v>-3.3299318980572301</v>
      </c>
      <c r="I25">
        <v>1.4868209962714299E-2</v>
      </c>
      <c r="J25">
        <v>-0.11383711533690299</v>
      </c>
      <c r="K25">
        <v>4.4855078103399497E-2</v>
      </c>
      <c r="L25">
        <v>-2.53788690490041</v>
      </c>
      <c r="M25">
        <v>4.2653854401165002E-2</v>
      </c>
      <c r="AA25" t="str">
        <f t="shared" si="0"/>
        <v>**</v>
      </c>
      <c r="AB25" t="str">
        <f t="shared" si="1"/>
        <v>**</v>
      </c>
      <c r="AC25" t="str">
        <f t="shared" si="2"/>
        <v>**</v>
      </c>
      <c r="AD25" t="str">
        <f t="shared" si="3"/>
        <v>***</v>
      </c>
      <c r="AE25" t="str">
        <f t="shared" si="4"/>
        <v>***</v>
      </c>
      <c r="AF25" t="str">
        <f t="shared" si="4"/>
        <v>***</v>
      </c>
    </row>
    <row r="26" spans="1:32" x14ac:dyDescent="0.25">
      <c r="A26" t="s">
        <v>24</v>
      </c>
      <c r="B26">
        <v>-0.45547924425535602</v>
      </c>
      <c r="C26">
        <v>4.3224154409882497E-2</v>
      </c>
      <c r="D26">
        <v>-10.5376091325275</v>
      </c>
      <c r="E26">
        <v>3.6329942132408001E-8</v>
      </c>
      <c r="F26">
        <v>-0.45643509648945402</v>
      </c>
      <c r="G26">
        <v>3.8209655633642099E-2</v>
      </c>
      <c r="H26">
        <v>-11.9455433167417</v>
      </c>
      <c r="I26">
        <v>7.3967204990832897E-9</v>
      </c>
      <c r="J26">
        <v>-0.40644602566161903</v>
      </c>
      <c r="K26">
        <v>3.5672278238605797E-2</v>
      </c>
      <c r="L26">
        <v>-11.393890318498</v>
      </c>
      <c r="M26">
        <v>1.3991700816704401E-8</v>
      </c>
      <c r="AA26" t="str">
        <f t="shared" si="0"/>
        <v>***</v>
      </c>
      <c r="AB26" t="str">
        <f t="shared" si="1"/>
        <v>***</v>
      </c>
      <c r="AC26" t="str">
        <f t="shared" si="2"/>
        <v>***</v>
      </c>
      <c r="AD26" t="str">
        <f t="shared" si="3"/>
        <v>***</v>
      </c>
      <c r="AE26" t="str">
        <f t="shared" si="4"/>
        <v>***</v>
      </c>
      <c r="AF26" t="str">
        <f t="shared" si="4"/>
        <v>***</v>
      </c>
    </row>
    <row r="27" spans="1:32" x14ac:dyDescent="0.25">
      <c r="A27" t="s">
        <v>25</v>
      </c>
      <c r="B27">
        <v>-0.55622009229012803</v>
      </c>
      <c r="C27">
        <v>6.1259177589745702E-2</v>
      </c>
      <c r="D27">
        <v>-9.0797838654503096</v>
      </c>
      <c r="E27">
        <v>2.3726741203523902E-6</v>
      </c>
      <c r="F27">
        <v>-0.50971187939945695</v>
      </c>
      <c r="G27">
        <v>3.8168126350973101E-2</v>
      </c>
      <c r="H27">
        <v>-13.3543856649506</v>
      </c>
      <c r="I27">
        <v>6.3734592598611601E-8</v>
      </c>
      <c r="J27">
        <v>-0.42492857986965099</v>
      </c>
      <c r="K27">
        <v>5.0275848213472502E-2</v>
      </c>
      <c r="L27">
        <v>-8.4519425324341295</v>
      </c>
      <c r="M27">
        <v>6.2575001125771303E-6</v>
      </c>
      <c r="AA27" t="str">
        <f t="shared" si="0"/>
        <v>***</v>
      </c>
      <c r="AB27" t="str">
        <f t="shared" si="1"/>
        <v>***</v>
      </c>
      <c r="AC27" t="str">
        <f t="shared" si="2"/>
        <v>***</v>
      </c>
      <c r="AD27" t="str">
        <f t="shared" si="3"/>
        <v>***</v>
      </c>
      <c r="AE27" t="str">
        <f t="shared" si="4"/>
        <v>***</v>
      </c>
      <c r="AF27" t="str">
        <f t="shared" si="4"/>
        <v>***</v>
      </c>
    </row>
    <row r="28" spans="1:32" x14ac:dyDescent="0.25">
      <c r="A28" t="s">
        <v>26</v>
      </c>
      <c r="B28">
        <v>-0.268235469332476</v>
      </c>
      <c r="C28">
        <v>3.3051975698376701E-2</v>
      </c>
      <c r="D28">
        <v>-8.1155653683253099</v>
      </c>
      <c r="E28">
        <v>6.2791380206743695E-5</v>
      </c>
      <c r="F28">
        <v>-0.27841796835834898</v>
      </c>
      <c r="G28">
        <v>3.3641289494549101E-2</v>
      </c>
      <c r="H28">
        <v>-8.2760789655064002</v>
      </c>
      <c r="I28">
        <v>5.5404630860591699E-5</v>
      </c>
      <c r="J28">
        <v>-0.25804644454365</v>
      </c>
      <c r="K28">
        <v>5.0528761091338102E-2</v>
      </c>
      <c r="L28">
        <v>-5.1069220572654297</v>
      </c>
      <c r="M28">
        <v>1.26129498954381E-3</v>
      </c>
      <c r="AA28" t="str">
        <f t="shared" si="0"/>
        <v>***</v>
      </c>
      <c r="AB28" t="str">
        <f t="shared" si="1"/>
        <v>***</v>
      </c>
      <c r="AC28" t="str">
        <f t="shared" si="2"/>
        <v>***</v>
      </c>
      <c r="AD28" t="str">
        <f t="shared" si="3"/>
        <v>***</v>
      </c>
      <c r="AE28" t="str">
        <f t="shared" si="4"/>
        <v>***</v>
      </c>
      <c r="AF28" t="str">
        <f t="shared" si="4"/>
        <v>***</v>
      </c>
    </row>
    <row r="29" spans="1:32" x14ac:dyDescent="0.25">
      <c r="A29" t="s">
        <v>27</v>
      </c>
      <c r="B29">
        <v>-0.27356170063917701</v>
      </c>
      <c r="C29">
        <v>0.37634306719275601</v>
      </c>
      <c r="D29">
        <v>-0.72689448667075696</v>
      </c>
      <c r="E29">
        <v>0.56072567050361299</v>
      </c>
      <c r="F29">
        <v>-0.29484309562271899</v>
      </c>
      <c r="G29">
        <v>0.36041951464309802</v>
      </c>
      <c r="H29">
        <v>-0.81805530401061799</v>
      </c>
      <c r="I29">
        <v>0.51960255460383198</v>
      </c>
      <c r="J29">
        <v>-0.22268111695328899</v>
      </c>
      <c r="K29">
        <v>0.412598236069881</v>
      </c>
      <c r="L29">
        <v>-0.53970448122704595</v>
      </c>
      <c r="M29">
        <v>0.65653671431488003</v>
      </c>
      <c r="AA29" t="str">
        <f t="shared" si="0"/>
        <v/>
      </c>
      <c r="AB29" t="str">
        <f t="shared" si="1"/>
        <v/>
      </c>
      <c r="AC29" t="str">
        <f t="shared" si="2"/>
        <v/>
      </c>
      <c r="AD29" t="str">
        <f t="shared" si="3"/>
        <v>***</v>
      </c>
      <c r="AE29" t="str">
        <f t="shared" si="4"/>
        <v>***</v>
      </c>
      <c r="AF29" t="str">
        <f t="shared" si="4"/>
        <v>***</v>
      </c>
    </row>
    <row r="30" spans="1:32" x14ac:dyDescent="0.25">
      <c r="A30" t="s">
        <v>29</v>
      </c>
      <c r="B30">
        <v>-6.6456833839774895E-2</v>
      </c>
      <c r="C30">
        <v>1.8618088716293599E-2</v>
      </c>
      <c r="D30">
        <v>-3.5694766983044399</v>
      </c>
      <c r="E30">
        <v>3.0127972684619599E-3</v>
      </c>
      <c r="F30">
        <v>-9.3561538209005493E-2</v>
      </c>
      <c r="G30">
        <v>2.2458582334640299E-2</v>
      </c>
      <c r="H30">
        <v>-4.1659592228444202</v>
      </c>
      <c r="I30">
        <v>9.1778548816143701E-4</v>
      </c>
      <c r="J30">
        <v>-9.2247655422386193E-2</v>
      </c>
      <c r="K30">
        <v>4.1376613617481503E-2</v>
      </c>
      <c r="L30">
        <v>-2.2294636355502</v>
      </c>
      <c r="M30">
        <v>4.2430365680296303E-2</v>
      </c>
      <c r="AA30" t="str">
        <f t="shared" si="0"/>
        <v>***</v>
      </c>
      <c r="AB30" t="str">
        <f t="shared" si="1"/>
        <v>***</v>
      </c>
      <c r="AC30" t="str">
        <f t="shared" si="2"/>
        <v>**</v>
      </c>
      <c r="AD30" t="str">
        <f t="shared" si="3"/>
        <v>***</v>
      </c>
      <c r="AE30" t="str">
        <f t="shared" si="4"/>
        <v>***</v>
      </c>
      <c r="AF30" t="str">
        <f t="shared" si="4"/>
        <v>***</v>
      </c>
    </row>
    <row r="31" spans="1:32" x14ac:dyDescent="0.25">
      <c r="A31" t="s">
        <v>31</v>
      </c>
      <c r="B31">
        <v>-0.24360590747569899</v>
      </c>
      <c r="C31">
        <v>4.5615947510597499E-2</v>
      </c>
      <c r="D31">
        <v>-5.3403671472373704</v>
      </c>
      <c r="E31">
        <v>1.7813455545537501E-4</v>
      </c>
      <c r="F31">
        <v>-0.25086986144100998</v>
      </c>
      <c r="G31">
        <v>5.09233956308335E-2</v>
      </c>
      <c r="H31">
        <v>-4.9264165975827297</v>
      </c>
      <c r="I31">
        <v>3.5326983906073899E-4</v>
      </c>
      <c r="J31">
        <v>-0.23466674556067499</v>
      </c>
      <c r="K31">
        <v>5.4671685693133597E-2</v>
      </c>
      <c r="L31">
        <v>-4.2922902885752503</v>
      </c>
      <c r="M31">
        <v>1.0530570531545201E-3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4"/>
        <v>***</v>
      </c>
    </row>
    <row r="32" spans="1:32" x14ac:dyDescent="0.25">
      <c r="A32" t="s">
        <v>237</v>
      </c>
      <c r="B32">
        <v>2.0651970184763099E-2</v>
      </c>
      <c r="C32">
        <v>9.18668624403709E-2</v>
      </c>
      <c r="D32">
        <v>0.22480326024161301</v>
      </c>
      <c r="E32">
        <v>0.83914076990375397</v>
      </c>
      <c r="F32">
        <v>-1.53837212740007E-2</v>
      </c>
      <c r="G32">
        <v>0.109139374380074</v>
      </c>
      <c r="H32">
        <v>-0.14095482369568399</v>
      </c>
      <c r="I32">
        <v>0.89858117142353999</v>
      </c>
      <c r="J32">
        <v>-5.9469639477073101E-2</v>
      </c>
      <c r="K32">
        <v>6.4227798413213397E-2</v>
      </c>
      <c r="L32">
        <v>-0.92591745235406697</v>
      </c>
      <c r="M32">
        <v>0.457479927601597</v>
      </c>
      <c r="AA32" t="str">
        <f t="shared" si="0"/>
        <v/>
      </c>
      <c r="AB32" t="str">
        <f t="shared" si="1"/>
        <v/>
      </c>
      <c r="AC32" t="str">
        <f t="shared" si="2"/>
        <v/>
      </c>
      <c r="AD32" t="str">
        <f t="shared" si="3"/>
        <v>***</v>
      </c>
      <c r="AE32" t="str">
        <f t="shared" si="4"/>
        <v>***</v>
      </c>
      <c r="AF32" t="str">
        <f t="shared" si="4"/>
        <v>***</v>
      </c>
    </row>
    <row r="33" spans="1:32" x14ac:dyDescent="0.25">
      <c r="A33" t="s">
        <v>238</v>
      </c>
      <c r="B33">
        <v>-0.106661711875814</v>
      </c>
      <c r="C33">
        <v>9.8482584297106504E-2</v>
      </c>
      <c r="D33">
        <v>-1.08305151247892</v>
      </c>
      <c r="E33">
        <v>0.33840325010896</v>
      </c>
      <c r="F33">
        <v>-0.13254887725048001</v>
      </c>
      <c r="G33">
        <v>8.0412926540409893E-2</v>
      </c>
      <c r="H33">
        <v>-1.64835285759523</v>
      </c>
      <c r="I33">
        <v>0.17379538857594501</v>
      </c>
      <c r="J33">
        <v>-0.138340846465176</v>
      </c>
      <c r="K33">
        <v>8.0163207345750498E-2</v>
      </c>
      <c r="L33">
        <v>-1.72573991293164</v>
      </c>
      <c r="M33">
        <v>0.15867015963971001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4"/>
        <v>***</v>
      </c>
    </row>
    <row r="34" spans="1:32" x14ac:dyDescent="0.25">
      <c r="A34" t="s">
        <v>241</v>
      </c>
      <c r="B34">
        <v>-5.2316909890315198E-2</v>
      </c>
      <c r="C34">
        <v>3.7830356809826798E-2</v>
      </c>
      <c r="D34">
        <v>-1.3829346139480601</v>
      </c>
      <c r="E34">
        <v>0.252689832937814</v>
      </c>
      <c r="F34">
        <v>-2.6766467017366902E-2</v>
      </c>
      <c r="G34">
        <v>3.6289473969883197E-2</v>
      </c>
      <c r="H34">
        <v>-0.73758211649969296</v>
      </c>
      <c r="I34">
        <v>0.50998531310750095</v>
      </c>
      <c r="J34">
        <v>-5.7441246368825298E-2</v>
      </c>
      <c r="K34">
        <v>5.3452985427299801E-2</v>
      </c>
      <c r="L34">
        <v>-1.07461250124092</v>
      </c>
      <c r="M34">
        <v>0.35552397876149999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4"/>
        <v>***</v>
      </c>
    </row>
    <row r="35" spans="1:32" x14ac:dyDescent="0.25">
      <c r="A35" t="s">
        <v>243</v>
      </c>
      <c r="B35">
        <v>-4.7144257349271197E-2</v>
      </c>
      <c r="C35">
        <v>4.4248152817301101E-2</v>
      </c>
      <c r="D35">
        <v>-1.06545142220802</v>
      </c>
      <c r="E35">
        <v>0.30913667030967401</v>
      </c>
      <c r="F35">
        <v>-9.2793383118980902E-2</v>
      </c>
      <c r="G35">
        <v>4.6296143633269803E-2</v>
      </c>
      <c r="H35">
        <v>-2.00434368473613</v>
      </c>
      <c r="I35">
        <v>7.0955574337532995E-2</v>
      </c>
      <c r="J35">
        <v>-8.1787583086258497E-2</v>
      </c>
      <c r="K35">
        <v>3.9944903019420101E-2</v>
      </c>
      <c r="L35">
        <v>-2.0475098674415499</v>
      </c>
      <c r="M35">
        <v>6.6347774653182603E-2</v>
      </c>
      <c r="AA35" t="str">
        <f t="shared" si="0"/>
        <v/>
      </c>
      <c r="AB35" t="str">
        <f t="shared" si="1"/>
        <v>*</v>
      </c>
      <c r="AC35" t="str">
        <f t="shared" si="2"/>
        <v>*</v>
      </c>
      <c r="AD35" t="str">
        <f t="shared" si="3"/>
        <v>***</v>
      </c>
      <c r="AE35" t="str">
        <f t="shared" si="4"/>
        <v>***</v>
      </c>
      <c r="AF35" t="str">
        <f t="shared" si="4"/>
        <v>***</v>
      </c>
    </row>
    <row r="36" spans="1:32" x14ac:dyDescent="0.25">
      <c r="A36" t="s">
        <v>244</v>
      </c>
      <c r="B36">
        <v>6.0803030033017798E-2</v>
      </c>
      <c r="C36">
        <v>0.106183715103997</v>
      </c>
      <c r="D36">
        <v>0.57262104620719601</v>
      </c>
      <c r="E36">
        <v>0.58678539510054195</v>
      </c>
      <c r="F36">
        <v>-3.0378807867121899E-3</v>
      </c>
      <c r="G36">
        <v>0.10894809962621101</v>
      </c>
      <c r="H36">
        <v>-2.7883742783351199E-2</v>
      </c>
      <c r="I36">
        <v>0.97862491223064496</v>
      </c>
      <c r="J36">
        <v>3.31234203792104E-2</v>
      </c>
      <c r="K36">
        <v>0.11660692414490299</v>
      </c>
      <c r="L36">
        <v>0.28406049316633403</v>
      </c>
      <c r="M36">
        <v>0.78557680940235697</v>
      </c>
      <c r="AA36" t="str">
        <f t="shared" si="0"/>
        <v/>
      </c>
      <c r="AB36" t="str">
        <f t="shared" si="1"/>
        <v/>
      </c>
      <c r="AC36" t="str">
        <f t="shared" si="2"/>
        <v/>
      </c>
      <c r="AD36" t="str">
        <f t="shared" si="3"/>
        <v>***</v>
      </c>
      <c r="AE36" t="str">
        <f t="shared" si="4"/>
        <v>***</v>
      </c>
      <c r="AF36" t="str">
        <f t="shared" si="4"/>
        <v>***</v>
      </c>
    </row>
    <row r="37" spans="1:32" x14ac:dyDescent="0.25">
      <c r="A37" t="s">
        <v>245</v>
      </c>
      <c r="B37">
        <v>7.6821223613641404E-3</v>
      </c>
      <c r="C37">
        <v>7.6848066110250302E-2</v>
      </c>
      <c r="D37">
        <v>9.9965070693424599E-2</v>
      </c>
      <c r="E37">
        <v>0.92359769490384003</v>
      </c>
      <c r="F37">
        <v>2.8168306636077299E-2</v>
      </c>
      <c r="G37">
        <v>6.4307043638440906E-2</v>
      </c>
      <c r="H37">
        <v>0.43802832539543302</v>
      </c>
      <c r="I37">
        <v>0.67653268672943101</v>
      </c>
      <c r="J37">
        <v>-6.9831369557963999E-2</v>
      </c>
      <c r="K37">
        <v>8.7598251068475394E-2</v>
      </c>
      <c r="L37">
        <v>-0.79717766857442196</v>
      </c>
      <c r="M37">
        <v>0.461054602659624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4"/>
        <v>***</v>
      </c>
    </row>
    <row r="38" spans="1:32" x14ac:dyDescent="0.25">
      <c r="A38" t="s">
        <v>247</v>
      </c>
      <c r="B38">
        <v>-2.93056495534714E-3</v>
      </c>
      <c r="C38">
        <v>6.9060840016531594E-2</v>
      </c>
      <c r="D38">
        <v>-4.2434539670320098E-2</v>
      </c>
      <c r="E38">
        <v>0.97135604549862098</v>
      </c>
      <c r="F38">
        <v>0.29372973061686503</v>
      </c>
      <c r="G38">
        <v>9.52432899565233E-2</v>
      </c>
      <c r="H38">
        <v>3.0839939564345902</v>
      </c>
      <c r="I38">
        <v>0.145407147321203</v>
      </c>
      <c r="J38">
        <v>0.243481718529001</v>
      </c>
      <c r="K38">
        <v>8.3292789389712907E-2</v>
      </c>
      <c r="L38">
        <v>2.92320284040184</v>
      </c>
      <c r="M38">
        <v>0.15577493773912601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4"/>
        <v>***</v>
      </c>
    </row>
    <row r="39" spans="1:32" x14ac:dyDescent="0.25">
      <c r="A39" t="s">
        <v>166</v>
      </c>
      <c r="B39">
        <v>0.24057067511536501</v>
      </c>
      <c r="C39">
        <v>0.121555360273259</v>
      </c>
      <c r="D39">
        <v>1.97910379743483</v>
      </c>
      <c r="E39">
        <v>8.0713767297511202E-2</v>
      </c>
      <c r="F39">
        <v>0.207390412050142</v>
      </c>
      <c r="G39">
        <v>8.9505784465820998E-2</v>
      </c>
      <c r="H39">
        <v>2.3170615540422101</v>
      </c>
      <c r="I39">
        <v>4.7273834766608201E-2</v>
      </c>
      <c r="J39">
        <v>0.21502823249668099</v>
      </c>
      <c r="K39">
        <v>7.8331164699539504E-2</v>
      </c>
      <c r="L39">
        <v>2.74511726362655</v>
      </c>
      <c r="M39">
        <v>2.3872828502771101E-2</v>
      </c>
      <c r="AA39" t="str">
        <f t="shared" si="0"/>
        <v>*</v>
      </c>
      <c r="AB39" t="str">
        <f t="shared" si="1"/>
        <v>**</v>
      </c>
      <c r="AC39" t="str">
        <f t="shared" si="2"/>
        <v>**</v>
      </c>
      <c r="AD39" t="str">
        <f t="shared" si="3"/>
        <v>***</v>
      </c>
      <c r="AE39" t="str">
        <f t="shared" si="4"/>
        <v>***</v>
      </c>
      <c r="AF39" t="str">
        <f t="shared" si="4"/>
        <v>***</v>
      </c>
    </row>
    <row r="40" spans="1:32" x14ac:dyDescent="0.25">
      <c r="A40" t="s">
        <v>167</v>
      </c>
      <c r="B40">
        <v>0.368067601925884</v>
      </c>
      <c r="C40">
        <v>0.124796507563863</v>
      </c>
      <c r="D40">
        <v>2.9493421659859398</v>
      </c>
      <c r="E40">
        <v>1.54683231441989E-2</v>
      </c>
      <c r="F40">
        <v>0.343094043225043</v>
      </c>
      <c r="G40">
        <v>9.3096348363007606E-2</v>
      </c>
      <c r="H40">
        <v>3.6853652077439998</v>
      </c>
      <c r="I40">
        <v>4.7192050689403298E-3</v>
      </c>
      <c r="J40">
        <v>0.328853479872313</v>
      </c>
      <c r="K40">
        <v>8.0780951000603493E-2</v>
      </c>
      <c r="L40">
        <v>4.0709285518296996</v>
      </c>
      <c r="M40">
        <v>2.6128034557973E-3</v>
      </c>
      <c r="AA40" t="str">
        <f t="shared" si="0"/>
        <v>**</v>
      </c>
      <c r="AB40" t="str">
        <f t="shared" si="1"/>
        <v>***</v>
      </c>
      <c r="AC40" t="str">
        <f t="shared" si="2"/>
        <v>***</v>
      </c>
      <c r="AD40" t="str">
        <f t="shared" si="3"/>
        <v>***</v>
      </c>
      <c r="AE40" t="str">
        <f t="shared" si="4"/>
        <v>***</v>
      </c>
      <c r="AF40" t="str">
        <f t="shared" si="4"/>
        <v>***</v>
      </c>
    </row>
    <row r="41" spans="1:32" x14ac:dyDescent="0.25">
      <c r="A41" t="s">
        <v>168</v>
      </c>
      <c r="B41">
        <v>0.36677607862606398</v>
      </c>
      <c r="C41">
        <v>0.12390994282122</v>
      </c>
      <c r="D41">
        <v>2.9600213693525599</v>
      </c>
      <c r="E41">
        <v>1.4283198992283801E-2</v>
      </c>
      <c r="F41">
        <v>0.34148264751080698</v>
      </c>
      <c r="G41">
        <v>9.1700869001653196E-2</v>
      </c>
      <c r="H41">
        <v>3.72387580650572</v>
      </c>
      <c r="I41">
        <v>3.9965018116506603E-3</v>
      </c>
      <c r="J41">
        <v>0.32902368438333501</v>
      </c>
      <c r="K41">
        <v>8.2791304973986998E-2</v>
      </c>
      <c r="L41">
        <v>3.9741333282125901</v>
      </c>
      <c r="M41">
        <v>2.6920409618101E-3</v>
      </c>
      <c r="AA41" t="str">
        <f t="shared" si="0"/>
        <v>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4"/>
        <v>***</v>
      </c>
    </row>
    <row r="42" spans="1:32" x14ac:dyDescent="0.25">
      <c r="A42" t="s">
        <v>169</v>
      </c>
      <c r="B42">
        <v>0.39168125543163101</v>
      </c>
      <c r="C42">
        <v>0.123657655356416</v>
      </c>
      <c r="D42">
        <v>3.1674646774006399</v>
      </c>
      <c r="E42">
        <v>1.0309789468435301E-2</v>
      </c>
      <c r="F42">
        <v>0.36967852855362798</v>
      </c>
      <c r="G42">
        <v>9.2985588767787106E-2</v>
      </c>
      <c r="H42">
        <v>3.9756540067389001</v>
      </c>
      <c r="I42">
        <v>2.78330478486505E-3</v>
      </c>
      <c r="J42">
        <v>0.35151880132438501</v>
      </c>
      <c r="K42">
        <v>8.1789341131401294E-2</v>
      </c>
      <c r="L42">
        <v>4.2978558875983799</v>
      </c>
      <c r="M42">
        <v>1.71298182907022E-3</v>
      </c>
      <c r="AA42" t="str">
        <f t="shared" si="0"/>
        <v>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4"/>
        <v>***</v>
      </c>
    </row>
    <row r="43" spans="1:32" x14ac:dyDescent="0.25">
      <c r="A43" t="s">
        <v>170</v>
      </c>
      <c r="B43">
        <v>0.388946749272023</v>
      </c>
      <c r="C43">
        <v>0.122748764634418</v>
      </c>
      <c r="D43">
        <v>3.1686408448216898</v>
      </c>
      <c r="E43">
        <v>9.4583725485946294E-3</v>
      </c>
      <c r="F43">
        <v>0.36414519943505402</v>
      </c>
      <c r="G43">
        <v>9.1349774399328898E-2</v>
      </c>
      <c r="H43">
        <v>3.9862736589060401</v>
      </c>
      <c r="I43">
        <v>2.3737513426539902E-3</v>
      </c>
      <c r="J43">
        <v>0.34473532502274301</v>
      </c>
      <c r="K43">
        <v>8.1836853992175301E-2</v>
      </c>
      <c r="L43">
        <v>4.2124703994083701</v>
      </c>
      <c r="M43">
        <v>1.6730097801885501E-3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4"/>
        <v>***</v>
      </c>
    </row>
    <row r="44" spans="1:32" x14ac:dyDescent="0.25">
      <c r="A44" t="s">
        <v>50</v>
      </c>
      <c r="B44">
        <v>2.5119314972803599E-4</v>
      </c>
      <c r="C44">
        <v>1.4202617160359701E-4</v>
      </c>
      <c r="D44">
        <v>1.76863987032707</v>
      </c>
      <c r="E44">
        <v>0.131887904019653</v>
      </c>
      <c r="F44">
        <v>3.8191246973992598E-4</v>
      </c>
      <c r="G44">
        <v>1.31495151243881E-4</v>
      </c>
      <c r="H44">
        <v>2.9043844288341898</v>
      </c>
      <c r="I44">
        <v>3.1296509619750501E-2</v>
      </c>
      <c r="J44">
        <v>2.1576354815558001E-4</v>
      </c>
      <c r="K44">
        <v>2.7724752654081599E-4</v>
      </c>
      <c r="L44">
        <v>0.77823434837322503</v>
      </c>
      <c r="M44">
        <v>0.47049139130009598</v>
      </c>
      <c r="AA44" t="str">
        <f t="shared" si="0"/>
        <v/>
      </c>
      <c r="AB44" t="str">
        <f t="shared" si="1"/>
        <v>**</v>
      </c>
      <c r="AC44" t="str">
        <f t="shared" si="2"/>
        <v/>
      </c>
      <c r="AD44" t="str">
        <f t="shared" si="3"/>
        <v>***</v>
      </c>
      <c r="AE44" t="str">
        <f t="shared" si="4"/>
        <v>***</v>
      </c>
      <c r="AF44" t="str">
        <f t="shared" si="4"/>
        <v>***</v>
      </c>
    </row>
    <row r="45" spans="1:32" x14ac:dyDescent="0.25">
      <c r="A45" t="s">
        <v>52</v>
      </c>
      <c r="B45">
        <v>-7.0929779888773701E-3</v>
      </c>
      <c r="C45">
        <v>6.3941090636493499E-3</v>
      </c>
      <c r="D45">
        <v>-1.10929887467843</v>
      </c>
      <c r="E45">
        <v>0.28461526335181397</v>
      </c>
      <c r="F45">
        <v>-8.3383025193833199E-3</v>
      </c>
      <c r="G45">
        <v>6.7997150730780996E-3</v>
      </c>
      <c r="H45">
        <v>-1.2262723407921701</v>
      </c>
      <c r="I45">
        <v>0.23882622527</v>
      </c>
      <c r="J45">
        <v>-1.98384640704839E-2</v>
      </c>
      <c r="K45">
        <v>1.0375943738229899E-2</v>
      </c>
      <c r="L45">
        <v>-1.9119671974887</v>
      </c>
      <c r="M45">
        <v>7.4932706841889601E-2</v>
      </c>
      <c r="AA45" t="str">
        <f t="shared" si="0"/>
        <v/>
      </c>
      <c r="AB45" t="str">
        <f t="shared" si="1"/>
        <v/>
      </c>
      <c r="AC45" t="str">
        <f t="shared" si="2"/>
        <v>*</v>
      </c>
      <c r="AD45" t="str">
        <f t="shared" si="3"/>
        <v>***</v>
      </c>
      <c r="AE45" t="str">
        <f t="shared" si="4"/>
        <v>***</v>
      </c>
      <c r="AF45" t="str">
        <f t="shared" si="4"/>
        <v>***</v>
      </c>
    </row>
    <row r="46" spans="1:32" x14ac:dyDescent="0.25">
      <c r="A46" t="s">
        <v>51</v>
      </c>
      <c r="B46">
        <v>3.3371436787841698E-3</v>
      </c>
      <c r="C46">
        <v>2.1668680740046801E-2</v>
      </c>
      <c r="D46">
        <v>0.15400769981426099</v>
      </c>
      <c r="E46">
        <v>0.88101946345798998</v>
      </c>
      <c r="F46">
        <v>7.8464295712904093E-3</v>
      </c>
      <c r="G46">
        <v>2.34161279655992E-2</v>
      </c>
      <c r="H46">
        <v>0.33508655157751299</v>
      </c>
      <c r="I46">
        <v>0.74530367408755405</v>
      </c>
      <c r="J46">
        <v>2.3024204175541099E-2</v>
      </c>
      <c r="K46">
        <v>2.5777661558617999E-2</v>
      </c>
      <c r="L46">
        <v>0.89318436131936996</v>
      </c>
      <c r="M46">
        <v>0.39514242202750699</v>
      </c>
      <c r="AA46" t="str">
        <f t="shared" si="0"/>
        <v/>
      </c>
      <c r="AB46" t="str">
        <f t="shared" si="1"/>
        <v/>
      </c>
      <c r="AC46" t="str">
        <f t="shared" si="2"/>
        <v/>
      </c>
      <c r="AD46" t="str">
        <f t="shared" si="3"/>
        <v>***</v>
      </c>
      <c r="AE46" t="str">
        <f t="shared" si="4"/>
        <v>***</v>
      </c>
      <c r="AF46" t="str">
        <f t="shared" si="4"/>
        <v>***</v>
      </c>
    </row>
    <row r="47" spans="1:32" x14ac:dyDescent="0.25">
      <c r="A47" t="s">
        <v>164</v>
      </c>
      <c r="B47">
        <v>1.0707734092426601E-3</v>
      </c>
      <c r="C47">
        <v>8.8607568235240693E-3</v>
      </c>
      <c r="D47">
        <v>0.120844464030421</v>
      </c>
      <c r="E47">
        <v>0.90657504986588999</v>
      </c>
      <c r="F47">
        <v>-2.7441495970097598E-4</v>
      </c>
      <c r="G47">
        <v>1.0662447967606001E-2</v>
      </c>
      <c r="H47">
        <v>-2.5736581368057999E-2</v>
      </c>
      <c r="I47">
        <v>0.98005389015745403</v>
      </c>
      <c r="AA47" t="str">
        <f t="shared" si="0"/>
        <v/>
      </c>
      <c r="AB47" t="str">
        <f t="shared" si="1"/>
        <v/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4"/>
        <v>***</v>
      </c>
    </row>
    <row r="48" spans="1:32" x14ac:dyDescent="0.25">
      <c r="A48" t="s">
        <v>39</v>
      </c>
      <c r="B48">
        <v>-5.8452740816524303E-2</v>
      </c>
      <c r="C48">
        <v>2.9332707152337899E-2</v>
      </c>
      <c r="D48">
        <v>-1.9927496126747899</v>
      </c>
      <c r="E48">
        <v>6.7769129374880499E-2</v>
      </c>
      <c r="F48">
        <v>-8.4901799977144601E-2</v>
      </c>
      <c r="G48">
        <v>3.7472219032560997E-2</v>
      </c>
      <c r="H48">
        <v>-2.2657265080397302</v>
      </c>
      <c r="I48">
        <v>4.1104361974273702E-2</v>
      </c>
      <c r="AA48" t="str">
        <f t="shared" si="0"/>
        <v>*</v>
      </c>
      <c r="AB48" t="str">
        <f t="shared" si="1"/>
        <v>**</v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4"/>
        <v>***</v>
      </c>
    </row>
    <row r="49" spans="1:32" x14ac:dyDescent="0.25">
      <c r="A49" t="s">
        <v>40</v>
      </c>
      <c r="B49">
        <v>-1.7335821898141199E-3</v>
      </c>
      <c r="C49">
        <v>7.9572724442519907E-3</v>
      </c>
      <c r="D49">
        <v>-0.21786135914780499</v>
      </c>
      <c r="E49">
        <v>0.83194904399563097</v>
      </c>
      <c r="F49">
        <v>1.0728261601763E-3</v>
      </c>
      <c r="G49">
        <v>1.02450732688214E-2</v>
      </c>
      <c r="H49">
        <v>0.10471629943742899</v>
      </c>
      <c r="I49">
        <v>0.91901396429127802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4"/>
        <v>***</v>
      </c>
    </row>
    <row r="50" spans="1:32" x14ac:dyDescent="0.25">
      <c r="A50" t="s">
        <v>41</v>
      </c>
      <c r="B50">
        <v>-4.8175305758297602E-3</v>
      </c>
      <c r="C50">
        <v>7.0292800831597297E-3</v>
      </c>
      <c r="D50">
        <v>-0.68535191638917203</v>
      </c>
      <c r="E50">
        <v>0.50565442647193204</v>
      </c>
      <c r="F50">
        <v>-7.29065734894327E-3</v>
      </c>
      <c r="G50">
        <v>9.8594191309130507E-3</v>
      </c>
      <c r="H50">
        <v>-0.73946114392117401</v>
      </c>
      <c r="I50">
        <v>0.47444580092046001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4"/>
        <v>***</v>
      </c>
    </row>
    <row r="51" spans="1:32" x14ac:dyDescent="0.25">
      <c r="A51" t="s">
        <v>173</v>
      </c>
      <c r="B51">
        <v>4.3634540254352703E-3</v>
      </c>
      <c r="C51">
        <v>9.7438674794975699E-3</v>
      </c>
      <c r="D51">
        <v>0.447815411551581</v>
      </c>
      <c r="E51">
        <v>0.71252192550385096</v>
      </c>
      <c r="F51">
        <v>7.5229980181684003E-3</v>
      </c>
      <c r="G51">
        <v>1.48626263422586E-2</v>
      </c>
      <c r="H51">
        <v>0.50616881868168895</v>
      </c>
      <c r="I51">
        <v>0.67898857858348605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4"/>
        <v>***</v>
      </c>
    </row>
    <row r="52" spans="1:32" x14ac:dyDescent="0.25">
      <c r="A52" t="s">
        <v>174</v>
      </c>
      <c r="B52">
        <v>-4.4963130215996804E-3</v>
      </c>
      <c r="C52">
        <v>1.032190806083E-2</v>
      </c>
      <c r="D52">
        <v>-0.43560870675282098</v>
      </c>
      <c r="E52">
        <v>0.67106941961083899</v>
      </c>
      <c r="F52">
        <v>-1.04941937238938E-3</v>
      </c>
      <c r="G52">
        <v>1.4254665462650799E-2</v>
      </c>
      <c r="H52">
        <v>-7.3619361684706494E-2</v>
      </c>
      <c r="I52">
        <v>0.94255074010956297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4"/>
        <v>***</v>
      </c>
    </row>
    <row r="53" spans="1:32" x14ac:dyDescent="0.25">
      <c r="A53" t="s">
        <v>175</v>
      </c>
      <c r="B53">
        <v>1.7002765277504502E-2</v>
      </c>
      <c r="C53">
        <v>7.60828071295568E-3</v>
      </c>
      <c r="D53">
        <v>2.2347710237020402</v>
      </c>
      <c r="E53">
        <v>4.31699654319204E-2</v>
      </c>
      <c r="F53">
        <v>1.65908110618052E-2</v>
      </c>
      <c r="G53">
        <v>1.0962398703728801E-2</v>
      </c>
      <c r="H53">
        <v>1.51342890458471</v>
      </c>
      <c r="I53">
        <v>0.153359740442124</v>
      </c>
      <c r="AA53" t="str">
        <f t="shared" si="0"/>
        <v>**</v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4"/>
        <v>***</v>
      </c>
    </row>
    <row r="54" spans="1:32" x14ac:dyDescent="0.25">
      <c r="A54" t="s">
        <v>53</v>
      </c>
      <c r="B54">
        <v>2.5103582854998298E-6</v>
      </c>
      <c r="C54">
        <v>5.8311927792112698E-6</v>
      </c>
      <c r="D54">
        <v>0.43050510942623699</v>
      </c>
      <c r="E54">
        <v>0.67585423322802796</v>
      </c>
      <c r="F54">
        <v>5.5398500322097001E-6</v>
      </c>
      <c r="G54">
        <v>7.4137043081835197E-6</v>
      </c>
      <c r="H54">
        <v>0.74724453551439896</v>
      </c>
      <c r="I54">
        <v>0.47580354847297202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4"/>
        <v>***</v>
      </c>
    </row>
    <row r="55" spans="1:32" x14ac:dyDescent="0.25">
      <c r="A55" t="s">
        <v>54</v>
      </c>
      <c r="B55">
        <v>1.20498814562843E-5</v>
      </c>
      <c r="C55">
        <v>2.8270849284484501E-6</v>
      </c>
      <c r="D55">
        <v>4.2622990682128101</v>
      </c>
      <c r="E55">
        <v>8.53593650033645E-4</v>
      </c>
      <c r="F55">
        <v>1.56188422503557E-5</v>
      </c>
      <c r="G55">
        <v>3.7633460562082801E-6</v>
      </c>
      <c r="H55">
        <v>4.1502540603699796</v>
      </c>
      <c r="I55">
        <v>1.3352036735608101E-3</v>
      </c>
      <c r="AA55" t="str">
        <f t="shared" si="0"/>
        <v>***</v>
      </c>
      <c r="AB55" t="str">
        <f t="shared" si="1"/>
        <v>***</v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4"/>
        <v>***</v>
      </c>
    </row>
    <row r="56" spans="1:32" x14ac:dyDescent="0.25">
      <c r="A56" t="s">
        <v>43</v>
      </c>
      <c r="B56">
        <v>-0.37254951510380202</v>
      </c>
      <c r="C56">
        <v>0.26800522380053599</v>
      </c>
      <c r="D56">
        <v>-1.3900830357734899</v>
      </c>
      <c r="E56">
        <v>0.21324775866777501</v>
      </c>
      <c r="AA56" t="str">
        <f t="shared" si="0"/>
        <v/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4"/>
        <v>***</v>
      </c>
    </row>
    <row r="57" spans="1:32" x14ac:dyDescent="0.25">
      <c r="A57" t="s">
        <v>44</v>
      </c>
      <c r="B57">
        <v>-0.24453103895224801</v>
      </c>
      <c r="C57">
        <v>6.3765461076354502E-2</v>
      </c>
      <c r="D57">
        <v>-3.8348509494731</v>
      </c>
      <c r="E57">
        <v>2.2395313226789E-3</v>
      </c>
      <c r="AA57" t="str">
        <f t="shared" si="0"/>
        <v>***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4"/>
        <v>***</v>
      </c>
    </row>
    <row r="58" spans="1:32" x14ac:dyDescent="0.25">
      <c r="A58" t="s">
        <v>45</v>
      </c>
      <c r="B58">
        <v>-0.62115966879981399</v>
      </c>
      <c r="C58">
        <v>0.13409589061586699</v>
      </c>
      <c r="D58">
        <v>-4.6322051029826001</v>
      </c>
      <c r="E58">
        <v>4.4250978154107502E-4</v>
      </c>
      <c r="AA58" t="str">
        <f t="shared" si="0"/>
        <v>***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4"/>
        <v>***</v>
      </c>
    </row>
    <row r="59" spans="1:32" x14ac:dyDescent="0.25">
      <c r="A59" t="s">
        <v>48</v>
      </c>
      <c r="B59">
        <v>0.16324884153147301</v>
      </c>
      <c r="C59">
        <v>3.9330605584900903E-2</v>
      </c>
      <c r="D59">
        <v>4.1506821241050202</v>
      </c>
      <c r="E59">
        <v>8.7443220525716496E-4</v>
      </c>
      <c r="AA59" t="str">
        <f t="shared" si="0"/>
        <v>***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4"/>
        <v>***</v>
      </c>
    </row>
    <row r="60" spans="1:32" x14ac:dyDescent="0.25">
      <c r="A60" t="s">
        <v>46</v>
      </c>
      <c r="B60">
        <v>-0.70910853352788805</v>
      </c>
      <c r="C60">
        <v>0.107430205905303</v>
      </c>
      <c r="D60">
        <v>-6.6006439022647498</v>
      </c>
      <c r="E60">
        <v>1.51631795899228E-5</v>
      </c>
      <c r="AA60" t="str">
        <f t="shared" si="0"/>
        <v>***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4"/>
        <v>***</v>
      </c>
    </row>
    <row r="61" spans="1:32" x14ac:dyDescent="0.25"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4"/>
        <v>***</v>
      </c>
    </row>
  </sheetData>
  <mergeCells count="1">
    <mergeCell ref="AA2:AF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87283-1372-4DB3-B777-040D53C3DFF6}">
  <sheetPr codeName="Sheet16"/>
  <dimension ref="A1:H128"/>
  <sheetViews>
    <sheetView topLeftCell="B1" workbookViewId="0">
      <selection activeCell="O20" sqref="O20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273</v>
      </c>
      <c r="C2" s="53"/>
      <c r="D2" s="53"/>
      <c r="E2" s="53"/>
      <c r="F2" s="53"/>
      <c r="G2" s="53"/>
      <c r="H2" s="53"/>
    </row>
    <row r="3" spans="1:8" ht="21" x14ac:dyDescent="0.35">
      <c r="B3" s="52" t="s">
        <v>305</v>
      </c>
      <c r="C3" s="52"/>
      <c r="D3" s="52"/>
      <c r="E3" s="52"/>
      <c r="F3" s="52"/>
      <c r="G3" s="52"/>
      <c r="H3" s="52"/>
    </row>
    <row r="4" spans="1:8" x14ac:dyDescent="0.25">
      <c r="B4" s="19" t="s">
        <v>271</v>
      </c>
      <c r="C4" s="22" t="s">
        <v>266</v>
      </c>
      <c r="D4" s="22" t="s">
        <v>267</v>
      </c>
      <c r="E4" s="22" t="s">
        <v>268</v>
      </c>
      <c r="F4" s="22" t="s">
        <v>269</v>
      </c>
      <c r="G4" s="22" t="s">
        <v>270</v>
      </c>
      <c r="H4" s="22" t="s">
        <v>303</v>
      </c>
    </row>
    <row r="5" spans="1:8" x14ac:dyDescent="0.25">
      <c r="A5">
        <v>1</v>
      </c>
      <c r="B5" s="18" t="str">
        <f>'Reg1'!C8</f>
        <v>0.072***</v>
      </c>
      <c r="C5" s="3" t="e">
        <f>_xlfn.CONCAT(FIXED(VLOOKUP($B5,Sheet7!A:$AZ,22,0),4),VLOOKUP($B5,Sheet7!$A:$AF,32,0))</f>
        <v>#N/A</v>
      </c>
      <c r="D5" s="3" t="e">
        <f>_xlfn.CONCAT(FIXED(VLOOKUP($B5,Sheet7!$A:$AZ,18,0),4),VLOOKUP($B5,Sheet7!$A:$AF,31,0))</f>
        <v>#N/A</v>
      </c>
      <c r="E5" s="3" t="e">
        <f>_xlfn.CONCAT(FIXED(VLOOKUP($B5,Sheet7!$A:$AZ,14,0),4),VLOOKUP($B5,Sheet7!$A:$AF,30,0))</f>
        <v>#N/A</v>
      </c>
      <c r="F5" s="3" t="e">
        <f>_xlfn.CONCAT(FIXED(VLOOKUP($B5,Sheet7!$A:$AZ,10,0),4),VLOOKUP($B5,Sheet7!$A:$AF,29,0))</f>
        <v>#N/A</v>
      </c>
      <c r="G5" s="3" t="e">
        <f>_xlfn.CONCAT(FIXED(VLOOKUP($B5,Sheet7!$A:$AZ,6,0),4),VLOOKUP($B5,Sheet7!$A:$AF,28,0))</f>
        <v>#N/A</v>
      </c>
      <c r="H5" s="3" t="e">
        <f>_xlfn.CONCAT(FIXED(VLOOKUP($B5,Sheet7!$A:$AZ,2,0),4),VLOOKUP($B5,Sheet7!$A:$AF,27,0))</f>
        <v>#N/A</v>
      </c>
    </row>
    <row r="6" spans="1:8" x14ac:dyDescent="0.25">
      <c r="A6">
        <v>2</v>
      </c>
      <c r="C6" s="3" t="e">
        <f>_xlfn.CONCAT("(",FIXED(VLOOKUP($B5,Sheet7!$A:$AZ,23,0), 4),")")</f>
        <v>#N/A</v>
      </c>
      <c r="D6" s="3" t="e">
        <f>_xlfn.CONCAT("(",FIXED(VLOOKUP($B5,Sheet7!$A:$AZ,19,0), 4),")")</f>
        <v>#N/A</v>
      </c>
      <c r="E6" s="3" t="e">
        <f>_xlfn.CONCAT("(",FIXED(VLOOKUP($B5,Sheet7!$A:$AZ,15,0), 4),")")</f>
        <v>#N/A</v>
      </c>
      <c r="F6" s="3" t="e">
        <f>_xlfn.CONCAT("(",FIXED(VLOOKUP($B5,Sheet7!$A:$AZ,11,0), 4),")")</f>
        <v>#N/A</v>
      </c>
      <c r="G6" s="3" t="e">
        <f>_xlfn.CONCAT("(",FIXED(VLOOKUP($B5,Sheet7!$A:$AZ,7,0), 4),")")</f>
        <v>#N/A</v>
      </c>
      <c r="H6" s="3" t="e">
        <f>_xlfn.CONCAT("(",FIXED(VLOOKUP($B5,Sheet7!$A:$AZ,3,0), 4),")")</f>
        <v>#N/A</v>
      </c>
    </row>
    <row r="7" spans="1:8" x14ac:dyDescent="0.25">
      <c r="A7">
        <f>A6+2</f>
        <v>4</v>
      </c>
      <c r="B7" t="s">
        <v>16</v>
      </c>
      <c r="D7" s="3" t="str">
        <f>_xlfn.CONCAT(FIXED(VLOOKUP($B7,Sheet7!$A:$AZ,18,0),4),VLOOKUP($B7,Sheet7!$A:$AF,31,0))</f>
        <v>0.0019***</v>
      </c>
      <c r="E7" s="3" t="str">
        <f>_xlfn.CONCAT(FIXED(VLOOKUP($B7,Sheet7!$A:$AZ,14,0),4),VLOOKUP($B7,Sheet7!$A:$AF,30,0))</f>
        <v>0.0001</v>
      </c>
      <c r="F7" s="3" t="str">
        <f>_xlfn.CONCAT(FIXED(VLOOKUP($B7,Sheet7!$A:$AZ,10,0),4),VLOOKUP($B7,Sheet7!$A:$AF,29,0))</f>
        <v>0.0003**</v>
      </c>
      <c r="G7" s="3" t="str">
        <f>_xlfn.CONCAT(FIXED(VLOOKUP($B7,Sheet7!$A:$AZ,6,0),4),VLOOKUP($B7,Sheet7!$A:$AF,28,0))</f>
        <v>0.0002*</v>
      </c>
      <c r="H7" s="3" t="str">
        <f>_xlfn.CONCAT(FIXED(VLOOKUP($B7,Sheet7!$A:$AZ,2,0),4),VLOOKUP($B7,Sheet7!$A:$AF,27,0))</f>
        <v>0.0001</v>
      </c>
    </row>
    <row r="8" spans="1:8" x14ac:dyDescent="0.25">
      <c r="A8">
        <f>A7+1</f>
        <v>5</v>
      </c>
      <c r="D8" s="3" t="str">
        <f>_xlfn.CONCAT("(",FIXED(VLOOKUP($B7,Sheet7!$A:$AZ,19,0), 4),")")</f>
        <v>(0.0003)</v>
      </c>
      <c r="E8" s="3" t="str">
        <f>_xlfn.CONCAT("(",FIXED(VLOOKUP($B7,Sheet7!$A:$AZ,15,0), 4),")")</f>
        <v>(0.0001)</v>
      </c>
      <c r="F8" s="3" t="str">
        <f>_xlfn.CONCAT("(",FIXED(VLOOKUP($B7,Sheet7!$A:$AZ,11,0), 4),")")</f>
        <v>(0.0001)</v>
      </c>
      <c r="G8" s="3" t="str">
        <f>_xlfn.CONCAT("(",FIXED(VLOOKUP($B7,Sheet7!$A:$AZ,7,0), 4),")")</f>
        <v>(0.0001)</v>
      </c>
      <c r="H8" s="3" t="str">
        <f>_xlfn.CONCAT("(",FIXED(VLOOKUP($B7,Sheet7!$A:$AZ,3,0), 4),")")</f>
        <v>(0.0001)</v>
      </c>
    </row>
    <row r="9" spans="1:8" x14ac:dyDescent="0.25">
      <c r="A9">
        <f t="shared" ref="A9" si="0">A8+2</f>
        <v>7</v>
      </c>
      <c r="B9" t="s">
        <v>197</v>
      </c>
      <c r="D9" s="3" t="str">
        <f>_xlfn.CONCAT(FIXED(VLOOKUP($B9,Sheet7!$A:$AZ,18,0),4),VLOOKUP($B9,Sheet7!$A:$AF,31,0))</f>
        <v>0.0981***</v>
      </c>
      <c r="E9" s="3" t="str">
        <f>_xlfn.CONCAT(FIXED(VLOOKUP($B9,Sheet7!$A:$AZ,14,0),4),VLOOKUP($B9,Sheet7!$A:$AF,30,0))</f>
        <v>0.0265**</v>
      </c>
      <c r="F9" s="3" t="str">
        <f>_xlfn.CONCAT(FIXED(VLOOKUP($B9,Sheet7!$A:$AZ,10,0),4),VLOOKUP($B9,Sheet7!$A:$AF,29,0))</f>
        <v>0.0339***</v>
      </c>
      <c r="G9" s="3" t="str">
        <f>_xlfn.CONCAT(FIXED(VLOOKUP($B9,Sheet7!$A:$AZ,6,0),4),VLOOKUP($B9,Sheet7!$A:$AF,28,0))</f>
        <v>0.0377***</v>
      </c>
      <c r="H9" s="3" t="str">
        <f>_xlfn.CONCAT(FIXED(VLOOKUP($B9,Sheet7!$A:$AZ,2,0),4),VLOOKUP($B9,Sheet7!$A:$AF,27,0))</f>
        <v>0.0329***</v>
      </c>
    </row>
    <row r="10" spans="1:8" x14ac:dyDescent="0.25">
      <c r="A10">
        <f t="shared" ref="A10" si="1">A9+1</f>
        <v>8</v>
      </c>
      <c r="D10" s="3" t="str">
        <f>_xlfn.CONCAT("(",FIXED(VLOOKUP($B9,Sheet7!$A:$AZ,19,0), 4),")")</f>
        <v>(0.0180)</v>
      </c>
      <c r="E10" s="3" t="str">
        <f>_xlfn.CONCAT("(",FIXED(VLOOKUP($B9,Sheet7!$A:$AZ,15,0), 4),")")</f>
        <v>(0.0106)</v>
      </c>
      <c r="F10" s="3" t="str">
        <f>_xlfn.CONCAT("(",FIXED(VLOOKUP($B9,Sheet7!$A:$AZ,11,0), 4),")")</f>
        <v>(0.0098)</v>
      </c>
      <c r="G10" s="3" t="str">
        <f>_xlfn.CONCAT("(",FIXED(VLOOKUP($B9,Sheet7!$A:$AZ,7,0), 4),")")</f>
        <v>(0.0071)</v>
      </c>
      <c r="H10" s="3" t="str">
        <f>_xlfn.CONCAT("(",FIXED(VLOOKUP($B9,Sheet7!$A:$AZ,3,0), 4),")")</f>
        <v>(0.0074)</v>
      </c>
    </row>
    <row r="11" spans="1:8" x14ac:dyDescent="0.25">
      <c r="A11">
        <f t="shared" ref="A11" si="2">A10+2</f>
        <v>10</v>
      </c>
      <c r="B11" t="s">
        <v>200</v>
      </c>
      <c r="D11" s="3" t="str">
        <f>_xlfn.CONCAT(FIXED(VLOOKUP($B11,Sheet7!$A:$AZ,18,0),4),VLOOKUP($B11,Sheet7!$A:$AF,31,0))</f>
        <v>0.1250***</v>
      </c>
      <c r="E11" s="3" t="str">
        <f>_xlfn.CONCAT(FIXED(VLOOKUP($B11,Sheet7!$A:$AZ,14,0),4),VLOOKUP($B11,Sheet7!$A:$AF,30,0))</f>
        <v>0.0268**</v>
      </c>
      <c r="F11" s="3" t="str">
        <f>_xlfn.CONCAT(FIXED(VLOOKUP($B11,Sheet7!$A:$AZ,10,0),4),VLOOKUP($B11,Sheet7!$A:$AF,29,0))</f>
        <v>0.0331**</v>
      </c>
      <c r="G11" s="3" t="str">
        <f>_xlfn.CONCAT(FIXED(VLOOKUP($B11,Sheet7!$A:$AZ,6,0),4),VLOOKUP($B11,Sheet7!$A:$AF,28,0))</f>
        <v>0.0400***</v>
      </c>
      <c r="H11" s="3" t="str">
        <f>_xlfn.CONCAT(FIXED(VLOOKUP($B11,Sheet7!$A:$AZ,2,0),4),VLOOKUP($B11,Sheet7!$A:$AF,27,0))</f>
        <v>0.0353***</v>
      </c>
    </row>
    <row r="12" spans="1:8" x14ac:dyDescent="0.25">
      <c r="A12">
        <f t="shared" ref="A12" si="3">A11+1</f>
        <v>11</v>
      </c>
      <c r="D12" s="3" t="str">
        <f>_xlfn.CONCAT("(",FIXED(VLOOKUP($B11,Sheet7!$A:$AZ,19,0), 4),")")</f>
        <v>(0.0216)</v>
      </c>
      <c r="E12" s="3" t="str">
        <f>_xlfn.CONCAT("(",FIXED(VLOOKUP($B11,Sheet7!$A:$AZ,15,0), 4),")")</f>
        <v>(0.0118)</v>
      </c>
      <c r="F12" s="3" t="str">
        <f>_xlfn.CONCAT("(",FIXED(VLOOKUP($B11,Sheet7!$A:$AZ,11,0), 4),")")</f>
        <v>(0.0119)</v>
      </c>
      <c r="G12" s="3" t="str">
        <f>_xlfn.CONCAT("(",FIXED(VLOOKUP($B11,Sheet7!$A:$AZ,7,0), 4),")")</f>
        <v>(0.0088)</v>
      </c>
      <c r="H12" s="3" t="str">
        <f>_xlfn.CONCAT("(",FIXED(VLOOKUP($B11,Sheet7!$A:$AZ,3,0), 4),")")</f>
        <v>(0.0082)</v>
      </c>
    </row>
    <row r="13" spans="1:8" x14ac:dyDescent="0.25">
      <c r="A13">
        <f t="shared" ref="A13" si="4">A12+2</f>
        <v>13</v>
      </c>
      <c r="B13" t="s">
        <v>203</v>
      </c>
      <c r="D13" s="3" t="str">
        <f>_xlfn.CONCAT(FIXED(VLOOKUP($B13,Sheet7!$A:$AZ,18,0),4),VLOOKUP($B13,Sheet7!$A:$AF,31,0))</f>
        <v>0.0776***</v>
      </c>
      <c r="E13" s="3" t="str">
        <f>_xlfn.CONCAT(FIXED(VLOOKUP($B13,Sheet7!$A:$AZ,14,0),4),VLOOKUP($B13,Sheet7!$A:$AF,30,0))</f>
        <v>0.0017</v>
      </c>
      <c r="F13" s="3" t="str">
        <f>_xlfn.CONCAT(FIXED(VLOOKUP($B13,Sheet7!$A:$AZ,10,0),4),VLOOKUP($B13,Sheet7!$A:$AF,29,0))</f>
        <v>0.0058</v>
      </c>
      <c r="G13" s="3" t="str">
        <f>_xlfn.CONCAT(FIXED(VLOOKUP($B13,Sheet7!$A:$AZ,6,0),4),VLOOKUP($B13,Sheet7!$A:$AF,28,0))</f>
        <v>0.0163</v>
      </c>
      <c r="H13" s="3" t="str">
        <f>_xlfn.CONCAT(FIXED(VLOOKUP($B13,Sheet7!$A:$AZ,2,0),4),VLOOKUP($B13,Sheet7!$A:$AF,27,0))</f>
        <v>0.0111</v>
      </c>
    </row>
    <row r="14" spans="1:8" x14ac:dyDescent="0.25">
      <c r="A14">
        <f t="shared" ref="A14" si="5">A13+1</f>
        <v>14</v>
      </c>
      <c r="D14" s="3" t="str">
        <f>_xlfn.CONCAT("(",FIXED(VLOOKUP($B13,Sheet7!$A:$AZ,19,0), 4),")")</f>
        <v>(0.0161)</v>
      </c>
      <c r="E14" s="3" t="str">
        <f>_xlfn.CONCAT("(",FIXED(VLOOKUP($B13,Sheet7!$A:$AZ,15,0), 4),")")</f>
        <v>(0.0107)</v>
      </c>
      <c r="F14" s="3" t="str">
        <f>_xlfn.CONCAT("(",FIXED(VLOOKUP($B13,Sheet7!$A:$AZ,11,0), 4),")")</f>
        <v>(0.0108)</v>
      </c>
      <c r="G14" s="3" t="str">
        <f>_xlfn.CONCAT("(",FIXED(VLOOKUP($B13,Sheet7!$A:$AZ,7,0), 4),")")</f>
        <v>(0.0102)</v>
      </c>
      <c r="H14" s="3" t="str">
        <f>_xlfn.CONCAT("(",FIXED(VLOOKUP($B13,Sheet7!$A:$AZ,3,0), 4),")")</f>
        <v>(0.0110)</v>
      </c>
    </row>
    <row r="15" spans="1:8" x14ac:dyDescent="0.25">
      <c r="A15">
        <f t="shared" ref="A15" si="6">A14+2</f>
        <v>16</v>
      </c>
      <c r="B15" t="s">
        <v>204</v>
      </c>
      <c r="D15" s="3" t="str">
        <f>_xlfn.CONCAT(FIXED(VLOOKUP($B15,Sheet7!$A:$AZ,18,0),4),VLOOKUP($B15,Sheet7!$A:$AF,31,0))</f>
        <v>0.0573**</v>
      </c>
      <c r="E15" s="3" t="str">
        <f>_xlfn.CONCAT(FIXED(VLOOKUP($B15,Sheet7!$A:$AZ,14,0),4),VLOOKUP($B15,Sheet7!$A:$AF,30,0))</f>
        <v>-0.0154</v>
      </c>
      <c r="F15" s="3" t="str">
        <f>_xlfn.CONCAT(FIXED(VLOOKUP($B15,Sheet7!$A:$AZ,10,0),4),VLOOKUP($B15,Sheet7!$A:$AF,29,0))</f>
        <v>-0.0113</v>
      </c>
      <c r="G15" s="3" t="str">
        <f>_xlfn.CONCAT(FIXED(VLOOKUP($B15,Sheet7!$A:$AZ,6,0),4),VLOOKUP($B15,Sheet7!$A:$AF,28,0))</f>
        <v>0.0039</v>
      </c>
      <c r="H15" s="3" t="str">
        <f>_xlfn.CONCAT(FIXED(VLOOKUP($B15,Sheet7!$A:$AZ,2,0),4),VLOOKUP($B15,Sheet7!$A:$AF,27,0))</f>
        <v>0.0039</v>
      </c>
    </row>
    <row r="16" spans="1:8" x14ac:dyDescent="0.25">
      <c r="A16">
        <f t="shared" ref="A16" si="7">A15+1</f>
        <v>17</v>
      </c>
      <c r="D16" s="3" t="str">
        <f>_xlfn.CONCAT("(",FIXED(VLOOKUP($B15,Sheet7!$A:$AZ,19,0), 4),")")</f>
        <v>(0.0243)</v>
      </c>
      <c r="E16" s="3" t="str">
        <f>_xlfn.CONCAT("(",FIXED(VLOOKUP($B15,Sheet7!$A:$AZ,15,0), 4),")")</f>
        <v>(0.0134)</v>
      </c>
      <c r="F16" s="3" t="str">
        <f>_xlfn.CONCAT("(",FIXED(VLOOKUP($B15,Sheet7!$A:$AZ,11,0), 4),")")</f>
        <v>(0.0137)</v>
      </c>
      <c r="G16" s="3" t="str">
        <f>_xlfn.CONCAT("(",FIXED(VLOOKUP($B15,Sheet7!$A:$AZ,7,0), 4),")")</f>
        <v>(0.0158)</v>
      </c>
      <c r="H16" s="3" t="str">
        <f>_xlfn.CONCAT("(",FIXED(VLOOKUP($B15,Sheet7!$A:$AZ,3,0), 4),")")</f>
        <v>(0.0169)</v>
      </c>
    </row>
    <row r="17" spans="1:8" x14ac:dyDescent="0.25">
      <c r="A17">
        <f t="shared" ref="A17" si="8">A16+2</f>
        <v>19</v>
      </c>
      <c r="B17" t="s">
        <v>205</v>
      </c>
      <c r="D17" s="3" t="str">
        <f>_xlfn.CONCAT(FIXED(VLOOKUP($B17,Sheet7!$A:$AZ,18,0),4),VLOOKUP($B17,Sheet7!$A:$AF,31,0))</f>
        <v>0.1944***</v>
      </c>
      <c r="E17" s="3" t="str">
        <f>_xlfn.CONCAT(FIXED(VLOOKUP($B17,Sheet7!$A:$AZ,14,0),4),VLOOKUP($B17,Sheet7!$A:$AF,30,0))</f>
        <v>0.0913***</v>
      </c>
      <c r="F17" s="3" t="str">
        <f>_xlfn.CONCAT(FIXED(VLOOKUP($B17,Sheet7!$A:$AZ,10,0),4),VLOOKUP($B17,Sheet7!$A:$AF,29,0))</f>
        <v>0.1117***</v>
      </c>
      <c r="G17" s="3" t="str">
        <f>_xlfn.CONCAT(FIXED(VLOOKUP($B17,Sheet7!$A:$AZ,6,0),4),VLOOKUP($B17,Sheet7!$A:$AF,28,0))</f>
        <v>0.1235***</v>
      </c>
      <c r="H17" s="3" t="str">
        <f>_xlfn.CONCAT(FIXED(VLOOKUP($B17,Sheet7!$A:$AZ,2,0),4),VLOOKUP($B17,Sheet7!$A:$AF,27,0))</f>
        <v>0.1275***</v>
      </c>
    </row>
    <row r="18" spans="1:8" x14ac:dyDescent="0.25">
      <c r="A18">
        <f t="shared" ref="A18" si="9">A17+1</f>
        <v>20</v>
      </c>
      <c r="D18" s="3" t="str">
        <f>_xlfn.CONCAT("(",FIXED(VLOOKUP($B17,Sheet7!$A:$AZ,19,0), 4),")")</f>
        <v>(0.0277)</v>
      </c>
      <c r="E18" s="3" t="str">
        <f>_xlfn.CONCAT("(",FIXED(VLOOKUP($B17,Sheet7!$A:$AZ,15,0), 4),")")</f>
        <v>(0.0141)</v>
      </c>
      <c r="F18" s="3" t="str">
        <f>_xlfn.CONCAT("(",FIXED(VLOOKUP($B17,Sheet7!$A:$AZ,11,0), 4),")")</f>
        <v>(0.0134)</v>
      </c>
      <c r="G18" s="3" t="str">
        <f>_xlfn.CONCAT("(",FIXED(VLOOKUP($B17,Sheet7!$A:$AZ,7,0), 4),")")</f>
        <v>(0.0159)</v>
      </c>
      <c r="H18" s="3" t="str">
        <f>_xlfn.CONCAT("(",FIXED(VLOOKUP($B17,Sheet7!$A:$AZ,3,0), 4),")")</f>
        <v>(0.0165)</v>
      </c>
    </row>
    <row r="19" spans="1:8" x14ac:dyDescent="0.25">
      <c r="A19">
        <f t="shared" ref="A19:A79" si="10">A18+2</f>
        <v>22</v>
      </c>
      <c r="B19" t="s">
        <v>209</v>
      </c>
      <c r="D19" s="3" t="str">
        <f>_xlfn.CONCAT(FIXED(VLOOKUP($B19,Sheet7!$A:$AZ,18,0),4),VLOOKUP($B19,Sheet7!$A:$AF,31,0))</f>
        <v>0.0430</v>
      </c>
      <c r="E19" s="3" t="str">
        <f>_xlfn.CONCAT(FIXED(VLOOKUP($B19,Sheet7!$A:$AZ,14,0),4),VLOOKUP($B19,Sheet7!$A:$AF,30,0))</f>
        <v>0.0369</v>
      </c>
      <c r="F19" s="3" t="str">
        <f>_xlfn.CONCAT(FIXED(VLOOKUP($B19,Sheet7!$A:$AZ,10,0),4),VLOOKUP($B19,Sheet7!$A:$AF,29,0))</f>
        <v>0.1261***</v>
      </c>
      <c r="G19" s="3" t="str">
        <f>_xlfn.CONCAT(FIXED(VLOOKUP($B19,Sheet7!$A:$AZ,6,0),4),VLOOKUP($B19,Sheet7!$A:$AF,28,0))</f>
        <v>0.1512***</v>
      </c>
      <c r="H19" s="3" t="str">
        <f>_xlfn.CONCAT(FIXED(VLOOKUP($B19,Sheet7!$A:$AZ,2,0),4),VLOOKUP($B19,Sheet7!$A:$AF,27,0))</f>
        <v>0.1535***</v>
      </c>
    </row>
    <row r="20" spans="1:8" x14ac:dyDescent="0.25">
      <c r="A20">
        <f t="shared" ref="A20:A80" si="11">A19+1</f>
        <v>23</v>
      </c>
      <c r="D20" s="3" t="str">
        <f>_xlfn.CONCAT("(",FIXED(VLOOKUP($B19,Sheet7!$A:$AZ,19,0), 4),")")</f>
        <v>(0.0490)</v>
      </c>
      <c r="E20" s="3" t="str">
        <f>_xlfn.CONCAT("(",FIXED(VLOOKUP($B19,Sheet7!$A:$AZ,15,0), 4),")")</f>
        <v>(0.0241)</v>
      </c>
      <c r="F20" s="3" t="str">
        <f>_xlfn.CONCAT("(",FIXED(VLOOKUP($B19,Sheet7!$A:$AZ,11,0), 4),")")</f>
        <v>(0.0140)</v>
      </c>
      <c r="G20" s="3" t="str">
        <f>_xlfn.CONCAT("(",FIXED(VLOOKUP($B19,Sheet7!$A:$AZ,7,0), 4),")")</f>
        <v>(0.0185)</v>
      </c>
      <c r="H20" s="3" t="str">
        <f>_xlfn.CONCAT("(",FIXED(VLOOKUP($B19,Sheet7!$A:$AZ,3,0), 4),")")</f>
        <v>(0.0188)</v>
      </c>
    </row>
    <row r="21" spans="1:8" x14ac:dyDescent="0.25">
      <c r="A21">
        <f t="shared" ref="A21:A81" si="12">A20+2</f>
        <v>25</v>
      </c>
      <c r="B21" t="s">
        <v>211</v>
      </c>
      <c r="D21" s="3" t="str">
        <f>_xlfn.CONCAT(FIXED(VLOOKUP($B21,Sheet7!$A:$AZ,18,0),4),VLOOKUP($B21,Sheet7!$A:$AF,31,0))</f>
        <v>0.0829</v>
      </c>
      <c r="E21" s="3" t="str">
        <f>_xlfn.CONCAT(FIXED(VLOOKUP($B21,Sheet7!$A:$AZ,14,0),4),VLOOKUP($B21,Sheet7!$A:$AF,30,0))</f>
        <v>-0.0136</v>
      </c>
      <c r="F21" s="3" t="str">
        <f>_xlfn.CONCAT(FIXED(VLOOKUP($B21,Sheet7!$A:$AZ,10,0),4),VLOOKUP($B21,Sheet7!$A:$AF,29,0))</f>
        <v>0.0185</v>
      </c>
      <c r="G21" s="3" t="str">
        <f>_xlfn.CONCAT(FIXED(VLOOKUP($B21,Sheet7!$A:$AZ,6,0),4),VLOOKUP($B21,Sheet7!$A:$AF,28,0))</f>
        <v>0.0720*</v>
      </c>
      <c r="H21" s="3" t="str">
        <f>_xlfn.CONCAT(FIXED(VLOOKUP($B21,Sheet7!$A:$AZ,2,0),4),VLOOKUP($B21,Sheet7!$A:$AF,27,0))</f>
        <v>0.0783**</v>
      </c>
    </row>
    <row r="22" spans="1:8" x14ac:dyDescent="0.25">
      <c r="A22">
        <f t="shared" ref="A22:A82" si="13">A21+1</f>
        <v>26</v>
      </c>
      <c r="D22" s="3" t="str">
        <f>_xlfn.CONCAT("(",FIXED(VLOOKUP($B21,Sheet7!$A:$AZ,19,0), 4),")")</f>
        <v>(0.0541)</v>
      </c>
      <c r="E22" s="3" t="str">
        <f>_xlfn.CONCAT("(",FIXED(VLOOKUP($B21,Sheet7!$A:$AZ,15,0), 4),")")</f>
        <v>(0.0337)</v>
      </c>
      <c r="F22" s="3" t="str">
        <f>_xlfn.CONCAT("(",FIXED(VLOOKUP($B21,Sheet7!$A:$AZ,11,0), 4),")")</f>
        <v>(0.0477)</v>
      </c>
      <c r="G22" s="3" t="str">
        <f>_xlfn.CONCAT("(",FIXED(VLOOKUP($B21,Sheet7!$A:$AZ,7,0), 4),")")</f>
        <v>(0.0373)</v>
      </c>
      <c r="H22" s="3" t="str">
        <f>_xlfn.CONCAT("(",FIXED(VLOOKUP($B21,Sheet7!$A:$AZ,3,0), 4),")")</f>
        <v>(0.0347)</v>
      </c>
    </row>
    <row r="23" spans="1:8" x14ac:dyDescent="0.25">
      <c r="A23">
        <f t="shared" ref="A23:A83" si="14">A22+2</f>
        <v>28</v>
      </c>
      <c r="B23" t="s">
        <v>15</v>
      </c>
      <c r="E23" s="3" t="str">
        <f>_xlfn.CONCAT(FIXED(VLOOKUP($B23,Sheet7!$A:$AZ,14,0),4),VLOOKUP($B23,Sheet7!$A:$AF,30,0))</f>
        <v>-0.0495***</v>
      </c>
      <c r="F23" s="3" t="str">
        <f>_xlfn.CONCAT(FIXED(VLOOKUP($B23,Sheet7!$A:$AZ,10,0),4),VLOOKUP($B23,Sheet7!$A:$AF,29,0))</f>
        <v>-0.0702***</v>
      </c>
      <c r="G23" s="3" t="str">
        <f>_xlfn.CONCAT(FIXED(VLOOKUP($B23,Sheet7!$A:$AZ,6,0),4),VLOOKUP($B23,Sheet7!$A:$AF,28,0))</f>
        <v>-0.0450***</v>
      </c>
      <c r="H23" s="3" t="str">
        <f>_xlfn.CONCAT(FIXED(VLOOKUP($B23,Sheet7!$A:$AZ,2,0),4),VLOOKUP($B23,Sheet7!$A:$AF,27,0))</f>
        <v>-0.0289***</v>
      </c>
    </row>
    <row r="24" spans="1:8" x14ac:dyDescent="0.25">
      <c r="A24">
        <f t="shared" ref="A24:A84" si="15">A23+1</f>
        <v>29</v>
      </c>
      <c r="E24" s="3" t="str">
        <f>_xlfn.CONCAT("(",FIXED(VLOOKUP($B23,Sheet7!$A:$AZ,15,0), 4),")")</f>
        <v>(0.0127)</v>
      </c>
      <c r="F24" s="3" t="str">
        <f>_xlfn.CONCAT("(",FIXED(VLOOKUP($B23,Sheet7!$A:$AZ,11,0), 4),")")</f>
        <v>(0.0099)</v>
      </c>
      <c r="G24" s="3" t="str">
        <f>_xlfn.CONCAT("(",FIXED(VLOOKUP($B23,Sheet7!$A:$AZ,7,0), 4),")")</f>
        <v>(0.0088)</v>
      </c>
      <c r="H24" s="3" t="str">
        <f>_xlfn.CONCAT("(",FIXED(VLOOKUP($B23,Sheet7!$A:$AZ,3,0), 4),")")</f>
        <v>(0.0062)</v>
      </c>
    </row>
    <row r="25" spans="1:8" x14ac:dyDescent="0.25">
      <c r="A25">
        <f t="shared" ref="A25:A85" si="16">A24+2</f>
        <v>31</v>
      </c>
      <c r="B25" t="s">
        <v>13</v>
      </c>
      <c r="E25" s="3" t="str">
        <f>_xlfn.CONCAT(FIXED(VLOOKUP($B25,Sheet7!$A:$AZ,14,0),4),VLOOKUP($B25,Sheet7!$A:$AF,30,0))</f>
        <v>0.1099***</v>
      </c>
      <c r="F25" s="3" t="str">
        <f>_xlfn.CONCAT(FIXED(VLOOKUP($B25,Sheet7!$A:$AZ,10,0),4),VLOOKUP($B25,Sheet7!$A:$AF,29,0))</f>
        <v>0.1077***</v>
      </c>
      <c r="G25" s="3" t="str">
        <f>_xlfn.CONCAT(FIXED(VLOOKUP($B25,Sheet7!$A:$AZ,6,0),4),VLOOKUP($B25,Sheet7!$A:$AF,28,0))</f>
        <v>0.0779***</v>
      </c>
      <c r="H25" s="3" t="str">
        <f>_xlfn.CONCAT(FIXED(VLOOKUP($B25,Sheet7!$A:$AZ,2,0),4),VLOOKUP($B25,Sheet7!$A:$AF,27,0))</f>
        <v>0.0658***</v>
      </c>
    </row>
    <row r="26" spans="1:8" x14ac:dyDescent="0.25">
      <c r="A26">
        <f t="shared" ref="A26:A86" si="17">A25+1</f>
        <v>32</v>
      </c>
      <c r="E26" s="3" t="str">
        <f>_xlfn.CONCAT("(",FIXED(VLOOKUP($B25,Sheet7!$A:$AZ,15,0), 4),")")</f>
        <v>(0.0160)</v>
      </c>
      <c r="F26" s="3" t="str">
        <f>_xlfn.CONCAT("(",FIXED(VLOOKUP($B25,Sheet7!$A:$AZ,11,0), 4),")")</f>
        <v>(0.0155)</v>
      </c>
      <c r="G26" s="3" t="str">
        <f>_xlfn.CONCAT("(",FIXED(VLOOKUP($B25,Sheet7!$A:$AZ,7,0), 4),")")</f>
        <v>(0.0069)</v>
      </c>
      <c r="H26" s="3" t="str">
        <f>_xlfn.CONCAT("(",FIXED(VLOOKUP($B25,Sheet7!$A:$AZ,3,0), 4),")")</f>
        <v>(0.0066)</v>
      </c>
    </row>
    <row r="27" spans="1:8" x14ac:dyDescent="0.25">
      <c r="A27">
        <f t="shared" ref="A27" si="18">A26+2</f>
        <v>34</v>
      </c>
      <c r="B27" t="s">
        <v>14</v>
      </c>
      <c r="E27" s="3" t="str">
        <f>_xlfn.CONCAT(FIXED(VLOOKUP($B27,Sheet7!$A:$AZ,14,0),4),VLOOKUP($B27,Sheet7!$A:$AF,30,0))</f>
        <v>0.0510***</v>
      </c>
      <c r="F27" s="3" t="str">
        <f>_xlfn.CONCAT(FIXED(VLOOKUP($B27,Sheet7!$A:$AZ,10,0),4),VLOOKUP($B27,Sheet7!$A:$AF,29,0))</f>
        <v>0.0371***</v>
      </c>
      <c r="G27" s="3" t="str">
        <f>_xlfn.CONCAT(FIXED(VLOOKUP($B27,Sheet7!$A:$AZ,6,0),4),VLOOKUP($B27,Sheet7!$A:$AF,28,0))</f>
        <v>0.0479***</v>
      </c>
      <c r="H27" s="3" t="str">
        <f>_xlfn.CONCAT(FIXED(VLOOKUP($B27,Sheet7!$A:$AZ,2,0),4),VLOOKUP($B27,Sheet7!$A:$AF,27,0))</f>
        <v>0.0427***</v>
      </c>
    </row>
    <row r="28" spans="1:8" x14ac:dyDescent="0.25">
      <c r="A28">
        <f t="shared" ref="A28" si="19">A27+1</f>
        <v>35</v>
      </c>
      <c r="E28" s="3" t="str">
        <f>_xlfn.CONCAT("(",FIXED(VLOOKUP($B27,Sheet7!$A:$AZ,15,0), 4),")")</f>
        <v>(0.0105)</v>
      </c>
      <c r="F28" s="3" t="str">
        <f>_xlfn.CONCAT("(",FIXED(VLOOKUP($B27,Sheet7!$A:$AZ,11,0), 4),")")</f>
        <v>(0.0073)</v>
      </c>
      <c r="G28" s="3" t="str">
        <f>_xlfn.CONCAT("(",FIXED(VLOOKUP($B27,Sheet7!$A:$AZ,7,0), 4),")")</f>
        <v>(0.0066)</v>
      </c>
      <c r="H28" s="3" t="str">
        <f>_xlfn.CONCAT("(",FIXED(VLOOKUP($B27,Sheet7!$A:$AZ,3,0), 4),")")</f>
        <v>(0.0054)</v>
      </c>
    </row>
    <row r="29" spans="1:8" x14ac:dyDescent="0.25">
      <c r="A29">
        <f t="shared" si="10"/>
        <v>37</v>
      </c>
      <c r="B29" t="s">
        <v>59</v>
      </c>
      <c r="E29" s="3" t="str">
        <f>_xlfn.CONCAT(FIXED(VLOOKUP($B29,Sheet7!$A:$AZ,14,0),4),VLOOKUP($B29,Sheet7!$A:$AF,30,0))</f>
        <v>-0.0899***</v>
      </c>
      <c r="F29" s="3" t="str">
        <f>_xlfn.CONCAT(FIXED(VLOOKUP($B29,Sheet7!$A:$AZ,10,0),4),VLOOKUP($B29,Sheet7!$A:$AF,29,0))</f>
        <v>-0.0490**</v>
      </c>
      <c r="G29" s="3" t="str">
        <f>_xlfn.CONCAT(FIXED(VLOOKUP($B29,Sheet7!$A:$AZ,6,0),4),VLOOKUP($B29,Sheet7!$A:$AF,28,0))</f>
        <v>-0.0551***</v>
      </c>
      <c r="H29" s="3" t="str">
        <f>_xlfn.CONCAT(FIXED(VLOOKUP($B29,Sheet7!$A:$AZ,2,0),4),VLOOKUP($B29,Sheet7!$A:$AF,27,0))</f>
        <v>-0.0500***</v>
      </c>
    </row>
    <row r="30" spans="1:8" x14ac:dyDescent="0.25">
      <c r="A30">
        <f t="shared" si="11"/>
        <v>38</v>
      </c>
      <c r="E30" s="3" t="str">
        <f>_xlfn.CONCAT("(",FIXED(VLOOKUP($B29,Sheet7!$A:$AZ,15,0), 4),")")</f>
        <v>(0.0224)</v>
      </c>
      <c r="F30" s="3" t="str">
        <f>_xlfn.CONCAT("(",FIXED(VLOOKUP($B29,Sheet7!$A:$AZ,11,0), 4),")")</f>
        <v>(0.0200)</v>
      </c>
      <c r="G30" s="3" t="str">
        <f>_xlfn.CONCAT("(",FIXED(VLOOKUP($B29,Sheet7!$A:$AZ,7,0), 4),")")</f>
        <v>(0.0094)</v>
      </c>
      <c r="H30" s="3" t="str">
        <f>_xlfn.CONCAT("(",FIXED(VLOOKUP($B29,Sheet7!$A:$AZ,3,0), 4),")")</f>
        <v>(0.0091)</v>
      </c>
    </row>
    <row r="31" spans="1:8" x14ac:dyDescent="0.25">
      <c r="A31">
        <f t="shared" si="12"/>
        <v>40</v>
      </c>
      <c r="B31" t="s">
        <v>60</v>
      </c>
      <c r="E31" s="3" t="str">
        <f>_xlfn.CONCAT(FIXED(VLOOKUP($B31,Sheet7!$A:$AZ,14,0),4),VLOOKUP($B31,Sheet7!$A:$AF,30,0))</f>
        <v>-0.2324***</v>
      </c>
      <c r="F31" s="3" t="str">
        <f>_xlfn.CONCAT(FIXED(VLOOKUP($B31,Sheet7!$A:$AZ,10,0),4),VLOOKUP($B31,Sheet7!$A:$AF,29,0))</f>
        <v>-0.0687**</v>
      </c>
      <c r="G31" s="3" t="str">
        <f>_xlfn.CONCAT(FIXED(VLOOKUP($B31,Sheet7!$A:$AZ,6,0),4),VLOOKUP($B31,Sheet7!$A:$AF,28,0))</f>
        <v>-0.1030***</v>
      </c>
      <c r="H31" s="3" t="str">
        <f>_xlfn.CONCAT(FIXED(VLOOKUP($B31,Sheet7!$A:$AZ,2,0),4),VLOOKUP($B31,Sheet7!$A:$AF,27,0))</f>
        <v>-0.0905***</v>
      </c>
    </row>
    <row r="32" spans="1:8" x14ac:dyDescent="0.25">
      <c r="A32">
        <f t="shared" si="13"/>
        <v>41</v>
      </c>
      <c r="E32" s="3" t="str">
        <f>_xlfn.CONCAT("(",FIXED(VLOOKUP($B31,Sheet7!$A:$AZ,15,0), 4),")")</f>
        <v>(0.0454)</v>
      </c>
      <c r="F32" s="3" t="str">
        <f>_xlfn.CONCAT("(",FIXED(VLOOKUP($B31,Sheet7!$A:$AZ,11,0), 4),")")</f>
        <v>(0.0301)</v>
      </c>
      <c r="G32" s="3" t="str">
        <f>_xlfn.CONCAT("(",FIXED(VLOOKUP($B31,Sheet7!$A:$AZ,7,0), 4),")")</f>
        <v>(0.0161)</v>
      </c>
      <c r="H32" s="3" t="str">
        <f>_xlfn.CONCAT("(",FIXED(VLOOKUP($B31,Sheet7!$A:$AZ,3,0), 4),")")</f>
        <v>(0.0128)</v>
      </c>
    </row>
    <row r="33" spans="1:8" x14ac:dyDescent="0.25">
      <c r="A33">
        <f t="shared" si="14"/>
        <v>43</v>
      </c>
      <c r="B33" t="s">
        <v>18</v>
      </c>
      <c r="E33" s="3" t="str">
        <f>_xlfn.CONCAT(FIXED(VLOOKUP($B33,Sheet7!$A:$AZ,14,0),4),VLOOKUP($B33,Sheet7!$A:$AF,30,0))</f>
        <v>0.0003***</v>
      </c>
      <c r="F33" s="3" t="str">
        <f>_xlfn.CONCAT(FIXED(VLOOKUP($B33,Sheet7!$A:$AZ,10,0),4),VLOOKUP($B33,Sheet7!$A:$AF,29,0))</f>
        <v>0.0002***</v>
      </c>
      <c r="G33" s="3" t="str">
        <f>_xlfn.CONCAT(FIXED(VLOOKUP($B33,Sheet7!$A:$AZ,6,0),4),VLOOKUP($B33,Sheet7!$A:$AF,28,0))</f>
        <v>0.0002***</v>
      </c>
      <c r="H33" s="3" t="str">
        <f>_xlfn.CONCAT(FIXED(VLOOKUP($B33,Sheet7!$A:$AZ,2,0),4),VLOOKUP($B33,Sheet7!$A:$AF,27,0))</f>
        <v>0.0002***</v>
      </c>
    </row>
    <row r="34" spans="1:8" x14ac:dyDescent="0.25">
      <c r="A34">
        <f t="shared" si="15"/>
        <v>44</v>
      </c>
      <c r="E34" s="3" t="str">
        <f>_xlfn.CONCAT("(",FIXED(VLOOKUP($B33,Sheet7!$A:$AZ,15,0), 4),")")</f>
        <v>(0.0000)</v>
      </c>
      <c r="F34" s="3" t="str">
        <f>_xlfn.CONCAT("(",FIXED(VLOOKUP($B33,Sheet7!$A:$AZ,11,0), 4),")")</f>
        <v>(0.0000)</v>
      </c>
      <c r="G34" s="3" t="str">
        <f>_xlfn.CONCAT("(",FIXED(VLOOKUP($B33,Sheet7!$A:$AZ,7,0), 4),")")</f>
        <v>(0.0000)</v>
      </c>
      <c r="H34" s="3" t="str">
        <f>_xlfn.CONCAT("(",FIXED(VLOOKUP($B33,Sheet7!$A:$AZ,3,0), 4),")")</f>
        <v>(0.0000)</v>
      </c>
    </row>
    <row r="35" spans="1:8" x14ac:dyDescent="0.25">
      <c r="A35">
        <f t="shared" si="16"/>
        <v>46</v>
      </c>
      <c r="B35" t="s">
        <v>33</v>
      </c>
      <c r="E35" s="3" t="str">
        <f>_xlfn.CONCAT(FIXED(VLOOKUP($B35,Sheet7!$A:$AZ,14,0),4),VLOOKUP($B35,Sheet7!$A:$AF,30,0))</f>
        <v>0.0005</v>
      </c>
      <c r="F35" s="3" t="str">
        <f>_xlfn.CONCAT(FIXED(VLOOKUP($B35,Sheet7!$A:$AZ,10,0),4),VLOOKUP($B35,Sheet7!$A:$AF,29,0))</f>
        <v>0.0028</v>
      </c>
      <c r="G35" s="3" t="str">
        <f>_xlfn.CONCAT(FIXED(VLOOKUP($B35,Sheet7!$A:$AZ,6,0),4),VLOOKUP($B35,Sheet7!$A:$AF,28,0))</f>
        <v>-0.0037***</v>
      </c>
      <c r="H35" s="3" t="str">
        <f>_xlfn.CONCAT(FIXED(VLOOKUP($B35,Sheet7!$A:$AZ,2,0),4),VLOOKUP($B35,Sheet7!$A:$AF,27,0))</f>
        <v>-0.0028**</v>
      </c>
    </row>
    <row r="36" spans="1:8" x14ac:dyDescent="0.25">
      <c r="A36">
        <f t="shared" si="17"/>
        <v>47</v>
      </c>
      <c r="E36" s="3" t="str">
        <f>_xlfn.CONCAT("(",FIXED(VLOOKUP($B35,Sheet7!$A:$AZ,15,0), 4),")")</f>
        <v>(0.0020)</v>
      </c>
      <c r="F36" s="3" t="str">
        <f>_xlfn.CONCAT("(",FIXED(VLOOKUP($B35,Sheet7!$A:$AZ,11,0), 4),")")</f>
        <v>(0.0021)</v>
      </c>
      <c r="G36" s="3" t="str">
        <f>_xlfn.CONCAT("(",FIXED(VLOOKUP($B35,Sheet7!$A:$AZ,7,0), 4),")")</f>
        <v>(0.0010)</v>
      </c>
      <c r="H36" s="3" t="str">
        <f>_xlfn.CONCAT("(",FIXED(VLOOKUP($B35,Sheet7!$A:$AZ,3,0), 4),")")</f>
        <v>(0.0010)</v>
      </c>
    </row>
    <row r="37" spans="1:8" x14ac:dyDescent="0.25">
      <c r="A37">
        <f t="shared" ref="A37" si="20">A36+2</f>
        <v>49</v>
      </c>
      <c r="B37" t="s">
        <v>34</v>
      </c>
      <c r="E37" s="3" t="str">
        <f>_xlfn.CONCAT(FIXED(VLOOKUP($B37,Sheet7!$A:$AZ,14,0),4),VLOOKUP($B37,Sheet7!$A:$AF,30,0))</f>
        <v>0.0404*</v>
      </c>
      <c r="F37" s="3" t="str">
        <f>_xlfn.CONCAT(FIXED(VLOOKUP($B37,Sheet7!$A:$AZ,10,0),4),VLOOKUP($B37,Sheet7!$A:$AF,29,0))</f>
        <v>0.0219</v>
      </c>
      <c r="G37" s="3" t="str">
        <f>_xlfn.CONCAT(FIXED(VLOOKUP($B37,Sheet7!$A:$AZ,6,0),4),VLOOKUP($B37,Sheet7!$A:$AF,28,0))</f>
        <v>0.0495***</v>
      </c>
      <c r="H37" s="3" t="str">
        <f>_xlfn.CONCAT(FIXED(VLOOKUP($B37,Sheet7!$A:$AZ,2,0),4),VLOOKUP($B37,Sheet7!$A:$AF,27,0))</f>
        <v>0.0391***</v>
      </c>
    </row>
    <row r="38" spans="1:8" x14ac:dyDescent="0.25">
      <c r="A38">
        <f t="shared" ref="A38" si="21">A37+1</f>
        <v>50</v>
      </c>
      <c r="E38" s="3" t="str">
        <f>_xlfn.CONCAT("(",FIXED(VLOOKUP($B37,Sheet7!$A:$AZ,15,0), 4),")")</f>
        <v>(0.0217)</v>
      </c>
      <c r="F38" s="3" t="str">
        <f>_xlfn.CONCAT("(",FIXED(VLOOKUP($B37,Sheet7!$A:$AZ,11,0), 4),")")</f>
        <v>(0.0218)</v>
      </c>
      <c r="G38" s="3" t="str">
        <f>_xlfn.CONCAT("(",FIXED(VLOOKUP($B37,Sheet7!$A:$AZ,7,0), 4),")")</f>
        <v>(0.0120)</v>
      </c>
      <c r="H38" s="3" t="str">
        <f>_xlfn.CONCAT("(",FIXED(VLOOKUP($B37,Sheet7!$A:$AZ,3,0), 4),")")</f>
        <v>(0.0109)</v>
      </c>
    </row>
    <row r="39" spans="1:8" x14ac:dyDescent="0.25">
      <c r="A39">
        <f t="shared" si="10"/>
        <v>52</v>
      </c>
      <c r="B39" t="s">
        <v>21</v>
      </c>
      <c r="E39" s="3" t="str">
        <f>_xlfn.CONCAT(FIXED(VLOOKUP($B39,Sheet7!$A:$AZ,14,0),4),VLOOKUP($B39,Sheet7!$A:$AF,30,0))</f>
        <v>-0.0121</v>
      </c>
      <c r="F39" s="3" t="str">
        <f>_xlfn.CONCAT(FIXED(VLOOKUP($B39,Sheet7!$A:$AZ,10,0),4),VLOOKUP($B39,Sheet7!$A:$AF,29,0))</f>
        <v>-0.0285</v>
      </c>
      <c r="G39" s="3" t="str">
        <f>_xlfn.CONCAT(FIXED(VLOOKUP($B39,Sheet7!$A:$AZ,6,0),4),VLOOKUP($B39,Sheet7!$A:$AF,28,0))</f>
        <v>-0.0513**</v>
      </c>
      <c r="H39" s="3" t="str">
        <f>_xlfn.CONCAT(FIXED(VLOOKUP($B39,Sheet7!$A:$AZ,2,0),4),VLOOKUP($B39,Sheet7!$A:$AF,27,0))</f>
        <v>-0.0316*</v>
      </c>
    </row>
    <row r="40" spans="1:8" x14ac:dyDescent="0.25">
      <c r="A40">
        <f t="shared" si="11"/>
        <v>53</v>
      </c>
      <c r="E40" s="3" t="str">
        <f>_xlfn.CONCAT("(",FIXED(VLOOKUP($B39,Sheet7!$A:$AZ,15,0), 4),")")</f>
        <v>(0.0320)</v>
      </c>
      <c r="F40" s="3" t="str">
        <f>_xlfn.CONCAT("(",FIXED(VLOOKUP($B39,Sheet7!$A:$AZ,11,0), 4),")")</f>
        <v>(0.0318)</v>
      </c>
      <c r="G40" s="3" t="str">
        <f>_xlfn.CONCAT("(",FIXED(VLOOKUP($B39,Sheet7!$A:$AZ,7,0), 4),")")</f>
        <v>(0.0175)</v>
      </c>
      <c r="H40" s="3" t="str">
        <f>_xlfn.CONCAT("(",FIXED(VLOOKUP($B39,Sheet7!$A:$AZ,3,0), 4),")")</f>
        <v>(0.0145)</v>
      </c>
    </row>
    <row r="41" spans="1:8" x14ac:dyDescent="0.25">
      <c r="A41">
        <f t="shared" si="12"/>
        <v>55</v>
      </c>
      <c r="B41" t="s">
        <v>221</v>
      </c>
      <c r="E41" s="3" t="str">
        <f>_xlfn.CONCAT(FIXED(VLOOKUP($B41,Sheet7!$A:$AZ,14,0),4),VLOOKUP($B41,Sheet7!$A:$AF,30,0))</f>
        <v>0.1448***</v>
      </c>
      <c r="F41" s="3" t="str">
        <f>_xlfn.CONCAT(FIXED(VLOOKUP($B41,Sheet7!$A:$AZ,10,0),4),VLOOKUP($B41,Sheet7!$A:$AF,29,0))</f>
        <v>0.1559***</v>
      </c>
      <c r="G41" s="3" t="str">
        <f>_xlfn.CONCAT(FIXED(VLOOKUP($B41,Sheet7!$A:$AZ,6,0),4),VLOOKUP($B41,Sheet7!$A:$AF,28,0))</f>
        <v>0.1219***</v>
      </c>
      <c r="H41" s="3" t="str">
        <f>_xlfn.CONCAT(FIXED(VLOOKUP($B41,Sheet7!$A:$AZ,2,0),4),VLOOKUP($B41,Sheet7!$A:$AF,27,0))</f>
        <v>0.1146***</v>
      </c>
    </row>
    <row r="42" spans="1:8" x14ac:dyDescent="0.25">
      <c r="A42">
        <f t="shared" si="13"/>
        <v>56</v>
      </c>
      <c r="E42" s="3" t="str">
        <f>_xlfn.CONCAT("(",FIXED(VLOOKUP($B41,Sheet7!$A:$AZ,15,0), 4),")")</f>
        <v>(0.0238)</v>
      </c>
      <c r="F42" s="3" t="str">
        <f>_xlfn.CONCAT("(",FIXED(VLOOKUP($B41,Sheet7!$A:$AZ,11,0), 4),")")</f>
        <v>(0.0227)</v>
      </c>
      <c r="G42" s="3" t="str">
        <f>_xlfn.CONCAT("(",FIXED(VLOOKUP($B41,Sheet7!$A:$AZ,7,0), 4),")")</f>
        <v>(0.0133)</v>
      </c>
      <c r="H42" s="3" t="str">
        <f>_xlfn.CONCAT("(",FIXED(VLOOKUP($B41,Sheet7!$A:$AZ,3,0), 4),")")</f>
        <v>(0.0105)</v>
      </c>
    </row>
    <row r="43" spans="1:8" x14ac:dyDescent="0.25">
      <c r="A43">
        <f t="shared" si="14"/>
        <v>58</v>
      </c>
      <c r="B43" t="s">
        <v>222</v>
      </c>
      <c r="E43" s="3" t="str">
        <f>_xlfn.CONCAT(FIXED(VLOOKUP($B43,Sheet7!$A:$AZ,14,0),4),VLOOKUP($B43,Sheet7!$A:$AF,30,0))</f>
        <v>0.0744***</v>
      </c>
      <c r="F43" s="3" t="str">
        <f>_xlfn.CONCAT(FIXED(VLOOKUP($B43,Sheet7!$A:$AZ,10,0),4),VLOOKUP($B43,Sheet7!$A:$AF,29,0))</f>
        <v>0.0770***</v>
      </c>
      <c r="G43" s="3" t="str">
        <f>_xlfn.CONCAT(FIXED(VLOOKUP($B43,Sheet7!$A:$AZ,6,0),4),VLOOKUP($B43,Sheet7!$A:$AF,28,0))</f>
        <v>0.0609***</v>
      </c>
      <c r="H43" s="3" t="str">
        <f>_xlfn.CONCAT(FIXED(VLOOKUP($B43,Sheet7!$A:$AZ,2,0),4),VLOOKUP($B43,Sheet7!$A:$AF,27,0))</f>
        <v>0.0576***</v>
      </c>
    </row>
    <row r="44" spans="1:8" x14ac:dyDescent="0.25">
      <c r="A44">
        <f t="shared" si="15"/>
        <v>59</v>
      </c>
      <c r="E44" s="3" t="str">
        <f>_xlfn.CONCAT("(",FIXED(VLOOKUP($B43,Sheet7!$A:$AZ,15,0), 4),")")</f>
        <v>(0.0124)</v>
      </c>
      <c r="F44" s="3" t="str">
        <f>_xlfn.CONCAT("(",FIXED(VLOOKUP($B43,Sheet7!$A:$AZ,11,0), 4),")")</f>
        <v>(0.0101)</v>
      </c>
      <c r="G44" s="3" t="str">
        <f>_xlfn.CONCAT("(",FIXED(VLOOKUP($B43,Sheet7!$A:$AZ,7,0), 4),")")</f>
        <v>(0.0051)</v>
      </c>
      <c r="H44" s="3" t="str">
        <f>_xlfn.CONCAT("(",FIXED(VLOOKUP($B43,Sheet7!$A:$AZ,3,0), 4),")")</f>
        <v>(0.0039)</v>
      </c>
    </row>
    <row r="45" spans="1:8" x14ac:dyDescent="0.25">
      <c r="A45">
        <f t="shared" si="16"/>
        <v>61</v>
      </c>
      <c r="B45" t="s">
        <v>225</v>
      </c>
      <c r="E45" s="3" t="str">
        <f>_xlfn.CONCAT(FIXED(VLOOKUP($B45,Sheet7!$A:$AZ,14,0),4),VLOOKUP($B45,Sheet7!$A:$AF,30,0))</f>
        <v>-0.0378*</v>
      </c>
      <c r="F45" s="3" t="str">
        <f>_xlfn.CONCAT(FIXED(VLOOKUP($B45,Sheet7!$A:$AZ,10,0),4),VLOOKUP($B45,Sheet7!$A:$AF,29,0))</f>
        <v>-0.0427**</v>
      </c>
      <c r="G45" s="3" t="str">
        <f>_xlfn.CONCAT(FIXED(VLOOKUP($B45,Sheet7!$A:$AZ,6,0),4),VLOOKUP($B45,Sheet7!$A:$AF,28,0))</f>
        <v>-0.0477***</v>
      </c>
      <c r="H45" s="3" t="str">
        <f>_xlfn.CONCAT(FIXED(VLOOKUP($B45,Sheet7!$A:$AZ,2,0),4),VLOOKUP($B45,Sheet7!$A:$AF,27,0))</f>
        <v>-0.0506***</v>
      </c>
    </row>
    <row r="46" spans="1:8" x14ac:dyDescent="0.25">
      <c r="A46">
        <f t="shared" si="17"/>
        <v>62</v>
      </c>
      <c r="E46" s="3" t="str">
        <f>_xlfn.CONCAT("(",FIXED(VLOOKUP($B45,Sheet7!$A:$AZ,15,0), 4),")")</f>
        <v>(0.0199)</v>
      </c>
      <c r="F46" s="3" t="str">
        <f>_xlfn.CONCAT("(",FIXED(VLOOKUP($B45,Sheet7!$A:$AZ,11,0), 4),")")</f>
        <v>(0.0187)</v>
      </c>
      <c r="G46" s="3" t="str">
        <f>_xlfn.CONCAT("(",FIXED(VLOOKUP($B45,Sheet7!$A:$AZ,7,0), 4),")")</f>
        <v>(0.0135)</v>
      </c>
      <c r="H46" s="3" t="str">
        <f>_xlfn.CONCAT("(",FIXED(VLOOKUP($B45,Sheet7!$A:$AZ,3,0), 4),")")</f>
        <v>(0.0109)</v>
      </c>
    </row>
    <row r="47" spans="1:8" x14ac:dyDescent="0.25">
      <c r="A47">
        <f t="shared" ref="A47" si="22">A46+2</f>
        <v>64</v>
      </c>
      <c r="B47" t="s">
        <v>22</v>
      </c>
      <c r="E47" s="3"/>
      <c r="F47" s="3" t="str">
        <f>_xlfn.CONCAT(FIXED(VLOOKUP($B47,Sheet7!$A:$AZ,10,0),4),VLOOKUP($B47,Sheet7!$A:$AF,29,0))</f>
        <v>0.0525**</v>
      </c>
      <c r="G47" s="3" t="str">
        <f>_xlfn.CONCAT(FIXED(VLOOKUP($B47,Sheet7!$A:$AZ,6,0),4),VLOOKUP($B47,Sheet7!$A:$AF,28,0))</f>
        <v>0.0384**</v>
      </c>
      <c r="H47" s="3" t="str">
        <f>_xlfn.CONCAT(FIXED(VLOOKUP($B47,Sheet7!$A:$AZ,2,0),4),VLOOKUP($B47,Sheet7!$A:$AF,27,0))</f>
        <v>0.0368**</v>
      </c>
    </row>
    <row r="48" spans="1:8" x14ac:dyDescent="0.25">
      <c r="A48">
        <f t="shared" ref="A48" si="23">A47+1</f>
        <v>65</v>
      </c>
      <c r="E48" s="3"/>
      <c r="F48" s="3" t="str">
        <f>_xlfn.CONCAT("(",FIXED(VLOOKUP($B47,Sheet7!$A:$AZ,11,0), 4),")")</f>
        <v>(0.0183)</v>
      </c>
      <c r="G48" s="3" t="str">
        <f>_xlfn.CONCAT("(",FIXED(VLOOKUP($B47,Sheet7!$A:$AZ,7,0), 4),")")</f>
        <v>(0.0142)</v>
      </c>
      <c r="H48" s="3" t="str">
        <f>_xlfn.CONCAT("(",FIXED(VLOOKUP($B47,Sheet7!$A:$AZ,3,0), 4),")")</f>
        <v>(0.0149)</v>
      </c>
    </row>
    <row r="49" spans="1:8" x14ac:dyDescent="0.25">
      <c r="A49">
        <f t="shared" si="10"/>
        <v>67</v>
      </c>
      <c r="B49" t="s">
        <v>23</v>
      </c>
      <c r="E49" s="3"/>
      <c r="F49" s="3" t="str">
        <f>_xlfn.CONCAT(FIXED(VLOOKUP($B49,Sheet7!$A:$AZ,10,0),4),VLOOKUP($B49,Sheet7!$A:$AF,29,0))</f>
        <v>-0.1138**</v>
      </c>
      <c r="G49" s="3" t="str">
        <f>_xlfn.CONCAT(FIXED(VLOOKUP($B49,Sheet7!$A:$AZ,6,0),4),VLOOKUP($B49,Sheet7!$A:$AF,28,0))</f>
        <v>-0.1265**</v>
      </c>
      <c r="H49" s="3" t="str">
        <f>_xlfn.CONCAT(FIXED(VLOOKUP($B49,Sheet7!$A:$AZ,2,0),4),VLOOKUP($B49,Sheet7!$A:$AF,27,0))</f>
        <v>-0.1133**</v>
      </c>
    </row>
    <row r="50" spans="1:8" x14ac:dyDescent="0.25">
      <c r="A50">
        <f t="shared" si="11"/>
        <v>68</v>
      </c>
      <c r="E50" s="3"/>
      <c r="F50" s="3" t="str">
        <f>_xlfn.CONCAT("(",FIXED(VLOOKUP($B49,Sheet7!$A:$AZ,11,0), 4),")")</f>
        <v>(0.0449)</v>
      </c>
      <c r="G50" s="3" t="str">
        <f>_xlfn.CONCAT("(",FIXED(VLOOKUP($B49,Sheet7!$A:$AZ,7,0), 4),")")</f>
        <v>(0.0380)</v>
      </c>
      <c r="H50" s="3" t="str">
        <f>_xlfn.CONCAT("(",FIXED(VLOOKUP($B49,Sheet7!$A:$AZ,3,0), 4),")")</f>
        <v>(0.0333)</v>
      </c>
    </row>
    <row r="51" spans="1:8" x14ac:dyDescent="0.25">
      <c r="A51">
        <f t="shared" si="12"/>
        <v>70</v>
      </c>
      <c r="B51" t="s">
        <v>24</v>
      </c>
      <c r="E51" s="3"/>
      <c r="F51" s="3" t="str">
        <f>_xlfn.CONCAT(FIXED(VLOOKUP($B51,Sheet7!$A:$AZ,10,0),4),VLOOKUP($B51,Sheet7!$A:$AF,29,0))</f>
        <v>-0.4064***</v>
      </c>
      <c r="G51" s="3" t="str">
        <f>_xlfn.CONCAT(FIXED(VLOOKUP($B51,Sheet7!$A:$AZ,6,0),4),VLOOKUP($B51,Sheet7!$A:$AF,28,0))</f>
        <v>-0.4564***</v>
      </c>
      <c r="H51" s="3" t="str">
        <f>_xlfn.CONCAT(FIXED(VLOOKUP($B51,Sheet7!$A:$AZ,2,0),4),VLOOKUP($B51,Sheet7!$A:$AF,27,0))</f>
        <v>-0.4555***</v>
      </c>
    </row>
    <row r="52" spans="1:8" x14ac:dyDescent="0.25">
      <c r="A52">
        <f t="shared" si="13"/>
        <v>71</v>
      </c>
      <c r="E52" s="3"/>
      <c r="F52" s="3" t="str">
        <f>_xlfn.CONCAT("(",FIXED(VLOOKUP($B51,Sheet7!$A:$AZ,11,0), 4),")")</f>
        <v>(0.0357)</v>
      </c>
      <c r="G52" s="3" t="str">
        <f>_xlfn.CONCAT("(",FIXED(VLOOKUP($B51,Sheet7!$A:$AZ,7,0), 4),")")</f>
        <v>(0.0382)</v>
      </c>
      <c r="H52" s="3" t="str">
        <f>_xlfn.CONCAT("(",FIXED(VLOOKUP($B51,Sheet7!$A:$AZ,3,0), 4),")")</f>
        <v>(0.0432)</v>
      </c>
    </row>
    <row r="53" spans="1:8" x14ac:dyDescent="0.25">
      <c r="A53">
        <f t="shared" si="14"/>
        <v>73</v>
      </c>
      <c r="B53" t="s">
        <v>25</v>
      </c>
      <c r="E53" s="3"/>
      <c r="F53" s="3" t="str">
        <f>_xlfn.CONCAT(FIXED(VLOOKUP($B53,Sheet7!$A:$AZ,10,0),4),VLOOKUP($B53,Sheet7!$A:$AF,29,0))</f>
        <v>-0.4249***</v>
      </c>
      <c r="G53" s="3" t="str">
        <f>_xlfn.CONCAT(FIXED(VLOOKUP($B53,Sheet7!$A:$AZ,6,0),4),VLOOKUP($B53,Sheet7!$A:$AF,28,0))</f>
        <v>-0.5097***</v>
      </c>
      <c r="H53" s="3" t="str">
        <f>_xlfn.CONCAT(FIXED(VLOOKUP($B53,Sheet7!$A:$AZ,2,0),4),VLOOKUP($B53,Sheet7!$A:$AF,27,0))</f>
        <v>-0.5562***</v>
      </c>
    </row>
    <row r="54" spans="1:8" x14ac:dyDescent="0.25">
      <c r="A54">
        <f t="shared" si="15"/>
        <v>74</v>
      </c>
      <c r="E54" s="3"/>
      <c r="F54" s="3" t="str">
        <f>_xlfn.CONCAT("(",FIXED(VLOOKUP($B53,Sheet7!$A:$AZ,11,0), 4),")")</f>
        <v>(0.0503)</v>
      </c>
      <c r="G54" s="3" t="str">
        <f>_xlfn.CONCAT("(",FIXED(VLOOKUP($B53,Sheet7!$A:$AZ,7,0), 4),")")</f>
        <v>(0.0382)</v>
      </c>
      <c r="H54" s="3" t="str">
        <f>_xlfn.CONCAT("(",FIXED(VLOOKUP($B53,Sheet7!$A:$AZ,3,0), 4),")")</f>
        <v>(0.0613)</v>
      </c>
    </row>
    <row r="55" spans="1:8" x14ac:dyDescent="0.25">
      <c r="A55">
        <f t="shared" si="16"/>
        <v>76</v>
      </c>
      <c r="B55" t="s">
        <v>26</v>
      </c>
      <c r="E55" s="3"/>
      <c r="F55" s="3" t="str">
        <f>_xlfn.CONCAT(FIXED(VLOOKUP($B55,Sheet7!$A:$AZ,10,0),4),VLOOKUP($B55,Sheet7!$A:$AF,29,0))</f>
        <v>-0.2580***</v>
      </c>
      <c r="G55" s="3" t="str">
        <f>_xlfn.CONCAT(FIXED(VLOOKUP($B55,Sheet7!$A:$AZ,6,0),4),VLOOKUP($B55,Sheet7!$A:$AF,28,0))</f>
        <v>-0.2784***</v>
      </c>
      <c r="H55" s="3" t="str">
        <f>_xlfn.CONCAT(FIXED(VLOOKUP($B55,Sheet7!$A:$AZ,2,0),4),VLOOKUP($B55,Sheet7!$A:$AF,27,0))</f>
        <v>-0.2682***</v>
      </c>
    </row>
    <row r="56" spans="1:8" x14ac:dyDescent="0.25">
      <c r="A56">
        <f t="shared" si="17"/>
        <v>77</v>
      </c>
      <c r="E56" s="3"/>
      <c r="F56" s="3" t="str">
        <f>_xlfn.CONCAT("(",FIXED(VLOOKUP($B55,Sheet7!$A:$AZ,11,0), 4),")")</f>
        <v>(0.0505)</v>
      </c>
      <c r="G56" s="3" t="str">
        <f>_xlfn.CONCAT("(",FIXED(VLOOKUP($B55,Sheet7!$A:$AZ,7,0), 4),")")</f>
        <v>(0.0336)</v>
      </c>
      <c r="H56" s="3" t="str">
        <f>_xlfn.CONCAT("(",FIXED(VLOOKUP($B55,Sheet7!$A:$AZ,3,0), 4),")")</f>
        <v>(0.0331)</v>
      </c>
    </row>
    <row r="57" spans="1:8" x14ac:dyDescent="0.25">
      <c r="A57">
        <f t="shared" ref="A57" si="24">A56+2</f>
        <v>79</v>
      </c>
      <c r="B57" t="s">
        <v>27</v>
      </c>
      <c r="E57" s="3"/>
      <c r="F57" s="3" t="str">
        <f>_xlfn.CONCAT(FIXED(VLOOKUP($B57,Sheet7!$A:$AZ,10,0),4),VLOOKUP($B57,Sheet7!$A:$AF,29,0))</f>
        <v>-0.2227</v>
      </c>
      <c r="G57" s="3" t="str">
        <f>_xlfn.CONCAT(FIXED(VLOOKUP($B57,Sheet7!$A:$AZ,6,0),4),VLOOKUP($B57,Sheet7!$A:$AF,28,0))</f>
        <v>-0.2948</v>
      </c>
      <c r="H57" s="3" t="str">
        <f>_xlfn.CONCAT(FIXED(VLOOKUP($B57,Sheet7!$A:$AZ,2,0),4),VLOOKUP($B57,Sheet7!$A:$AF,27,0))</f>
        <v>-0.2736</v>
      </c>
    </row>
    <row r="58" spans="1:8" x14ac:dyDescent="0.25">
      <c r="A58">
        <f t="shared" ref="A58" si="25">A57+1</f>
        <v>80</v>
      </c>
      <c r="E58" s="3"/>
      <c r="F58" s="3" t="str">
        <f>_xlfn.CONCAT("(",FIXED(VLOOKUP($B57,Sheet7!$A:$AZ,11,0), 4),")")</f>
        <v>(0.4126)</v>
      </c>
      <c r="G58" s="3" t="str">
        <f>_xlfn.CONCAT("(",FIXED(VLOOKUP($B57,Sheet7!$A:$AZ,7,0), 4),")")</f>
        <v>(0.3604)</v>
      </c>
      <c r="H58" s="3" t="str">
        <f>_xlfn.CONCAT("(",FIXED(VLOOKUP($B57,Sheet7!$A:$AZ,3,0), 4),")")</f>
        <v>(0.3763)</v>
      </c>
    </row>
    <row r="59" spans="1:8" x14ac:dyDescent="0.25">
      <c r="A59">
        <f t="shared" si="10"/>
        <v>82</v>
      </c>
      <c r="B59" t="s">
        <v>29</v>
      </c>
      <c r="E59" s="3"/>
      <c r="F59" s="3" t="str">
        <f>_xlfn.CONCAT(FIXED(VLOOKUP($B59,Sheet7!$A:$AZ,10,0),4),VLOOKUP($B59,Sheet7!$A:$AF,29,0))</f>
        <v>-0.0922**</v>
      </c>
      <c r="G59" s="3" t="str">
        <f>_xlfn.CONCAT(FIXED(VLOOKUP($B59,Sheet7!$A:$AZ,6,0),4),VLOOKUP($B59,Sheet7!$A:$AF,28,0))</f>
        <v>-0.0936***</v>
      </c>
      <c r="H59" s="3" t="str">
        <f>_xlfn.CONCAT(FIXED(VLOOKUP($B59,Sheet7!$A:$AZ,2,0),4),VLOOKUP($B59,Sheet7!$A:$AF,27,0))</f>
        <v>-0.0665***</v>
      </c>
    </row>
    <row r="60" spans="1:8" x14ac:dyDescent="0.25">
      <c r="A60">
        <f t="shared" si="11"/>
        <v>83</v>
      </c>
      <c r="E60" s="3"/>
      <c r="F60" s="3" t="str">
        <f>_xlfn.CONCAT("(",FIXED(VLOOKUP($B59,Sheet7!$A:$AZ,11,0), 4),")")</f>
        <v>(0.0414)</v>
      </c>
      <c r="G60" s="3" t="str">
        <f>_xlfn.CONCAT("(",FIXED(VLOOKUP($B59,Sheet7!$A:$AZ,7,0), 4),")")</f>
        <v>(0.0225)</v>
      </c>
      <c r="H60" s="3" t="str">
        <f>_xlfn.CONCAT("(",FIXED(VLOOKUP($B59,Sheet7!$A:$AZ,3,0), 4),")")</f>
        <v>(0.0186)</v>
      </c>
    </row>
    <row r="61" spans="1:8" x14ac:dyDescent="0.25">
      <c r="A61">
        <f t="shared" si="12"/>
        <v>85</v>
      </c>
      <c r="B61" t="s">
        <v>31</v>
      </c>
      <c r="E61" s="3"/>
      <c r="F61" s="3" t="str">
        <f>_xlfn.CONCAT(FIXED(VLOOKUP($B61,Sheet7!$A:$AZ,10,0),4),VLOOKUP($B61,Sheet7!$A:$AF,29,0))</f>
        <v>-0.2347***</v>
      </c>
      <c r="G61" s="3" t="str">
        <f>_xlfn.CONCAT(FIXED(VLOOKUP($B61,Sheet7!$A:$AZ,6,0),4),VLOOKUP($B61,Sheet7!$A:$AF,28,0))</f>
        <v>-0.2509***</v>
      </c>
      <c r="H61" s="3" t="str">
        <f>_xlfn.CONCAT(FIXED(VLOOKUP($B61,Sheet7!$A:$AZ,2,0),4),VLOOKUP($B61,Sheet7!$A:$AF,27,0))</f>
        <v>-0.2436***</v>
      </c>
    </row>
    <row r="62" spans="1:8" x14ac:dyDescent="0.25">
      <c r="A62">
        <f t="shared" si="13"/>
        <v>86</v>
      </c>
      <c r="E62" s="3"/>
      <c r="F62" s="3" t="str">
        <f>_xlfn.CONCAT("(",FIXED(VLOOKUP($B61,Sheet7!$A:$AZ,11,0), 4),")")</f>
        <v>(0.0547)</v>
      </c>
      <c r="G62" s="3" t="str">
        <f>_xlfn.CONCAT("(",FIXED(VLOOKUP($B61,Sheet7!$A:$AZ,7,0), 4),")")</f>
        <v>(0.0509)</v>
      </c>
      <c r="H62" s="3" t="str">
        <f>_xlfn.CONCAT("(",FIXED(VLOOKUP($B61,Sheet7!$A:$AZ,3,0), 4),")")</f>
        <v>(0.0456)</v>
      </c>
    </row>
    <row r="63" spans="1:8" x14ac:dyDescent="0.25">
      <c r="A63">
        <f t="shared" si="14"/>
        <v>88</v>
      </c>
      <c r="B63" t="s">
        <v>237</v>
      </c>
      <c r="E63" s="3"/>
      <c r="F63" s="3" t="str">
        <f>_xlfn.CONCAT(FIXED(VLOOKUP($B63,Sheet7!$A:$AZ,10,0),4),VLOOKUP($B63,Sheet7!$A:$AF,29,0))</f>
        <v>-0.0595</v>
      </c>
      <c r="G63" s="3" t="str">
        <f>_xlfn.CONCAT(FIXED(VLOOKUP($B63,Sheet7!$A:$AZ,6,0),4),VLOOKUP($B63,Sheet7!$A:$AF,28,0))</f>
        <v>-0.0154</v>
      </c>
      <c r="H63" s="3" t="str">
        <f>_xlfn.CONCAT(FIXED(VLOOKUP($B63,Sheet7!$A:$AZ,2,0),4),VLOOKUP($B63,Sheet7!$A:$AF,27,0))</f>
        <v>0.0207</v>
      </c>
    </row>
    <row r="64" spans="1:8" x14ac:dyDescent="0.25">
      <c r="A64">
        <f t="shared" si="15"/>
        <v>89</v>
      </c>
      <c r="E64" s="3"/>
      <c r="F64" s="3" t="str">
        <f>_xlfn.CONCAT("(",FIXED(VLOOKUP($B63,Sheet7!$A:$AZ,11,0), 4),")")</f>
        <v>(0.0642)</v>
      </c>
      <c r="G64" s="3" t="str">
        <f>_xlfn.CONCAT("(",FIXED(VLOOKUP($B63,Sheet7!$A:$AZ,7,0), 4),")")</f>
        <v>(0.1091)</v>
      </c>
      <c r="H64" s="3" t="str">
        <f>_xlfn.CONCAT("(",FIXED(VLOOKUP($B63,Sheet7!$A:$AZ,3,0), 4),")")</f>
        <v>(0.0919)</v>
      </c>
    </row>
    <row r="65" spans="1:8" x14ac:dyDescent="0.25">
      <c r="A65">
        <f t="shared" si="16"/>
        <v>91</v>
      </c>
      <c r="B65" t="s">
        <v>238</v>
      </c>
      <c r="E65" s="3"/>
      <c r="F65" s="3" t="str">
        <f>_xlfn.CONCAT(FIXED(VLOOKUP($B65,Sheet7!$A:$AZ,10,0),4),VLOOKUP($B65,Sheet7!$A:$AF,29,0))</f>
        <v>-0.1383</v>
      </c>
      <c r="G65" s="3" t="str">
        <f>_xlfn.CONCAT(FIXED(VLOOKUP($B65,Sheet7!$A:$AZ,6,0),4),VLOOKUP($B65,Sheet7!$A:$AF,28,0))</f>
        <v>-0.1325</v>
      </c>
      <c r="H65" s="3" t="str">
        <f>_xlfn.CONCAT(FIXED(VLOOKUP($B65,Sheet7!$A:$AZ,2,0),4),VLOOKUP($B65,Sheet7!$A:$AF,27,0))</f>
        <v>-0.1067</v>
      </c>
    </row>
    <row r="66" spans="1:8" x14ac:dyDescent="0.25">
      <c r="A66">
        <f t="shared" si="17"/>
        <v>92</v>
      </c>
      <c r="E66" s="3"/>
      <c r="F66" s="3" t="str">
        <f>_xlfn.CONCAT("(",FIXED(VLOOKUP($B65,Sheet7!$A:$AZ,11,0), 4),")")</f>
        <v>(0.0802)</v>
      </c>
      <c r="G66" s="3" t="str">
        <f>_xlfn.CONCAT("(",FIXED(VLOOKUP($B65,Sheet7!$A:$AZ,7,0), 4),")")</f>
        <v>(0.0804)</v>
      </c>
      <c r="H66" s="3" t="str">
        <f>_xlfn.CONCAT("(",FIXED(VLOOKUP($B65,Sheet7!$A:$AZ,3,0), 4),")")</f>
        <v>(0.0985)</v>
      </c>
    </row>
    <row r="67" spans="1:8" x14ac:dyDescent="0.25">
      <c r="A67">
        <f t="shared" ref="A67" si="26">A66+2</f>
        <v>94</v>
      </c>
      <c r="B67" t="s">
        <v>241</v>
      </c>
      <c r="E67" s="3"/>
      <c r="F67" s="3" t="str">
        <f>_xlfn.CONCAT(FIXED(VLOOKUP($B67,Sheet7!$A:$AZ,10,0),4),VLOOKUP($B67,Sheet7!$A:$AF,29,0))</f>
        <v>-0.0574</v>
      </c>
      <c r="G67" s="3" t="str">
        <f>_xlfn.CONCAT(FIXED(VLOOKUP($B67,Sheet7!$A:$AZ,6,0),4),VLOOKUP($B67,Sheet7!$A:$AF,28,0))</f>
        <v>-0.0268</v>
      </c>
      <c r="H67" s="3" t="str">
        <f>_xlfn.CONCAT(FIXED(VLOOKUP($B67,Sheet7!$A:$AZ,2,0),4),VLOOKUP($B67,Sheet7!$A:$AF,27,0))</f>
        <v>-0.0523</v>
      </c>
    </row>
    <row r="68" spans="1:8" x14ac:dyDescent="0.25">
      <c r="A68">
        <f t="shared" ref="A68" si="27">A67+1</f>
        <v>95</v>
      </c>
      <c r="E68" s="3"/>
      <c r="F68" s="3" t="str">
        <f>_xlfn.CONCAT("(",FIXED(VLOOKUP($B67,Sheet7!$A:$AZ,11,0), 4),")")</f>
        <v>(0.0535)</v>
      </c>
      <c r="G68" s="3" t="str">
        <f>_xlfn.CONCAT("(",FIXED(VLOOKUP($B67,Sheet7!$A:$AZ,7,0), 4),")")</f>
        <v>(0.0363)</v>
      </c>
      <c r="H68" s="3" t="str">
        <f>_xlfn.CONCAT("(",FIXED(VLOOKUP($B67,Sheet7!$A:$AZ,3,0), 4),")")</f>
        <v>(0.0378)</v>
      </c>
    </row>
    <row r="69" spans="1:8" x14ac:dyDescent="0.25">
      <c r="A69">
        <f t="shared" si="10"/>
        <v>97</v>
      </c>
      <c r="B69" t="s">
        <v>243</v>
      </c>
      <c r="E69" s="3"/>
      <c r="F69" s="3" t="str">
        <f>_xlfn.CONCAT(FIXED(VLOOKUP($B69,Sheet7!$A:$AZ,10,0),4),VLOOKUP($B69,Sheet7!$A:$AF,29,0))</f>
        <v>-0.0818*</v>
      </c>
      <c r="G69" s="3" t="str">
        <f>_xlfn.CONCAT(FIXED(VLOOKUP($B69,Sheet7!$A:$AZ,6,0),4),VLOOKUP($B69,Sheet7!$A:$AF,28,0))</f>
        <v>-0.0928*</v>
      </c>
      <c r="H69" s="3" t="str">
        <f>_xlfn.CONCAT(FIXED(VLOOKUP($B69,Sheet7!$A:$AZ,2,0),4),VLOOKUP($B69,Sheet7!$A:$AF,27,0))</f>
        <v>-0.0471</v>
      </c>
    </row>
    <row r="70" spans="1:8" x14ac:dyDescent="0.25">
      <c r="A70">
        <f t="shared" si="11"/>
        <v>98</v>
      </c>
      <c r="E70" s="3"/>
      <c r="F70" s="3" t="str">
        <f>_xlfn.CONCAT("(",FIXED(VLOOKUP($B69,Sheet7!$A:$AZ,11,0), 4),")")</f>
        <v>(0.0399)</v>
      </c>
      <c r="G70" s="3" t="str">
        <f>_xlfn.CONCAT("(",FIXED(VLOOKUP($B69,Sheet7!$A:$AZ,7,0), 4),")")</f>
        <v>(0.0463)</v>
      </c>
      <c r="H70" s="3" t="str">
        <f>_xlfn.CONCAT("(",FIXED(VLOOKUP($B69,Sheet7!$A:$AZ,3,0), 4),")")</f>
        <v>(0.0442)</v>
      </c>
    </row>
    <row r="71" spans="1:8" x14ac:dyDescent="0.25">
      <c r="A71">
        <f t="shared" si="12"/>
        <v>100</v>
      </c>
      <c r="B71" t="s">
        <v>244</v>
      </c>
      <c r="E71" s="3"/>
      <c r="F71" s="3" t="str">
        <f>_xlfn.CONCAT(FIXED(VLOOKUP($B71,Sheet7!$A:$AZ,10,0),4),VLOOKUP($B71,Sheet7!$A:$AF,29,0))</f>
        <v>0.0331</v>
      </c>
      <c r="G71" s="3" t="str">
        <f>_xlfn.CONCAT(FIXED(VLOOKUP($B71,Sheet7!$A:$AZ,6,0),4),VLOOKUP($B71,Sheet7!$A:$AF,28,0))</f>
        <v>-0.0030</v>
      </c>
      <c r="H71" s="3" t="str">
        <f>_xlfn.CONCAT(FIXED(VLOOKUP($B71,Sheet7!$A:$AZ,2,0),4),VLOOKUP($B71,Sheet7!$A:$AF,27,0))</f>
        <v>0.0608</v>
      </c>
    </row>
    <row r="72" spans="1:8" x14ac:dyDescent="0.25">
      <c r="A72">
        <f t="shared" si="13"/>
        <v>101</v>
      </c>
      <c r="E72" s="3"/>
      <c r="F72" s="3" t="str">
        <f>_xlfn.CONCAT("(",FIXED(VLOOKUP($B71,Sheet7!$A:$AZ,11,0), 4),")")</f>
        <v>(0.1166)</v>
      </c>
      <c r="G72" s="3" t="str">
        <f>_xlfn.CONCAT("(",FIXED(VLOOKUP($B71,Sheet7!$A:$AZ,7,0), 4),")")</f>
        <v>(0.1089)</v>
      </c>
      <c r="H72" s="3" t="str">
        <f>_xlfn.CONCAT("(",FIXED(VLOOKUP($B71,Sheet7!$A:$AZ,3,0), 4),")")</f>
        <v>(0.1062)</v>
      </c>
    </row>
    <row r="73" spans="1:8" x14ac:dyDescent="0.25">
      <c r="A73">
        <f t="shared" si="14"/>
        <v>103</v>
      </c>
      <c r="B73" t="s">
        <v>245</v>
      </c>
      <c r="E73" s="3"/>
      <c r="F73" s="3" t="str">
        <f>_xlfn.CONCAT(FIXED(VLOOKUP($B73,Sheet7!$A:$AZ,10,0),4),VLOOKUP($B73,Sheet7!$A:$AF,29,0))</f>
        <v>-0.0698</v>
      </c>
      <c r="G73" s="3" t="str">
        <f>_xlfn.CONCAT(FIXED(VLOOKUP($B73,Sheet7!$A:$AZ,6,0),4),VLOOKUP($B73,Sheet7!$A:$AF,28,0))</f>
        <v>0.0282</v>
      </c>
      <c r="H73" s="3" t="str">
        <f>_xlfn.CONCAT(FIXED(VLOOKUP($B73,Sheet7!$A:$AZ,2,0),4),VLOOKUP($B73,Sheet7!$A:$AF,27,0))</f>
        <v>0.0077</v>
      </c>
    </row>
    <row r="74" spans="1:8" x14ac:dyDescent="0.25">
      <c r="A74">
        <f t="shared" si="15"/>
        <v>104</v>
      </c>
      <c r="E74" s="3"/>
      <c r="F74" s="3" t="str">
        <f>_xlfn.CONCAT("(",FIXED(VLOOKUP($B73,Sheet7!$A:$AZ,11,0), 4),")")</f>
        <v>(0.0876)</v>
      </c>
      <c r="G74" s="3" t="str">
        <f>_xlfn.CONCAT("(",FIXED(VLOOKUP($B73,Sheet7!$A:$AZ,7,0), 4),")")</f>
        <v>(0.0643)</v>
      </c>
      <c r="H74" s="3" t="str">
        <f>_xlfn.CONCAT("(",FIXED(VLOOKUP($B73,Sheet7!$A:$AZ,3,0), 4),")")</f>
        <v>(0.0768)</v>
      </c>
    </row>
    <row r="75" spans="1:8" x14ac:dyDescent="0.25">
      <c r="A75">
        <f t="shared" si="16"/>
        <v>106</v>
      </c>
      <c r="B75" t="s">
        <v>247</v>
      </c>
      <c r="E75" s="3"/>
      <c r="F75" s="3" t="str">
        <f>_xlfn.CONCAT(FIXED(VLOOKUP($B75,Sheet7!$A:$AZ,10,0),4),VLOOKUP($B75,Sheet7!$A:$AF,29,0))</f>
        <v>0.2435</v>
      </c>
      <c r="G75" s="3" t="str">
        <f>_xlfn.CONCAT(FIXED(VLOOKUP($B75,Sheet7!$A:$AZ,6,0),4),VLOOKUP($B75,Sheet7!$A:$AF,28,0))</f>
        <v>0.2937</v>
      </c>
      <c r="H75" s="3" t="str">
        <f>_xlfn.CONCAT(FIXED(VLOOKUP($B75,Sheet7!$A:$AZ,2,0),4),VLOOKUP($B75,Sheet7!$A:$AF,27,0))</f>
        <v>-0.0029</v>
      </c>
    </row>
    <row r="76" spans="1:8" x14ac:dyDescent="0.25">
      <c r="A76">
        <f t="shared" si="17"/>
        <v>107</v>
      </c>
      <c r="E76" s="3"/>
      <c r="F76" s="3" t="str">
        <f>_xlfn.CONCAT("(",FIXED(VLOOKUP($B75,Sheet7!$A:$AZ,11,0), 4),")")</f>
        <v>(0.0833)</v>
      </c>
      <c r="G76" s="3" t="str">
        <f>_xlfn.CONCAT("(",FIXED(VLOOKUP($B75,Sheet7!$A:$AZ,7,0), 4),")")</f>
        <v>(0.0952)</v>
      </c>
      <c r="H76" s="3" t="str">
        <f>_xlfn.CONCAT("(",FIXED(VLOOKUP($B75,Sheet7!$A:$AZ,3,0), 4),")")</f>
        <v>(0.0691)</v>
      </c>
    </row>
    <row r="77" spans="1:8" x14ac:dyDescent="0.25">
      <c r="A77">
        <f t="shared" ref="A77" si="28">A76+2</f>
        <v>109</v>
      </c>
      <c r="B77" t="s">
        <v>166</v>
      </c>
      <c r="E77" s="3"/>
      <c r="F77" s="3" t="str">
        <f>_xlfn.CONCAT(FIXED(VLOOKUP($B77,Sheet7!$A:$AZ,10,0),4),VLOOKUP($B77,Sheet7!$A:$AF,29,0))</f>
        <v>0.2150**</v>
      </c>
      <c r="G77" s="3" t="str">
        <f>_xlfn.CONCAT(FIXED(VLOOKUP($B77,Sheet7!$A:$AZ,6,0),4),VLOOKUP($B77,Sheet7!$A:$AF,28,0))</f>
        <v>0.2074**</v>
      </c>
      <c r="H77" s="3" t="str">
        <f>_xlfn.CONCAT(FIXED(VLOOKUP($B77,Sheet7!$A:$AZ,2,0),4),VLOOKUP($B77,Sheet7!$A:$AF,27,0))</f>
        <v>0.2406*</v>
      </c>
    </row>
    <row r="78" spans="1:8" x14ac:dyDescent="0.25">
      <c r="A78">
        <f t="shared" ref="A78" si="29">A77+1</f>
        <v>110</v>
      </c>
      <c r="E78" s="3"/>
      <c r="F78" s="3" t="str">
        <f>_xlfn.CONCAT("(",FIXED(VLOOKUP($B77,Sheet7!$A:$AZ,11,0), 4),")")</f>
        <v>(0.0783)</v>
      </c>
      <c r="G78" s="3" t="str">
        <f>_xlfn.CONCAT("(",FIXED(VLOOKUP($B77,Sheet7!$A:$AZ,7,0), 4),")")</f>
        <v>(0.0895)</v>
      </c>
      <c r="H78" s="3" t="str">
        <f>_xlfn.CONCAT("(",FIXED(VLOOKUP($B77,Sheet7!$A:$AZ,3,0), 4),")")</f>
        <v>(0.1216)</v>
      </c>
    </row>
    <row r="79" spans="1:8" x14ac:dyDescent="0.25">
      <c r="A79">
        <f t="shared" si="10"/>
        <v>112</v>
      </c>
      <c r="B79" t="s">
        <v>167</v>
      </c>
      <c r="E79" s="3"/>
      <c r="F79" s="3" t="str">
        <f>_xlfn.CONCAT(FIXED(VLOOKUP($B79,Sheet7!$A:$AZ,10,0),4),VLOOKUP($B79,Sheet7!$A:$AF,29,0))</f>
        <v>0.3289***</v>
      </c>
      <c r="G79" s="3" t="str">
        <f>_xlfn.CONCAT(FIXED(VLOOKUP($B79,Sheet7!$A:$AZ,6,0),4),VLOOKUP($B79,Sheet7!$A:$AF,28,0))</f>
        <v>0.3431***</v>
      </c>
      <c r="H79" s="3" t="str">
        <f>_xlfn.CONCAT(FIXED(VLOOKUP($B79,Sheet7!$A:$AZ,2,0),4),VLOOKUP($B79,Sheet7!$A:$AF,27,0))</f>
        <v>0.3681**</v>
      </c>
    </row>
    <row r="80" spans="1:8" x14ac:dyDescent="0.25">
      <c r="A80">
        <f t="shared" si="11"/>
        <v>113</v>
      </c>
      <c r="E80" s="3"/>
      <c r="F80" s="3" t="str">
        <f>_xlfn.CONCAT("(",FIXED(VLOOKUP($B79,Sheet7!$A:$AZ,11,0), 4),")")</f>
        <v>(0.0808)</v>
      </c>
      <c r="G80" s="3" t="str">
        <f>_xlfn.CONCAT("(",FIXED(VLOOKUP($B79,Sheet7!$A:$AZ,7,0), 4),")")</f>
        <v>(0.0931)</v>
      </c>
      <c r="H80" s="3" t="str">
        <f>_xlfn.CONCAT("(",FIXED(VLOOKUP($B79,Sheet7!$A:$AZ,3,0), 4),")")</f>
        <v>(0.1248)</v>
      </c>
    </row>
    <row r="81" spans="1:8" x14ac:dyDescent="0.25">
      <c r="A81">
        <f t="shared" si="12"/>
        <v>115</v>
      </c>
      <c r="B81" t="s">
        <v>168</v>
      </c>
      <c r="E81" s="3"/>
      <c r="F81" s="3" t="str">
        <f>_xlfn.CONCAT(FIXED(VLOOKUP($B81,Sheet7!$A:$AZ,10,0),4),VLOOKUP($B81,Sheet7!$A:$AF,29,0))</f>
        <v>0.3290***</v>
      </c>
      <c r="G81" s="3" t="str">
        <f>_xlfn.CONCAT(FIXED(VLOOKUP($B81,Sheet7!$A:$AZ,6,0),4),VLOOKUP($B81,Sheet7!$A:$AF,28,0))</f>
        <v>0.3415***</v>
      </c>
      <c r="H81" s="3" t="str">
        <f>_xlfn.CONCAT(FIXED(VLOOKUP($B81,Sheet7!$A:$AZ,2,0),4),VLOOKUP($B81,Sheet7!$A:$AF,27,0))</f>
        <v>0.3668**</v>
      </c>
    </row>
    <row r="82" spans="1:8" x14ac:dyDescent="0.25">
      <c r="A82">
        <f t="shared" si="13"/>
        <v>116</v>
      </c>
      <c r="E82" s="3"/>
      <c r="F82" s="3" t="str">
        <f>_xlfn.CONCAT("(",FIXED(VLOOKUP($B81,Sheet7!$A:$AZ,11,0), 4),")")</f>
        <v>(0.0828)</v>
      </c>
      <c r="G82" s="3" t="str">
        <f>_xlfn.CONCAT("(",FIXED(VLOOKUP($B81,Sheet7!$A:$AZ,7,0), 4),")")</f>
        <v>(0.0917)</v>
      </c>
      <c r="H82" s="3" t="str">
        <f>_xlfn.CONCAT("(",FIXED(VLOOKUP($B81,Sheet7!$A:$AZ,3,0), 4),")")</f>
        <v>(0.1239)</v>
      </c>
    </row>
    <row r="83" spans="1:8" x14ac:dyDescent="0.25">
      <c r="A83">
        <f t="shared" si="14"/>
        <v>118</v>
      </c>
      <c r="B83" t="s">
        <v>169</v>
      </c>
      <c r="E83" s="3"/>
      <c r="F83" s="3" t="str">
        <f>_xlfn.CONCAT(FIXED(VLOOKUP($B83,Sheet7!$A:$AZ,10,0),4),VLOOKUP($B83,Sheet7!$A:$AF,29,0))</f>
        <v>0.3515***</v>
      </c>
      <c r="G83" s="3" t="str">
        <f>_xlfn.CONCAT(FIXED(VLOOKUP($B83,Sheet7!$A:$AZ,6,0),4),VLOOKUP($B83,Sheet7!$A:$AF,28,0))</f>
        <v>0.3697***</v>
      </c>
      <c r="H83" s="3" t="str">
        <f>_xlfn.CONCAT(FIXED(VLOOKUP($B83,Sheet7!$A:$AZ,2,0),4),VLOOKUP($B83,Sheet7!$A:$AF,27,0))</f>
        <v>0.3917**</v>
      </c>
    </row>
    <row r="84" spans="1:8" x14ac:dyDescent="0.25">
      <c r="A84">
        <f t="shared" si="15"/>
        <v>119</v>
      </c>
      <c r="E84" s="3"/>
      <c r="F84" s="3" t="str">
        <f>_xlfn.CONCAT("(",FIXED(VLOOKUP($B83,Sheet7!$A:$AZ,11,0), 4),")")</f>
        <v>(0.0818)</v>
      </c>
      <c r="G84" s="3" t="str">
        <f>_xlfn.CONCAT("(",FIXED(VLOOKUP($B83,Sheet7!$A:$AZ,7,0), 4),")")</f>
        <v>(0.0930)</v>
      </c>
      <c r="H84" s="3" t="str">
        <f>_xlfn.CONCAT("(",FIXED(VLOOKUP($B83,Sheet7!$A:$AZ,3,0), 4),")")</f>
        <v>(0.1237)</v>
      </c>
    </row>
    <row r="85" spans="1:8" x14ac:dyDescent="0.25">
      <c r="A85">
        <f t="shared" si="16"/>
        <v>121</v>
      </c>
      <c r="B85" t="s">
        <v>170</v>
      </c>
      <c r="E85" s="3"/>
      <c r="F85" s="3" t="str">
        <f>_xlfn.CONCAT(FIXED(VLOOKUP($B85,Sheet7!$A:$AZ,10,0),4),VLOOKUP($B85,Sheet7!$A:$AF,29,0))</f>
        <v>0.3447***</v>
      </c>
      <c r="G85" s="3" t="str">
        <f>_xlfn.CONCAT(FIXED(VLOOKUP($B85,Sheet7!$A:$AZ,6,0),4),VLOOKUP($B85,Sheet7!$A:$AF,28,0))</f>
        <v>0.3641***</v>
      </c>
      <c r="H85" s="3" t="str">
        <f>_xlfn.CONCAT(FIXED(VLOOKUP($B85,Sheet7!$A:$AZ,2,0),4),VLOOKUP($B85,Sheet7!$A:$AF,27,0))</f>
        <v>0.3889***</v>
      </c>
    </row>
    <row r="86" spans="1:8" x14ac:dyDescent="0.25">
      <c r="A86">
        <f t="shared" si="17"/>
        <v>122</v>
      </c>
      <c r="E86" s="3"/>
      <c r="F86" s="3" t="str">
        <f>_xlfn.CONCAT("(",FIXED(VLOOKUP($B85,Sheet7!$A:$AZ,11,0), 4),")")</f>
        <v>(0.0818)</v>
      </c>
      <c r="G86" s="3" t="str">
        <f>_xlfn.CONCAT("(",FIXED(VLOOKUP($B85,Sheet7!$A:$AZ,7,0), 4),")")</f>
        <v>(0.0913)</v>
      </c>
      <c r="H86" s="3" t="str">
        <f>_xlfn.CONCAT("(",FIXED(VLOOKUP($B85,Sheet7!$A:$AZ,3,0), 4),")")</f>
        <v>(0.1227)</v>
      </c>
    </row>
    <row r="87" spans="1:8" x14ac:dyDescent="0.25">
      <c r="A87">
        <f t="shared" ref="A87" si="30">A86+2</f>
        <v>124</v>
      </c>
      <c r="B87" t="s">
        <v>50</v>
      </c>
      <c r="E87" s="3"/>
      <c r="F87" s="3" t="str">
        <f>_xlfn.CONCAT(FIXED(VLOOKUP($B87,Sheet7!$A:$AZ,10,0),4),VLOOKUP($B87,Sheet7!$A:$AF,29,0))</f>
        <v>0.0002</v>
      </c>
      <c r="G87" s="3" t="str">
        <f>_xlfn.CONCAT(FIXED(VLOOKUP($B87,Sheet7!$A:$AZ,6,0),4),VLOOKUP($B87,Sheet7!$A:$AF,28,0))</f>
        <v>0.0004**</v>
      </c>
      <c r="H87" s="3" t="str">
        <f>_xlfn.CONCAT(FIXED(VLOOKUP($B87,Sheet7!$A:$AZ,2,0),4),VLOOKUP($B87,Sheet7!$A:$AF,27,0))</f>
        <v>0.0003</v>
      </c>
    </row>
    <row r="88" spans="1:8" x14ac:dyDescent="0.25">
      <c r="A88">
        <f t="shared" ref="A88" si="31">A87+1</f>
        <v>125</v>
      </c>
      <c r="E88" s="3"/>
      <c r="F88" s="3" t="str">
        <f>_xlfn.CONCAT("(",FIXED(VLOOKUP($B87,Sheet7!$A:$AZ,11,0), 4),")")</f>
        <v>(0.0003)</v>
      </c>
      <c r="G88" s="3" t="str">
        <f>_xlfn.CONCAT("(",FIXED(VLOOKUP($B87,Sheet7!$A:$AZ,7,0), 4),")")</f>
        <v>(0.0001)</v>
      </c>
      <c r="H88" s="3" t="str">
        <f>_xlfn.CONCAT("(",FIXED(VLOOKUP($B87,Sheet7!$A:$AZ,3,0), 4),")")</f>
        <v>(0.0001)</v>
      </c>
    </row>
    <row r="89" spans="1:8" x14ac:dyDescent="0.25">
      <c r="A89">
        <f t="shared" ref="A89:A99" si="32">A88+2</f>
        <v>127</v>
      </c>
      <c r="B89" t="s">
        <v>52</v>
      </c>
      <c r="E89" s="3"/>
      <c r="F89" s="3" t="str">
        <f>_xlfn.CONCAT(FIXED(VLOOKUP($B89,Sheet7!$A:$AZ,10,0),4),VLOOKUP($B89,Sheet7!$A:$AF,29,0))</f>
        <v>-0.0198*</v>
      </c>
      <c r="G89" s="3" t="str">
        <f>_xlfn.CONCAT(FIXED(VLOOKUP($B89,Sheet7!$A:$AZ,6,0),4),VLOOKUP($B89,Sheet7!$A:$AF,28,0))</f>
        <v>-0.0083</v>
      </c>
      <c r="H89" s="3" t="str">
        <f>_xlfn.CONCAT(FIXED(VLOOKUP($B89,Sheet7!$A:$AZ,2,0),4),VLOOKUP($B89,Sheet7!$A:$AF,27,0))</f>
        <v>-0.0071</v>
      </c>
    </row>
    <row r="90" spans="1:8" x14ac:dyDescent="0.25">
      <c r="A90">
        <f t="shared" ref="A90:A100" si="33">A89+1</f>
        <v>128</v>
      </c>
      <c r="E90" s="3"/>
      <c r="F90" s="3" t="str">
        <f>_xlfn.CONCAT("(",FIXED(VLOOKUP($B89,Sheet7!$A:$AZ,11,0), 4),")")</f>
        <v>(0.0104)</v>
      </c>
      <c r="G90" s="3" t="str">
        <f>_xlfn.CONCAT("(",FIXED(VLOOKUP($B89,Sheet7!$A:$AZ,7,0), 4),")")</f>
        <v>(0.0068)</v>
      </c>
      <c r="H90" s="3" t="str">
        <f>_xlfn.CONCAT("(",FIXED(VLOOKUP($B89,Sheet7!$A:$AZ,3,0), 4),")")</f>
        <v>(0.0064)</v>
      </c>
    </row>
    <row r="91" spans="1:8" x14ac:dyDescent="0.25">
      <c r="A91">
        <f t="shared" ref="A91:A101" si="34">A90+2</f>
        <v>130</v>
      </c>
      <c r="B91" t="s">
        <v>51</v>
      </c>
      <c r="E91" s="3"/>
      <c r="F91" s="3" t="str">
        <f>_xlfn.CONCAT(FIXED(VLOOKUP($B91,Sheet7!$A:$AZ,10,0),4),VLOOKUP($B91,Sheet7!$A:$AF,29,0))</f>
        <v>0.0230</v>
      </c>
      <c r="G91" s="3" t="str">
        <f>_xlfn.CONCAT(FIXED(VLOOKUP($B91,Sheet7!$A:$AZ,6,0),4),VLOOKUP($B91,Sheet7!$A:$AF,28,0))</f>
        <v>0.0078</v>
      </c>
      <c r="H91" s="3" t="str">
        <f>_xlfn.CONCAT(FIXED(VLOOKUP($B91,Sheet7!$A:$AZ,2,0),4),VLOOKUP($B91,Sheet7!$A:$AF,27,0))</f>
        <v>0.0033</v>
      </c>
    </row>
    <row r="92" spans="1:8" x14ac:dyDescent="0.25">
      <c r="A92">
        <f t="shared" ref="A92:A102" si="35">A91+1</f>
        <v>131</v>
      </c>
      <c r="E92" s="3"/>
      <c r="F92" s="3" t="str">
        <f>_xlfn.CONCAT("(",FIXED(VLOOKUP($B91,Sheet7!$A:$AZ,11,0), 4),")")</f>
        <v>(0.0258)</v>
      </c>
      <c r="G92" s="3" t="str">
        <f>_xlfn.CONCAT("(",FIXED(VLOOKUP($B91,Sheet7!$A:$AZ,7,0), 4),")")</f>
        <v>(0.0234)</v>
      </c>
      <c r="H92" s="3" t="str">
        <f>_xlfn.CONCAT("(",FIXED(VLOOKUP($B91,Sheet7!$A:$AZ,3,0), 4),")")</f>
        <v>(0.0217)</v>
      </c>
    </row>
    <row r="93" spans="1:8" x14ac:dyDescent="0.25">
      <c r="A93">
        <f t="shared" ref="A93:A103" si="36">A92+2</f>
        <v>133</v>
      </c>
      <c r="B93" t="s">
        <v>164</v>
      </c>
      <c r="E93" s="3"/>
      <c r="F93" s="3"/>
      <c r="G93" s="3" t="str">
        <f>_xlfn.CONCAT(FIXED(VLOOKUP($B93,Sheet7!$A:$AZ,6,0),4),VLOOKUP($B93,Sheet7!$A:$AF,28,0))</f>
        <v>-0.0003</v>
      </c>
      <c r="H93" s="3" t="str">
        <f>_xlfn.CONCAT(FIXED(VLOOKUP($B93,Sheet7!$A:$AZ,2,0),4),VLOOKUP($B93,Sheet7!$A:$AF,27,0))</f>
        <v>0.0011</v>
      </c>
    </row>
    <row r="94" spans="1:8" x14ac:dyDescent="0.25">
      <c r="A94">
        <f t="shared" ref="A94:A104" si="37">A93+1</f>
        <v>134</v>
      </c>
      <c r="E94" s="3"/>
      <c r="F94" s="3"/>
      <c r="G94" s="3" t="str">
        <f>_xlfn.CONCAT("(",FIXED(VLOOKUP($B93,Sheet7!$A:$AZ,7,0), 4),")")</f>
        <v>(0.0107)</v>
      </c>
      <c r="H94" s="3" t="str">
        <f>_xlfn.CONCAT("(",FIXED(VLOOKUP($B93,Sheet7!$A:$AZ,3,0), 4),")")</f>
        <v>(0.0089)</v>
      </c>
    </row>
    <row r="95" spans="1:8" x14ac:dyDescent="0.25">
      <c r="A95">
        <f t="shared" ref="A95:A119" si="38">A94+2</f>
        <v>136</v>
      </c>
      <c r="B95" t="s">
        <v>39</v>
      </c>
      <c r="E95" s="3"/>
      <c r="F95" s="3"/>
      <c r="G95" s="3" t="str">
        <f>_xlfn.CONCAT(FIXED(VLOOKUP($B95,Sheet7!$A:$AZ,6,0),4),VLOOKUP($B95,Sheet7!$A:$AF,28,0))</f>
        <v>-0.0849**</v>
      </c>
      <c r="H95" s="3" t="str">
        <f>_xlfn.CONCAT(FIXED(VLOOKUP($B95,Sheet7!$A:$AZ,2,0),4),VLOOKUP($B95,Sheet7!$A:$AF,27,0))</f>
        <v>-0.0585*</v>
      </c>
    </row>
    <row r="96" spans="1:8" x14ac:dyDescent="0.25">
      <c r="A96">
        <f t="shared" ref="A96:A120" si="39">A95+1</f>
        <v>137</v>
      </c>
      <c r="E96" s="3"/>
      <c r="F96" s="3"/>
      <c r="G96" s="3" t="str">
        <f>_xlfn.CONCAT("(",FIXED(VLOOKUP($B95,Sheet7!$A:$AZ,7,0), 4),")")</f>
        <v>(0.0375)</v>
      </c>
      <c r="H96" s="3" t="str">
        <f>_xlfn.CONCAT("(",FIXED(VLOOKUP($B95,Sheet7!$A:$AZ,3,0), 4),")")</f>
        <v>(0.0293)</v>
      </c>
    </row>
    <row r="97" spans="1:8" x14ac:dyDescent="0.25">
      <c r="A97">
        <f t="shared" ref="A97" si="40">A96+2</f>
        <v>139</v>
      </c>
      <c r="B97" t="s">
        <v>40</v>
      </c>
      <c r="E97" s="3"/>
      <c r="F97" s="3"/>
      <c r="G97" s="3" t="str">
        <f>_xlfn.CONCAT(FIXED(VLOOKUP($B97,Sheet7!$A:$AZ,6,0),4),VLOOKUP($B97,Sheet7!$A:$AF,28,0))</f>
        <v>0.0011</v>
      </c>
      <c r="H97" s="3" t="str">
        <f>_xlfn.CONCAT(FIXED(VLOOKUP($B97,Sheet7!$A:$AZ,2,0),4),VLOOKUP($B97,Sheet7!$A:$AF,27,0))</f>
        <v>-0.0017</v>
      </c>
    </row>
    <row r="98" spans="1:8" x14ac:dyDescent="0.25">
      <c r="A98">
        <f t="shared" ref="A98" si="41">A97+1</f>
        <v>140</v>
      </c>
      <c r="E98" s="3"/>
      <c r="F98" s="3"/>
      <c r="G98" s="3" t="str">
        <f>_xlfn.CONCAT("(",FIXED(VLOOKUP($B97,Sheet7!$A:$AZ,7,0), 4),")")</f>
        <v>(0.0102)</v>
      </c>
      <c r="H98" s="3" t="str">
        <f>_xlfn.CONCAT("(",FIXED(VLOOKUP($B97,Sheet7!$A:$AZ,3,0), 4),")")</f>
        <v>(0.0080)</v>
      </c>
    </row>
    <row r="99" spans="1:8" x14ac:dyDescent="0.25">
      <c r="A99">
        <f t="shared" si="32"/>
        <v>142</v>
      </c>
      <c r="B99" t="s">
        <v>41</v>
      </c>
      <c r="E99" s="3"/>
      <c r="F99" s="3"/>
      <c r="G99" s="3" t="str">
        <f>_xlfn.CONCAT(FIXED(VLOOKUP($B99,Sheet7!$A:$AZ,6,0),4),VLOOKUP($B99,Sheet7!$A:$AF,28,0))</f>
        <v>-0.0073</v>
      </c>
      <c r="H99" s="3" t="str">
        <f>_xlfn.CONCAT(FIXED(VLOOKUP($B99,Sheet7!$A:$AZ,2,0),4),VLOOKUP($B99,Sheet7!$A:$AF,27,0))</f>
        <v>-0.0048</v>
      </c>
    </row>
    <row r="100" spans="1:8" x14ac:dyDescent="0.25">
      <c r="A100">
        <f t="shared" si="33"/>
        <v>143</v>
      </c>
      <c r="E100" s="3"/>
      <c r="F100" s="3"/>
      <c r="G100" s="3" t="str">
        <f>_xlfn.CONCAT("(",FIXED(VLOOKUP($B99,Sheet7!$A:$AZ,7,0), 4),")")</f>
        <v>(0.0099)</v>
      </c>
      <c r="H100" s="3" t="str">
        <f>_xlfn.CONCAT("(",FIXED(VLOOKUP($B99,Sheet7!$A:$AZ,3,0), 4),")")</f>
        <v>(0.0070)</v>
      </c>
    </row>
    <row r="101" spans="1:8" x14ac:dyDescent="0.25">
      <c r="A101">
        <f t="shared" si="34"/>
        <v>145</v>
      </c>
      <c r="B101" t="s">
        <v>173</v>
      </c>
      <c r="E101" s="3"/>
      <c r="F101" s="3"/>
      <c r="G101" s="3" t="str">
        <f>_xlfn.CONCAT(FIXED(VLOOKUP($B101,Sheet7!$A:$AZ,6,0),4),VLOOKUP($B101,Sheet7!$A:$AF,28,0))</f>
        <v>0.0075</v>
      </c>
      <c r="H101" s="3" t="str">
        <f>_xlfn.CONCAT(FIXED(VLOOKUP($B101,Sheet7!$A:$AZ,2,0),4),VLOOKUP($B101,Sheet7!$A:$AF,27,0))</f>
        <v>0.0044</v>
      </c>
    </row>
    <row r="102" spans="1:8" x14ac:dyDescent="0.25">
      <c r="A102">
        <f t="shared" si="35"/>
        <v>146</v>
      </c>
      <c r="E102" s="3"/>
      <c r="F102" s="3"/>
      <c r="G102" s="3" t="str">
        <f>_xlfn.CONCAT("(",FIXED(VLOOKUP($B101,Sheet7!$A:$AZ,7,0), 4),")")</f>
        <v>(0.0149)</v>
      </c>
      <c r="H102" s="3" t="str">
        <f>_xlfn.CONCAT("(",FIXED(VLOOKUP($B101,Sheet7!$A:$AZ,3,0), 4),")")</f>
        <v>(0.0097)</v>
      </c>
    </row>
    <row r="103" spans="1:8" x14ac:dyDescent="0.25">
      <c r="A103">
        <f t="shared" si="36"/>
        <v>148</v>
      </c>
      <c r="B103" t="s">
        <v>174</v>
      </c>
      <c r="E103" s="3"/>
      <c r="F103" s="3"/>
      <c r="G103" s="3" t="str">
        <f>_xlfn.CONCAT(FIXED(VLOOKUP($B103,Sheet7!$A:$AZ,6,0),4),VLOOKUP($B103,Sheet7!$A:$AF,28,0))</f>
        <v>-0.0010</v>
      </c>
      <c r="H103" s="3" t="str">
        <f>_xlfn.CONCAT(FIXED(VLOOKUP($B103,Sheet7!$A:$AZ,2,0),4),VLOOKUP($B103,Sheet7!$A:$AF,27,0))</f>
        <v>-0.0045</v>
      </c>
    </row>
    <row r="104" spans="1:8" x14ac:dyDescent="0.25">
      <c r="A104">
        <f t="shared" si="37"/>
        <v>149</v>
      </c>
      <c r="E104" s="3"/>
      <c r="F104" s="3"/>
      <c r="G104" s="3" t="str">
        <f>_xlfn.CONCAT("(",FIXED(VLOOKUP($B103,Sheet7!$A:$AZ,7,0), 4),")")</f>
        <v>(0.0143)</v>
      </c>
      <c r="H104" s="3" t="str">
        <f>_xlfn.CONCAT("(",FIXED(VLOOKUP($B103,Sheet7!$A:$AZ,3,0), 4),")")</f>
        <v>(0.0103)</v>
      </c>
    </row>
    <row r="105" spans="1:8" x14ac:dyDescent="0.25">
      <c r="A105">
        <f t="shared" si="38"/>
        <v>151</v>
      </c>
      <c r="B105" t="s">
        <v>175</v>
      </c>
      <c r="E105" s="3"/>
      <c r="F105" s="3"/>
      <c r="G105" s="3" t="str">
        <f>_xlfn.CONCAT(FIXED(VLOOKUP($B105,Sheet7!$A:$AZ,6,0),4),VLOOKUP($B105,Sheet7!$A:$AF,28,0))</f>
        <v>0.0166</v>
      </c>
      <c r="H105" s="3" t="str">
        <f>_xlfn.CONCAT(FIXED(VLOOKUP($B105,Sheet7!$A:$AZ,2,0),4),VLOOKUP($B105,Sheet7!$A:$AF,27,0))</f>
        <v>0.0170**</v>
      </c>
    </row>
    <row r="106" spans="1:8" x14ac:dyDescent="0.25">
      <c r="A106">
        <f t="shared" si="39"/>
        <v>152</v>
      </c>
      <c r="E106" s="3"/>
      <c r="F106" s="3"/>
      <c r="G106" s="3" t="str">
        <f>_xlfn.CONCAT("(",FIXED(VLOOKUP($B105,Sheet7!$A:$AZ,7,0), 4),")")</f>
        <v>(0.0110)</v>
      </c>
      <c r="H106" s="3" t="str">
        <f>_xlfn.CONCAT("(",FIXED(VLOOKUP($B105,Sheet7!$A:$AZ,3,0), 4),")")</f>
        <v>(0.0076)</v>
      </c>
    </row>
    <row r="107" spans="1:8" x14ac:dyDescent="0.25">
      <c r="A107">
        <f t="shared" si="38"/>
        <v>154</v>
      </c>
      <c r="B107" t="s">
        <v>53</v>
      </c>
      <c r="E107" s="3"/>
      <c r="F107" s="3"/>
      <c r="G107" s="3"/>
      <c r="H107" s="3" t="str">
        <f>_xlfn.CONCAT(FIXED(VLOOKUP($B107,Sheet7!$A:$AZ,2,0),4),VLOOKUP($B107,Sheet7!$A:$AF,27,0))</f>
        <v>0.0000</v>
      </c>
    </row>
    <row r="108" spans="1:8" x14ac:dyDescent="0.25">
      <c r="A108">
        <f t="shared" si="39"/>
        <v>155</v>
      </c>
      <c r="E108" s="3"/>
      <c r="F108" s="3"/>
      <c r="G108" s="3"/>
      <c r="H108" s="3" t="str">
        <f>_xlfn.CONCAT("(",FIXED(VLOOKUP($B107,Sheet7!$A:$AZ,3,0),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E109" s="3"/>
      <c r="F109" s="3"/>
      <c r="G109" s="3"/>
      <c r="H109" s="3" t="str">
        <f>_xlfn.CONCAT(FIXED(VLOOKUP($B109,Sheet7!$A:$AZ,2,0),4),VLOOKUP($B109,Sheet7!$A:$AF,27,0))</f>
        <v>0.0000***</v>
      </c>
    </row>
    <row r="110" spans="1:8" x14ac:dyDescent="0.25">
      <c r="A110">
        <f t="shared" ref="A110:A122" si="43">A109+1</f>
        <v>158</v>
      </c>
      <c r="E110" s="3"/>
      <c r="F110" s="3"/>
      <c r="G110" s="3"/>
      <c r="H110" s="3" t="str">
        <f>_xlfn.CONCAT("(",FIXED(VLOOKUP($B109,Sheet7!$A:$AZ,3,0), 4),")")</f>
        <v>(0.0000)</v>
      </c>
    </row>
    <row r="111" spans="1:8" x14ac:dyDescent="0.25">
      <c r="A111">
        <f t="shared" si="38"/>
        <v>160</v>
      </c>
      <c r="B111" t="s">
        <v>43</v>
      </c>
      <c r="E111" s="3"/>
      <c r="F111" s="3"/>
      <c r="G111" s="3"/>
      <c r="H111" s="3" t="str">
        <f>_xlfn.CONCAT(FIXED(VLOOKUP($B111,Sheet7!$A:$AZ,2,0),4),VLOOKUP($B111,Sheet7!$A:$AF,27,0))</f>
        <v>-0.3725</v>
      </c>
    </row>
    <row r="112" spans="1:8" x14ac:dyDescent="0.25">
      <c r="A112">
        <f t="shared" si="39"/>
        <v>161</v>
      </c>
      <c r="E112" s="3"/>
      <c r="F112" s="3"/>
      <c r="G112" s="3"/>
      <c r="H112" s="3" t="str">
        <f>_xlfn.CONCAT("(",FIXED(VLOOKUP($B111,Sheet7!$A:$AZ,3,0), 4),")")</f>
        <v>(0.2680)</v>
      </c>
    </row>
    <row r="113" spans="1:8" x14ac:dyDescent="0.25">
      <c r="A113">
        <f t="shared" si="42"/>
        <v>163</v>
      </c>
      <c r="B113" t="s">
        <v>44</v>
      </c>
      <c r="E113" s="3"/>
      <c r="F113" s="3"/>
      <c r="G113" s="3"/>
      <c r="H113" s="3" t="str">
        <f>_xlfn.CONCAT(FIXED(VLOOKUP($B113,Sheet7!$A:$AZ,2,0),4),VLOOKUP($B113,Sheet7!$A:$AF,27,0))</f>
        <v>-0.2445***</v>
      </c>
    </row>
    <row r="114" spans="1:8" x14ac:dyDescent="0.25">
      <c r="A114">
        <f t="shared" si="43"/>
        <v>164</v>
      </c>
      <c r="E114" s="3"/>
      <c r="F114" s="3"/>
      <c r="G114" s="3"/>
      <c r="H114" s="3" t="str">
        <f>_xlfn.CONCAT("(",FIXED(VLOOKUP($B113,Sheet7!$A:$AZ,3,0), 4),")")</f>
        <v>(0.0638)</v>
      </c>
    </row>
    <row r="115" spans="1:8" x14ac:dyDescent="0.25">
      <c r="A115">
        <f t="shared" si="38"/>
        <v>166</v>
      </c>
      <c r="B115" t="s">
        <v>45</v>
      </c>
      <c r="E115" s="3"/>
      <c r="F115" s="3"/>
      <c r="G115" s="3"/>
      <c r="H115" s="3" t="str">
        <f>_xlfn.CONCAT(FIXED(VLOOKUP($B115,Sheet7!$A:$AZ,2,0),4),VLOOKUP($B115,Sheet7!$A:$AF,27,0))</f>
        <v>-0.6212***</v>
      </c>
    </row>
    <row r="116" spans="1:8" x14ac:dyDescent="0.25">
      <c r="A116">
        <f t="shared" si="39"/>
        <v>167</v>
      </c>
      <c r="E116" s="3"/>
      <c r="F116" s="3"/>
      <c r="G116" s="3"/>
      <c r="H116" s="3" t="str">
        <f>_xlfn.CONCAT("(",FIXED(VLOOKUP($B115,Sheet7!$A:$AZ,3,0), 4),")")</f>
        <v>(0.1341)</v>
      </c>
    </row>
    <row r="117" spans="1:8" x14ac:dyDescent="0.25">
      <c r="A117">
        <f t="shared" si="42"/>
        <v>169</v>
      </c>
      <c r="B117" t="s">
        <v>48</v>
      </c>
      <c r="E117" s="3"/>
      <c r="F117" s="3"/>
      <c r="G117" s="3"/>
      <c r="H117" s="3" t="str">
        <f>_xlfn.CONCAT(FIXED(VLOOKUP($B117,Sheet7!$A:$AZ,2,0),4),VLOOKUP($B117,Sheet7!$A:$AF,27,0))</f>
        <v>0.1632***</v>
      </c>
    </row>
    <row r="118" spans="1:8" x14ac:dyDescent="0.25">
      <c r="A118">
        <f t="shared" si="43"/>
        <v>170</v>
      </c>
      <c r="E118" s="3"/>
      <c r="F118" s="3"/>
      <c r="G118" s="3"/>
      <c r="H118" s="3" t="str">
        <f>_xlfn.CONCAT("(",FIXED(VLOOKUP($B117,Sheet7!$A:$AZ,3,0), 4),")")</f>
        <v>(0.0393)</v>
      </c>
    </row>
    <row r="119" spans="1:8" x14ac:dyDescent="0.25">
      <c r="A119">
        <f t="shared" si="38"/>
        <v>172</v>
      </c>
      <c r="B119" t="s">
        <v>46</v>
      </c>
      <c r="E119" s="3"/>
      <c r="F119" s="3"/>
      <c r="G119" s="3"/>
      <c r="H119" s="3" t="str">
        <f>_xlfn.CONCAT(FIXED(VLOOKUP($B119,Sheet7!$A:$AZ,2,0),4),VLOOKUP($B119,Sheet7!$A:$AF,27,0))</f>
        <v>-0.7091***</v>
      </c>
    </row>
    <row r="120" spans="1:8" x14ac:dyDescent="0.25">
      <c r="A120">
        <f t="shared" si="39"/>
        <v>173</v>
      </c>
      <c r="E120" s="3"/>
      <c r="F120" s="3"/>
      <c r="G120" s="3"/>
      <c r="H120" s="3" t="str">
        <f>_xlfn.CONCAT("(",FIXED(VLOOKUP($B119,Sheet7!$A:$AZ,3,0), 4),")")</f>
        <v>(0.1074)</v>
      </c>
    </row>
    <row r="121" spans="1:8" x14ac:dyDescent="0.25">
      <c r="A121">
        <f t="shared" si="42"/>
        <v>175</v>
      </c>
      <c r="B121" t="s">
        <v>276</v>
      </c>
      <c r="C121" s="3" t="str">
        <f>_xlfn.CONCAT(FIXED(VLOOKUP($B121,Sheet7!A:$AZ,22,0),4),VLOOKUP($B121,Sheet7!$A:$AF,32,0))</f>
        <v>13.8849</v>
      </c>
      <c r="D121" s="3" t="str">
        <f>_xlfn.CONCAT(FIXED(VLOOKUP($B121,Sheet7!$A:$AZ,18,0),4),VLOOKUP($B121,Sheet7!$A:$AF,31,0))</f>
        <v>13.7134</v>
      </c>
      <c r="E121" s="3" t="str">
        <f>_xlfn.CONCAT(FIXED(VLOOKUP($B121,Sheet7!$A:$AZ,14,0),4),VLOOKUP($B121,Sheet7!$A:$AF,30,0))</f>
        <v>13.0771</v>
      </c>
      <c r="F121" s="3" t="str">
        <f>_xlfn.CONCAT(FIXED(VLOOKUP($B121,Sheet7!$A:$AZ,10,0),4),VLOOKUP($B121,Sheet7!$A:$AF,29,0))</f>
        <v>12.8011</v>
      </c>
      <c r="G121" s="3" t="str">
        <f>_xlfn.CONCAT(FIXED(VLOOKUP($B121,Sheet7!$A:$AZ,6,0),4),VLOOKUP($B121,Sheet7!$A:$AF,28,0))</f>
        <v>-9.5040</v>
      </c>
      <c r="H121" s="3" t="str">
        <f>_xlfn.CONCAT(FIXED(VLOOKUP($B121,Sheet7!$A:$AZ,2,0),4),VLOOKUP($B121,Sheet7!$A:$AF,27,0))</f>
        <v>0.5033Significant Dots</v>
      </c>
    </row>
    <row r="122" spans="1:8" ht="15.75" thickBot="1" x14ac:dyDescent="0.3">
      <c r="A122">
        <f t="shared" si="43"/>
        <v>176</v>
      </c>
      <c r="C122" s="3" t="str">
        <f>_xlfn.CONCAT("(",FIXED(VLOOKUP($B121,Sheet7!$A:$AZ,23,0), 4),")")</f>
        <v>(0.0827)</v>
      </c>
      <c r="D122" s="3" t="str">
        <f>_xlfn.CONCAT("(",FIXED(VLOOKUP($B121,Sheet7!$A:$AZ,19,0), 4),")")</f>
        <v>(0.0684)</v>
      </c>
      <c r="E122" s="3" t="str">
        <f>_xlfn.CONCAT("(",FIXED(VLOOKUP($B121,Sheet7!$A:$AZ,15,0), 4),")")</f>
        <v>(0.0736)</v>
      </c>
      <c r="F122" s="3" t="str">
        <f>_xlfn.CONCAT("(",FIXED(VLOOKUP($B121,Sheet7!$A:$AZ,11,0), 4),")")</f>
        <v>(0.1184)</v>
      </c>
      <c r="G122" s="3" t="str">
        <f>_xlfn.CONCAT("(",FIXED(VLOOKUP($B121,Sheet7!$A:$AZ,7,0), 4),")")</f>
        <v>(19.4898)</v>
      </c>
      <c r="H122" s="3" t="str">
        <f>_xlfn.CONCAT("(",FIXED(VLOOKUP($B121,Sheet7!$A:$AZ,3,0), 4),")")</f>
        <v>(15.2656)</v>
      </c>
    </row>
    <row r="123" spans="1:8" x14ac:dyDescent="0.25">
      <c r="A123">
        <v>179</v>
      </c>
      <c r="B123" s="14" t="s">
        <v>187</v>
      </c>
      <c r="C123" s="15" t="e">
        <f>VLOOKUP($A123,'Reg1'!$B:$H,'Table Two (3)'!C$1,0)</f>
        <v>#N/A</v>
      </c>
      <c r="D123" s="15"/>
      <c r="E123" s="15" t="e">
        <f>VLOOKUP($A123,'Reg1'!$B:$H,'Table Two (3)'!E$1,0)</f>
        <v>#N/A</v>
      </c>
      <c r="F123" s="15" t="e">
        <f>VLOOKUP($A123,'Reg1'!$B:$H,'Table Two (3)'!F$1,0)</f>
        <v>#N/A</v>
      </c>
      <c r="G123" s="15" t="e">
        <f>VLOOKUP($A123,'Reg1'!$B:$H,'Table Two (3)'!G$1,0)</f>
        <v>#N/A</v>
      </c>
      <c r="H123" s="15" t="e">
        <f>VLOOKUP($A123,'Reg1'!$B:$H,'Table Two (3)'!H$1,0)</f>
        <v>#N/A</v>
      </c>
    </row>
    <row r="124" spans="1:8" ht="17.25" x14ac:dyDescent="0.25">
      <c r="A124">
        <v>180</v>
      </c>
      <c r="B124" t="s">
        <v>274</v>
      </c>
      <c r="C124" s="3" t="e">
        <f>VLOOKUP($A124,'Reg1'!$B:$H,'Table Two (3)'!C$1,0)</f>
        <v>#N/A</v>
      </c>
      <c r="E124" s="3" t="e">
        <f>VLOOKUP($A124,'Reg1'!$B:$H,'Table Two (3)'!E$1,0)</f>
        <v>#N/A</v>
      </c>
      <c r="F124" s="3" t="e">
        <f>VLOOKUP($A124,'Reg1'!$B:$H,'Table Two (3)'!F$1,0)</f>
        <v>#N/A</v>
      </c>
      <c r="G124" s="3" t="e">
        <f>VLOOKUP($A124,'Reg1'!$B:$H,'Table Two (3)'!G$1,0)</f>
        <v>#N/A</v>
      </c>
      <c r="H124" s="3" t="e">
        <f>VLOOKUP($A124,'Reg1'!$B:$H,'Table Two (3)'!H$1,0)</f>
        <v>#N/A</v>
      </c>
    </row>
    <row r="125" spans="1:8" ht="17.25" x14ac:dyDescent="0.25">
      <c r="A125">
        <v>181</v>
      </c>
      <c r="B125" t="s">
        <v>275</v>
      </c>
      <c r="C125" s="3" t="e">
        <f>VLOOKUP($A125,'Reg1'!$B:$H,'Table Two (3)'!C$1,0)</f>
        <v>#N/A</v>
      </c>
      <c r="E125" s="3" t="e">
        <f>VLOOKUP($A125,'Reg1'!$B:$H,'Table Two (3)'!E$1,0)</f>
        <v>#N/A</v>
      </c>
      <c r="F125" s="3" t="e">
        <f>VLOOKUP($A125,'Reg1'!$B:$H,'Table Two (3)'!F$1,0)</f>
        <v>#N/A</v>
      </c>
      <c r="G125" s="3" t="e">
        <f>VLOOKUP($A125,'Reg1'!$B:$H,'Table Two (3)'!G$1,0)</f>
        <v>#N/A</v>
      </c>
      <c r="H125" s="3" t="e">
        <f>VLOOKUP($A125,'Reg1'!$B:$H,'Table Two (3)'!H$1,0)</f>
        <v>#N/A</v>
      </c>
    </row>
    <row r="126" spans="1:8" x14ac:dyDescent="0.25">
      <c r="A126">
        <v>182</v>
      </c>
      <c r="B126" t="s">
        <v>262</v>
      </c>
      <c r="C126" s="3" t="e">
        <f>VLOOKUP($A126,'Reg1'!$B:$H,'Table Two (3)'!C$1,0)</f>
        <v>#N/A</v>
      </c>
      <c r="E126" s="3" t="e">
        <f>VLOOKUP($A126,'Reg1'!$B:$H,'Table Two (3)'!E$1,0)</f>
        <v>#N/A</v>
      </c>
      <c r="F126" s="3" t="e">
        <f>VLOOKUP($A126,'Reg1'!$B:$H,'Table Two (3)'!F$1,0)</f>
        <v>#N/A</v>
      </c>
      <c r="G126" s="3" t="e">
        <f>VLOOKUP($A126,'Reg1'!$B:$H,'Table Two (3)'!G$1,0)</f>
        <v>#N/A</v>
      </c>
      <c r="H126" s="3" t="e">
        <f>VLOOKUP($A126,'Reg1'!$B:$H,'Table Two (3)'!H$1,0)</f>
        <v>#N/A</v>
      </c>
    </row>
    <row r="127" spans="1:8" ht="15.75" thickBot="1" x14ac:dyDescent="0.3">
      <c r="A127">
        <v>183</v>
      </c>
      <c r="B127" s="16" t="s">
        <v>263</v>
      </c>
      <c r="C127" s="17" t="e">
        <f>VLOOKUP($A127,'Reg1'!$B:$H,'Table Two (3)'!C$1,0)</f>
        <v>#N/A</v>
      </c>
      <c r="D127" s="17"/>
      <c r="E127" s="17" t="e">
        <f>VLOOKUP($A127,'Reg1'!$B:$H,'Table Two (3)'!E$1,0)</f>
        <v>#N/A</v>
      </c>
      <c r="F127" s="17" t="e">
        <f>VLOOKUP($A127,'Reg1'!$B:$H,'Table Two (3)'!F$1,0)</f>
        <v>#N/A</v>
      </c>
      <c r="G127" s="17" t="e">
        <f>VLOOKUP($A127,'Reg1'!$B:$H,'Table Two (3)'!G$1,0)</f>
        <v>#N/A</v>
      </c>
      <c r="H127" s="17" t="e">
        <f>VLOOKUP($A127,'Reg1'!$B:$H,'Table Two (3)'!H$1,0)</f>
        <v>#N/A</v>
      </c>
    </row>
    <row r="128" spans="1:8" x14ac:dyDescent="0.25">
      <c r="B128" t="s">
        <v>264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A10A-736C-4949-8D06-07198C6BFE5B}">
  <sheetPr codeName="Sheet17"/>
  <dimension ref="A1:AF61"/>
  <sheetViews>
    <sheetView topLeftCell="J1" workbookViewId="0">
      <selection activeCell="AA1" sqref="AA1:AF1048576"/>
    </sheetView>
  </sheetViews>
  <sheetFormatPr defaultColWidth="11.42578125" defaultRowHeight="15" x14ac:dyDescent="0.25"/>
  <sheetData>
    <row r="1" spans="1:32" x14ac:dyDescent="0.25">
      <c r="A1" t="s">
        <v>277</v>
      </c>
      <c r="B1" t="s">
        <v>278</v>
      </c>
      <c r="C1" t="s">
        <v>279</v>
      </c>
      <c r="D1" t="s">
        <v>280</v>
      </c>
      <c r="E1" t="s">
        <v>281</v>
      </c>
      <c r="F1" t="s">
        <v>282</v>
      </c>
      <c r="G1" t="s">
        <v>283</v>
      </c>
      <c r="H1" t="s">
        <v>284</v>
      </c>
      <c r="I1" t="s">
        <v>285</v>
      </c>
      <c r="J1" t="s">
        <v>286</v>
      </c>
      <c r="K1" t="s">
        <v>287</v>
      </c>
      <c r="L1" t="s">
        <v>288</v>
      </c>
      <c r="M1" t="s">
        <v>289</v>
      </c>
      <c r="N1" t="s">
        <v>290</v>
      </c>
      <c r="O1" t="s">
        <v>291</v>
      </c>
      <c r="P1" t="s">
        <v>292</v>
      </c>
      <c r="Q1" t="s">
        <v>293</v>
      </c>
      <c r="R1" t="s">
        <v>294</v>
      </c>
      <c r="S1" t="s">
        <v>295</v>
      </c>
      <c r="T1" t="s">
        <v>296</v>
      </c>
      <c r="U1" t="s">
        <v>297</v>
      </c>
      <c r="V1" t="s">
        <v>298</v>
      </c>
      <c r="W1" t="s">
        <v>299</v>
      </c>
      <c r="X1" t="s">
        <v>300</v>
      </c>
      <c r="Y1" t="s">
        <v>301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</row>
    <row r="2" spans="1:32" x14ac:dyDescent="0.25">
      <c r="A2" t="s">
        <v>276</v>
      </c>
      <c r="B2">
        <v>-0.64366265037135695</v>
      </c>
      <c r="C2">
        <v>15.9010463624621</v>
      </c>
      <c r="D2">
        <v>-4.0479263798064401E-2</v>
      </c>
      <c r="E2">
        <v>0.96845219022123097</v>
      </c>
      <c r="F2">
        <v>-10.3884909733895</v>
      </c>
      <c r="G2">
        <v>20.032363059893001</v>
      </c>
      <c r="H2">
        <v>-0.51858539815447102</v>
      </c>
      <c r="I2">
        <v>0.61724725100127897</v>
      </c>
      <c r="J2">
        <v>12.7594720447923</v>
      </c>
      <c r="K2">
        <v>0.120528648073915</v>
      </c>
      <c r="L2">
        <v>105.862566690099</v>
      </c>
      <c r="M2">
        <v>1.7899618714280302E-18</v>
      </c>
      <c r="N2">
        <v>13.002729673397299</v>
      </c>
      <c r="O2">
        <v>6.6843844602443303E-2</v>
      </c>
      <c r="P2">
        <v>194.52396478287</v>
      </c>
      <c r="Q2">
        <v>3.4211369266859399E-24</v>
      </c>
      <c r="R2">
        <v>13.545759477071</v>
      </c>
      <c r="S2">
        <v>6.09683334997701E-2</v>
      </c>
      <c r="T2">
        <v>222.17696793569201</v>
      </c>
      <c r="U2">
        <v>1.2343552653937699E-27</v>
      </c>
      <c r="V2">
        <v>13.809699496278</v>
      </c>
      <c r="W2">
        <v>8.0061169242533106E-2</v>
      </c>
      <c r="X2">
        <v>172.48935566308799</v>
      </c>
      <c r="Y2">
        <v>2.5757237493780398E-24</v>
      </c>
      <c r="AA2" s="54" t="s">
        <v>302</v>
      </c>
      <c r="AB2" s="54"/>
      <c r="AC2" s="54"/>
      <c r="AD2" s="54"/>
      <c r="AE2" s="54"/>
      <c r="AF2" s="54"/>
    </row>
    <row r="3" spans="1:32" x14ac:dyDescent="0.25">
      <c r="A3" t="s">
        <v>11</v>
      </c>
      <c r="B3">
        <v>3.2613910017668099E-2</v>
      </c>
      <c r="C3">
        <v>1.1816644031424199E-2</v>
      </c>
      <c r="D3">
        <v>2.75999767200716</v>
      </c>
      <c r="E3">
        <v>1.7353021149156801E-2</v>
      </c>
      <c r="F3">
        <v>4.0677621726726801E-2</v>
      </c>
      <c r="G3">
        <v>1.2226926071848601E-2</v>
      </c>
      <c r="H3">
        <v>3.3268886625873599</v>
      </c>
      <c r="I3">
        <v>6.0738260591633002E-3</v>
      </c>
      <c r="J3">
        <v>5.0543949034892399E-2</v>
      </c>
      <c r="K3">
        <v>1.5252039663815799E-2</v>
      </c>
      <c r="L3">
        <v>3.3139140829015501</v>
      </c>
      <c r="M3">
        <v>6.2172333566494504E-3</v>
      </c>
      <c r="N3">
        <v>5.6057148643303301E-2</v>
      </c>
      <c r="O3">
        <v>1.53057894525445E-2</v>
      </c>
      <c r="P3">
        <v>3.66248005809229</v>
      </c>
      <c r="Q3">
        <v>3.2805033618255501E-3</v>
      </c>
      <c r="R3">
        <v>8.8921808081601397E-2</v>
      </c>
      <c r="S3">
        <v>2.2697104680697699E-2</v>
      </c>
      <c r="T3">
        <v>3.91775996685706</v>
      </c>
      <c r="U3">
        <v>2.0665979750373099E-3</v>
      </c>
      <c r="V3">
        <v>0.21349249296485601</v>
      </c>
      <c r="W3">
        <v>1.67006233294534E-2</v>
      </c>
      <c r="X3">
        <v>12.7835044688625</v>
      </c>
      <c r="Y3">
        <v>2.5184208769624202E-9</v>
      </c>
      <c r="AA3" t="str">
        <f>IF(E3&lt;0.01,"***",IF(E3&lt;0.05,"**",IF(E3&lt;0.1,"*","")))</f>
        <v>**</v>
      </c>
      <c r="AB3" t="str">
        <f>IF(I3&lt;0.01,"***",IF(I3&lt;0.05,"**",IF(I3&lt;0.1,"*","")))</f>
        <v>***</v>
      </c>
      <c r="AC3" t="str">
        <f>IF(M3&lt;0.01,"***",IF(M3&lt;0.05,"**",IF(M3&lt;0.1,"*","")))</f>
        <v>***</v>
      </c>
      <c r="AD3" t="str">
        <f>IF(Q3&lt;0.01,"***",IF(Q3&lt;0.05,"**",IF(Q3&lt;0.1,"*","")))</f>
        <v>***</v>
      </c>
      <c r="AE3" t="str">
        <f>IF(U3&lt;0.01,"***",IF(U3&lt;0.05,"**",IF(U3&lt;0.1,"*","")))</f>
        <v>***</v>
      </c>
      <c r="AF3" t="str">
        <f>IF(V3&lt;0.01,"***",IF(V3&lt;0.05,"**",IF(V3&lt;0.1,"*","")))</f>
        <v/>
      </c>
    </row>
    <row r="4" spans="1:32" x14ac:dyDescent="0.25">
      <c r="A4" t="s">
        <v>16</v>
      </c>
      <c r="B4">
        <v>1.3749735723680401E-4</v>
      </c>
      <c r="C4">
        <v>4.9477561474756202E-5</v>
      </c>
      <c r="D4">
        <v>2.77898411195864</v>
      </c>
      <c r="E4">
        <v>1.4123944555569E-2</v>
      </c>
      <c r="F4">
        <v>2.1797169563579399E-4</v>
      </c>
      <c r="G4">
        <v>7.8074320418308394E-5</v>
      </c>
      <c r="H4">
        <v>2.7918487726558499</v>
      </c>
      <c r="I4">
        <v>1.3801763648763701E-2</v>
      </c>
      <c r="J4">
        <v>3.0388737027237198E-4</v>
      </c>
      <c r="K4">
        <v>1.3082287470842199E-4</v>
      </c>
      <c r="L4">
        <v>2.32289170337891</v>
      </c>
      <c r="M4">
        <v>3.4778964169647403E-2</v>
      </c>
      <c r="N4">
        <v>2.1982872661522801E-4</v>
      </c>
      <c r="O4">
        <v>1.3986468129745399E-4</v>
      </c>
      <c r="P4">
        <v>1.5717243594021599</v>
      </c>
      <c r="Q4">
        <v>0.13688264845447101</v>
      </c>
      <c r="R4">
        <v>1.84905636744808E-3</v>
      </c>
      <c r="S4">
        <v>2.6119634198030399E-4</v>
      </c>
      <c r="T4">
        <v>7.07918171222898</v>
      </c>
      <c r="U4">
        <v>4.44620340384914E-6</v>
      </c>
      <c r="AA4" t="str">
        <f t="shared" ref="AA4:AA61" si="0">IF(E4&lt;0.01,"***",IF(E4&lt;0.05,"**",IF(E4&lt;0.1,"*","")))</f>
        <v>**</v>
      </c>
      <c r="AB4" t="str">
        <f t="shared" ref="AB4:AB61" si="1">IF(I4&lt;0.01,"***",IF(I4&lt;0.05,"**",IF(I4&lt;0.1,"*","")))</f>
        <v>**</v>
      </c>
      <c r="AC4" t="str">
        <f t="shared" ref="AC4:AC61" si="2">IF(M4&lt;0.01,"***",IF(M4&lt;0.05,"**",IF(M4&lt;0.1,"*","")))</f>
        <v>**</v>
      </c>
      <c r="AD4" t="str">
        <f t="shared" ref="AD4:AD61" si="3">IF(Q4&lt;0.01,"***",IF(Q4&lt;0.05,"**",IF(Q4&lt;0.1,"*","")))</f>
        <v/>
      </c>
      <c r="AE4" t="str">
        <f t="shared" ref="AE4:AF61" si="4">IF(U4&lt;0.01,"***",IF(U4&lt;0.05,"**",IF(U4&lt;0.1,"*","")))</f>
        <v>***</v>
      </c>
      <c r="AF4" t="str">
        <f t="shared" si="4"/>
        <v>***</v>
      </c>
    </row>
    <row r="5" spans="1:32" x14ac:dyDescent="0.25">
      <c r="A5" t="s">
        <v>197</v>
      </c>
      <c r="B5">
        <v>3.7869277855392298E-2</v>
      </c>
      <c r="C5">
        <v>6.7259929219576804E-3</v>
      </c>
      <c r="D5">
        <v>5.6302880920026297</v>
      </c>
      <c r="E5">
        <v>6.72334758599351E-5</v>
      </c>
      <c r="F5">
        <v>4.0649597305615598E-2</v>
      </c>
      <c r="G5">
        <v>8.1457990042862905E-3</v>
      </c>
      <c r="H5">
        <v>4.99025292475618</v>
      </c>
      <c r="I5">
        <v>2.1062335431742301E-4</v>
      </c>
      <c r="J5">
        <v>3.3940886205394899E-2</v>
      </c>
      <c r="K5">
        <v>1.2812054809971E-2</v>
      </c>
      <c r="L5">
        <v>2.64913682534204</v>
      </c>
      <c r="M5">
        <v>1.9329860219638399E-2</v>
      </c>
      <c r="N5">
        <v>8.4047099798273905E-2</v>
      </c>
      <c r="O5">
        <v>1.6962781051041102E-2</v>
      </c>
      <c r="P5">
        <v>4.9547948267077002</v>
      </c>
      <c r="Q5">
        <v>2.1715037846410201E-4</v>
      </c>
      <c r="R5">
        <v>0.21712296864560501</v>
      </c>
      <c r="S5">
        <v>3.2058262463975203E-2</v>
      </c>
      <c r="T5">
        <v>6.7727615896086997</v>
      </c>
      <c r="U5">
        <v>8.8710644240347192E-6</v>
      </c>
      <c r="AA5" t="str">
        <f t="shared" si="0"/>
        <v>***</v>
      </c>
      <c r="AB5" t="str">
        <f t="shared" si="1"/>
        <v>***</v>
      </c>
      <c r="AC5" t="str">
        <f t="shared" si="2"/>
        <v>**</v>
      </c>
      <c r="AD5" t="str">
        <f t="shared" si="3"/>
        <v>***</v>
      </c>
      <c r="AE5" t="str">
        <f t="shared" si="4"/>
        <v>***</v>
      </c>
      <c r="AF5" t="str">
        <f t="shared" si="4"/>
        <v>***</v>
      </c>
    </row>
    <row r="6" spans="1:32" x14ac:dyDescent="0.25">
      <c r="A6" t="s">
        <v>200</v>
      </c>
      <c r="B6">
        <v>4.3012120837862398E-2</v>
      </c>
      <c r="C6">
        <v>7.8809050931241999E-3</v>
      </c>
      <c r="D6">
        <v>5.4577640930340499</v>
      </c>
      <c r="E6">
        <v>9.4127201515529295E-5</v>
      </c>
      <c r="F6">
        <v>4.4702843656915098E-2</v>
      </c>
      <c r="G6">
        <v>9.1747685377072501E-3</v>
      </c>
      <c r="H6">
        <v>4.87236745790279</v>
      </c>
      <c r="I6">
        <v>2.6939926072897202E-4</v>
      </c>
      <c r="J6">
        <v>3.5658224590984798E-2</v>
      </c>
      <c r="K6">
        <v>1.5036008608612299E-2</v>
      </c>
      <c r="L6">
        <v>2.37152195899652</v>
      </c>
      <c r="M6">
        <v>3.31159737954939E-2</v>
      </c>
      <c r="N6">
        <v>9.6960016601455895E-2</v>
      </c>
      <c r="O6">
        <v>1.9520820422696102E-2</v>
      </c>
      <c r="P6">
        <v>4.9670052027487603</v>
      </c>
      <c r="Q6">
        <v>2.1817531763973499E-4</v>
      </c>
      <c r="R6">
        <v>0.25766753495467698</v>
      </c>
      <c r="S6">
        <v>3.6980339086753099E-2</v>
      </c>
      <c r="T6">
        <v>6.9676898946277497</v>
      </c>
      <c r="U6">
        <v>6.7688077108711197E-6</v>
      </c>
      <c r="AA6" t="str">
        <f t="shared" si="0"/>
        <v>***</v>
      </c>
      <c r="AB6" t="str">
        <f t="shared" si="1"/>
        <v>***</v>
      </c>
      <c r="AC6" t="str">
        <f t="shared" si="2"/>
        <v>**</v>
      </c>
      <c r="AD6" t="str">
        <f t="shared" si="3"/>
        <v>***</v>
      </c>
      <c r="AE6" t="str">
        <f t="shared" si="4"/>
        <v>***</v>
      </c>
      <c r="AF6" t="str">
        <f t="shared" si="4"/>
        <v>***</v>
      </c>
    </row>
    <row r="7" spans="1:32" x14ac:dyDescent="0.25">
      <c r="A7" t="s">
        <v>203</v>
      </c>
      <c r="B7">
        <v>2.3211709317037199E-2</v>
      </c>
      <c r="C7">
        <v>8.9399599611078504E-3</v>
      </c>
      <c r="D7">
        <v>2.59639969507881</v>
      </c>
      <c r="E7">
        <v>2.1426666143953901E-2</v>
      </c>
      <c r="F7">
        <v>2.5157214839731299E-2</v>
      </c>
      <c r="G7">
        <v>9.5134138151754602E-3</v>
      </c>
      <c r="H7">
        <v>2.6443940449222798</v>
      </c>
      <c r="I7">
        <v>1.9528494565889402E-2</v>
      </c>
      <c r="J7">
        <v>1.2281545829613201E-2</v>
      </c>
      <c r="K7">
        <v>1.08625435747754E-2</v>
      </c>
      <c r="L7">
        <v>1.1306325949414799</v>
      </c>
      <c r="M7">
        <v>0.277644789119386</v>
      </c>
      <c r="N7">
        <v>8.0459829158071997E-2</v>
      </c>
      <c r="O7">
        <v>1.5550693078472899E-2</v>
      </c>
      <c r="P7">
        <v>5.1740349289932404</v>
      </c>
      <c r="Q7">
        <v>1.4558044520902299E-4</v>
      </c>
      <c r="R7">
        <v>0.236298562083046</v>
      </c>
      <c r="S7">
        <v>3.35897759997714E-2</v>
      </c>
      <c r="T7">
        <v>7.0348359002053096</v>
      </c>
      <c r="U7">
        <v>5.5850867624019698E-6</v>
      </c>
      <c r="AA7" t="str">
        <f t="shared" si="0"/>
        <v>**</v>
      </c>
      <c r="AB7" t="str">
        <f t="shared" si="1"/>
        <v>**</v>
      </c>
      <c r="AC7" t="str">
        <f t="shared" si="2"/>
        <v/>
      </c>
      <c r="AD7" t="str">
        <f t="shared" si="3"/>
        <v>***</v>
      </c>
      <c r="AE7" t="str">
        <f t="shared" si="4"/>
        <v>***</v>
      </c>
      <c r="AF7" t="str">
        <f t="shared" si="4"/>
        <v>***</v>
      </c>
    </row>
    <row r="8" spans="1:32" x14ac:dyDescent="0.25">
      <c r="A8" t="s">
        <v>204</v>
      </c>
      <c r="B8">
        <v>1.3576964624781401E-2</v>
      </c>
      <c r="C8">
        <v>1.56354488333998E-2</v>
      </c>
      <c r="D8">
        <v>0.86834505164820497</v>
      </c>
      <c r="E8">
        <v>0.40250871645444602</v>
      </c>
      <c r="F8">
        <v>1.1355097493573E-2</v>
      </c>
      <c r="G8">
        <v>1.6142935256842302E-2</v>
      </c>
      <c r="H8">
        <v>0.70340971532795205</v>
      </c>
      <c r="I8">
        <v>0.49543797645347698</v>
      </c>
      <c r="J8">
        <v>-6.5958949573132596E-3</v>
      </c>
      <c r="K8">
        <v>1.6813235848585201E-2</v>
      </c>
      <c r="L8">
        <v>-0.39230371932647901</v>
      </c>
      <c r="M8">
        <v>0.70182544185469498</v>
      </c>
      <c r="N8">
        <v>5.88304422167567E-2</v>
      </c>
      <c r="O8">
        <v>2.1611732800371701E-2</v>
      </c>
      <c r="P8">
        <v>2.72215295090753</v>
      </c>
      <c r="Q8">
        <v>1.8769620127163499E-2</v>
      </c>
      <c r="R8">
        <v>0.21118487786009399</v>
      </c>
      <c r="S8">
        <v>3.6315356149158998E-2</v>
      </c>
      <c r="T8">
        <v>5.8153051561077698</v>
      </c>
      <c r="U8">
        <v>8.7806263408476799E-5</v>
      </c>
      <c r="AA8" t="str">
        <f t="shared" si="0"/>
        <v/>
      </c>
      <c r="AB8" t="str">
        <f t="shared" si="1"/>
        <v/>
      </c>
      <c r="AC8" t="str">
        <f t="shared" si="2"/>
        <v/>
      </c>
      <c r="AD8" t="str">
        <f t="shared" si="3"/>
        <v>**</v>
      </c>
      <c r="AE8" t="str">
        <f t="shared" si="4"/>
        <v>***</v>
      </c>
      <c r="AF8" t="str">
        <f t="shared" si="4"/>
        <v>***</v>
      </c>
    </row>
    <row r="9" spans="1:32" x14ac:dyDescent="0.25">
      <c r="A9" t="s">
        <v>205</v>
      </c>
      <c r="B9">
        <v>0.14137762674927801</v>
      </c>
      <c r="C9">
        <v>1.72831962241656E-2</v>
      </c>
      <c r="D9">
        <v>8.1800625830771807</v>
      </c>
      <c r="E9">
        <v>2.3717817944610198E-6</v>
      </c>
      <c r="F9">
        <v>0.13498861293123601</v>
      </c>
      <c r="G9">
        <v>1.7698628958714401E-2</v>
      </c>
      <c r="H9">
        <v>7.6270660990817198</v>
      </c>
      <c r="I9">
        <v>4.9528122683680302E-6</v>
      </c>
      <c r="J9">
        <v>0.11978515504050299</v>
      </c>
      <c r="K9">
        <v>1.4848804484662E-2</v>
      </c>
      <c r="L9">
        <v>8.0669898485251306</v>
      </c>
      <c r="M9">
        <v>2.75016977738082E-6</v>
      </c>
      <c r="N9">
        <v>0.18039861718482</v>
      </c>
      <c r="O9">
        <v>1.92340593504246E-2</v>
      </c>
      <c r="P9">
        <v>9.3791234548123601</v>
      </c>
      <c r="Q9">
        <v>5.4123395335637305E-7</v>
      </c>
      <c r="R9">
        <v>0.38457504313420798</v>
      </c>
      <c r="S9">
        <v>3.7616432450969503E-2</v>
      </c>
      <c r="T9">
        <v>10.2235916081483</v>
      </c>
      <c r="U9">
        <v>2.06148956261508E-7</v>
      </c>
      <c r="AA9" t="str">
        <f t="shared" si="0"/>
        <v>***</v>
      </c>
      <c r="AB9" t="str">
        <f t="shared" si="1"/>
        <v>***</v>
      </c>
      <c r="AC9" t="str">
        <f t="shared" si="2"/>
        <v>***</v>
      </c>
      <c r="AD9" t="str">
        <f t="shared" si="3"/>
        <v>***</v>
      </c>
      <c r="AE9" t="str">
        <f t="shared" si="4"/>
        <v>***</v>
      </c>
      <c r="AF9" t="str">
        <f t="shared" si="4"/>
        <v>***</v>
      </c>
    </row>
    <row r="10" spans="1:32" x14ac:dyDescent="0.25">
      <c r="A10" t="s">
        <v>209</v>
      </c>
      <c r="B10">
        <v>0.17654497313683801</v>
      </c>
      <c r="C10">
        <v>1.7652922581893101E-2</v>
      </c>
      <c r="D10">
        <v>10.0008920516042</v>
      </c>
      <c r="E10">
        <v>2.4971008048236499E-7</v>
      </c>
      <c r="F10">
        <v>0.16964754991695</v>
      </c>
      <c r="G10">
        <v>1.82444628583735E-2</v>
      </c>
      <c r="H10">
        <v>9.2985773948992101</v>
      </c>
      <c r="I10">
        <v>5.62396060459395E-7</v>
      </c>
      <c r="J10">
        <v>0.132637394225607</v>
      </c>
      <c r="K10">
        <v>1.83741059711943E-2</v>
      </c>
      <c r="L10">
        <v>7.2187128143022203</v>
      </c>
      <c r="M10">
        <v>8.4130092951900794E-6</v>
      </c>
      <c r="N10">
        <v>0.19316317419455201</v>
      </c>
      <c r="O10">
        <v>2.2438471377945701E-2</v>
      </c>
      <c r="P10">
        <v>8.6085710091823699</v>
      </c>
      <c r="Q10">
        <v>1.3304967194394901E-6</v>
      </c>
      <c r="R10">
        <v>0.38245139213914398</v>
      </c>
      <c r="S10">
        <v>3.4336459385128498E-2</v>
      </c>
      <c r="T10">
        <v>11.138346789033999</v>
      </c>
      <c r="U10">
        <v>7.40621327968865E-8</v>
      </c>
      <c r="AA10" t="str">
        <f t="shared" si="0"/>
        <v>***</v>
      </c>
      <c r="AB10" t="str">
        <f t="shared" si="1"/>
        <v>***</v>
      </c>
      <c r="AC10" t="str">
        <f t="shared" si="2"/>
        <v>***</v>
      </c>
      <c r="AD10" t="str">
        <f t="shared" si="3"/>
        <v>***</v>
      </c>
      <c r="AE10" t="str">
        <f t="shared" si="4"/>
        <v>***</v>
      </c>
      <c r="AF10" t="str">
        <f t="shared" si="4"/>
        <v>***</v>
      </c>
    </row>
    <row r="11" spans="1:32" x14ac:dyDescent="0.25">
      <c r="A11" t="s">
        <v>211</v>
      </c>
      <c r="B11">
        <v>8.3577737330799803E-2</v>
      </c>
      <c r="C11">
        <v>3.1828663166518202E-2</v>
      </c>
      <c r="D11">
        <v>2.6258638917238102</v>
      </c>
      <c r="E11">
        <v>1.8848411178472999E-2</v>
      </c>
      <c r="F11">
        <v>7.4902489902010205E-2</v>
      </c>
      <c r="G11">
        <v>2.9378314156372799E-2</v>
      </c>
      <c r="H11">
        <v>2.54958434658043</v>
      </c>
      <c r="I11">
        <v>2.1961945573987899E-2</v>
      </c>
      <c r="J11">
        <v>1.5963945884795501E-2</v>
      </c>
      <c r="K11">
        <v>4.2954363099552001E-2</v>
      </c>
      <c r="L11">
        <v>0.37164899518582301</v>
      </c>
      <c r="M11">
        <v>0.71524873014287305</v>
      </c>
      <c r="N11">
        <v>7.41306620909543E-2</v>
      </c>
      <c r="O11">
        <v>4.3357446439259199E-2</v>
      </c>
      <c r="P11">
        <v>1.7097561821314</v>
      </c>
      <c r="Q11">
        <v>0.10962527982296399</v>
      </c>
      <c r="R11">
        <v>0.31246718987292998</v>
      </c>
      <c r="S11">
        <v>5.9881045497822298E-2</v>
      </c>
      <c r="T11">
        <v>5.2181318357959103</v>
      </c>
      <c r="U11">
        <v>1.3480514680638199E-4</v>
      </c>
      <c r="AA11" t="str">
        <f t="shared" si="0"/>
        <v>**</v>
      </c>
      <c r="AB11" t="str">
        <f t="shared" si="1"/>
        <v>**</v>
      </c>
      <c r="AC11" t="str">
        <f t="shared" si="2"/>
        <v/>
      </c>
      <c r="AD11" t="str">
        <f t="shared" si="3"/>
        <v/>
      </c>
      <c r="AE11" t="str">
        <f t="shared" si="4"/>
        <v>***</v>
      </c>
      <c r="AF11" t="str">
        <f t="shared" si="4"/>
        <v>***</v>
      </c>
    </row>
    <row r="12" spans="1:32" x14ac:dyDescent="0.25">
      <c r="A12" t="s">
        <v>15</v>
      </c>
      <c r="B12">
        <v>-2.99652303331625E-2</v>
      </c>
      <c r="C12">
        <v>6.1984050291237101E-3</v>
      </c>
      <c r="D12">
        <v>-4.8343453182501701</v>
      </c>
      <c r="E12">
        <v>1.74826035014415E-4</v>
      </c>
      <c r="F12">
        <v>-4.5573181015818698E-2</v>
      </c>
      <c r="G12">
        <v>8.8292047151677794E-3</v>
      </c>
      <c r="H12">
        <v>-5.1616405424973397</v>
      </c>
      <c r="I12">
        <v>9.3538331119211298E-5</v>
      </c>
      <c r="J12">
        <v>-7.0718236767904494E-2</v>
      </c>
      <c r="K12">
        <v>1.02783728586396E-2</v>
      </c>
      <c r="L12">
        <v>-6.8802949397249904</v>
      </c>
      <c r="M12">
        <v>3.99430577779846E-6</v>
      </c>
      <c r="N12">
        <v>-5.3065514654267197E-2</v>
      </c>
      <c r="O12">
        <v>1.2238111104023499E-2</v>
      </c>
      <c r="P12">
        <v>-4.3360870156523399</v>
      </c>
      <c r="Q12">
        <v>4.9909895666674898E-4</v>
      </c>
      <c r="AA12" t="str">
        <f t="shared" si="0"/>
        <v>***</v>
      </c>
      <c r="AB12" t="str">
        <f t="shared" si="1"/>
        <v>***</v>
      </c>
      <c r="AC12" t="str">
        <f t="shared" si="2"/>
        <v>***</v>
      </c>
      <c r="AD12" t="str">
        <f t="shared" si="3"/>
        <v>***</v>
      </c>
      <c r="AE12" t="str">
        <f t="shared" si="4"/>
        <v>***</v>
      </c>
      <c r="AF12" t="str">
        <f t="shared" si="4"/>
        <v>***</v>
      </c>
    </row>
    <row r="13" spans="1:32" x14ac:dyDescent="0.25">
      <c r="A13" t="s">
        <v>13</v>
      </c>
      <c r="B13">
        <v>6.8906598249608098E-2</v>
      </c>
      <c r="C13">
        <v>6.4722579942535496E-3</v>
      </c>
      <c r="D13">
        <v>10.6464541912247</v>
      </c>
      <c r="E13">
        <v>1.5765164384339398E-8</v>
      </c>
      <c r="F13">
        <v>8.0957806394840404E-2</v>
      </c>
      <c r="G13">
        <v>7.0508476033118604E-3</v>
      </c>
      <c r="H13">
        <v>11.481996342796201</v>
      </c>
      <c r="I13">
        <v>5.4722262354976696E-9</v>
      </c>
      <c r="J13">
        <v>0.110151842372089</v>
      </c>
      <c r="K13">
        <v>1.6365636776702101E-2</v>
      </c>
      <c r="L13">
        <v>6.7306786698883299</v>
      </c>
      <c r="M13">
        <v>5.9257665951371297E-6</v>
      </c>
      <c r="N13">
        <v>0.109663874811912</v>
      </c>
      <c r="O13">
        <v>1.71011596061602E-2</v>
      </c>
      <c r="P13">
        <v>6.4126572312914201</v>
      </c>
      <c r="Q13">
        <v>1.0404799636465E-5</v>
      </c>
      <c r="AA13" t="str">
        <f t="shared" si="0"/>
        <v>***</v>
      </c>
      <c r="AB13" t="str">
        <f t="shared" si="1"/>
        <v>***</v>
      </c>
      <c r="AC13" t="str">
        <f t="shared" si="2"/>
        <v>***</v>
      </c>
      <c r="AD13" t="str">
        <f t="shared" si="3"/>
        <v>***</v>
      </c>
      <c r="AE13" t="str">
        <f t="shared" si="4"/>
        <v>***</v>
      </c>
      <c r="AF13" t="str">
        <f t="shared" si="4"/>
        <v>***</v>
      </c>
    </row>
    <row r="14" spans="1:32" x14ac:dyDescent="0.25">
      <c r="A14" t="s">
        <v>14</v>
      </c>
      <c r="B14">
        <v>4.4826549031357299E-2</v>
      </c>
      <c r="C14">
        <v>5.6653814338888603E-3</v>
      </c>
      <c r="D14">
        <v>7.9123620456014399</v>
      </c>
      <c r="E14">
        <v>7.4473382124910203E-7</v>
      </c>
      <c r="F14">
        <v>4.9433108575786297E-2</v>
      </c>
      <c r="G14">
        <v>6.8926369939620296E-3</v>
      </c>
      <c r="H14">
        <v>7.1718717551917903</v>
      </c>
      <c r="I14">
        <v>2.5185584129944398E-6</v>
      </c>
      <c r="J14">
        <v>3.81373816398052E-2</v>
      </c>
      <c r="K14">
        <v>7.5748553666284699E-3</v>
      </c>
      <c r="L14">
        <v>5.0347339710038499</v>
      </c>
      <c r="M14">
        <v>1.3048915891122301E-4</v>
      </c>
      <c r="N14">
        <v>4.55281355716056E-2</v>
      </c>
      <c r="O14">
        <v>9.9264130069183498E-3</v>
      </c>
      <c r="P14">
        <v>4.5865647077019798</v>
      </c>
      <c r="Q14">
        <v>3.2263351576327298E-4</v>
      </c>
      <c r="AA14" t="str">
        <f t="shared" si="0"/>
        <v>***</v>
      </c>
      <c r="AB14" t="str">
        <f t="shared" si="1"/>
        <v>***</v>
      </c>
      <c r="AC14" t="str">
        <f t="shared" si="2"/>
        <v>***</v>
      </c>
      <c r="AD14" t="str">
        <f t="shared" si="3"/>
        <v>***</v>
      </c>
      <c r="AE14" t="str">
        <f t="shared" si="4"/>
        <v>***</v>
      </c>
      <c r="AF14" t="str">
        <f t="shared" si="4"/>
        <v>***</v>
      </c>
    </row>
    <row r="15" spans="1:32" x14ac:dyDescent="0.25">
      <c r="A15" t="s">
        <v>59</v>
      </c>
      <c r="B15">
        <v>-5.0252003242284002E-2</v>
      </c>
      <c r="C15">
        <v>9.8831833185348394E-3</v>
      </c>
      <c r="D15">
        <v>-5.0845968978478604</v>
      </c>
      <c r="E15">
        <v>1.14928178660685E-4</v>
      </c>
      <c r="F15">
        <v>-5.5636589012944798E-2</v>
      </c>
      <c r="G15">
        <v>1.04807223214526E-2</v>
      </c>
      <c r="H15">
        <v>-5.3084689496127604</v>
      </c>
      <c r="I15">
        <v>7.4377913468262602E-5</v>
      </c>
      <c r="J15">
        <v>-4.8962313671819697E-2</v>
      </c>
      <c r="K15">
        <v>1.97522618708613E-2</v>
      </c>
      <c r="L15">
        <v>-2.4788206025178998</v>
      </c>
      <c r="M15">
        <v>2.49137166737886E-2</v>
      </c>
      <c r="N15">
        <v>-8.38282157540787E-2</v>
      </c>
      <c r="O15">
        <v>2.2087544472337101E-2</v>
      </c>
      <c r="P15">
        <v>-3.7952709437242702</v>
      </c>
      <c r="Q15">
        <v>1.6250696751141599E-3</v>
      </c>
      <c r="AA15" t="str">
        <f t="shared" si="0"/>
        <v>***</v>
      </c>
      <c r="AB15" t="str">
        <f t="shared" si="1"/>
        <v>***</v>
      </c>
      <c r="AC15" t="str">
        <f t="shared" si="2"/>
        <v>**</v>
      </c>
      <c r="AD15" t="str">
        <f t="shared" si="3"/>
        <v>***</v>
      </c>
      <c r="AE15" t="str">
        <f t="shared" si="4"/>
        <v>***</v>
      </c>
      <c r="AF15" t="str">
        <f t="shared" si="4"/>
        <v>***</v>
      </c>
    </row>
    <row r="16" spans="1:32" x14ac:dyDescent="0.25">
      <c r="A16" t="s">
        <v>60</v>
      </c>
      <c r="B16">
        <v>-8.5291809307341898E-2</v>
      </c>
      <c r="C16">
        <v>1.44520331993407E-2</v>
      </c>
      <c r="D16">
        <v>-5.9017169508877796</v>
      </c>
      <c r="E16">
        <v>2.4176637445946299E-5</v>
      </c>
      <c r="F16">
        <v>-9.8668804579488997E-2</v>
      </c>
      <c r="G16">
        <v>1.8486161138242599E-2</v>
      </c>
      <c r="H16">
        <v>-5.3374415510947504</v>
      </c>
      <c r="I16">
        <v>7.0924595417737305E-5</v>
      </c>
      <c r="J16">
        <v>-5.9081493624515501E-2</v>
      </c>
      <c r="K16">
        <v>3.23293528169405E-2</v>
      </c>
      <c r="L16">
        <v>-1.8274876691486699</v>
      </c>
      <c r="M16">
        <v>8.6836899014548996E-2</v>
      </c>
      <c r="N16">
        <v>-0.17709952667648099</v>
      </c>
      <c r="O16">
        <v>4.3915592424358697E-2</v>
      </c>
      <c r="P16">
        <v>-4.03272543758853</v>
      </c>
      <c r="Q16">
        <v>9.0115880024260102E-4</v>
      </c>
      <c r="AA16" t="str">
        <f t="shared" si="0"/>
        <v>***</v>
      </c>
      <c r="AB16" t="str">
        <f t="shared" si="1"/>
        <v>***</v>
      </c>
      <c r="AC16" t="str">
        <f t="shared" si="2"/>
        <v>*</v>
      </c>
      <c r="AD16" t="str">
        <f t="shared" si="3"/>
        <v>***</v>
      </c>
      <c r="AE16" t="str">
        <f t="shared" si="4"/>
        <v>***</v>
      </c>
      <c r="AF16" t="str">
        <f t="shared" si="4"/>
        <v>***</v>
      </c>
    </row>
    <row r="17" spans="1:32" x14ac:dyDescent="0.25">
      <c r="A17" t="s">
        <v>18</v>
      </c>
      <c r="B17">
        <v>1.7855958008526301E-4</v>
      </c>
      <c r="C17">
        <v>8.5613018417114796E-6</v>
      </c>
      <c r="D17">
        <v>20.856592068194999</v>
      </c>
      <c r="E17">
        <v>8.7221543036303903E-12</v>
      </c>
      <c r="F17">
        <v>1.9752348181147501E-4</v>
      </c>
      <c r="G17">
        <v>1.19956618790242E-5</v>
      </c>
      <c r="H17">
        <v>16.4662428637529</v>
      </c>
      <c r="I17">
        <v>2.7450114540301699E-10</v>
      </c>
      <c r="J17">
        <v>2.4671840333442997E-4</v>
      </c>
      <c r="K17">
        <v>1.7792790848774999E-5</v>
      </c>
      <c r="L17">
        <v>13.866200385951</v>
      </c>
      <c r="M17">
        <v>2.3533614321092698E-9</v>
      </c>
      <c r="N17">
        <v>2.6789640947553898E-4</v>
      </c>
      <c r="O17">
        <v>1.50832788176287E-5</v>
      </c>
      <c r="P17">
        <v>17.761152115177602</v>
      </c>
      <c r="Q17">
        <v>6.9703181256006296E-11</v>
      </c>
      <c r="AA17" t="str">
        <f t="shared" si="0"/>
        <v>***</v>
      </c>
      <c r="AB17" t="str">
        <f t="shared" si="1"/>
        <v>***</v>
      </c>
      <c r="AC17" t="str">
        <f t="shared" si="2"/>
        <v>***</v>
      </c>
      <c r="AD17" t="str">
        <f t="shared" si="3"/>
        <v>***</v>
      </c>
      <c r="AE17" t="str">
        <f t="shared" si="4"/>
        <v>***</v>
      </c>
      <c r="AF17" t="str">
        <f t="shared" si="4"/>
        <v>***</v>
      </c>
    </row>
    <row r="18" spans="1:32" x14ac:dyDescent="0.25">
      <c r="A18" t="s">
        <v>33</v>
      </c>
      <c r="B18">
        <v>-3.1295983061506499E-3</v>
      </c>
      <c r="C18">
        <v>1.1277322196673401E-3</v>
      </c>
      <c r="D18">
        <v>-2.7751253813372601</v>
      </c>
      <c r="E18">
        <v>1.41424114713871E-2</v>
      </c>
      <c r="F18">
        <v>-3.9361509567049802E-3</v>
      </c>
      <c r="G18">
        <v>1.07591762793681E-3</v>
      </c>
      <c r="H18">
        <v>-3.6584129253955799</v>
      </c>
      <c r="I18">
        <v>2.41311763907952E-3</v>
      </c>
      <c r="J18">
        <v>3.0463994041749899E-3</v>
      </c>
      <c r="K18">
        <v>2.07519084706821E-3</v>
      </c>
      <c r="L18">
        <v>1.46800927176355</v>
      </c>
      <c r="M18">
        <v>0.164331690787695</v>
      </c>
      <c r="N18">
        <v>8.98988912293762E-4</v>
      </c>
      <c r="O18">
        <v>1.97398805164321E-3</v>
      </c>
      <c r="P18">
        <v>0.45541760576788398</v>
      </c>
      <c r="Q18">
        <v>0.65659650383813495</v>
      </c>
      <c r="AA18" t="str">
        <f t="shared" si="0"/>
        <v>**</v>
      </c>
      <c r="AB18" t="str">
        <f t="shared" si="1"/>
        <v>***</v>
      </c>
      <c r="AC18" t="str">
        <f t="shared" si="2"/>
        <v/>
      </c>
      <c r="AD18" t="str">
        <f t="shared" si="3"/>
        <v/>
      </c>
      <c r="AE18" t="str">
        <f t="shared" si="4"/>
        <v>***</v>
      </c>
      <c r="AF18" t="str">
        <f t="shared" si="4"/>
        <v>***</v>
      </c>
    </row>
    <row r="19" spans="1:32" x14ac:dyDescent="0.25">
      <c r="A19" t="s">
        <v>34</v>
      </c>
      <c r="B19">
        <v>4.3421751622978601E-2</v>
      </c>
      <c r="C19">
        <v>1.1634113664781801E-2</v>
      </c>
      <c r="D19">
        <v>3.7322784420116699</v>
      </c>
      <c r="E19">
        <v>2.2470808414748302E-3</v>
      </c>
      <c r="F19">
        <v>5.32351311927401E-2</v>
      </c>
      <c r="G19">
        <v>1.25339361575805E-2</v>
      </c>
      <c r="H19">
        <v>4.2472795874696896</v>
      </c>
      <c r="I19">
        <v>8.0729891297586995E-4</v>
      </c>
      <c r="J19">
        <v>2.2780226232524198E-2</v>
      </c>
      <c r="K19">
        <v>2.20551843407117E-2</v>
      </c>
      <c r="L19">
        <v>1.0328739891996299</v>
      </c>
      <c r="M19">
        <v>0.319459329604668</v>
      </c>
      <c r="N19">
        <v>3.8513435811242398E-2</v>
      </c>
      <c r="O19">
        <v>2.20093715952169E-2</v>
      </c>
      <c r="P19">
        <v>1.74986530826769</v>
      </c>
      <c r="Q19">
        <v>0.103210725738137</v>
      </c>
      <c r="AA19" t="str">
        <f t="shared" si="0"/>
        <v>***</v>
      </c>
      <c r="AB19" t="str">
        <f t="shared" si="1"/>
        <v>***</v>
      </c>
      <c r="AC19" t="str">
        <f t="shared" si="2"/>
        <v/>
      </c>
      <c r="AD19" t="str">
        <f t="shared" si="3"/>
        <v/>
      </c>
      <c r="AE19" t="str">
        <f t="shared" si="4"/>
        <v>***</v>
      </c>
      <c r="AF19" t="str">
        <f t="shared" si="4"/>
        <v>***</v>
      </c>
    </row>
    <row r="20" spans="1:32" x14ac:dyDescent="0.25">
      <c r="A20" t="s">
        <v>21</v>
      </c>
      <c r="B20">
        <v>-3.7931766254265101E-2</v>
      </c>
      <c r="C20">
        <v>1.3881873472243299E-2</v>
      </c>
      <c r="D20">
        <v>-2.7324673668946402</v>
      </c>
      <c r="E20">
        <v>2.1935212606260499E-2</v>
      </c>
      <c r="F20">
        <v>-5.6413001461022502E-2</v>
      </c>
      <c r="G20">
        <v>1.6292392160515101E-2</v>
      </c>
      <c r="H20">
        <v>-3.46253643450471</v>
      </c>
      <c r="I20">
        <v>6.4931005562082504E-3</v>
      </c>
      <c r="J20">
        <v>-2.83428094592157E-2</v>
      </c>
      <c r="K20">
        <v>3.2604772156114299E-2</v>
      </c>
      <c r="L20">
        <v>-0.86928408281794101</v>
      </c>
      <c r="M20">
        <v>0.406064377369106</v>
      </c>
      <c r="N20">
        <v>-1.5815395266635699E-2</v>
      </c>
      <c r="O20">
        <v>3.3172782547757698E-2</v>
      </c>
      <c r="P20">
        <v>-0.47675817498477502</v>
      </c>
      <c r="Q20">
        <v>0.64429855522680601</v>
      </c>
      <c r="AA20" t="str">
        <f t="shared" si="0"/>
        <v>**</v>
      </c>
      <c r="AB20" t="str">
        <f t="shared" si="1"/>
        <v>***</v>
      </c>
      <c r="AC20" t="str">
        <f t="shared" si="2"/>
        <v/>
      </c>
      <c r="AD20" t="str">
        <f t="shared" si="3"/>
        <v/>
      </c>
      <c r="AE20" t="str">
        <f t="shared" si="4"/>
        <v>***</v>
      </c>
      <c r="AF20" t="str">
        <f t="shared" si="4"/>
        <v>***</v>
      </c>
    </row>
    <row r="21" spans="1:32" x14ac:dyDescent="0.25">
      <c r="A21" t="s">
        <v>221</v>
      </c>
      <c r="B21">
        <v>0.112133589685078</v>
      </c>
      <c r="C21">
        <v>9.41016120426574E-3</v>
      </c>
      <c r="D21">
        <v>11.916224095528399</v>
      </c>
      <c r="E21">
        <v>7.2069267507503796E-9</v>
      </c>
      <c r="F21">
        <v>0.117934926530277</v>
      </c>
      <c r="G21">
        <v>1.1139437577603301E-2</v>
      </c>
      <c r="H21">
        <v>10.5871526913885</v>
      </c>
      <c r="I21">
        <v>3.3823788878342902E-8</v>
      </c>
      <c r="J21">
        <v>0.154704726057252</v>
      </c>
      <c r="K21">
        <v>2.03909880712582E-2</v>
      </c>
      <c r="L21">
        <v>7.5869166082890196</v>
      </c>
      <c r="M21">
        <v>2.1053666612154101E-6</v>
      </c>
      <c r="N21">
        <v>0.14224259884342</v>
      </c>
      <c r="O21">
        <v>2.2312571728864899E-2</v>
      </c>
      <c r="P21">
        <v>6.3749979416046303</v>
      </c>
      <c r="Q21">
        <v>1.47352576002664E-5</v>
      </c>
      <c r="AA21" t="str">
        <f t="shared" si="0"/>
        <v>***</v>
      </c>
      <c r="AB21" t="str">
        <f t="shared" si="1"/>
        <v>***</v>
      </c>
      <c r="AC21" t="str">
        <f t="shared" si="2"/>
        <v>***</v>
      </c>
      <c r="AD21" t="str">
        <f t="shared" si="3"/>
        <v>***</v>
      </c>
      <c r="AE21" t="str">
        <f t="shared" si="4"/>
        <v>***</v>
      </c>
      <c r="AF21" t="str">
        <f t="shared" si="4"/>
        <v>***</v>
      </c>
    </row>
    <row r="22" spans="1:32" x14ac:dyDescent="0.25">
      <c r="A22" t="s">
        <v>222</v>
      </c>
      <c r="B22">
        <v>5.7064203372927502E-2</v>
      </c>
      <c r="C22">
        <v>4.0703440026384598E-3</v>
      </c>
      <c r="D22">
        <v>14.019503839463599</v>
      </c>
      <c r="E22">
        <v>2.2699069938550001E-10</v>
      </c>
      <c r="F22">
        <v>5.9603423178334301E-2</v>
      </c>
      <c r="G22">
        <v>4.9803079279608798E-3</v>
      </c>
      <c r="H22">
        <v>11.9678188659186</v>
      </c>
      <c r="I22">
        <v>2.30665869324667E-9</v>
      </c>
      <c r="J22">
        <v>7.68394541623557E-2</v>
      </c>
      <c r="K22">
        <v>1.1831900426463499E-2</v>
      </c>
      <c r="L22">
        <v>6.4942613944328897</v>
      </c>
      <c r="M22">
        <v>7.6992560305419995E-6</v>
      </c>
      <c r="N22">
        <v>7.13667651816417E-2</v>
      </c>
      <c r="O22">
        <v>1.3767404022675201E-2</v>
      </c>
      <c r="P22">
        <v>5.1837488798976903</v>
      </c>
      <c r="Q22">
        <v>9.1865389400702196E-5</v>
      </c>
      <c r="AA22" t="str">
        <f t="shared" si="0"/>
        <v>***</v>
      </c>
      <c r="AB22" t="str">
        <f t="shared" si="1"/>
        <v>***</v>
      </c>
      <c r="AC22" t="str">
        <f t="shared" si="2"/>
        <v>***</v>
      </c>
      <c r="AD22" t="str">
        <f t="shared" si="3"/>
        <v>***</v>
      </c>
      <c r="AE22" t="str">
        <f t="shared" si="4"/>
        <v>***</v>
      </c>
      <c r="AF22" t="str">
        <f t="shared" si="4"/>
        <v>***</v>
      </c>
    </row>
    <row r="23" spans="1:32" x14ac:dyDescent="0.25">
      <c r="A23" t="s">
        <v>225</v>
      </c>
      <c r="B23">
        <v>-6.5662630240629696E-2</v>
      </c>
      <c r="C23">
        <v>1.11193969339587E-2</v>
      </c>
      <c r="D23">
        <v>-5.9052330473153196</v>
      </c>
      <c r="E23">
        <v>1.9442517678758399E-5</v>
      </c>
      <c r="F23">
        <v>-6.4420784318383106E-2</v>
      </c>
      <c r="G23">
        <v>1.27325965193085E-2</v>
      </c>
      <c r="H23">
        <v>-5.0595166681588601</v>
      </c>
      <c r="I23">
        <v>1.05373113187757E-4</v>
      </c>
      <c r="J23">
        <v>-6.67582362421833E-2</v>
      </c>
      <c r="K23">
        <v>2.20625021532945E-2</v>
      </c>
      <c r="L23">
        <v>-3.0258687694774702</v>
      </c>
      <c r="M23">
        <v>7.8128798658132197E-3</v>
      </c>
      <c r="N23">
        <v>-5.94686225419188E-2</v>
      </c>
      <c r="O23">
        <v>2.3096020605512701E-2</v>
      </c>
      <c r="P23">
        <v>-2.5748428076707102</v>
      </c>
      <c r="Q23">
        <v>1.9963088266849501E-2</v>
      </c>
      <c r="AA23" t="str">
        <f t="shared" si="0"/>
        <v>***</v>
      </c>
      <c r="AB23" t="str">
        <f t="shared" si="1"/>
        <v>***</v>
      </c>
      <c r="AC23" t="str">
        <f t="shared" si="2"/>
        <v>***</v>
      </c>
      <c r="AD23" t="str">
        <f t="shared" si="3"/>
        <v>**</v>
      </c>
      <c r="AE23" t="str">
        <f t="shared" si="4"/>
        <v>***</v>
      </c>
      <c r="AF23" t="str">
        <f t="shared" si="4"/>
        <v>***</v>
      </c>
    </row>
    <row r="24" spans="1:32" x14ac:dyDescent="0.25">
      <c r="A24" t="s">
        <v>22</v>
      </c>
      <c r="B24">
        <v>3.2603099128397199E-2</v>
      </c>
      <c r="C24">
        <v>1.3910226228859001E-2</v>
      </c>
      <c r="D24">
        <v>2.3438223499742099</v>
      </c>
      <c r="E24">
        <v>3.4886685669208897E-2</v>
      </c>
      <c r="F24">
        <v>3.4792144594667403E-2</v>
      </c>
      <c r="G24">
        <v>1.39290967474792E-2</v>
      </c>
      <c r="H24">
        <v>2.4978033554805901</v>
      </c>
      <c r="I24">
        <v>2.6045104014277998E-2</v>
      </c>
      <c r="J24">
        <v>4.62091896435914E-2</v>
      </c>
      <c r="K24">
        <v>1.8887049214956601E-2</v>
      </c>
      <c r="L24">
        <v>2.44660714956989</v>
      </c>
      <c r="M24">
        <v>2.87540198131176E-2</v>
      </c>
      <c r="AA24" t="str">
        <f t="shared" si="0"/>
        <v>**</v>
      </c>
      <c r="AB24" t="str">
        <f t="shared" si="1"/>
        <v>**</v>
      </c>
      <c r="AC24" t="str">
        <f t="shared" si="2"/>
        <v>**</v>
      </c>
      <c r="AD24" t="str">
        <f t="shared" si="3"/>
        <v>***</v>
      </c>
      <c r="AE24" t="str">
        <f t="shared" si="4"/>
        <v>***</v>
      </c>
      <c r="AF24" t="str">
        <f t="shared" si="4"/>
        <v>***</v>
      </c>
    </row>
    <row r="25" spans="1:32" x14ac:dyDescent="0.25">
      <c r="A25" t="s">
        <v>23</v>
      </c>
      <c r="B25">
        <v>-0.11078689982801999</v>
      </c>
      <c r="C25">
        <v>2.8551492026572999E-2</v>
      </c>
      <c r="D25">
        <v>-3.8802490505543501</v>
      </c>
      <c r="E25">
        <v>7.5304356647395501E-3</v>
      </c>
      <c r="F25">
        <v>-0.123595468286712</v>
      </c>
      <c r="G25">
        <v>3.3606330862832198E-2</v>
      </c>
      <c r="H25">
        <v>-3.6777436010845701</v>
      </c>
      <c r="I25">
        <v>9.5995114389110601E-3</v>
      </c>
      <c r="J25">
        <v>-0.118989939776007</v>
      </c>
      <c r="K25">
        <v>4.4184662478355501E-2</v>
      </c>
      <c r="L25">
        <v>-2.69301456889698</v>
      </c>
      <c r="M25">
        <v>3.44291380190676E-2</v>
      </c>
      <c r="AA25" t="str">
        <f t="shared" si="0"/>
        <v>***</v>
      </c>
      <c r="AB25" t="str">
        <f t="shared" si="1"/>
        <v>***</v>
      </c>
      <c r="AC25" t="str">
        <f t="shared" si="2"/>
        <v>**</v>
      </c>
      <c r="AD25" t="str">
        <f t="shared" si="3"/>
        <v>***</v>
      </c>
      <c r="AE25" t="str">
        <f t="shared" si="4"/>
        <v>***</v>
      </c>
      <c r="AF25" t="str">
        <f t="shared" si="4"/>
        <v>***</v>
      </c>
    </row>
    <row r="26" spans="1:32" x14ac:dyDescent="0.25">
      <c r="A26" t="s">
        <v>24</v>
      </c>
      <c r="B26">
        <v>-0.38822612018302199</v>
      </c>
      <c r="C26">
        <v>4.6946558423535199E-2</v>
      </c>
      <c r="D26">
        <v>-8.2695331291504601</v>
      </c>
      <c r="E26">
        <v>4.8393709001386403E-7</v>
      </c>
      <c r="F26">
        <v>-0.38726138960697898</v>
      </c>
      <c r="G26">
        <v>4.0467754617520502E-2</v>
      </c>
      <c r="H26">
        <v>-9.5696287888262308</v>
      </c>
      <c r="I26">
        <v>7.41756422810024E-8</v>
      </c>
      <c r="J26">
        <v>-0.339073946447282</v>
      </c>
      <c r="K26">
        <v>3.4156249085479602E-2</v>
      </c>
      <c r="L26">
        <v>-9.9271423392748197</v>
      </c>
      <c r="M26">
        <v>4.5598044180734897E-8</v>
      </c>
      <c r="AA26" t="str">
        <f t="shared" si="0"/>
        <v>***</v>
      </c>
      <c r="AB26" t="str">
        <f t="shared" si="1"/>
        <v>***</v>
      </c>
      <c r="AC26" t="str">
        <f t="shared" si="2"/>
        <v>***</v>
      </c>
      <c r="AD26" t="str">
        <f t="shared" si="3"/>
        <v>***</v>
      </c>
      <c r="AE26" t="str">
        <f t="shared" si="4"/>
        <v>***</v>
      </c>
      <c r="AF26" t="str">
        <f t="shared" si="4"/>
        <v>***</v>
      </c>
    </row>
    <row r="27" spans="1:32" x14ac:dyDescent="0.25">
      <c r="A27" t="s">
        <v>25</v>
      </c>
      <c r="B27">
        <v>-0.38774546722626202</v>
      </c>
      <c r="C27">
        <v>5.9048654495599803E-2</v>
      </c>
      <c r="D27">
        <v>-6.5665419566021797</v>
      </c>
      <c r="E27">
        <v>7.2094205491765495E-5</v>
      </c>
      <c r="F27">
        <v>-0.33594558171466399</v>
      </c>
      <c r="G27">
        <v>4.6628133062225498E-2</v>
      </c>
      <c r="H27">
        <v>-7.2047830280132201</v>
      </c>
      <c r="I27">
        <v>3.7587893586798101E-5</v>
      </c>
      <c r="J27">
        <v>-0.23769722544750899</v>
      </c>
      <c r="K27">
        <v>5.72897658370057E-2</v>
      </c>
      <c r="L27">
        <v>-4.1490346831540199</v>
      </c>
      <c r="M27">
        <v>2.3406873724499001E-3</v>
      </c>
      <c r="AA27" t="str">
        <f t="shared" si="0"/>
        <v>***</v>
      </c>
      <c r="AB27" t="str">
        <f t="shared" si="1"/>
        <v>***</v>
      </c>
      <c r="AC27" t="str">
        <f t="shared" si="2"/>
        <v>***</v>
      </c>
      <c r="AD27" t="str">
        <f t="shared" si="3"/>
        <v>***</v>
      </c>
      <c r="AE27" t="str">
        <f t="shared" si="4"/>
        <v>***</v>
      </c>
      <c r="AF27" t="str">
        <f t="shared" si="4"/>
        <v>***</v>
      </c>
    </row>
    <row r="28" spans="1:32" x14ac:dyDescent="0.25">
      <c r="A28" t="s">
        <v>26</v>
      </c>
      <c r="B28">
        <v>-0.27125143345096397</v>
      </c>
      <c r="C28">
        <v>2.8694281396758701E-2</v>
      </c>
      <c r="D28">
        <v>-9.4531530412050895</v>
      </c>
      <c r="E28">
        <v>2.3471106495809702E-5</v>
      </c>
      <c r="F28">
        <v>-0.28203130200603799</v>
      </c>
      <c r="G28">
        <v>2.7546638271281201E-2</v>
      </c>
      <c r="H28">
        <v>-10.238320161922299</v>
      </c>
      <c r="I28">
        <v>1.3877163998334099E-5</v>
      </c>
      <c r="J28">
        <v>-0.26674218037795699</v>
      </c>
      <c r="K28">
        <v>4.9477062324811999E-2</v>
      </c>
      <c r="L28">
        <v>-5.3912291442612599</v>
      </c>
      <c r="M28">
        <v>9.44754435344914E-4</v>
      </c>
      <c r="AA28" t="str">
        <f t="shared" si="0"/>
        <v>***</v>
      </c>
      <c r="AB28" t="str">
        <f t="shared" si="1"/>
        <v>***</v>
      </c>
      <c r="AC28" t="str">
        <f t="shared" si="2"/>
        <v>***</v>
      </c>
      <c r="AD28" t="str">
        <f t="shared" si="3"/>
        <v>***</v>
      </c>
      <c r="AE28" t="str">
        <f t="shared" si="4"/>
        <v>***</v>
      </c>
      <c r="AF28" t="str">
        <f t="shared" si="4"/>
        <v>***</v>
      </c>
    </row>
    <row r="29" spans="1:32" x14ac:dyDescent="0.25">
      <c r="A29" t="s">
        <v>27</v>
      </c>
      <c r="B29">
        <v>-0.32035731218073099</v>
      </c>
      <c r="C29">
        <v>0.26030042252359298</v>
      </c>
      <c r="D29">
        <v>-1.23072144514746</v>
      </c>
      <c r="E29">
        <v>0.38383800620377401</v>
      </c>
      <c r="F29">
        <v>-0.22670354183737701</v>
      </c>
      <c r="G29">
        <v>0.28231624413334599</v>
      </c>
      <c r="H29">
        <v>-0.80301274385861598</v>
      </c>
      <c r="I29">
        <v>0.53428750635138</v>
      </c>
      <c r="J29">
        <v>-0.172824062672433</v>
      </c>
      <c r="K29">
        <v>0.379210077823181</v>
      </c>
      <c r="L29">
        <v>-0.45574754675432999</v>
      </c>
      <c r="M29">
        <v>0.70856421353786203</v>
      </c>
      <c r="AA29" t="str">
        <f t="shared" si="0"/>
        <v/>
      </c>
      <c r="AB29" t="str">
        <f t="shared" si="1"/>
        <v/>
      </c>
      <c r="AC29" t="str">
        <f t="shared" si="2"/>
        <v/>
      </c>
      <c r="AD29" t="str">
        <f t="shared" si="3"/>
        <v>***</v>
      </c>
      <c r="AE29" t="str">
        <f t="shared" si="4"/>
        <v>***</v>
      </c>
      <c r="AF29" t="str">
        <f t="shared" si="4"/>
        <v>***</v>
      </c>
    </row>
    <row r="30" spans="1:32" x14ac:dyDescent="0.25">
      <c r="A30" t="s">
        <v>29</v>
      </c>
      <c r="B30">
        <v>-6.22649081901007E-2</v>
      </c>
      <c r="C30">
        <v>2.2226638095470801E-2</v>
      </c>
      <c r="D30">
        <v>-2.8013641974396801</v>
      </c>
      <c r="E30">
        <v>1.3671715870721499E-2</v>
      </c>
      <c r="F30">
        <v>-8.6456686308140601E-2</v>
      </c>
      <c r="G30">
        <v>2.5676576843362098E-2</v>
      </c>
      <c r="H30">
        <v>-3.3671422337783898</v>
      </c>
      <c r="I30">
        <v>4.3504414435460003E-3</v>
      </c>
      <c r="J30">
        <v>-8.6246784674588406E-2</v>
      </c>
      <c r="K30">
        <v>3.9880781659075999E-2</v>
      </c>
      <c r="L30">
        <v>-2.16261520177502</v>
      </c>
      <c r="M30">
        <v>4.7579247635593701E-2</v>
      </c>
      <c r="AA30" t="str">
        <f t="shared" si="0"/>
        <v>**</v>
      </c>
      <c r="AB30" t="str">
        <f t="shared" si="1"/>
        <v>***</v>
      </c>
      <c r="AC30" t="str">
        <f t="shared" si="2"/>
        <v>**</v>
      </c>
      <c r="AD30" t="str">
        <f t="shared" si="3"/>
        <v>***</v>
      </c>
      <c r="AE30" t="str">
        <f t="shared" si="4"/>
        <v>***</v>
      </c>
      <c r="AF30" t="str">
        <f t="shared" si="4"/>
        <v>***</v>
      </c>
    </row>
    <row r="31" spans="1:32" x14ac:dyDescent="0.25">
      <c r="A31" t="s">
        <v>31</v>
      </c>
      <c r="B31">
        <v>-0.20470865464000401</v>
      </c>
      <c r="C31">
        <v>3.5525623361168601E-2</v>
      </c>
      <c r="D31">
        <v>-5.7622818481986702</v>
      </c>
      <c r="E31">
        <v>7.7178574344684902E-5</v>
      </c>
      <c r="F31">
        <v>-0.20965309084325401</v>
      </c>
      <c r="G31">
        <v>3.8929912344413703E-2</v>
      </c>
      <c r="H31">
        <v>-5.3853984819808698</v>
      </c>
      <c r="I31">
        <v>1.4339549029004301E-4</v>
      </c>
      <c r="J31">
        <v>-0.17873326911256601</v>
      </c>
      <c r="K31">
        <v>5.0341928004053897E-2</v>
      </c>
      <c r="L31">
        <v>-3.5503858552690502</v>
      </c>
      <c r="M31">
        <v>3.7802392874902199E-3</v>
      </c>
      <c r="AA31" t="str">
        <f t="shared" si="0"/>
        <v>***</v>
      </c>
      <c r="AB31" t="str">
        <f t="shared" si="1"/>
        <v>***</v>
      </c>
      <c r="AC31" t="str">
        <f t="shared" si="2"/>
        <v>***</v>
      </c>
      <c r="AD31" t="str">
        <f t="shared" si="3"/>
        <v>***</v>
      </c>
      <c r="AE31" t="str">
        <f t="shared" si="4"/>
        <v>***</v>
      </c>
      <c r="AF31" t="str">
        <f t="shared" si="4"/>
        <v>***</v>
      </c>
    </row>
    <row r="32" spans="1:32" x14ac:dyDescent="0.25">
      <c r="A32" t="s">
        <v>237</v>
      </c>
      <c r="B32">
        <v>2.98082988676521E-2</v>
      </c>
      <c r="C32">
        <v>9.5381660778626504E-2</v>
      </c>
      <c r="D32">
        <v>0.31251603950192203</v>
      </c>
      <c r="E32">
        <v>0.77828314775183305</v>
      </c>
      <c r="F32">
        <v>-6.07316161430286E-3</v>
      </c>
      <c r="G32">
        <v>0.111424432426415</v>
      </c>
      <c r="H32">
        <v>-5.4504757009317603E-2</v>
      </c>
      <c r="I32">
        <v>0.96054949475150098</v>
      </c>
      <c r="J32">
        <v>-5.3638896875834702E-2</v>
      </c>
      <c r="K32">
        <v>6.3731767483817606E-2</v>
      </c>
      <c r="L32">
        <v>-0.841635168669288</v>
      </c>
      <c r="M32">
        <v>0.49194414822860399</v>
      </c>
      <c r="AA32" t="str">
        <f t="shared" si="0"/>
        <v/>
      </c>
      <c r="AB32" t="str">
        <f t="shared" si="1"/>
        <v/>
      </c>
      <c r="AC32" t="str">
        <f t="shared" si="2"/>
        <v/>
      </c>
      <c r="AD32" t="str">
        <f t="shared" si="3"/>
        <v>***</v>
      </c>
      <c r="AE32" t="str">
        <f t="shared" si="4"/>
        <v>***</v>
      </c>
      <c r="AF32" t="str">
        <f t="shared" si="4"/>
        <v>***</v>
      </c>
    </row>
    <row r="33" spans="1:32" x14ac:dyDescent="0.25">
      <c r="A33" t="s">
        <v>238</v>
      </c>
      <c r="B33">
        <v>-5.2852667210227397E-2</v>
      </c>
      <c r="C33">
        <v>9.4470586032339501E-2</v>
      </c>
      <c r="D33">
        <v>-0.55946162112442799</v>
      </c>
      <c r="E33">
        <v>0.60633504457284804</v>
      </c>
      <c r="F33">
        <v>-7.1732784608689204E-2</v>
      </c>
      <c r="G33">
        <v>8.2279074380330303E-2</v>
      </c>
      <c r="H33">
        <v>-0.87182294099601099</v>
      </c>
      <c r="I33">
        <v>0.43415090733392497</v>
      </c>
      <c r="J33">
        <v>-7.8848665828849099E-2</v>
      </c>
      <c r="K33">
        <v>7.4381450180822595E-2</v>
      </c>
      <c r="L33">
        <v>-1.06005819511675</v>
      </c>
      <c r="M33">
        <v>0.35086628277695098</v>
      </c>
      <c r="AA33" t="str">
        <f t="shared" si="0"/>
        <v/>
      </c>
      <c r="AB33" t="str">
        <f t="shared" si="1"/>
        <v/>
      </c>
      <c r="AC33" t="str">
        <f t="shared" si="2"/>
        <v/>
      </c>
      <c r="AD33" t="str">
        <f t="shared" si="3"/>
        <v>***</v>
      </c>
      <c r="AE33" t="str">
        <f t="shared" si="4"/>
        <v>***</v>
      </c>
      <c r="AF33" t="str">
        <f t="shared" si="4"/>
        <v>***</v>
      </c>
    </row>
    <row r="34" spans="1:32" x14ac:dyDescent="0.25">
      <c r="A34" t="s">
        <v>241</v>
      </c>
      <c r="B34">
        <v>-7.5743552306196796E-2</v>
      </c>
      <c r="C34">
        <v>3.4986142167595102E-2</v>
      </c>
      <c r="D34">
        <v>-2.16495868402296</v>
      </c>
      <c r="E34">
        <v>0.109170710863042</v>
      </c>
      <c r="F34">
        <v>-5.2456826587723299E-2</v>
      </c>
      <c r="G34">
        <v>3.4305471357295302E-2</v>
      </c>
      <c r="H34">
        <v>-1.5291096292302599</v>
      </c>
      <c r="I34">
        <v>0.21445484602640699</v>
      </c>
      <c r="J34">
        <v>-7.8360529876930402E-2</v>
      </c>
      <c r="K34">
        <v>5.0145021909554603E-2</v>
      </c>
      <c r="L34">
        <v>-1.5626781461630901</v>
      </c>
      <c r="M34">
        <v>0.20706467524650901</v>
      </c>
      <c r="AA34" t="str">
        <f t="shared" si="0"/>
        <v/>
      </c>
      <c r="AB34" t="str">
        <f t="shared" si="1"/>
        <v/>
      </c>
      <c r="AC34" t="str">
        <f t="shared" si="2"/>
        <v/>
      </c>
      <c r="AD34" t="str">
        <f t="shared" si="3"/>
        <v>***</v>
      </c>
      <c r="AE34" t="str">
        <f t="shared" si="4"/>
        <v>***</v>
      </c>
      <c r="AF34" t="str">
        <f t="shared" si="4"/>
        <v>***</v>
      </c>
    </row>
    <row r="35" spans="1:32" x14ac:dyDescent="0.25">
      <c r="A35" t="s">
        <v>243</v>
      </c>
      <c r="B35">
        <v>-1.9710102183350699E-2</v>
      </c>
      <c r="C35">
        <v>4.7105752723084197E-2</v>
      </c>
      <c r="D35">
        <v>-0.41842240159537403</v>
      </c>
      <c r="E35">
        <v>0.683785639950511</v>
      </c>
      <c r="F35">
        <v>-6.2544140127074599E-2</v>
      </c>
      <c r="G35">
        <v>5.0730742514258499E-2</v>
      </c>
      <c r="H35">
        <v>-1.2328646699680299</v>
      </c>
      <c r="I35">
        <v>0.244711235502104</v>
      </c>
      <c r="J35">
        <v>-4.6573607007816299E-2</v>
      </c>
      <c r="K35">
        <v>4.4901210974844903E-2</v>
      </c>
      <c r="L35">
        <v>-1.03724612313704</v>
      </c>
      <c r="M35">
        <v>0.323484697675405</v>
      </c>
      <c r="AA35" t="str">
        <f t="shared" si="0"/>
        <v/>
      </c>
      <c r="AB35" t="str">
        <f t="shared" si="1"/>
        <v/>
      </c>
      <c r="AC35" t="str">
        <f t="shared" si="2"/>
        <v/>
      </c>
      <c r="AD35" t="str">
        <f t="shared" si="3"/>
        <v>***</v>
      </c>
      <c r="AE35" t="str">
        <f t="shared" si="4"/>
        <v>***</v>
      </c>
      <c r="AF35" t="str">
        <f t="shared" si="4"/>
        <v>***</v>
      </c>
    </row>
    <row r="36" spans="1:32" x14ac:dyDescent="0.25">
      <c r="A36" t="s">
        <v>244</v>
      </c>
      <c r="B36">
        <v>3.2913580890333603E-2</v>
      </c>
      <c r="C36">
        <v>7.0508535506241102E-2</v>
      </c>
      <c r="D36">
        <v>0.46680278712384099</v>
      </c>
      <c r="E36">
        <v>0.655971530580019</v>
      </c>
      <c r="F36">
        <v>-3.02466909396426E-2</v>
      </c>
      <c r="G36">
        <v>5.6388741196961703E-2</v>
      </c>
      <c r="H36">
        <v>-0.53639592403726699</v>
      </c>
      <c r="I36">
        <v>0.60976493543544696</v>
      </c>
      <c r="J36">
        <v>2.0503021693220901E-3</v>
      </c>
      <c r="K36">
        <v>5.53713066124773E-2</v>
      </c>
      <c r="L36">
        <v>3.7028242509633602E-2</v>
      </c>
      <c r="M36">
        <v>0.97159066751727496</v>
      </c>
      <c r="AA36" t="str">
        <f t="shared" si="0"/>
        <v/>
      </c>
      <c r="AB36" t="str">
        <f t="shared" si="1"/>
        <v/>
      </c>
      <c r="AC36" t="str">
        <f t="shared" si="2"/>
        <v/>
      </c>
      <c r="AD36" t="str">
        <f t="shared" si="3"/>
        <v>***</v>
      </c>
      <c r="AE36" t="str">
        <f t="shared" si="4"/>
        <v>***</v>
      </c>
      <c r="AF36" t="str">
        <f t="shared" si="4"/>
        <v>***</v>
      </c>
    </row>
    <row r="37" spans="1:32" x14ac:dyDescent="0.25">
      <c r="A37" t="s">
        <v>245</v>
      </c>
      <c r="B37">
        <v>1.7759071533148801E-2</v>
      </c>
      <c r="C37">
        <v>7.9629007171687402E-2</v>
      </c>
      <c r="D37">
        <v>0.223022641672006</v>
      </c>
      <c r="E37">
        <v>0.83098254066642496</v>
      </c>
      <c r="F37">
        <v>4.2757698098642202E-2</v>
      </c>
      <c r="G37">
        <v>6.6590749205016397E-2</v>
      </c>
      <c r="H37">
        <v>0.64209666671570098</v>
      </c>
      <c r="I37">
        <v>0.54474744694620403</v>
      </c>
      <c r="J37">
        <v>-5.9548273372073197E-2</v>
      </c>
      <c r="K37">
        <v>9.0396300870108304E-2</v>
      </c>
      <c r="L37">
        <v>-0.65874679382775803</v>
      </c>
      <c r="M37">
        <v>0.53924082248392202</v>
      </c>
      <c r="AA37" t="str">
        <f t="shared" si="0"/>
        <v/>
      </c>
      <c r="AB37" t="str">
        <f t="shared" si="1"/>
        <v/>
      </c>
      <c r="AC37" t="str">
        <f t="shared" si="2"/>
        <v/>
      </c>
      <c r="AD37" t="str">
        <f t="shared" si="3"/>
        <v>***</v>
      </c>
      <c r="AE37" t="str">
        <f t="shared" si="4"/>
        <v>***</v>
      </c>
      <c r="AF37" t="str">
        <f t="shared" si="4"/>
        <v>***</v>
      </c>
    </row>
    <row r="38" spans="1:32" x14ac:dyDescent="0.25">
      <c r="A38" t="s">
        <v>247</v>
      </c>
      <c r="B38">
        <v>-2.3343564085801499E-3</v>
      </c>
      <c r="C38">
        <v>0.111151583204329</v>
      </c>
      <c r="D38">
        <v>-2.1001557884145601E-2</v>
      </c>
      <c r="E38">
        <v>0.98589300809950797</v>
      </c>
      <c r="F38">
        <v>0.26768184002323803</v>
      </c>
      <c r="G38">
        <v>0.159005526118702</v>
      </c>
      <c r="H38">
        <v>1.6834750750952301</v>
      </c>
      <c r="I38">
        <v>0.29391031230289999</v>
      </c>
      <c r="J38">
        <v>0.24425540315363101</v>
      </c>
      <c r="K38">
        <v>0.12982913925241801</v>
      </c>
      <c r="L38">
        <v>1.8813604138493301</v>
      </c>
      <c r="M38">
        <v>0.262439125140147</v>
      </c>
      <c r="AA38" t="str">
        <f t="shared" si="0"/>
        <v/>
      </c>
      <c r="AB38" t="str">
        <f t="shared" si="1"/>
        <v/>
      </c>
      <c r="AC38" t="str">
        <f t="shared" si="2"/>
        <v/>
      </c>
      <c r="AD38" t="str">
        <f t="shared" si="3"/>
        <v>***</v>
      </c>
      <c r="AE38" t="str">
        <f t="shared" si="4"/>
        <v>***</v>
      </c>
      <c r="AF38" t="str">
        <f t="shared" si="4"/>
        <v>***</v>
      </c>
    </row>
    <row r="39" spans="1:32" x14ac:dyDescent="0.25">
      <c r="A39" t="s">
        <v>166</v>
      </c>
      <c r="B39">
        <v>0.24140071890369699</v>
      </c>
      <c r="C39">
        <v>0.108307904677848</v>
      </c>
      <c r="D39">
        <v>2.2288374945644098</v>
      </c>
      <c r="E39">
        <v>5.3505554235077801E-2</v>
      </c>
      <c r="F39">
        <v>0.21380339601793899</v>
      </c>
      <c r="G39">
        <v>7.7602549071881299E-2</v>
      </c>
      <c r="H39">
        <v>2.75510790012707</v>
      </c>
      <c r="I39">
        <v>2.2990055249814699E-2</v>
      </c>
      <c r="J39">
        <v>0.23470863534486999</v>
      </c>
      <c r="K39">
        <v>6.8090045889772605E-2</v>
      </c>
      <c r="L39">
        <v>3.4470330028096501</v>
      </c>
      <c r="M39">
        <v>7.7091428503214101E-3</v>
      </c>
      <c r="AA39" t="str">
        <f t="shared" si="0"/>
        <v>*</v>
      </c>
      <c r="AB39" t="str">
        <f t="shared" si="1"/>
        <v>**</v>
      </c>
      <c r="AC39" t="str">
        <f t="shared" si="2"/>
        <v>***</v>
      </c>
      <c r="AD39" t="str">
        <f t="shared" si="3"/>
        <v>***</v>
      </c>
      <c r="AE39" t="str">
        <f t="shared" si="4"/>
        <v>***</v>
      </c>
      <c r="AF39" t="str">
        <f t="shared" si="4"/>
        <v>***</v>
      </c>
    </row>
    <row r="40" spans="1:32" x14ac:dyDescent="0.25">
      <c r="A40" t="s">
        <v>167</v>
      </c>
      <c r="B40">
        <v>0.36560501825670999</v>
      </c>
      <c r="C40">
        <v>0.11562678729045001</v>
      </c>
      <c r="D40">
        <v>3.1619404709249901</v>
      </c>
      <c r="E40">
        <v>1.09124752178874E-2</v>
      </c>
      <c r="F40">
        <v>0.34879396384415301</v>
      </c>
      <c r="G40">
        <v>8.5596067067184797E-2</v>
      </c>
      <c r="H40">
        <v>4.0748830617460898</v>
      </c>
      <c r="I40">
        <v>2.5823865353278102E-3</v>
      </c>
      <c r="J40">
        <v>0.35323536261417898</v>
      </c>
      <c r="K40">
        <v>7.6358439482742999E-2</v>
      </c>
      <c r="L40">
        <v>4.6260159977995698</v>
      </c>
      <c r="M40">
        <v>1.14701527352446E-3</v>
      </c>
      <c r="AA40" t="str">
        <f t="shared" si="0"/>
        <v>**</v>
      </c>
      <c r="AB40" t="str">
        <f t="shared" si="1"/>
        <v>***</v>
      </c>
      <c r="AC40" t="str">
        <f t="shared" si="2"/>
        <v>***</v>
      </c>
      <c r="AD40" t="str">
        <f t="shared" si="3"/>
        <v>***</v>
      </c>
      <c r="AE40" t="str">
        <f t="shared" si="4"/>
        <v>***</v>
      </c>
      <c r="AF40" t="str">
        <f t="shared" si="4"/>
        <v>***</v>
      </c>
    </row>
    <row r="41" spans="1:32" x14ac:dyDescent="0.25">
      <c r="A41" t="s">
        <v>168</v>
      </c>
      <c r="B41">
        <v>0.36691721741991201</v>
      </c>
      <c r="C41">
        <v>0.113484563554764</v>
      </c>
      <c r="D41">
        <v>3.23319054086901</v>
      </c>
      <c r="E41">
        <v>8.9813443552693092E-3</v>
      </c>
      <c r="F41">
        <v>0.349053746566307</v>
      </c>
      <c r="G41">
        <v>8.3351235886080996E-2</v>
      </c>
      <c r="H41">
        <v>4.1877453028215497</v>
      </c>
      <c r="I41">
        <v>1.89741651196927E-3</v>
      </c>
      <c r="J41">
        <v>0.356582890412383</v>
      </c>
      <c r="K41">
        <v>7.8397351078659E-2</v>
      </c>
      <c r="L41">
        <v>4.5484048313649099</v>
      </c>
      <c r="M41">
        <v>1.09659746665325E-3</v>
      </c>
      <c r="AA41" t="str">
        <f t="shared" si="0"/>
        <v>***</v>
      </c>
      <c r="AB41" t="str">
        <f t="shared" si="1"/>
        <v>***</v>
      </c>
      <c r="AC41" t="str">
        <f t="shared" si="2"/>
        <v>***</v>
      </c>
      <c r="AD41" t="str">
        <f t="shared" si="3"/>
        <v>***</v>
      </c>
      <c r="AE41" t="str">
        <f t="shared" si="4"/>
        <v>***</v>
      </c>
      <c r="AF41" t="str">
        <f t="shared" si="4"/>
        <v>***</v>
      </c>
    </row>
    <row r="42" spans="1:32" x14ac:dyDescent="0.25">
      <c r="A42" t="s">
        <v>169</v>
      </c>
      <c r="B42">
        <v>0.39033554615388499</v>
      </c>
      <c r="C42">
        <v>0.114030267037514</v>
      </c>
      <c r="D42">
        <v>3.4230871881188398</v>
      </c>
      <c r="E42">
        <v>6.7604243004437802E-3</v>
      </c>
      <c r="F42">
        <v>0.37548217220347202</v>
      </c>
      <c r="G42">
        <v>8.5703491268931106E-2</v>
      </c>
      <c r="H42">
        <v>4.3811770867681199</v>
      </c>
      <c r="I42">
        <v>1.4911675913370399E-3</v>
      </c>
      <c r="J42">
        <v>0.37677859347617998</v>
      </c>
      <c r="K42">
        <v>7.8487041780567701E-2</v>
      </c>
      <c r="L42">
        <v>4.8005197409474203</v>
      </c>
      <c r="M42">
        <v>8.1135010793448596E-4</v>
      </c>
      <c r="AA42" t="str">
        <f t="shared" si="0"/>
        <v>***</v>
      </c>
      <c r="AB42" t="str">
        <f t="shared" si="1"/>
        <v>***</v>
      </c>
      <c r="AC42" t="str">
        <f t="shared" si="2"/>
        <v>***</v>
      </c>
      <c r="AD42" t="str">
        <f t="shared" si="3"/>
        <v>***</v>
      </c>
      <c r="AE42" t="str">
        <f t="shared" si="4"/>
        <v>***</v>
      </c>
      <c r="AF42" t="str">
        <f t="shared" si="4"/>
        <v>***</v>
      </c>
    </row>
    <row r="43" spans="1:32" x14ac:dyDescent="0.25">
      <c r="A43" t="s">
        <v>170</v>
      </c>
      <c r="B43">
        <v>0.39186543253498901</v>
      </c>
      <c r="C43">
        <v>0.11329084030634499</v>
      </c>
      <c r="D43">
        <v>3.4589330565062499</v>
      </c>
      <c r="E43">
        <v>5.7398507581177E-3</v>
      </c>
      <c r="F43">
        <v>0.37582053744384902</v>
      </c>
      <c r="G43">
        <v>8.40281049324441E-2</v>
      </c>
      <c r="H43">
        <v>4.4725575775628501</v>
      </c>
      <c r="I43">
        <v>1.08111068027966E-3</v>
      </c>
      <c r="J43">
        <v>0.376264072829124</v>
      </c>
      <c r="K43">
        <v>7.9795729401117593E-2</v>
      </c>
      <c r="L43">
        <v>4.7153409794365997</v>
      </c>
      <c r="M43">
        <v>7.5414514588399597E-4</v>
      </c>
      <c r="AA43" t="str">
        <f t="shared" si="0"/>
        <v>***</v>
      </c>
      <c r="AB43" t="str">
        <f t="shared" si="1"/>
        <v>***</v>
      </c>
      <c r="AC43" t="str">
        <f t="shared" si="2"/>
        <v>***</v>
      </c>
      <c r="AD43" t="str">
        <f t="shared" si="3"/>
        <v>***</v>
      </c>
      <c r="AE43" t="str">
        <f t="shared" si="4"/>
        <v>***</v>
      </c>
      <c r="AF43" t="str">
        <f t="shared" si="4"/>
        <v>***</v>
      </c>
    </row>
    <row r="44" spans="1:32" x14ac:dyDescent="0.25">
      <c r="A44" t="s">
        <v>50</v>
      </c>
      <c r="B44">
        <v>2.52629973450777E-4</v>
      </c>
      <c r="C44">
        <v>1.6596830531328901E-4</v>
      </c>
      <c r="D44">
        <v>1.5221579383720401</v>
      </c>
      <c r="E44">
        <v>0.185118569142046</v>
      </c>
      <c r="F44">
        <v>3.8141385993733498E-4</v>
      </c>
      <c r="G44">
        <v>1.5023145168126099E-4</v>
      </c>
      <c r="H44">
        <v>2.5388416051957199</v>
      </c>
      <c r="I44">
        <v>5.0727289566198902E-2</v>
      </c>
      <c r="J44">
        <v>2.35957600350308E-4</v>
      </c>
      <c r="K44">
        <v>3.0028675495162002E-4</v>
      </c>
      <c r="L44">
        <v>0.78577425230867604</v>
      </c>
      <c r="M44">
        <v>0.46761589025233602</v>
      </c>
      <c r="AA44" t="str">
        <f t="shared" si="0"/>
        <v/>
      </c>
      <c r="AB44" t="str">
        <f t="shared" si="1"/>
        <v>*</v>
      </c>
      <c r="AC44" t="str">
        <f t="shared" si="2"/>
        <v/>
      </c>
      <c r="AD44" t="str">
        <f t="shared" si="3"/>
        <v>***</v>
      </c>
      <c r="AE44" t="str">
        <f t="shared" si="4"/>
        <v>***</v>
      </c>
      <c r="AF44" t="str">
        <f t="shared" si="4"/>
        <v>***</v>
      </c>
    </row>
    <row r="45" spans="1:32" x14ac:dyDescent="0.25">
      <c r="A45" t="s">
        <v>52</v>
      </c>
      <c r="B45">
        <v>-7.4903654988993998E-3</v>
      </c>
      <c r="C45">
        <v>6.3514015171528696E-3</v>
      </c>
      <c r="D45">
        <v>-1.1793248275472099</v>
      </c>
      <c r="E45">
        <v>0.25623365718553898</v>
      </c>
      <c r="F45">
        <v>-8.6841343532352393E-3</v>
      </c>
      <c r="G45">
        <v>7.0241134498237202E-3</v>
      </c>
      <c r="H45">
        <v>-1.2363317328613399</v>
      </c>
      <c r="I45">
        <v>0.234917388208774</v>
      </c>
      <c r="J45">
        <v>-2.3736265196108601E-2</v>
      </c>
      <c r="K45">
        <v>1.1268717430151801E-2</v>
      </c>
      <c r="L45">
        <v>-2.1063856950212698</v>
      </c>
      <c r="M45">
        <v>5.1944514023829103E-2</v>
      </c>
      <c r="AA45" t="str">
        <f t="shared" si="0"/>
        <v/>
      </c>
      <c r="AB45" t="str">
        <f t="shared" si="1"/>
        <v/>
      </c>
      <c r="AC45" t="str">
        <f t="shared" si="2"/>
        <v>*</v>
      </c>
      <c r="AD45" t="str">
        <f t="shared" si="3"/>
        <v>***</v>
      </c>
      <c r="AE45" t="str">
        <f t="shared" si="4"/>
        <v>***</v>
      </c>
      <c r="AF45" t="str">
        <f t="shared" si="4"/>
        <v>***</v>
      </c>
    </row>
    <row r="46" spans="1:32" x14ac:dyDescent="0.25">
      <c r="A46" t="s">
        <v>51</v>
      </c>
      <c r="B46">
        <v>-2.7109374946726701E-3</v>
      </c>
      <c r="C46">
        <v>2.4463421225033199E-2</v>
      </c>
      <c r="D46">
        <v>-0.110815959457812</v>
      </c>
      <c r="E46">
        <v>0.91480137834091901</v>
      </c>
      <c r="F46">
        <v>-3.7385104750978899E-3</v>
      </c>
      <c r="G46">
        <v>2.0420363775427299E-2</v>
      </c>
      <c r="H46">
        <v>-0.18307756493528199</v>
      </c>
      <c r="I46">
        <v>0.85981551472766005</v>
      </c>
      <c r="J46">
        <v>7.0150746458793696E-3</v>
      </c>
      <c r="K46">
        <v>2.0436844086934199E-2</v>
      </c>
      <c r="L46">
        <v>0.343256258942851</v>
      </c>
      <c r="M46">
        <v>0.74127488701530198</v>
      </c>
      <c r="AA46" t="str">
        <f t="shared" si="0"/>
        <v/>
      </c>
      <c r="AB46" t="str">
        <f t="shared" si="1"/>
        <v/>
      </c>
      <c r="AC46" t="str">
        <f t="shared" si="2"/>
        <v/>
      </c>
      <c r="AD46" t="str">
        <f t="shared" si="3"/>
        <v>***</v>
      </c>
      <c r="AE46" t="str">
        <f t="shared" si="4"/>
        <v>***</v>
      </c>
      <c r="AF46" t="str">
        <f t="shared" si="4"/>
        <v>***</v>
      </c>
    </row>
    <row r="47" spans="1:32" x14ac:dyDescent="0.25">
      <c r="A47" t="s">
        <v>164</v>
      </c>
      <c r="B47">
        <v>1.1259869535059301E-3</v>
      </c>
      <c r="C47">
        <v>9.0426937764586605E-3</v>
      </c>
      <c r="D47">
        <v>0.12451897425049099</v>
      </c>
      <c r="E47">
        <v>0.90375482728929302</v>
      </c>
      <c r="F47">
        <v>-1.2988312976818E-4</v>
      </c>
      <c r="G47">
        <v>1.0784570523509901E-2</v>
      </c>
      <c r="H47">
        <v>-1.20434216165624E-2</v>
      </c>
      <c r="I47">
        <v>0.99066558259112303</v>
      </c>
      <c r="AA47" t="str">
        <f t="shared" si="0"/>
        <v/>
      </c>
      <c r="AB47" t="str">
        <f t="shared" si="1"/>
        <v/>
      </c>
      <c r="AC47" t="str">
        <f t="shared" si="2"/>
        <v>***</v>
      </c>
      <c r="AD47" t="str">
        <f t="shared" si="3"/>
        <v>***</v>
      </c>
      <c r="AE47" t="str">
        <f t="shared" si="4"/>
        <v>***</v>
      </c>
      <c r="AF47" t="str">
        <f t="shared" si="4"/>
        <v>***</v>
      </c>
    </row>
    <row r="48" spans="1:32" x14ac:dyDescent="0.25">
      <c r="A48" t="s">
        <v>39</v>
      </c>
      <c r="B48">
        <v>-6.2209628875270699E-2</v>
      </c>
      <c r="C48">
        <v>3.0232979158755099E-2</v>
      </c>
      <c r="D48">
        <v>-2.0576744537349199</v>
      </c>
      <c r="E48">
        <v>6.0351106734570698E-2</v>
      </c>
      <c r="F48">
        <v>-8.9728150721988295E-2</v>
      </c>
      <c r="G48">
        <v>3.8559981085913499E-2</v>
      </c>
      <c r="H48">
        <v>-2.3269760045283601</v>
      </c>
      <c r="I48">
        <v>3.6709805965382099E-2</v>
      </c>
      <c r="AA48" t="str">
        <f t="shared" si="0"/>
        <v>*</v>
      </c>
      <c r="AB48" t="str">
        <f t="shared" si="1"/>
        <v>**</v>
      </c>
      <c r="AC48" t="str">
        <f t="shared" si="2"/>
        <v>***</v>
      </c>
      <c r="AD48" t="str">
        <f t="shared" si="3"/>
        <v>***</v>
      </c>
      <c r="AE48" t="str">
        <f t="shared" si="4"/>
        <v>***</v>
      </c>
      <c r="AF48" t="str">
        <f t="shared" si="4"/>
        <v>***</v>
      </c>
    </row>
    <row r="49" spans="1:32" x14ac:dyDescent="0.25">
      <c r="A49" t="s">
        <v>40</v>
      </c>
      <c r="B49">
        <v>-1.9854950733244501E-3</v>
      </c>
      <c r="C49">
        <v>8.4023395014836098E-3</v>
      </c>
      <c r="D49">
        <v>-0.23630264796773201</v>
      </c>
      <c r="E49">
        <v>0.81800216495362499</v>
      </c>
      <c r="F49">
        <v>6.3663554480352497E-4</v>
      </c>
      <c r="G49">
        <v>1.06678640427092E-2</v>
      </c>
      <c r="H49">
        <v>5.9677883243986901E-2</v>
      </c>
      <c r="I49">
        <v>0.95378480465372495</v>
      </c>
      <c r="AA49" t="str">
        <f t="shared" si="0"/>
        <v/>
      </c>
      <c r="AB49" t="str">
        <f t="shared" si="1"/>
        <v/>
      </c>
      <c r="AC49" t="str">
        <f t="shared" si="2"/>
        <v>***</v>
      </c>
      <c r="AD49" t="str">
        <f t="shared" si="3"/>
        <v>***</v>
      </c>
      <c r="AE49" t="str">
        <f t="shared" si="4"/>
        <v>***</v>
      </c>
      <c r="AF49" t="str">
        <f t="shared" si="4"/>
        <v>***</v>
      </c>
    </row>
    <row r="50" spans="1:32" x14ac:dyDescent="0.25">
      <c r="A50" t="s">
        <v>41</v>
      </c>
      <c r="B50">
        <v>-5.4612554515161699E-3</v>
      </c>
      <c r="C50">
        <v>7.3470750781357503E-3</v>
      </c>
      <c r="D50">
        <v>-0.74332375720079202</v>
      </c>
      <c r="E50">
        <v>0.47104135773636702</v>
      </c>
      <c r="F50">
        <v>-7.9502802379676097E-3</v>
      </c>
      <c r="G50">
        <v>1.0131703210738301E-2</v>
      </c>
      <c r="H50">
        <v>-0.78469336029714898</v>
      </c>
      <c r="I50">
        <v>0.44849288483187899</v>
      </c>
      <c r="AA50" t="str">
        <f t="shared" si="0"/>
        <v/>
      </c>
      <c r="AB50" t="str">
        <f t="shared" si="1"/>
        <v/>
      </c>
      <c r="AC50" t="str">
        <f t="shared" si="2"/>
        <v>***</v>
      </c>
      <c r="AD50" t="str">
        <f t="shared" si="3"/>
        <v>***</v>
      </c>
      <c r="AE50" t="str">
        <f t="shared" si="4"/>
        <v>***</v>
      </c>
      <c r="AF50" t="str">
        <f t="shared" si="4"/>
        <v>***</v>
      </c>
    </row>
    <row r="51" spans="1:32" x14ac:dyDescent="0.25">
      <c r="A51" t="s">
        <v>173</v>
      </c>
      <c r="B51">
        <v>2.9430323544597098E-3</v>
      </c>
      <c r="C51">
        <v>9.8409807172818199E-3</v>
      </c>
      <c r="D51">
        <v>0.29905884779262198</v>
      </c>
      <c r="E51">
        <v>0.80254909204010905</v>
      </c>
      <c r="F51">
        <v>5.9965362095954402E-3</v>
      </c>
      <c r="G51">
        <v>1.46124531345033E-2</v>
      </c>
      <c r="H51">
        <v>0.410371629896713</v>
      </c>
      <c r="I51">
        <v>0.73420226062312</v>
      </c>
      <c r="AA51" t="str">
        <f t="shared" si="0"/>
        <v/>
      </c>
      <c r="AB51" t="str">
        <f t="shared" si="1"/>
        <v/>
      </c>
      <c r="AC51" t="str">
        <f t="shared" si="2"/>
        <v>***</v>
      </c>
      <c r="AD51" t="str">
        <f t="shared" si="3"/>
        <v>***</v>
      </c>
      <c r="AE51" t="str">
        <f t="shared" si="4"/>
        <v>***</v>
      </c>
      <c r="AF51" t="str">
        <f t="shared" si="4"/>
        <v>***</v>
      </c>
    </row>
    <row r="52" spans="1:32" x14ac:dyDescent="0.25">
      <c r="A52" t="s">
        <v>174</v>
      </c>
      <c r="B52">
        <v>-3.69586378533358E-3</v>
      </c>
      <c r="C52">
        <v>1.0380024510375299E-2</v>
      </c>
      <c r="D52">
        <v>-0.35605540060521201</v>
      </c>
      <c r="E52">
        <v>0.72813732152302602</v>
      </c>
      <c r="F52">
        <v>-4.5251844012016802E-4</v>
      </c>
      <c r="G52">
        <v>1.405166183633E-2</v>
      </c>
      <c r="H52">
        <v>-3.2203909074313301E-2</v>
      </c>
      <c r="I52">
        <v>0.97484881546204205</v>
      </c>
      <c r="AA52" t="str">
        <f t="shared" si="0"/>
        <v/>
      </c>
      <c r="AB52" t="str">
        <f t="shared" si="1"/>
        <v/>
      </c>
      <c r="AC52" t="str">
        <f t="shared" si="2"/>
        <v>***</v>
      </c>
      <c r="AD52" t="str">
        <f t="shared" si="3"/>
        <v>***</v>
      </c>
      <c r="AE52" t="str">
        <f t="shared" si="4"/>
        <v>***</v>
      </c>
      <c r="AF52" t="str">
        <f t="shared" si="4"/>
        <v>***</v>
      </c>
    </row>
    <row r="53" spans="1:32" x14ac:dyDescent="0.25">
      <c r="A53" t="s">
        <v>175</v>
      </c>
      <c r="B53">
        <v>1.65089949229047E-2</v>
      </c>
      <c r="C53">
        <v>7.62470945671191E-3</v>
      </c>
      <c r="D53">
        <v>2.1651965909825099</v>
      </c>
      <c r="E53">
        <v>4.9048205935649902E-2</v>
      </c>
      <c r="F53">
        <v>1.62399045163172E-2</v>
      </c>
      <c r="G53">
        <v>1.09831699114902E-2</v>
      </c>
      <c r="H53">
        <v>1.47861725232236</v>
      </c>
      <c r="I53">
        <v>0.16227244081870601</v>
      </c>
      <c r="AA53" t="str">
        <f t="shared" si="0"/>
        <v>**</v>
      </c>
      <c r="AB53" t="str">
        <f t="shared" si="1"/>
        <v/>
      </c>
      <c r="AC53" t="str">
        <f t="shared" si="2"/>
        <v>***</v>
      </c>
      <c r="AD53" t="str">
        <f t="shared" si="3"/>
        <v>***</v>
      </c>
      <c r="AE53" t="str">
        <f t="shared" si="4"/>
        <v>***</v>
      </c>
      <c r="AF53" t="str">
        <f t="shared" si="4"/>
        <v>***</v>
      </c>
    </row>
    <row r="54" spans="1:32" x14ac:dyDescent="0.25">
      <c r="A54" t="s">
        <v>53</v>
      </c>
      <c r="B54">
        <v>2.8767308618465001E-6</v>
      </c>
      <c r="C54">
        <v>6.07367240372134E-6</v>
      </c>
      <c r="D54">
        <v>0.47363945083437903</v>
      </c>
      <c r="E54">
        <v>0.64578516650618201</v>
      </c>
      <c r="F54">
        <v>5.8004955814745703E-6</v>
      </c>
      <c r="G54">
        <v>7.6279683169699403E-6</v>
      </c>
      <c r="H54">
        <v>0.76042470818477403</v>
      </c>
      <c r="I54">
        <v>0.46823093650813302</v>
      </c>
      <c r="AA54" t="str">
        <f t="shared" si="0"/>
        <v/>
      </c>
      <c r="AB54" t="str">
        <f t="shared" si="1"/>
        <v/>
      </c>
      <c r="AC54" t="str">
        <f t="shared" si="2"/>
        <v>***</v>
      </c>
      <c r="AD54" t="str">
        <f t="shared" si="3"/>
        <v>***</v>
      </c>
      <c r="AE54" t="str">
        <f t="shared" si="4"/>
        <v>***</v>
      </c>
      <c r="AF54" t="str">
        <f t="shared" si="4"/>
        <v>***</v>
      </c>
    </row>
    <row r="55" spans="1:32" x14ac:dyDescent="0.25">
      <c r="A55" t="s">
        <v>54</v>
      </c>
      <c r="B55">
        <v>1.25327219424902E-5</v>
      </c>
      <c r="C55">
        <v>2.92317915887628E-6</v>
      </c>
      <c r="D55">
        <v>4.28736018606127</v>
      </c>
      <c r="E55">
        <v>8.1265063957869301E-4</v>
      </c>
      <c r="F55">
        <v>1.60581129552991E-5</v>
      </c>
      <c r="G55">
        <v>3.80557359595948E-6</v>
      </c>
      <c r="H55">
        <v>4.2196301162980099</v>
      </c>
      <c r="I55">
        <v>1.18501375537062E-3</v>
      </c>
      <c r="AA55" t="str">
        <f t="shared" si="0"/>
        <v>***</v>
      </c>
      <c r="AB55" t="str">
        <f t="shared" si="1"/>
        <v>***</v>
      </c>
      <c r="AC55" t="str">
        <f t="shared" si="2"/>
        <v>***</v>
      </c>
      <c r="AD55" t="str">
        <f t="shared" si="3"/>
        <v>***</v>
      </c>
      <c r="AE55" t="str">
        <f t="shared" si="4"/>
        <v>***</v>
      </c>
      <c r="AF55" t="str">
        <f t="shared" si="4"/>
        <v>***</v>
      </c>
    </row>
    <row r="56" spans="1:32" x14ac:dyDescent="0.25">
      <c r="A56" t="s">
        <v>43</v>
      </c>
      <c r="B56">
        <v>-0.39487415092751299</v>
      </c>
      <c r="C56">
        <v>0.28498782462685801</v>
      </c>
      <c r="D56">
        <v>-1.38558252951519</v>
      </c>
      <c r="E56">
        <v>0.214541576609385</v>
      </c>
      <c r="AA56" t="str">
        <f t="shared" si="0"/>
        <v/>
      </c>
      <c r="AB56" t="str">
        <f t="shared" si="1"/>
        <v>***</v>
      </c>
      <c r="AC56" t="str">
        <f t="shared" si="2"/>
        <v>***</v>
      </c>
      <c r="AD56" t="str">
        <f t="shared" si="3"/>
        <v>***</v>
      </c>
      <c r="AE56" t="str">
        <f t="shared" si="4"/>
        <v>***</v>
      </c>
      <c r="AF56" t="str">
        <f t="shared" si="4"/>
        <v>***</v>
      </c>
    </row>
    <row r="57" spans="1:32" x14ac:dyDescent="0.25">
      <c r="A57" t="s">
        <v>44</v>
      </c>
      <c r="B57">
        <v>-0.22443145284344701</v>
      </c>
      <c r="C57">
        <v>6.9209228556473407E-2</v>
      </c>
      <c r="D57">
        <v>-3.2427966258909402</v>
      </c>
      <c r="E57">
        <v>6.77254318754353E-3</v>
      </c>
      <c r="AA57" t="str">
        <f t="shared" si="0"/>
        <v>***</v>
      </c>
      <c r="AB57" t="str">
        <f t="shared" si="1"/>
        <v>***</v>
      </c>
      <c r="AC57" t="str">
        <f t="shared" si="2"/>
        <v>***</v>
      </c>
      <c r="AD57" t="str">
        <f t="shared" si="3"/>
        <v>***</v>
      </c>
      <c r="AE57" t="str">
        <f t="shared" si="4"/>
        <v>***</v>
      </c>
      <c r="AF57" t="str">
        <f t="shared" si="4"/>
        <v>***</v>
      </c>
    </row>
    <row r="58" spans="1:32" x14ac:dyDescent="0.25">
      <c r="A58" t="s">
        <v>45</v>
      </c>
      <c r="B58">
        <v>-0.60716799288624701</v>
      </c>
      <c r="C58">
        <v>0.142503737860913</v>
      </c>
      <c r="D58">
        <v>-4.2607162590981202</v>
      </c>
      <c r="E58">
        <v>8.7465692144595905E-4</v>
      </c>
      <c r="AA58" t="str">
        <f t="shared" si="0"/>
        <v>***</v>
      </c>
      <c r="AB58" t="str">
        <f t="shared" si="1"/>
        <v>***</v>
      </c>
      <c r="AC58" t="str">
        <f t="shared" si="2"/>
        <v>***</v>
      </c>
      <c r="AD58" t="str">
        <f t="shared" si="3"/>
        <v>***</v>
      </c>
      <c r="AE58" t="str">
        <f t="shared" si="4"/>
        <v>***</v>
      </c>
      <c r="AF58" t="str">
        <f t="shared" si="4"/>
        <v>***</v>
      </c>
    </row>
    <row r="59" spans="1:32" x14ac:dyDescent="0.25">
      <c r="A59" t="s">
        <v>48</v>
      </c>
      <c r="B59">
        <v>0.15691460101670901</v>
      </c>
      <c r="C59">
        <v>4.0316303252614302E-2</v>
      </c>
      <c r="D59">
        <v>3.89208802289019</v>
      </c>
      <c r="E59">
        <v>1.46848843409243E-3</v>
      </c>
      <c r="AA59" t="str">
        <f t="shared" si="0"/>
        <v>***</v>
      </c>
      <c r="AB59" t="str">
        <f t="shared" si="1"/>
        <v>***</v>
      </c>
      <c r="AC59" t="str">
        <f t="shared" si="2"/>
        <v>***</v>
      </c>
      <c r="AD59" t="str">
        <f t="shared" si="3"/>
        <v>***</v>
      </c>
      <c r="AE59" t="str">
        <f t="shared" si="4"/>
        <v>***</v>
      </c>
      <c r="AF59" t="str">
        <f t="shared" si="4"/>
        <v>***</v>
      </c>
    </row>
    <row r="60" spans="1:32" x14ac:dyDescent="0.25">
      <c r="A60" t="s">
        <v>46</v>
      </c>
      <c r="B60">
        <v>-0.72313065301104595</v>
      </c>
      <c r="C60">
        <v>0.11063480907194</v>
      </c>
      <c r="D60">
        <v>-6.5361947028880696</v>
      </c>
      <c r="E60">
        <v>1.6865199006501401E-5</v>
      </c>
      <c r="AA60" t="str">
        <f t="shared" si="0"/>
        <v>***</v>
      </c>
      <c r="AB60" t="str">
        <f t="shared" si="1"/>
        <v>***</v>
      </c>
      <c r="AC60" t="str">
        <f t="shared" si="2"/>
        <v>***</v>
      </c>
      <c r="AD60" t="str">
        <f t="shared" si="3"/>
        <v>***</v>
      </c>
      <c r="AE60" t="str">
        <f t="shared" si="4"/>
        <v>***</v>
      </c>
      <c r="AF60" t="str">
        <f t="shared" si="4"/>
        <v>***</v>
      </c>
    </row>
    <row r="61" spans="1:32" x14ac:dyDescent="0.25">
      <c r="AA61" t="str">
        <f t="shared" si="0"/>
        <v>***</v>
      </c>
      <c r="AB61" t="str">
        <f t="shared" si="1"/>
        <v>***</v>
      </c>
      <c r="AC61" t="str">
        <f t="shared" si="2"/>
        <v>***</v>
      </c>
      <c r="AD61" t="str">
        <f t="shared" si="3"/>
        <v>***</v>
      </c>
      <c r="AE61" t="str">
        <f t="shared" si="4"/>
        <v>***</v>
      </c>
      <c r="AF61" t="str">
        <f t="shared" si="4"/>
        <v>***</v>
      </c>
    </row>
  </sheetData>
  <mergeCells count="1">
    <mergeCell ref="AA2:AF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A5DF2-B993-439C-8CB1-75CCECF493E4}">
  <sheetPr codeName="Sheet18"/>
  <dimension ref="A1:H128"/>
  <sheetViews>
    <sheetView topLeftCell="B1" workbookViewId="0">
      <selection activeCell="H5" sqref="H5:H6"/>
    </sheetView>
  </sheetViews>
  <sheetFormatPr defaultRowHeight="15" x14ac:dyDescent="0.25"/>
  <cols>
    <col min="1" max="1" width="0" hidden="1" customWidth="1"/>
    <col min="2" max="2" width="26.5703125" bestFit="1" customWidth="1"/>
    <col min="3" max="3" width="22.5703125" style="3" bestFit="1" customWidth="1"/>
    <col min="4" max="4" width="22.5703125" style="3" customWidth="1"/>
    <col min="5" max="8" width="26.28515625" bestFit="1" customWidth="1"/>
  </cols>
  <sheetData>
    <row r="1" spans="1:8" ht="15.75" thickBot="1" x14ac:dyDescent="0.3">
      <c r="C1" s="3">
        <v>22</v>
      </c>
      <c r="E1">
        <v>4</v>
      </c>
      <c r="F1">
        <v>5</v>
      </c>
      <c r="G1">
        <v>6</v>
      </c>
      <c r="H1" s="3">
        <v>7</v>
      </c>
    </row>
    <row r="2" spans="1:8" ht="23.25" x14ac:dyDescent="0.35">
      <c r="B2" s="53" t="s">
        <v>273</v>
      </c>
      <c r="C2" s="53"/>
      <c r="D2" s="53"/>
      <c r="E2" s="53"/>
      <c r="F2" s="53"/>
      <c r="G2" s="53"/>
      <c r="H2" s="53"/>
    </row>
    <row r="3" spans="1:8" ht="21" x14ac:dyDescent="0.35">
      <c r="B3" s="52" t="s">
        <v>308</v>
      </c>
      <c r="C3" s="52"/>
      <c r="D3" s="52"/>
      <c r="E3" s="52"/>
      <c r="F3" s="52"/>
      <c r="G3" s="52"/>
      <c r="H3" s="52"/>
    </row>
    <row r="4" spans="1:8" x14ac:dyDescent="0.25">
      <c r="B4" s="19" t="s">
        <v>271</v>
      </c>
      <c r="C4" s="22" t="s">
        <v>266</v>
      </c>
      <c r="D4" s="22" t="s">
        <v>267</v>
      </c>
      <c r="E4" s="22" t="s">
        <v>268</v>
      </c>
      <c r="F4" s="22" t="s">
        <v>269</v>
      </c>
      <c r="G4" s="22" t="s">
        <v>270</v>
      </c>
      <c r="H4" s="22" t="s">
        <v>303</v>
      </c>
    </row>
    <row r="5" spans="1:8" x14ac:dyDescent="0.25">
      <c r="A5">
        <v>1</v>
      </c>
      <c r="B5" s="18" t="str">
        <f>'Reg1'!C8</f>
        <v>0.072***</v>
      </c>
      <c r="C5" s="3" t="e">
        <f>_xlfn.CONCAT(FIXED(VLOOKUP($B5,Sheet10!A:$AZ,22,0),4),VLOOKUP($B5,Sheet10!$A:$AF,32,0))</f>
        <v>#N/A</v>
      </c>
      <c r="D5" s="3" t="e">
        <f>_xlfn.CONCAT(FIXED(VLOOKUP($B5,Sheet10!$A:$AZ,18,0),4),VLOOKUP($B5,Sheet10!$A:$AF,31,0))</f>
        <v>#N/A</v>
      </c>
      <c r="E5" s="3" t="e">
        <f>_xlfn.CONCAT(FIXED(VLOOKUP($B5,Sheet10!$A:$AZ,14,0),4),VLOOKUP($B5,Sheet10!$A:$AF,30,0))</f>
        <v>#N/A</v>
      </c>
      <c r="F5" s="3" t="e">
        <f>_xlfn.CONCAT(FIXED(VLOOKUP($B5,Sheet10!$A:$AZ,10,0),4),VLOOKUP($B5,Sheet10!$A:$AF,29,0))</f>
        <v>#N/A</v>
      </c>
      <c r="G5" s="3" t="e">
        <f>_xlfn.CONCAT(FIXED(VLOOKUP($B5,Sheet10!$A:$AZ,6,0),4),VLOOKUP($B5,Sheet10!$A:$AF,28,0))</f>
        <v>#N/A</v>
      </c>
      <c r="H5" s="3" t="e">
        <f>_xlfn.CONCAT(FIXED(VLOOKUP($B5,Sheet10!$A:$AZ,2,0),4),VLOOKUP($B5,Sheet10!$A:$AF,27,0))</f>
        <v>#N/A</v>
      </c>
    </row>
    <row r="6" spans="1:8" x14ac:dyDescent="0.25">
      <c r="A6">
        <v>2</v>
      </c>
      <c r="C6" s="3" t="e">
        <f>_xlfn.CONCAT("(",FIXED(VLOOKUP($B5,Sheet10!$A:$AZ,23,0), 4),")")</f>
        <v>#N/A</v>
      </c>
      <c r="D6" s="3" t="e">
        <f>_xlfn.CONCAT("(",FIXED(VLOOKUP($B5,Sheet10!$A:$AZ,19,0), 4),")")</f>
        <v>#N/A</v>
      </c>
      <c r="E6" s="3" t="e">
        <f>_xlfn.CONCAT("(",FIXED(VLOOKUP($B5,Sheet10!$A:$AZ,15,0), 4),")")</f>
        <v>#N/A</v>
      </c>
      <c r="F6" s="3" t="e">
        <f>_xlfn.CONCAT("(",FIXED(VLOOKUP($B5,Sheet10!$A:$AZ,11,0), 4),")")</f>
        <v>#N/A</v>
      </c>
      <c r="G6" s="3" t="e">
        <f>_xlfn.CONCAT("(",FIXED(VLOOKUP($B5,Sheet10!$A:$AZ,7,0), 4),")")</f>
        <v>#N/A</v>
      </c>
      <c r="H6" s="3" t="e">
        <f>_xlfn.CONCAT("(",FIXED(VLOOKUP($B5,Sheet10!$A:$AZ,3,0), 4),")")</f>
        <v>#N/A</v>
      </c>
    </row>
    <row r="7" spans="1:8" x14ac:dyDescent="0.25">
      <c r="A7">
        <f>A6+2</f>
        <v>4</v>
      </c>
      <c r="B7" t="s">
        <v>16</v>
      </c>
      <c r="D7" s="3" t="str">
        <f>_xlfn.CONCAT(FIXED(VLOOKUP($B7,Sheet10!$A:$AZ,18,0),4),VLOOKUP($B7,Sheet10!$A:$AF,31,0))</f>
        <v>0.0018***</v>
      </c>
      <c r="E7" s="3" t="str">
        <f>_xlfn.CONCAT(FIXED(VLOOKUP($B7,Sheet10!$A:$AZ,14,0),4),VLOOKUP($B7,Sheet10!$A:$AF,30,0))</f>
        <v>0.0002</v>
      </c>
      <c r="F7" s="3" t="str">
        <f>_xlfn.CONCAT(FIXED(VLOOKUP($B7,Sheet10!$A:$AZ,10,0),4),VLOOKUP($B7,Sheet10!$A:$AF,29,0))</f>
        <v>0.0003**</v>
      </c>
      <c r="G7" s="3" t="str">
        <f>_xlfn.CONCAT(FIXED(VLOOKUP($B7,Sheet10!$A:$AZ,6,0),4),VLOOKUP($B7,Sheet10!$A:$AF,28,0))</f>
        <v>0.0002**</v>
      </c>
      <c r="H7" s="3" t="str">
        <f>_xlfn.CONCAT(FIXED(VLOOKUP($B7,Sheet10!$A:$AZ,2,0),4),VLOOKUP($B7,Sheet10!$A:$AF,27,0))</f>
        <v>0.0001**</v>
      </c>
    </row>
    <row r="8" spans="1:8" x14ac:dyDescent="0.25">
      <c r="A8">
        <f>A7+1</f>
        <v>5</v>
      </c>
      <c r="D8" s="3" t="str">
        <f>_xlfn.CONCAT("(",FIXED(VLOOKUP($B7,Sheet10!$A:$AZ,19,0), 4),")")</f>
        <v>(0.0003)</v>
      </c>
      <c r="E8" s="3" t="str">
        <f>_xlfn.CONCAT("(",FIXED(VLOOKUP($B7,Sheet10!$A:$AZ,15,0), 4),")")</f>
        <v>(0.0001)</v>
      </c>
      <c r="F8" s="3" t="str">
        <f>_xlfn.CONCAT("(",FIXED(VLOOKUP($B7,Sheet10!$A:$AZ,11,0), 4),")")</f>
        <v>(0.0001)</v>
      </c>
      <c r="G8" s="3" t="str">
        <f>_xlfn.CONCAT("(",FIXED(VLOOKUP($B7,Sheet10!$A:$AZ,7,0), 4),")")</f>
        <v>(0.0001)</v>
      </c>
      <c r="H8" s="3" t="str">
        <f>_xlfn.CONCAT("(",FIXED(VLOOKUP($B7,Sheet10!$A:$AZ,3,0), 4),")")</f>
        <v>(0.0000)</v>
      </c>
    </row>
    <row r="9" spans="1:8" x14ac:dyDescent="0.25">
      <c r="A9">
        <f t="shared" ref="A9" si="0">A8+2</f>
        <v>7</v>
      </c>
      <c r="B9" t="s">
        <v>197</v>
      </c>
      <c r="D9" s="3" t="str">
        <f>_xlfn.CONCAT(FIXED(VLOOKUP($B9,Sheet10!$A:$AZ,18,0),4),VLOOKUP($B9,Sheet10!$A:$AF,31,0))</f>
        <v>0.2171***</v>
      </c>
      <c r="E9" s="3" t="str">
        <f>_xlfn.CONCAT(FIXED(VLOOKUP($B9,Sheet10!$A:$AZ,14,0),4),VLOOKUP($B9,Sheet10!$A:$AF,30,0))</f>
        <v>0.0840***</v>
      </c>
      <c r="F9" s="3" t="str">
        <f>_xlfn.CONCAT(FIXED(VLOOKUP($B9,Sheet10!$A:$AZ,10,0),4),VLOOKUP($B9,Sheet10!$A:$AF,29,0))</f>
        <v>0.0339**</v>
      </c>
      <c r="G9" s="3" t="str">
        <f>_xlfn.CONCAT(FIXED(VLOOKUP($B9,Sheet10!$A:$AZ,6,0),4),VLOOKUP($B9,Sheet10!$A:$AF,28,0))</f>
        <v>0.0406***</v>
      </c>
      <c r="H9" s="3" t="str">
        <f>_xlfn.CONCAT(FIXED(VLOOKUP($B9,Sheet10!$A:$AZ,2,0),4),VLOOKUP($B9,Sheet10!$A:$AF,27,0))</f>
        <v>0.0379***</v>
      </c>
    </row>
    <row r="10" spans="1:8" x14ac:dyDescent="0.25">
      <c r="A10">
        <f t="shared" ref="A10" si="1">A9+1</f>
        <v>8</v>
      </c>
      <c r="D10" s="3" t="str">
        <f>_xlfn.CONCAT("(",FIXED(VLOOKUP($B9,Sheet10!$A:$AZ,19,0), 4),")")</f>
        <v>(0.0321)</v>
      </c>
      <c r="E10" s="3" t="str">
        <f>_xlfn.CONCAT("(",FIXED(VLOOKUP($B9,Sheet10!$A:$AZ,15,0), 4),")")</f>
        <v>(0.0170)</v>
      </c>
      <c r="F10" s="3" t="str">
        <f>_xlfn.CONCAT("(",FIXED(VLOOKUP($B9,Sheet10!$A:$AZ,11,0), 4),")")</f>
        <v>(0.0128)</v>
      </c>
      <c r="G10" s="3" t="str">
        <f>_xlfn.CONCAT("(",FIXED(VLOOKUP($B9,Sheet10!$A:$AZ,7,0), 4),")")</f>
        <v>(0.0081)</v>
      </c>
      <c r="H10" s="3" t="str">
        <f>_xlfn.CONCAT("(",FIXED(VLOOKUP($B9,Sheet10!$A:$AZ,3,0), 4),")")</f>
        <v>(0.0067)</v>
      </c>
    </row>
    <row r="11" spans="1:8" x14ac:dyDescent="0.25">
      <c r="A11">
        <f t="shared" ref="A11" si="2">A10+2</f>
        <v>10</v>
      </c>
      <c r="B11" t="s">
        <v>200</v>
      </c>
      <c r="D11" s="3" t="str">
        <f>_xlfn.CONCAT(FIXED(VLOOKUP($B11,Sheet10!$A:$AZ,18,0),4),VLOOKUP($B11,Sheet10!$A:$AF,31,0))</f>
        <v>0.2577***</v>
      </c>
      <c r="E11" s="3" t="str">
        <f>_xlfn.CONCAT(FIXED(VLOOKUP($B11,Sheet10!$A:$AZ,14,0),4),VLOOKUP($B11,Sheet10!$A:$AF,30,0))</f>
        <v>0.0970***</v>
      </c>
      <c r="F11" s="3" t="str">
        <f>_xlfn.CONCAT(FIXED(VLOOKUP($B11,Sheet10!$A:$AZ,10,0),4),VLOOKUP($B11,Sheet10!$A:$AF,29,0))</f>
        <v>0.0357**</v>
      </c>
      <c r="G11" s="3" t="str">
        <f>_xlfn.CONCAT(FIXED(VLOOKUP($B11,Sheet10!$A:$AZ,6,0),4),VLOOKUP($B11,Sheet10!$A:$AF,28,0))</f>
        <v>0.0447***</v>
      </c>
      <c r="H11" s="3" t="str">
        <f>_xlfn.CONCAT(FIXED(VLOOKUP($B11,Sheet10!$A:$AZ,2,0),4),VLOOKUP($B11,Sheet10!$A:$AF,27,0))</f>
        <v>0.0430***</v>
      </c>
    </row>
    <row r="12" spans="1:8" x14ac:dyDescent="0.25">
      <c r="A12">
        <f t="shared" ref="A12" si="3">A11+1</f>
        <v>11</v>
      </c>
      <c r="D12" s="3" t="str">
        <f>_xlfn.CONCAT("(",FIXED(VLOOKUP($B11,Sheet10!$A:$AZ,19,0), 4),")")</f>
        <v>(0.0370)</v>
      </c>
      <c r="E12" s="3" t="str">
        <f>_xlfn.CONCAT("(",FIXED(VLOOKUP($B11,Sheet10!$A:$AZ,15,0), 4),")")</f>
        <v>(0.0195)</v>
      </c>
      <c r="F12" s="3" t="str">
        <f>_xlfn.CONCAT("(",FIXED(VLOOKUP($B11,Sheet10!$A:$AZ,11,0), 4),")")</f>
        <v>(0.0150)</v>
      </c>
      <c r="G12" s="3" t="str">
        <f>_xlfn.CONCAT("(",FIXED(VLOOKUP($B11,Sheet10!$A:$AZ,7,0), 4),")")</f>
        <v>(0.0092)</v>
      </c>
      <c r="H12" s="3" t="str">
        <f>_xlfn.CONCAT("(",FIXED(VLOOKUP($B11,Sheet10!$A:$AZ,3,0), 4),")")</f>
        <v>(0.0079)</v>
      </c>
    </row>
    <row r="13" spans="1:8" x14ac:dyDescent="0.25">
      <c r="A13">
        <f t="shared" ref="A13" si="4">A12+2</f>
        <v>13</v>
      </c>
      <c r="B13" t="s">
        <v>203</v>
      </c>
      <c r="D13" s="3" t="str">
        <f>_xlfn.CONCAT(FIXED(VLOOKUP($B13,Sheet10!$A:$AZ,18,0),4),VLOOKUP($B13,Sheet10!$A:$AF,31,0))</f>
        <v>0.2363***</v>
      </c>
      <c r="E13" s="3" t="str">
        <f>_xlfn.CONCAT(FIXED(VLOOKUP($B13,Sheet10!$A:$AZ,14,0),4),VLOOKUP($B13,Sheet10!$A:$AF,30,0))</f>
        <v>0.0805***</v>
      </c>
      <c r="F13" s="3" t="str">
        <f>_xlfn.CONCAT(FIXED(VLOOKUP($B13,Sheet10!$A:$AZ,10,0),4),VLOOKUP($B13,Sheet10!$A:$AF,29,0))</f>
        <v>0.0123</v>
      </c>
      <c r="G13" s="3" t="str">
        <f>_xlfn.CONCAT(FIXED(VLOOKUP($B13,Sheet10!$A:$AZ,6,0),4),VLOOKUP($B13,Sheet10!$A:$AF,28,0))</f>
        <v>0.0252**</v>
      </c>
      <c r="H13" s="3" t="str">
        <f>_xlfn.CONCAT(FIXED(VLOOKUP($B13,Sheet10!$A:$AZ,2,0),4),VLOOKUP($B13,Sheet10!$A:$AF,27,0))</f>
        <v>0.0232**</v>
      </c>
    </row>
    <row r="14" spans="1:8" x14ac:dyDescent="0.25">
      <c r="A14">
        <f t="shared" ref="A14" si="5">A13+1</f>
        <v>14</v>
      </c>
      <c r="D14" s="3" t="str">
        <f>_xlfn.CONCAT("(",FIXED(VLOOKUP($B13,Sheet10!$A:$AZ,19,0), 4),")")</f>
        <v>(0.0336)</v>
      </c>
      <c r="E14" s="3" t="str">
        <f>_xlfn.CONCAT("(",FIXED(VLOOKUP($B13,Sheet10!$A:$AZ,15,0), 4),")")</f>
        <v>(0.0156)</v>
      </c>
      <c r="F14" s="3" t="str">
        <f>_xlfn.CONCAT("(",FIXED(VLOOKUP($B13,Sheet10!$A:$AZ,11,0), 4),")")</f>
        <v>(0.0109)</v>
      </c>
      <c r="G14" s="3" t="str">
        <f>_xlfn.CONCAT("(",FIXED(VLOOKUP($B13,Sheet10!$A:$AZ,7,0), 4),")")</f>
        <v>(0.0095)</v>
      </c>
      <c r="H14" s="3" t="str">
        <f>_xlfn.CONCAT("(",FIXED(VLOOKUP($B13,Sheet10!$A:$AZ,3,0), 4),")")</f>
        <v>(0.0089)</v>
      </c>
    </row>
    <row r="15" spans="1:8" x14ac:dyDescent="0.25">
      <c r="A15">
        <f t="shared" ref="A15" si="6">A14+2</f>
        <v>16</v>
      </c>
      <c r="B15" t="s">
        <v>204</v>
      </c>
      <c r="D15" s="3" t="str">
        <f>_xlfn.CONCAT(FIXED(VLOOKUP($B15,Sheet10!$A:$AZ,18,0),4),VLOOKUP($B15,Sheet10!$A:$AF,31,0))</f>
        <v>0.2112***</v>
      </c>
      <c r="E15" s="3" t="str">
        <f>_xlfn.CONCAT(FIXED(VLOOKUP($B15,Sheet10!$A:$AZ,14,0),4),VLOOKUP($B15,Sheet10!$A:$AF,30,0))</f>
        <v>0.0588**</v>
      </c>
      <c r="F15" s="3" t="str">
        <f>_xlfn.CONCAT(FIXED(VLOOKUP($B15,Sheet10!$A:$AZ,10,0),4),VLOOKUP($B15,Sheet10!$A:$AF,29,0))</f>
        <v>-0.0066</v>
      </c>
      <c r="G15" s="3" t="str">
        <f>_xlfn.CONCAT(FIXED(VLOOKUP($B15,Sheet10!$A:$AZ,6,0),4),VLOOKUP($B15,Sheet10!$A:$AF,28,0))</f>
        <v>0.0114</v>
      </c>
      <c r="H15" s="3" t="str">
        <f>_xlfn.CONCAT(FIXED(VLOOKUP($B15,Sheet10!$A:$AZ,2,0),4),VLOOKUP($B15,Sheet10!$A:$AF,27,0))</f>
        <v>0.0136</v>
      </c>
    </row>
    <row r="16" spans="1:8" x14ac:dyDescent="0.25">
      <c r="A16">
        <f t="shared" ref="A16" si="7">A15+1</f>
        <v>17</v>
      </c>
      <c r="D16" s="3" t="str">
        <f>_xlfn.CONCAT("(",FIXED(VLOOKUP($B15,Sheet10!$A:$AZ,19,0), 4),")")</f>
        <v>(0.0363)</v>
      </c>
      <c r="E16" s="3" t="str">
        <f>_xlfn.CONCAT("(",FIXED(VLOOKUP($B15,Sheet10!$A:$AZ,15,0), 4),")")</f>
        <v>(0.0216)</v>
      </c>
      <c r="F16" s="3" t="str">
        <f>_xlfn.CONCAT("(",FIXED(VLOOKUP($B15,Sheet10!$A:$AZ,11,0), 4),")")</f>
        <v>(0.0168)</v>
      </c>
      <c r="G16" s="3" t="str">
        <f>_xlfn.CONCAT("(",FIXED(VLOOKUP($B15,Sheet10!$A:$AZ,7,0), 4),")")</f>
        <v>(0.0161)</v>
      </c>
      <c r="H16" s="3" t="str">
        <f>_xlfn.CONCAT("(",FIXED(VLOOKUP($B15,Sheet10!$A:$AZ,3,0), 4),")")</f>
        <v>(0.0156)</v>
      </c>
    </row>
    <row r="17" spans="1:8" x14ac:dyDescent="0.25">
      <c r="A17">
        <f t="shared" ref="A17" si="8">A16+2</f>
        <v>19</v>
      </c>
      <c r="B17" t="s">
        <v>205</v>
      </c>
      <c r="D17" s="3" t="str">
        <f>_xlfn.CONCAT(FIXED(VLOOKUP($B17,Sheet10!$A:$AZ,18,0),4),VLOOKUP($B17,Sheet10!$A:$AF,31,0))</f>
        <v>0.3846***</v>
      </c>
      <c r="E17" s="3" t="str">
        <f>_xlfn.CONCAT(FIXED(VLOOKUP($B17,Sheet10!$A:$AZ,14,0),4),VLOOKUP($B17,Sheet10!$A:$AF,30,0))</f>
        <v>0.1804***</v>
      </c>
      <c r="F17" s="3" t="str">
        <f>_xlfn.CONCAT(FIXED(VLOOKUP($B17,Sheet10!$A:$AZ,10,0),4),VLOOKUP($B17,Sheet10!$A:$AF,29,0))</f>
        <v>0.1198***</v>
      </c>
      <c r="G17" s="3" t="str">
        <f>_xlfn.CONCAT(FIXED(VLOOKUP($B17,Sheet10!$A:$AZ,6,0),4),VLOOKUP($B17,Sheet10!$A:$AF,28,0))</f>
        <v>0.1350***</v>
      </c>
      <c r="H17" s="3" t="str">
        <f>_xlfn.CONCAT(FIXED(VLOOKUP($B17,Sheet10!$A:$AZ,2,0),4),VLOOKUP($B17,Sheet10!$A:$AF,27,0))</f>
        <v>0.1414***</v>
      </c>
    </row>
    <row r="18" spans="1:8" x14ac:dyDescent="0.25">
      <c r="A18">
        <f t="shared" ref="A18" si="9">A17+1</f>
        <v>20</v>
      </c>
      <c r="D18" s="3" t="str">
        <f>_xlfn.CONCAT("(",FIXED(VLOOKUP($B17,Sheet10!$A:$AZ,19,0), 4),")")</f>
        <v>(0.0376)</v>
      </c>
      <c r="E18" s="3" t="str">
        <f>_xlfn.CONCAT("(",FIXED(VLOOKUP($B17,Sheet10!$A:$AZ,15,0), 4),")")</f>
        <v>(0.0192)</v>
      </c>
      <c r="F18" s="3" t="str">
        <f>_xlfn.CONCAT("(",FIXED(VLOOKUP($B17,Sheet10!$A:$AZ,11,0), 4),")")</f>
        <v>(0.0148)</v>
      </c>
      <c r="G18" s="3" t="str">
        <f>_xlfn.CONCAT("(",FIXED(VLOOKUP($B17,Sheet10!$A:$AZ,7,0), 4),")")</f>
        <v>(0.0177)</v>
      </c>
      <c r="H18" s="3" t="str">
        <f>_xlfn.CONCAT("(",FIXED(VLOOKUP($B17,Sheet10!$A:$AZ,3,0), 4),")")</f>
        <v>(0.0173)</v>
      </c>
    </row>
    <row r="19" spans="1:8" x14ac:dyDescent="0.25">
      <c r="A19">
        <f t="shared" ref="A19:A79" si="10">A18+2</f>
        <v>22</v>
      </c>
      <c r="B19" t="s">
        <v>209</v>
      </c>
      <c r="D19" s="3" t="str">
        <f>_xlfn.CONCAT(FIXED(VLOOKUP($B19,Sheet10!$A:$AZ,18,0),4),VLOOKUP($B19,Sheet10!$A:$AF,31,0))</f>
        <v>0.3825***</v>
      </c>
      <c r="E19" s="3" t="str">
        <f>_xlfn.CONCAT(FIXED(VLOOKUP($B19,Sheet10!$A:$AZ,14,0),4),VLOOKUP($B19,Sheet10!$A:$AF,30,0))</f>
        <v>0.1932***</v>
      </c>
      <c r="F19" s="3" t="str">
        <f>_xlfn.CONCAT(FIXED(VLOOKUP($B19,Sheet10!$A:$AZ,10,0),4),VLOOKUP($B19,Sheet10!$A:$AF,29,0))</f>
        <v>0.1326***</v>
      </c>
      <c r="G19" s="3" t="str">
        <f>_xlfn.CONCAT(FIXED(VLOOKUP($B19,Sheet10!$A:$AZ,6,0),4),VLOOKUP($B19,Sheet10!$A:$AF,28,0))</f>
        <v>0.1696***</v>
      </c>
      <c r="H19" s="3" t="str">
        <f>_xlfn.CONCAT(FIXED(VLOOKUP($B19,Sheet10!$A:$AZ,2,0),4),VLOOKUP($B19,Sheet10!$A:$AF,27,0))</f>
        <v>0.1765***</v>
      </c>
    </row>
    <row r="20" spans="1:8" x14ac:dyDescent="0.25">
      <c r="A20">
        <f t="shared" ref="A20:A80" si="11">A19+1</f>
        <v>23</v>
      </c>
      <c r="D20" s="3" t="str">
        <f>_xlfn.CONCAT("(",FIXED(VLOOKUP($B19,Sheet10!$A:$AZ,19,0), 4),")")</f>
        <v>(0.0343)</v>
      </c>
      <c r="E20" s="3" t="str">
        <f>_xlfn.CONCAT("(",FIXED(VLOOKUP($B19,Sheet10!$A:$AZ,15,0), 4),")")</f>
        <v>(0.0224)</v>
      </c>
      <c r="F20" s="3" t="str">
        <f>_xlfn.CONCAT("(",FIXED(VLOOKUP($B19,Sheet10!$A:$AZ,11,0), 4),")")</f>
        <v>(0.0184)</v>
      </c>
      <c r="G20" s="3" t="str">
        <f>_xlfn.CONCAT("(",FIXED(VLOOKUP($B19,Sheet10!$A:$AZ,7,0), 4),")")</f>
        <v>(0.0182)</v>
      </c>
      <c r="H20" s="3" t="str">
        <f>_xlfn.CONCAT("(",FIXED(VLOOKUP($B19,Sheet10!$A:$AZ,3,0), 4),")")</f>
        <v>(0.0177)</v>
      </c>
    </row>
    <row r="21" spans="1:8" x14ac:dyDescent="0.25">
      <c r="A21">
        <f t="shared" ref="A21:A81" si="12">A20+2</f>
        <v>25</v>
      </c>
      <c r="B21" t="s">
        <v>211</v>
      </c>
      <c r="D21" s="3" t="str">
        <f>_xlfn.CONCAT(FIXED(VLOOKUP($B21,Sheet10!$A:$AZ,18,0),4),VLOOKUP($B21,Sheet10!$A:$AF,31,0))</f>
        <v>0.3125***</v>
      </c>
      <c r="E21" s="3" t="str">
        <f>_xlfn.CONCAT(FIXED(VLOOKUP($B21,Sheet10!$A:$AZ,14,0),4),VLOOKUP($B21,Sheet10!$A:$AF,30,0))</f>
        <v>0.0741</v>
      </c>
      <c r="F21" s="3" t="str">
        <f>_xlfn.CONCAT(FIXED(VLOOKUP($B21,Sheet10!$A:$AZ,10,0),4),VLOOKUP($B21,Sheet10!$A:$AF,29,0))</f>
        <v>0.0160</v>
      </c>
      <c r="G21" s="3" t="str">
        <f>_xlfn.CONCAT(FIXED(VLOOKUP($B21,Sheet10!$A:$AZ,6,0),4),VLOOKUP($B21,Sheet10!$A:$AF,28,0))</f>
        <v>0.0749**</v>
      </c>
      <c r="H21" s="3" t="str">
        <f>_xlfn.CONCAT(FIXED(VLOOKUP($B21,Sheet10!$A:$AZ,2,0),4),VLOOKUP($B21,Sheet10!$A:$AF,27,0))</f>
        <v>0.0836**</v>
      </c>
    </row>
    <row r="22" spans="1:8" x14ac:dyDescent="0.25">
      <c r="A22">
        <f t="shared" ref="A22:A82" si="13">A21+1</f>
        <v>26</v>
      </c>
      <c r="D22" s="3" t="str">
        <f>_xlfn.CONCAT("(",FIXED(VLOOKUP($B21,Sheet10!$A:$AZ,19,0), 4),")")</f>
        <v>(0.0599)</v>
      </c>
      <c r="E22" s="3" t="str">
        <f>_xlfn.CONCAT("(",FIXED(VLOOKUP($B21,Sheet10!$A:$AZ,15,0), 4),")")</f>
        <v>(0.0434)</v>
      </c>
      <c r="F22" s="3" t="str">
        <f>_xlfn.CONCAT("(",FIXED(VLOOKUP($B21,Sheet10!$A:$AZ,11,0), 4),")")</f>
        <v>(0.0430)</v>
      </c>
      <c r="G22" s="3" t="str">
        <f>_xlfn.CONCAT("(",FIXED(VLOOKUP($B21,Sheet10!$A:$AZ,7,0), 4),")")</f>
        <v>(0.0294)</v>
      </c>
      <c r="H22" s="3" t="str">
        <f>_xlfn.CONCAT("(",FIXED(VLOOKUP($B21,Sheet10!$A:$AZ,3,0), 4),")")</f>
        <v>(0.0318)</v>
      </c>
    </row>
    <row r="23" spans="1:8" x14ac:dyDescent="0.25">
      <c r="A23">
        <f t="shared" ref="A23:A83" si="14">A22+2</f>
        <v>28</v>
      </c>
      <c r="B23" t="s">
        <v>15</v>
      </c>
      <c r="E23" s="3" t="str">
        <f>_xlfn.CONCAT(FIXED(VLOOKUP($B23,Sheet10!$A:$AZ,14,0),4),VLOOKUP($B23,Sheet10!$A:$AF,30,0))</f>
        <v>-0.0531***</v>
      </c>
      <c r="F23" s="3" t="str">
        <f>_xlfn.CONCAT(FIXED(VLOOKUP($B23,Sheet10!$A:$AZ,10,0),4),VLOOKUP($B23,Sheet10!$A:$AF,29,0))</f>
        <v>-0.0707***</v>
      </c>
      <c r="G23" s="3" t="str">
        <f>_xlfn.CONCAT(FIXED(VLOOKUP($B23,Sheet10!$A:$AZ,6,0),4),VLOOKUP($B23,Sheet10!$A:$AF,28,0))</f>
        <v>-0.0456***</v>
      </c>
      <c r="H23" s="3" t="str">
        <f>_xlfn.CONCAT(FIXED(VLOOKUP($B23,Sheet10!$A:$AZ,2,0),4),VLOOKUP($B23,Sheet10!$A:$AF,27,0))</f>
        <v>-0.0300***</v>
      </c>
    </row>
    <row r="24" spans="1:8" x14ac:dyDescent="0.25">
      <c r="A24">
        <f t="shared" ref="A24:A84" si="15">A23+1</f>
        <v>29</v>
      </c>
      <c r="E24" s="3" t="str">
        <f>_xlfn.CONCAT("(",FIXED(VLOOKUP($B23,Sheet10!$A:$AZ,15,0), 4),")")</f>
        <v>(0.0122)</v>
      </c>
      <c r="F24" s="3" t="str">
        <f>_xlfn.CONCAT("(",FIXED(VLOOKUP($B23,Sheet10!$A:$AZ,11,0), 4),")")</f>
        <v>(0.0103)</v>
      </c>
      <c r="G24" s="3" t="str">
        <f>_xlfn.CONCAT("(",FIXED(VLOOKUP($B23,Sheet10!$A:$AZ,7,0), 4),")")</f>
        <v>(0.0088)</v>
      </c>
      <c r="H24" s="3" t="str">
        <f>_xlfn.CONCAT("(",FIXED(VLOOKUP($B23,Sheet10!$A:$AZ,3,0), 4),")")</f>
        <v>(0.0062)</v>
      </c>
    </row>
    <row r="25" spans="1:8" x14ac:dyDescent="0.25">
      <c r="A25">
        <f t="shared" ref="A25:A85" si="16">A24+2</f>
        <v>31</v>
      </c>
      <c r="B25" t="s">
        <v>13</v>
      </c>
      <c r="E25" s="3" t="str">
        <f>_xlfn.CONCAT(FIXED(VLOOKUP($B25,Sheet10!$A:$AZ,14,0),4),VLOOKUP($B25,Sheet10!$A:$AF,30,0))</f>
        <v>0.1097***</v>
      </c>
      <c r="F25" s="3" t="str">
        <f>_xlfn.CONCAT(FIXED(VLOOKUP($B25,Sheet10!$A:$AZ,10,0),4),VLOOKUP($B25,Sheet10!$A:$AF,29,0))</f>
        <v>0.1102***</v>
      </c>
      <c r="G25" s="3" t="str">
        <f>_xlfn.CONCAT(FIXED(VLOOKUP($B25,Sheet10!$A:$AZ,6,0),4),VLOOKUP($B25,Sheet10!$A:$AF,28,0))</f>
        <v>0.0810***</v>
      </c>
      <c r="H25" s="3" t="str">
        <f>_xlfn.CONCAT(FIXED(VLOOKUP($B25,Sheet10!$A:$AZ,2,0),4),VLOOKUP($B25,Sheet10!$A:$AF,27,0))</f>
        <v>0.0689***</v>
      </c>
    </row>
    <row r="26" spans="1:8" x14ac:dyDescent="0.25">
      <c r="A26">
        <f t="shared" ref="A26:A86" si="17">A25+1</f>
        <v>32</v>
      </c>
      <c r="E26" s="3" t="str">
        <f>_xlfn.CONCAT("(",FIXED(VLOOKUP($B25,Sheet10!$A:$AZ,15,0), 4),")")</f>
        <v>(0.0171)</v>
      </c>
      <c r="F26" s="3" t="str">
        <f>_xlfn.CONCAT("(",FIXED(VLOOKUP($B25,Sheet10!$A:$AZ,11,0), 4),")")</f>
        <v>(0.0164)</v>
      </c>
      <c r="G26" s="3" t="str">
        <f>_xlfn.CONCAT("(",FIXED(VLOOKUP($B25,Sheet10!$A:$AZ,7,0), 4),")")</f>
        <v>(0.0071)</v>
      </c>
      <c r="H26" s="3" t="str">
        <f>_xlfn.CONCAT("(",FIXED(VLOOKUP($B25,Sheet10!$A:$AZ,3,0), 4),")")</f>
        <v>(0.0065)</v>
      </c>
    </row>
    <row r="27" spans="1:8" x14ac:dyDescent="0.25">
      <c r="A27">
        <f t="shared" ref="A27" si="18">A26+2</f>
        <v>34</v>
      </c>
      <c r="B27" t="s">
        <v>14</v>
      </c>
      <c r="E27" s="3" t="str">
        <f>_xlfn.CONCAT(FIXED(VLOOKUP($B27,Sheet10!$A:$AZ,14,0),4),VLOOKUP($B27,Sheet10!$A:$AF,30,0))</f>
        <v>0.0455***</v>
      </c>
      <c r="F27" s="3" t="str">
        <f>_xlfn.CONCAT(FIXED(VLOOKUP($B27,Sheet10!$A:$AZ,10,0),4),VLOOKUP($B27,Sheet10!$A:$AF,29,0))</f>
        <v>0.0381***</v>
      </c>
      <c r="G27" s="3" t="str">
        <f>_xlfn.CONCAT(FIXED(VLOOKUP($B27,Sheet10!$A:$AZ,6,0),4),VLOOKUP($B27,Sheet10!$A:$AF,28,0))</f>
        <v>0.0494***</v>
      </c>
      <c r="H27" s="3" t="str">
        <f>_xlfn.CONCAT(FIXED(VLOOKUP($B27,Sheet10!$A:$AZ,2,0),4),VLOOKUP($B27,Sheet10!$A:$AF,27,0))</f>
        <v>0.0448***</v>
      </c>
    </row>
    <row r="28" spans="1:8" x14ac:dyDescent="0.25">
      <c r="A28">
        <f t="shared" ref="A28" si="19">A27+1</f>
        <v>35</v>
      </c>
      <c r="E28" s="3" t="str">
        <f>_xlfn.CONCAT("(",FIXED(VLOOKUP($B27,Sheet10!$A:$AZ,15,0), 4),")")</f>
        <v>(0.0099)</v>
      </c>
      <c r="F28" s="3" t="str">
        <f>_xlfn.CONCAT("(",FIXED(VLOOKUP($B27,Sheet10!$A:$AZ,11,0), 4),")")</f>
        <v>(0.0076)</v>
      </c>
      <c r="G28" s="3" t="str">
        <f>_xlfn.CONCAT("(",FIXED(VLOOKUP($B27,Sheet10!$A:$AZ,7,0), 4),")")</f>
        <v>(0.0069)</v>
      </c>
      <c r="H28" s="3" t="str">
        <f>_xlfn.CONCAT("(",FIXED(VLOOKUP($B27,Sheet10!$A:$AZ,3,0), 4),")")</f>
        <v>(0.0057)</v>
      </c>
    </row>
    <row r="29" spans="1:8" x14ac:dyDescent="0.25">
      <c r="A29">
        <f t="shared" si="10"/>
        <v>37</v>
      </c>
      <c r="B29" t="s">
        <v>59</v>
      </c>
      <c r="E29" s="3" t="str">
        <f>_xlfn.CONCAT(FIXED(VLOOKUP($B29,Sheet10!$A:$AZ,14,0),4),VLOOKUP($B29,Sheet10!$A:$AF,30,0))</f>
        <v>-0.0838***</v>
      </c>
      <c r="F29" s="3" t="str">
        <f>_xlfn.CONCAT(FIXED(VLOOKUP($B29,Sheet10!$A:$AZ,10,0),4),VLOOKUP($B29,Sheet10!$A:$AF,29,0))</f>
        <v>-0.0490**</v>
      </c>
      <c r="G29" s="3" t="str">
        <f>_xlfn.CONCAT(FIXED(VLOOKUP($B29,Sheet10!$A:$AZ,6,0),4),VLOOKUP($B29,Sheet10!$A:$AF,28,0))</f>
        <v>-0.0556***</v>
      </c>
      <c r="H29" s="3" t="str">
        <f>_xlfn.CONCAT(FIXED(VLOOKUP($B29,Sheet10!$A:$AZ,2,0),4),VLOOKUP($B29,Sheet10!$A:$AF,27,0))</f>
        <v>-0.0503***</v>
      </c>
    </row>
    <row r="30" spans="1:8" x14ac:dyDescent="0.25">
      <c r="A30">
        <f t="shared" si="11"/>
        <v>38</v>
      </c>
      <c r="E30" s="3" t="str">
        <f>_xlfn.CONCAT("(",FIXED(VLOOKUP($B29,Sheet10!$A:$AZ,15,0), 4),")")</f>
        <v>(0.0221)</v>
      </c>
      <c r="F30" s="3" t="str">
        <f>_xlfn.CONCAT("(",FIXED(VLOOKUP($B29,Sheet10!$A:$AZ,11,0), 4),")")</f>
        <v>(0.0198)</v>
      </c>
      <c r="G30" s="3" t="str">
        <f>_xlfn.CONCAT("(",FIXED(VLOOKUP($B29,Sheet10!$A:$AZ,7,0), 4),")")</f>
        <v>(0.0105)</v>
      </c>
      <c r="H30" s="3" t="str">
        <f>_xlfn.CONCAT("(",FIXED(VLOOKUP($B29,Sheet10!$A:$AZ,3,0), 4),")")</f>
        <v>(0.0099)</v>
      </c>
    </row>
    <row r="31" spans="1:8" x14ac:dyDescent="0.25">
      <c r="A31">
        <f t="shared" si="12"/>
        <v>40</v>
      </c>
      <c r="B31" t="s">
        <v>60</v>
      </c>
      <c r="E31" s="3" t="str">
        <f>_xlfn.CONCAT(FIXED(VLOOKUP($B31,Sheet10!$A:$AZ,14,0),4),VLOOKUP($B31,Sheet10!$A:$AF,30,0))</f>
        <v>-0.1771***</v>
      </c>
      <c r="F31" s="3" t="str">
        <f>_xlfn.CONCAT(FIXED(VLOOKUP($B31,Sheet10!$A:$AZ,10,0),4),VLOOKUP($B31,Sheet10!$A:$AF,29,0))</f>
        <v>-0.0591*</v>
      </c>
      <c r="G31" s="3" t="str">
        <f>_xlfn.CONCAT(FIXED(VLOOKUP($B31,Sheet10!$A:$AZ,6,0),4),VLOOKUP($B31,Sheet10!$A:$AF,28,0))</f>
        <v>-0.0987***</v>
      </c>
      <c r="H31" s="3" t="str">
        <f>_xlfn.CONCAT(FIXED(VLOOKUP($B31,Sheet10!$A:$AZ,2,0),4),VLOOKUP($B31,Sheet10!$A:$AF,27,0))</f>
        <v>-0.0853***</v>
      </c>
    </row>
    <row r="32" spans="1:8" x14ac:dyDescent="0.25">
      <c r="A32">
        <f t="shared" si="13"/>
        <v>41</v>
      </c>
      <c r="E32" s="3" t="str">
        <f>_xlfn.CONCAT("(",FIXED(VLOOKUP($B31,Sheet10!$A:$AZ,15,0), 4),")")</f>
        <v>(0.0439)</v>
      </c>
      <c r="F32" s="3" t="str">
        <f>_xlfn.CONCAT("(",FIXED(VLOOKUP($B31,Sheet10!$A:$AZ,11,0), 4),")")</f>
        <v>(0.0323)</v>
      </c>
      <c r="G32" s="3" t="str">
        <f>_xlfn.CONCAT("(",FIXED(VLOOKUP($B31,Sheet10!$A:$AZ,7,0), 4),")")</f>
        <v>(0.0185)</v>
      </c>
      <c r="H32" s="3" t="str">
        <f>_xlfn.CONCAT("(",FIXED(VLOOKUP($B31,Sheet10!$A:$AZ,3,0), 4),")")</f>
        <v>(0.0145)</v>
      </c>
    </row>
    <row r="33" spans="1:8" x14ac:dyDescent="0.25">
      <c r="A33">
        <f t="shared" si="14"/>
        <v>43</v>
      </c>
      <c r="B33" t="s">
        <v>18</v>
      </c>
      <c r="E33" s="3" t="str">
        <f>_xlfn.CONCAT(FIXED(VLOOKUP($B33,Sheet10!$A:$AZ,14,0),4),VLOOKUP($B33,Sheet10!$A:$AF,30,0))</f>
        <v>0.0003***</v>
      </c>
      <c r="F33" s="3" t="str">
        <f>_xlfn.CONCAT(FIXED(VLOOKUP($B33,Sheet10!$A:$AZ,10,0),4),VLOOKUP($B33,Sheet10!$A:$AF,29,0))</f>
        <v>0.0002***</v>
      </c>
      <c r="G33" s="3" t="str">
        <f>_xlfn.CONCAT(FIXED(VLOOKUP($B33,Sheet10!$A:$AZ,6,0),4),VLOOKUP($B33,Sheet10!$A:$AF,28,0))</f>
        <v>0.0002***</v>
      </c>
      <c r="H33" s="3" t="str">
        <f>_xlfn.CONCAT(FIXED(VLOOKUP($B33,Sheet10!$A:$AZ,2,0),4),VLOOKUP($B33,Sheet10!$A:$AF,27,0))</f>
        <v>0.0002***</v>
      </c>
    </row>
    <row r="34" spans="1:8" x14ac:dyDescent="0.25">
      <c r="A34">
        <f t="shared" si="15"/>
        <v>44</v>
      </c>
      <c r="E34" s="3" t="str">
        <f>_xlfn.CONCAT("(",FIXED(VLOOKUP($B33,Sheet10!$A:$AZ,15,0), 4),")")</f>
        <v>(0.0000)</v>
      </c>
      <c r="F34" s="3" t="str">
        <f>_xlfn.CONCAT("(",FIXED(VLOOKUP($B33,Sheet10!$A:$AZ,11,0), 4),")")</f>
        <v>(0.0000)</v>
      </c>
      <c r="G34" s="3" t="str">
        <f>_xlfn.CONCAT("(",FIXED(VLOOKUP($B33,Sheet10!$A:$AZ,7,0), 4),")")</f>
        <v>(0.0000)</v>
      </c>
      <c r="H34" s="3" t="str">
        <f>_xlfn.CONCAT("(",FIXED(VLOOKUP($B33,Sheet10!$A:$AZ,3,0), 4),")")</f>
        <v>(0.0000)</v>
      </c>
    </row>
    <row r="35" spans="1:8" x14ac:dyDescent="0.25">
      <c r="A35">
        <f t="shared" si="16"/>
        <v>46</v>
      </c>
      <c r="B35" t="s">
        <v>33</v>
      </c>
      <c r="E35" s="3" t="str">
        <f>_xlfn.CONCAT(FIXED(VLOOKUP($B35,Sheet10!$A:$AZ,14,0),4),VLOOKUP($B35,Sheet10!$A:$AF,30,0))</f>
        <v>0.0009</v>
      </c>
      <c r="F35" s="3" t="str">
        <f>_xlfn.CONCAT(FIXED(VLOOKUP($B35,Sheet10!$A:$AZ,10,0),4),VLOOKUP($B35,Sheet10!$A:$AF,29,0))</f>
        <v>0.0030</v>
      </c>
      <c r="G35" s="3" t="str">
        <f>_xlfn.CONCAT(FIXED(VLOOKUP($B35,Sheet10!$A:$AZ,6,0),4),VLOOKUP($B35,Sheet10!$A:$AF,28,0))</f>
        <v>-0.0039***</v>
      </c>
      <c r="H35" s="3" t="str">
        <f>_xlfn.CONCAT(FIXED(VLOOKUP($B35,Sheet10!$A:$AZ,2,0),4),VLOOKUP($B35,Sheet10!$A:$AF,27,0))</f>
        <v>-0.0031**</v>
      </c>
    </row>
    <row r="36" spans="1:8" x14ac:dyDescent="0.25">
      <c r="A36">
        <f t="shared" si="17"/>
        <v>47</v>
      </c>
      <c r="E36" s="3" t="str">
        <f>_xlfn.CONCAT("(",FIXED(VLOOKUP($B35,Sheet10!$A:$AZ,15,0), 4),")")</f>
        <v>(0.0020)</v>
      </c>
      <c r="F36" s="3" t="str">
        <f>_xlfn.CONCAT("(",FIXED(VLOOKUP($B35,Sheet10!$A:$AZ,11,0), 4),")")</f>
        <v>(0.0021)</v>
      </c>
      <c r="G36" s="3" t="str">
        <f>_xlfn.CONCAT("(",FIXED(VLOOKUP($B35,Sheet10!$A:$AZ,7,0), 4),")")</f>
        <v>(0.0011)</v>
      </c>
      <c r="H36" s="3" t="str">
        <f>_xlfn.CONCAT("(",FIXED(VLOOKUP($B35,Sheet10!$A:$AZ,3,0), 4),")")</f>
        <v>(0.0011)</v>
      </c>
    </row>
    <row r="37" spans="1:8" x14ac:dyDescent="0.25">
      <c r="A37">
        <f t="shared" ref="A37" si="20">A36+2</f>
        <v>49</v>
      </c>
      <c r="B37" t="s">
        <v>34</v>
      </c>
      <c r="E37" s="3" t="str">
        <f>_xlfn.CONCAT(FIXED(VLOOKUP($B37,Sheet10!$A:$AZ,14,0),4),VLOOKUP($B37,Sheet10!$A:$AF,30,0))</f>
        <v>0.0385</v>
      </c>
      <c r="F37" s="3" t="str">
        <f>_xlfn.CONCAT(FIXED(VLOOKUP($B37,Sheet10!$A:$AZ,10,0),4),VLOOKUP($B37,Sheet10!$A:$AF,29,0))</f>
        <v>0.0228</v>
      </c>
      <c r="G37" s="3" t="str">
        <f>_xlfn.CONCAT(FIXED(VLOOKUP($B37,Sheet10!$A:$AZ,6,0),4),VLOOKUP($B37,Sheet10!$A:$AF,28,0))</f>
        <v>0.0532***</v>
      </c>
      <c r="H37" s="3" t="str">
        <f>_xlfn.CONCAT(FIXED(VLOOKUP($B37,Sheet10!$A:$AZ,2,0),4),VLOOKUP($B37,Sheet10!$A:$AF,27,0))</f>
        <v>0.0434***</v>
      </c>
    </row>
    <row r="38" spans="1:8" x14ac:dyDescent="0.25">
      <c r="A38">
        <f t="shared" ref="A38" si="21">A37+1</f>
        <v>50</v>
      </c>
      <c r="E38" s="3" t="str">
        <f>_xlfn.CONCAT("(",FIXED(VLOOKUP($B37,Sheet10!$A:$AZ,15,0), 4),")")</f>
        <v>(0.0220)</v>
      </c>
      <c r="F38" s="3" t="str">
        <f>_xlfn.CONCAT("(",FIXED(VLOOKUP($B37,Sheet10!$A:$AZ,11,0), 4),")")</f>
        <v>(0.0221)</v>
      </c>
      <c r="G38" s="3" t="str">
        <f>_xlfn.CONCAT("(",FIXED(VLOOKUP($B37,Sheet10!$A:$AZ,7,0), 4),")")</f>
        <v>(0.0125)</v>
      </c>
      <c r="H38" s="3" t="str">
        <f>_xlfn.CONCAT("(",FIXED(VLOOKUP($B37,Sheet10!$A:$AZ,3,0), 4),")")</f>
        <v>(0.0116)</v>
      </c>
    </row>
    <row r="39" spans="1:8" x14ac:dyDescent="0.25">
      <c r="A39">
        <f t="shared" si="10"/>
        <v>52</v>
      </c>
      <c r="B39" t="s">
        <v>21</v>
      </c>
      <c r="E39" s="3" t="str">
        <f>_xlfn.CONCAT(FIXED(VLOOKUP($B39,Sheet10!$A:$AZ,14,0),4),VLOOKUP($B39,Sheet10!$A:$AF,30,0))</f>
        <v>-0.0158</v>
      </c>
      <c r="F39" s="3" t="str">
        <f>_xlfn.CONCAT(FIXED(VLOOKUP($B39,Sheet10!$A:$AZ,10,0),4),VLOOKUP($B39,Sheet10!$A:$AF,29,0))</f>
        <v>-0.0283</v>
      </c>
      <c r="G39" s="3" t="str">
        <f>_xlfn.CONCAT(FIXED(VLOOKUP($B39,Sheet10!$A:$AZ,6,0),4),VLOOKUP($B39,Sheet10!$A:$AF,28,0))</f>
        <v>-0.0564***</v>
      </c>
      <c r="H39" s="3" t="str">
        <f>_xlfn.CONCAT(FIXED(VLOOKUP($B39,Sheet10!$A:$AZ,2,0),4),VLOOKUP($B39,Sheet10!$A:$AF,27,0))</f>
        <v>-0.0379**</v>
      </c>
    </row>
    <row r="40" spans="1:8" x14ac:dyDescent="0.25">
      <c r="A40">
        <f t="shared" si="11"/>
        <v>53</v>
      </c>
      <c r="E40" s="3" t="str">
        <f>_xlfn.CONCAT("(",FIXED(VLOOKUP($B39,Sheet10!$A:$AZ,15,0), 4),")")</f>
        <v>(0.0332)</v>
      </c>
      <c r="F40" s="3" t="str">
        <f>_xlfn.CONCAT("(",FIXED(VLOOKUP($B39,Sheet10!$A:$AZ,11,0), 4),")")</f>
        <v>(0.0326)</v>
      </c>
      <c r="G40" s="3" t="str">
        <f>_xlfn.CONCAT("(",FIXED(VLOOKUP($B39,Sheet10!$A:$AZ,7,0), 4),")")</f>
        <v>(0.0163)</v>
      </c>
      <c r="H40" s="3" t="str">
        <f>_xlfn.CONCAT("(",FIXED(VLOOKUP($B39,Sheet10!$A:$AZ,3,0), 4),")")</f>
        <v>(0.0139)</v>
      </c>
    </row>
    <row r="41" spans="1:8" x14ac:dyDescent="0.25">
      <c r="A41">
        <f t="shared" si="12"/>
        <v>55</v>
      </c>
      <c r="B41" t="s">
        <v>221</v>
      </c>
      <c r="E41" s="3" t="str">
        <f>_xlfn.CONCAT(FIXED(VLOOKUP($B41,Sheet10!$A:$AZ,14,0),4),VLOOKUP($B41,Sheet10!$A:$AF,30,0))</f>
        <v>0.1422***</v>
      </c>
      <c r="F41" s="3" t="str">
        <f>_xlfn.CONCAT(FIXED(VLOOKUP($B41,Sheet10!$A:$AZ,10,0),4),VLOOKUP($B41,Sheet10!$A:$AF,29,0))</f>
        <v>0.1547***</v>
      </c>
      <c r="G41" s="3" t="str">
        <f>_xlfn.CONCAT(FIXED(VLOOKUP($B41,Sheet10!$A:$AZ,6,0),4),VLOOKUP($B41,Sheet10!$A:$AF,28,0))</f>
        <v>0.1179***</v>
      </c>
      <c r="H41" s="3" t="str">
        <f>_xlfn.CONCAT(FIXED(VLOOKUP($B41,Sheet10!$A:$AZ,2,0),4),VLOOKUP($B41,Sheet10!$A:$AF,27,0))</f>
        <v>0.1121***</v>
      </c>
    </row>
    <row r="42" spans="1:8" x14ac:dyDescent="0.25">
      <c r="A42">
        <f t="shared" si="13"/>
        <v>56</v>
      </c>
      <c r="E42" s="3" t="str">
        <f>_xlfn.CONCAT("(",FIXED(VLOOKUP($B41,Sheet10!$A:$AZ,15,0), 4),")")</f>
        <v>(0.0223)</v>
      </c>
      <c r="F42" s="3" t="str">
        <f>_xlfn.CONCAT("(",FIXED(VLOOKUP($B41,Sheet10!$A:$AZ,11,0), 4),")")</f>
        <v>(0.0204)</v>
      </c>
      <c r="G42" s="3" t="str">
        <f>_xlfn.CONCAT("(",FIXED(VLOOKUP($B41,Sheet10!$A:$AZ,7,0), 4),")")</f>
        <v>(0.0111)</v>
      </c>
      <c r="H42" s="3" t="str">
        <f>_xlfn.CONCAT("(",FIXED(VLOOKUP($B41,Sheet10!$A:$AZ,3,0), 4),")")</f>
        <v>(0.0094)</v>
      </c>
    </row>
    <row r="43" spans="1:8" x14ac:dyDescent="0.25">
      <c r="A43">
        <f t="shared" si="14"/>
        <v>58</v>
      </c>
      <c r="B43" t="s">
        <v>222</v>
      </c>
      <c r="E43" s="3" t="str">
        <f>_xlfn.CONCAT(FIXED(VLOOKUP($B43,Sheet10!$A:$AZ,14,0),4),VLOOKUP($B43,Sheet10!$A:$AF,30,0))</f>
        <v>0.0714***</v>
      </c>
      <c r="F43" s="3" t="str">
        <f>_xlfn.CONCAT(FIXED(VLOOKUP($B43,Sheet10!$A:$AZ,10,0),4),VLOOKUP($B43,Sheet10!$A:$AF,29,0))</f>
        <v>0.0768***</v>
      </c>
      <c r="G43" s="3" t="str">
        <f>_xlfn.CONCAT(FIXED(VLOOKUP($B43,Sheet10!$A:$AZ,6,0),4),VLOOKUP($B43,Sheet10!$A:$AF,28,0))</f>
        <v>0.0596***</v>
      </c>
      <c r="H43" s="3" t="str">
        <f>_xlfn.CONCAT(FIXED(VLOOKUP($B43,Sheet10!$A:$AZ,2,0),4),VLOOKUP($B43,Sheet10!$A:$AF,27,0))</f>
        <v>0.0571***</v>
      </c>
    </row>
    <row r="44" spans="1:8" x14ac:dyDescent="0.25">
      <c r="A44">
        <f t="shared" si="15"/>
        <v>59</v>
      </c>
      <c r="E44" s="3" t="str">
        <f>_xlfn.CONCAT("(",FIXED(VLOOKUP($B43,Sheet10!$A:$AZ,15,0), 4),")")</f>
        <v>(0.0138)</v>
      </c>
      <c r="F44" s="3" t="str">
        <f>_xlfn.CONCAT("(",FIXED(VLOOKUP($B43,Sheet10!$A:$AZ,11,0), 4),")")</f>
        <v>(0.0118)</v>
      </c>
      <c r="G44" s="3" t="str">
        <f>_xlfn.CONCAT("(",FIXED(VLOOKUP($B43,Sheet10!$A:$AZ,7,0), 4),")")</f>
        <v>(0.0050)</v>
      </c>
      <c r="H44" s="3" t="str">
        <f>_xlfn.CONCAT("(",FIXED(VLOOKUP($B43,Sheet10!$A:$AZ,3,0), 4),")")</f>
        <v>(0.0041)</v>
      </c>
    </row>
    <row r="45" spans="1:8" x14ac:dyDescent="0.25">
      <c r="A45">
        <f t="shared" si="16"/>
        <v>61</v>
      </c>
      <c r="B45" t="s">
        <v>225</v>
      </c>
      <c r="E45" s="3" t="str">
        <f>_xlfn.CONCAT(FIXED(VLOOKUP($B45,Sheet10!$A:$AZ,14,0),4),VLOOKUP($B45,Sheet10!$A:$AF,30,0))</f>
        <v>-0.0595**</v>
      </c>
      <c r="F45" s="3" t="str">
        <f>_xlfn.CONCAT(FIXED(VLOOKUP($B45,Sheet10!$A:$AZ,10,0),4),VLOOKUP($B45,Sheet10!$A:$AF,29,0))</f>
        <v>-0.0668***</v>
      </c>
      <c r="G45" s="3" t="str">
        <f>_xlfn.CONCAT(FIXED(VLOOKUP($B45,Sheet10!$A:$AZ,6,0),4),VLOOKUP($B45,Sheet10!$A:$AF,28,0))</f>
        <v>-0.0644***</v>
      </c>
      <c r="H45" s="3" t="str">
        <f>_xlfn.CONCAT(FIXED(VLOOKUP($B45,Sheet10!$A:$AZ,2,0),4),VLOOKUP($B45,Sheet10!$A:$AF,27,0))</f>
        <v>-0.0657***</v>
      </c>
    </row>
    <row r="46" spans="1:8" x14ac:dyDescent="0.25">
      <c r="A46">
        <f t="shared" si="17"/>
        <v>62</v>
      </c>
      <c r="E46" s="3" t="str">
        <f>_xlfn.CONCAT("(",FIXED(VLOOKUP($B45,Sheet10!$A:$AZ,15,0), 4),")")</f>
        <v>(0.0231)</v>
      </c>
      <c r="F46" s="3" t="str">
        <f>_xlfn.CONCAT("(",FIXED(VLOOKUP($B45,Sheet10!$A:$AZ,11,0), 4),")")</f>
        <v>(0.0221)</v>
      </c>
      <c r="G46" s="3" t="str">
        <f>_xlfn.CONCAT("(",FIXED(VLOOKUP($B45,Sheet10!$A:$AZ,7,0), 4),")")</f>
        <v>(0.0127)</v>
      </c>
      <c r="H46" s="3" t="str">
        <f>_xlfn.CONCAT("(",FIXED(VLOOKUP($B45,Sheet10!$A:$AZ,3,0), 4),")")</f>
        <v>(0.0111)</v>
      </c>
    </row>
    <row r="47" spans="1:8" x14ac:dyDescent="0.25">
      <c r="A47">
        <f t="shared" ref="A47" si="22">A46+2</f>
        <v>64</v>
      </c>
      <c r="B47" t="s">
        <v>22</v>
      </c>
      <c r="E47" s="3"/>
      <c r="F47" s="3" t="str">
        <f>_xlfn.CONCAT(FIXED(VLOOKUP($B47,Sheet10!$A:$AZ,10,0),4),VLOOKUP($B47,Sheet10!$A:$AF,29,0))</f>
        <v>0.0462**</v>
      </c>
      <c r="G47" s="3" t="str">
        <f>_xlfn.CONCAT(FIXED(VLOOKUP($B47,Sheet10!$A:$AZ,6,0),4),VLOOKUP($B47,Sheet10!$A:$AF,28,0))</f>
        <v>0.0348**</v>
      </c>
      <c r="H47" s="3" t="str">
        <f>_xlfn.CONCAT(FIXED(VLOOKUP($B47,Sheet10!$A:$AZ,2,0),4),VLOOKUP($B47,Sheet10!$A:$AF,27,0))</f>
        <v>0.0326**</v>
      </c>
    </row>
    <row r="48" spans="1:8" x14ac:dyDescent="0.25">
      <c r="A48">
        <f t="shared" ref="A48" si="23">A47+1</f>
        <v>65</v>
      </c>
      <c r="E48" s="3"/>
      <c r="F48" s="3" t="str">
        <f>_xlfn.CONCAT("(",FIXED(VLOOKUP($B47,Sheet10!$A:$AZ,11,0), 4),")")</f>
        <v>(0.0189)</v>
      </c>
      <c r="G48" s="3" t="str">
        <f>_xlfn.CONCAT("(",FIXED(VLOOKUP($B47,Sheet10!$A:$AZ,7,0), 4),")")</f>
        <v>(0.0139)</v>
      </c>
      <c r="H48" s="3" t="str">
        <f>_xlfn.CONCAT("(",FIXED(VLOOKUP($B47,Sheet10!$A:$AZ,3,0), 4),")")</f>
        <v>(0.0139)</v>
      </c>
    </row>
    <row r="49" spans="1:8" x14ac:dyDescent="0.25">
      <c r="A49">
        <f t="shared" si="10"/>
        <v>67</v>
      </c>
      <c r="B49" t="s">
        <v>23</v>
      </c>
      <c r="E49" s="3"/>
      <c r="F49" s="3" t="str">
        <f>_xlfn.CONCAT(FIXED(VLOOKUP($B49,Sheet10!$A:$AZ,10,0),4),VLOOKUP($B49,Sheet10!$A:$AF,29,0))</f>
        <v>-0.1190**</v>
      </c>
      <c r="G49" s="3" t="str">
        <f>_xlfn.CONCAT(FIXED(VLOOKUP($B49,Sheet10!$A:$AZ,6,0),4),VLOOKUP($B49,Sheet10!$A:$AF,28,0))</f>
        <v>-0.1236***</v>
      </c>
      <c r="H49" s="3" t="str">
        <f>_xlfn.CONCAT(FIXED(VLOOKUP($B49,Sheet10!$A:$AZ,2,0),4),VLOOKUP($B49,Sheet10!$A:$AF,27,0))</f>
        <v>-0.1108***</v>
      </c>
    </row>
    <row r="50" spans="1:8" x14ac:dyDescent="0.25">
      <c r="A50">
        <f t="shared" si="11"/>
        <v>68</v>
      </c>
      <c r="E50" s="3"/>
      <c r="F50" s="3" t="str">
        <f>_xlfn.CONCAT("(",FIXED(VLOOKUP($B49,Sheet10!$A:$AZ,11,0), 4),")")</f>
        <v>(0.0442)</v>
      </c>
      <c r="G50" s="3" t="str">
        <f>_xlfn.CONCAT("(",FIXED(VLOOKUP($B49,Sheet10!$A:$AZ,7,0), 4),")")</f>
        <v>(0.0336)</v>
      </c>
      <c r="H50" s="3" t="str">
        <f>_xlfn.CONCAT("(",FIXED(VLOOKUP($B49,Sheet10!$A:$AZ,3,0), 4),")")</f>
        <v>(0.0286)</v>
      </c>
    </row>
    <row r="51" spans="1:8" x14ac:dyDescent="0.25">
      <c r="A51">
        <f t="shared" si="12"/>
        <v>70</v>
      </c>
      <c r="B51" t="s">
        <v>24</v>
      </c>
      <c r="E51" s="3"/>
      <c r="F51" s="3" t="str">
        <f>_xlfn.CONCAT(FIXED(VLOOKUP($B51,Sheet10!$A:$AZ,10,0),4),VLOOKUP($B51,Sheet10!$A:$AF,29,0))</f>
        <v>-0.3391***</v>
      </c>
      <c r="G51" s="3" t="str">
        <f>_xlfn.CONCAT(FIXED(VLOOKUP($B51,Sheet10!$A:$AZ,6,0),4),VLOOKUP($B51,Sheet10!$A:$AF,28,0))</f>
        <v>-0.3873***</v>
      </c>
      <c r="H51" s="3" t="str">
        <f>_xlfn.CONCAT(FIXED(VLOOKUP($B51,Sheet10!$A:$AZ,2,0),4),VLOOKUP($B51,Sheet10!$A:$AF,27,0))</f>
        <v>-0.3882***</v>
      </c>
    </row>
    <row r="52" spans="1:8" x14ac:dyDescent="0.25">
      <c r="A52">
        <f t="shared" si="13"/>
        <v>71</v>
      </c>
      <c r="E52" s="3"/>
      <c r="F52" s="3" t="str">
        <f>_xlfn.CONCAT("(",FIXED(VLOOKUP($B51,Sheet10!$A:$AZ,11,0), 4),")")</f>
        <v>(0.0342)</v>
      </c>
      <c r="G52" s="3" t="str">
        <f>_xlfn.CONCAT("(",FIXED(VLOOKUP($B51,Sheet10!$A:$AZ,7,0), 4),")")</f>
        <v>(0.0405)</v>
      </c>
      <c r="H52" s="3" t="str">
        <f>_xlfn.CONCAT("(",FIXED(VLOOKUP($B51,Sheet10!$A:$AZ,3,0), 4),")")</f>
        <v>(0.0469)</v>
      </c>
    </row>
    <row r="53" spans="1:8" x14ac:dyDescent="0.25">
      <c r="A53">
        <f t="shared" si="14"/>
        <v>73</v>
      </c>
      <c r="B53" t="s">
        <v>25</v>
      </c>
      <c r="E53" s="3"/>
      <c r="F53" s="3" t="str">
        <f>_xlfn.CONCAT(FIXED(VLOOKUP($B53,Sheet10!$A:$AZ,10,0),4),VLOOKUP($B53,Sheet10!$A:$AF,29,0))</f>
        <v>-0.2377***</v>
      </c>
      <c r="G53" s="3" t="str">
        <f>_xlfn.CONCAT(FIXED(VLOOKUP($B53,Sheet10!$A:$AZ,6,0),4),VLOOKUP($B53,Sheet10!$A:$AF,28,0))</f>
        <v>-0.3359***</v>
      </c>
      <c r="H53" s="3" t="str">
        <f>_xlfn.CONCAT(FIXED(VLOOKUP($B53,Sheet10!$A:$AZ,2,0),4),VLOOKUP($B53,Sheet10!$A:$AF,27,0))</f>
        <v>-0.3877***</v>
      </c>
    </row>
    <row r="54" spans="1:8" x14ac:dyDescent="0.25">
      <c r="A54">
        <f t="shared" si="15"/>
        <v>74</v>
      </c>
      <c r="E54" s="3"/>
      <c r="F54" s="3" t="str">
        <f>_xlfn.CONCAT("(",FIXED(VLOOKUP($B53,Sheet10!$A:$AZ,11,0), 4),")")</f>
        <v>(0.0573)</v>
      </c>
      <c r="G54" s="3" t="str">
        <f>_xlfn.CONCAT("(",FIXED(VLOOKUP($B53,Sheet10!$A:$AZ,7,0), 4),")")</f>
        <v>(0.0466)</v>
      </c>
      <c r="H54" s="3" t="str">
        <f>_xlfn.CONCAT("(",FIXED(VLOOKUP($B53,Sheet10!$A:$AZ,3,0), 4),")")</f>
        <v>(0.0590)</v>
      </c>
    </row>
    <row r="55" spans="1:8" x14ac:dyDescent="0.25">
      <c r="A55">
        <f t="shared" si="16"/>
        <v>76</v>
      </c>
      <c r="B55" t="s">
        <v>26</v>
      </c>
      <c r="E55" s="3"/>
      <c r="F55" s="3" t="str">
        <f>_xlfn.CONCAT(FIXED(VLOOKUP($B55,Sheet10!$A:$AZ,10,0),4),VLOOKUP($B55,Sheet10!$A:$AF,29,0))</f>
        <v>-0.2667***</v>
      </c>
      <c r="G55" s="3" t="str">
        <f>_xlfn.CONCAT(FIXED(VLOOKUP($B55,Sheet10!$A:$AZ,6,0),4),VLOOKUP($B55,Sheet10!$A:$AF,28,0))</f>
        <v>-0.2820***</v>
      </c>
      <c r="H55" s="3" t="str">
        <f>_xlfn.CONCAT(FIXED(VLOOKUP($B55,Sheet10!$A:$AZ,2,0),4),VLOOKUP($B55,Sheet10!$A:$AF,27,0))</f>
        <v>-0.2713***</v>
      </c>
    </row>
    <row r="56" spans="1:8" x14ac:dyDescent="0.25">
      <c r="A56">
        <f t="shared" si="17"/>
        <v>77</v>
      </c>
      <c r="E56" s="3"/>
      <c r="F56" s="3" t="str">
        <f>_xlfn.CONCAT("(",FIXED(VLOOKUP($B55,Sheet10!$A:$AZ,11,0), 4),")")</f>
        <v>(0.0495)</v>
      </c>
      <c r="G56" s="3" t="str">
        <f>_xlfn.CONCAT("(",FIXED(VLOOKUP($B55,Sheet10!$A:$AZ,7,0), 4),")")</f>
        <v>(0.0275)</v>
      </c>
      <c r="H56" s="3" t="str">
        <f>_xlfn.CONCAT("(",FIXED(VLOOKUP($B55,Sheet10!$A:$AZ,3,0), 4),")")</f>
        <v>(0.0287)</v>
      </c>
    </row>
    <row r="57" spans="1:8" x14ac:dyDescent="0.25">
      <c r="A57">
        <f t="shared" ref="A57" si="24">A56+2</f>
        <v>79</v>
      </c>
      <c r="B57" t="s">
        <v>27</v>
      </c>
      <c r="E57" s="3"/>
      <c r="F57" s="3" t="str">
        <f>_xlfn.CONCAT(FIXED(VLOOKUP($B57,Sheet10!$A:$AZ,10,0),4),VLOOKUP($B57,Sheet10!$A:$AF,29,0))</f>
        <v>-0.1728</v>
      </c>
      <c r="G57" s="3" t="str">
        <f>_xlfn.CONCAT(FIXED(VLOOKUP($B57,Sheet10!$A:$AZ,6,0),4),VLOOKUP($B57,Sheet10!$A:$AF,28,0))</f>
        <v>-0.2267</v>
      </c>
      <c r="H57" s="3" t="str">
        <f>_xlfn.CONCAT(FIXED(VLOOKUP($B57,Sheet10!$A:$AZ,2,0),4),VLOOKUP($B57,Sheet10!$A:$AF,27,0))</f>
        <v>-0.3204</v>
      </c>
    </row>
    <row r="58" spans="1:8" x14ac:dyDescent="0.25">
      <c r="A58">
        <f t="shared" ref="A58" si="25">A57+1</f>
        <v>80</v>
      </c>
      <c r="E58" s="3"/>
      <c r="F58" s="3" t="str">
        <f>_xlfn.CONCAT("(",FIXED(VLOOKUP($B57,Sheet10!$A:$AZ,11,0), 4),")")</f>
        <v>(0.3792)</v>
      </c>
      <c r="G58" s="3" t="str">
        <f>_xlfn.CONCAT("(",FIXED(VLOOKUP($B57,Sheet10!$A:$AZ,7,0), 4),")")</f>
        <v>(0.2823)</v>
      </c>
      <c r="H58" s="3" t="str">
        <f>_xlfn.CONCAT("(",FIXED(VLOOKUP($B57,Sheet10!$A:$AZ,3,0), 4),")")</f>
        <v>(0.2603)</v>
      </c>
    </row>
    <row r="59" spans="1:8" x14ac:dyDescent="0.25">
      <c r="A59">
        <f t="shared" si="10"/>
        <v>82</v>
      </c>
      <c r="B59" t="s">
        <v>29</v>
      </c>
      <c r="E59" s="3"/>
      <c r="F59" s="3" t="str">
        <f>_xlfn.CONCAT(FIXED(VLOOKUP($B59,Sheet10!$A:$AZ,10,0),4),VLOOKUP($B59,Sheet10!$A:$AF,29,0))</f>
        <v>-0.0862**</v>
      </c>
      <c r="G59" s="3" t="str">
        <f>_xlfn.CONCAT(FIXED(VLOOKUP($B59,Sheet10!$A:$AZ,6,0),4),VLOOKUP($B59,Sheet10!$A:$AF,28,0))</f>
        <v>-0.0865***</v>
      </c>
      <c r="H59" s="3" t="str">
        <f>_xlfn.CONCAT(FIXED(VLOOKUP($B59,Sheet10!$A:$AZ,2,0),4),VLOOKUP($B59,Sheet10!$A:$AF,27,0))</f>
        <v>-0.0623**</v>
      </c>
    </row>
    <row r="60" spans="1:8" x14ac:dyDescent="0.25">
      <c r="A60">
        <f t="shared" si="11"/>
        <v>83</v>
      </c>
      <c r="E60" s="3"/>
      <c r="F60" s="3" t="str">
        <f>_xlfn.CONCAT("(",FIXED(VLOOKUP($B59,Sheet10!$A:$AZ,11,0), 4),")")</f>
        <v>(0.0399)</v>
      </c>
      <c r="G60" s="3" t="str">
        <f>_xlfn.CONCAT("(",FIXED(VLOOKUP($B59,Sheet10!$A:$AZ,7,0), 4),")")</f>
        <v>(0.0257)</v>
      </c>
      <c r="H60" s="3" t="str">
        <f>_xlfn.CONCAT("(",FIXED(VLOOKUP($B59,Sheet10!$A:$AZ,3,0), 4),")")</f>
        <v>(0.0222)</v>
      </c>
    </row>
    <row r="61" spans="1:8" x14ac:dyDescent="0.25">
      <c r="A61">
        <f t="shared" si="12"/>
        <v>85</v>
      </c>
      <c r="B61" t="s">
        <v>31</v>
      </c>
      <c r="E61" s="3"/>
      <c r="F61" s="3" t="str">
        <f>_xlfn.CONCAT(FIXED(VLOOKUP($B61,Sheet10!$A:$AZ,10,0),4),VLOOKUP($B61,Sheet10!$A:$AF,29,0))</f>
        <v>-0.1787***</v>
      </c>
      <c r="G61" s="3" t="str">
        <f>_xlfn.CONCAT(FIXED(VLOOKUP($B61,Sheet10!$A:$AZ,6,0),4),VLOOKUP($B61,Sheet10!$A:$AF,28,0))</f>
        <v>-0.2097***</v>
      </c>
      <c r="H61" s="3" t="str">
        <f>_xlfn.CONCAT(FIXED(VLOOKUP($B61,Sheet10!$A:$AZ,2,0),4),VLOOKUP($B61,Sheet10!$A:$AF,27,0))</f>
        <v>-0.2047***</v>
      </c>
    </row>
    <row r="62" spans="1:8" x14ac:dyDescent="0.25">
      <c r="A62">
        <f t="shared" si="13"/>
        <v>86</v>
      </c>
      <c r="E62" s="3"/>
      <c r="F62" s="3" t="str">
        <f>_xlfn.CONCAT("(",FIXED(VLOOKUP($B61,Sheet10!$A:$AZ,11,0), 4),")")</f>
        <v>(0.0503)</v>
      </c>
      <c r="G62" s="3" t="str">
        <f>_xlfn.CONCAT("(",FIXED(VLOOKUP($B61,Sheet10!$A:$AZ,7,0), 4),")")</f>
        <v>(0.0389)</v>
      </c>
      <c r="H62" s="3" t="str">
        <f>_xlfn.CONCAT("(",FIXED(VLOOKUP($B61,Sheet10!$A:$AZ,3,0), 4),")")</f>
        <v>(0.0355)</v>
      </c>
    </row>
    <row r="63" spans="1:8" x14ac:dyDescent="0.25">
      <c r="A63">
        <f t="shared" si="14"/>
        <v>88</v>
      </c>
      <c r="B63" t="s">
        <v>237</v>
      </c>
      <c r="E63" s="3"/>
      <c r="F63" s="3" t="str">
        <f>_xlfn.CONCAT(FIXED(VLOOKUP($B63,Sheet10!$A:$AZ,10,0),4),VLOOKUP($B63,Sheet10!$A:$AF,29,0))</f>
        <v>-0.0536</v>
      </c>
      <c r="G63" s="3" t="str">
        <f>_xlfn.CONCAT(FIXED(VLOOKUP($B63,Sheet10!$A:$AZ,6,0),4),VLOOKUP($B63,Sheet10!$A:$AF,28,0))</f>
        <v>-0.0061</v>
      </c>
      <c r="H63" s="3" t="str">
        <f>_xlfn.CONCAT(FIXED(VLOOKUP($B63,Sheet10!$A:$AZ,2,0),4),VLOOKUP($B63,Sheet10!$A:$AF,27,0))</f>
        <v>0.0298</v>
      </c>
    </row>
    <row r="64" spans="1:8" x14ac:dyDescent="0.25">
      <c r="A64">
        <f t="shared" si="15"/>
        <v>89</v>
      </c>
      <c r="E64" s="3"/>
      <c r="F64" s="3" t="str">
        <f>_xlfn.CONCAT("(",FIXED(VLOOKUP($B63,Sheet10!$A:$AZ,11,0), 4),")")</f>
        <v>(0.0637)</v>
      </c>
      <c r="G64" s="3" t="str">
        <f>_xlfn.CONCAT("(",FIXED(VLOOKUP($B63,Sheet10!$A:$AZ,7,0), 4),")")</f>
        <v>(0.1114)</v>
      </c>
      <c r="H64" s="3" t="str">
        <f>_xlfn.CONCAT("(",FIXED(VLOOKUP($B63,Sheet10!$A:$AZ,3,0), 4),")")</f>
        <v>(0.0954)</v>
      </c>
    </row>
    <row r="65" spans="1:8" x14ac:dyDescent="0.25">
      <c r="A65">
        <f t="shared" si="16"/>
        <v>91</v>
      </c>
      <c r="B65" t="s">
        <v>238</v>
      </c>
      <c r="E65" s="3"/>
      <c r="F65" s="3" t="str">
        <f>_xlfn.CONCAT(FIXED(VLOOKUP($B65,Sheet10!$A:$AZ,10,0),4),VLOOKUP($B65,Sheet10!$A:$AF,29,0))</f>
        <v>-0.0788</v>
      </c>
      <c r="G65" s="3" t="str">
        <f>_xlfn.CONCAT(FIXED(VLOOKUP($B65,Sheet10!$A:$AZ,6,0),4),VLOOKUP($B65,Sheet10!$A:$AF,28,0))</f>
        <v>-0.0717</v>
      </c>
      <c r="H65" s="3" t="str">
        <f>_xlfn.CONCAT(FIXED(VLOOKUP($B65,Sheet10!$A:$AZ,2,0),4),VLOOKUP($B65,Sheet10!$A:$AF,27,0))</f>
        <v>-0.0529</v>
      </c>
    </row>
    <row r="66" spans="1:8" x14ac:dyDescent="0.25">
      <c r="A66">
        <f t="shared" si="17"/>
        <v>92</v>
      </c>
      <c r="E66" s="3"/>
      <c r="F66" s="3" t="str">
        <f>_xlfn.CONCAT("(",FIXED(VLOOKUP($B65,Sheet10!$A:$AZ,11,0), 4),")")</f>
        <v>(0.0744)</v>
      </c>
      <c r="G66" s="3" t="str">
        <f>_xlfn.CONCAT("(",FIXED(VLOOKUP($B65,Sheet10!$A:$AZ,7,0), 4),")")</f>
        <v>(0.0823)</v>
      </c>
      <c r="H66" s="3" t="str">
        <f>_xlfn.CONCAT("(",FIXED(VLOOKUP($B65,Sheet10!$A:$AZ,3,0), 4),")")</f>
        <v>(0.0945)</v>
      </c>
    </row>
    <row r="67" spans="1:8" x14ac:dyDescent="0.25">
      <c r="A67">
        <f t="shared" ref="A67" si="26">A66+2</f>
        <v>94</v>
      </c>
      <c r="B67" t="s">
        <v>241</v>
      </c>
      <c r="E67" s="3"/>
      <c r="F67" s="3" t="str">
        <f>_xlfn.CONCAT(FIXED(VLOOKUP($B67,Sheet10!$A:$AZ,10,0),4),VLOOKUP($B67,Sheet10!$A:$AF,29,0))</f>
        <v>-0.0784</v>
      </c>
      <c r="G67" s="3" t="str">
        <f>_xlfn.CONCAT(FIXED(VLOOKUP($B67,Sheet10!$A:$AZ,6,0),4),VLOOKUP($B67,Sheet10!$A:$AF,28,0))</f>
        <v>-0.0525</v>
      </c>
      <c r="H67" s="3" t="str">
        <f>_xlfn.CONCAT(FIXED(VLOOKUP($B67,Sheet10!$A:$AZ,2,0),4),VLOOKUP($B67,Sheet10!$A:$AF,27,0))</f>
        <v>-0.0757</v>
      </c>
    </row>
    <row r="68" spans="1:8" x14ac:dyDescent="0.25">
      <c r="A68">
        <f t="shared" ref="A68" si="27">A67+1</f>
        <v>95</v>
      </c>
      <c r="E68" s="3"/>
      <c r="F68" s="3" t="str">
        <f>_xlfn.CONCAT("(",FIXED(VLOOKUP($B67,Sheet10!$A:$AZ,11,0), 4),")")</f>
        <v>(0.0501)</v>
      </c>
      <c r="G68" s="3" t="str">
        <f>_xlfn.CONCAT("(",FIXED(VLOOKUP($B67,Sheet10!$A:$AZ,7,0), 4),")")</f>
        <v>(0.0343)</v>
      </c>
      <c r="H68" s="3" t="str">
        <f>_xlfn.CONCAT("(",FIXED(VLOOKUP($B67,Sheet10!$A:$AZ,3,0), 4),")")</f>
        <v>(0.0350)</v>
      </c>
    </row>
    <row r="69" spans="1:8" x14ac:dyDescent="0.25">
      <c r="A69">
        <f t="shared" si="10"/>
        <v>97</v>
      </c>
      <c r="B69" t="s">
        <v>243</v>
      </c>
      <c r="E69" s="3"/>
      <c r="F69" s="3" t="str">
        <f>_xlfn.CONCAT(FIXED(VLOOKUP($B69,Sheet10!$A:$AZ,10,0),4),VLOOKUP($B69,Sheet10!$A:$AF,29,0))</f>
        <v>-0.0466</v>
      </c>
      <c r="G69" s="3" t="str">
        <f>_xlfn.CONCAT(FIXED(VLOOKUP($B69,Sheet10!$A:$AZ,6,0),4),VLOOKUP($B69,Sheet10!$A:$AF,28,0))</f>
        <v>-0.0625</v>
      </c>
      <c r="H69" s="3" t="str">
        <f>_xlfn.CONCAT(FIXED(VLOOKUP($B69,Sheet10!$A:$AZ,2,0),4),VLOOKUP($B69,Sheet10!$A:$AF,27,0))</f>
        <v>-0.0197</v>
      </c>
    </row>
    <row r="70" spans="1:8" x14ac:dyDescent="0.25">
      <c r="A70">
        <f t="shared" si="11"/>
        <v>98</v>
      </c>
      <c r="E70" s="3"/>
      <c r="F70" s="3" t="str">
        <f>_xlfn.CONCAT("(",FIXED(VLOOKUP($B69,Sheet10!$A:$AZ,11,0), 4),")")</f>
        <v>(0.0449)</v>
      </c>
      <c r="G70" s="3" t="str">
        <f>_xlfn.CONCAT("(",FIXED(VLOOKUP($B69,Sheet10!$A:$AZ,7,0), 4),")")</f>
        <v>(0.0507)</v>
      </c>
      <c r="H70" s="3" t="str">
        <f>_xlfn.CONCAT("(",FIXED(VLOOKUP($B69,Sheet10!$A:$AZ,3,0), 4),")")</f>
        <v>(0.0471)</v>
      </c>
    </row>
    <row r="71" spans="1:8" x14ac:dyDescent="0.25">
      <c r="A71">
        <f t="shared" si="12"/>
        <v>100</v>
      </c>
      <c r="B71" t="s">
        <v>244</v>
      </c>
      <c r="E71" s="3"/>
      <c r="F71" s="3" t="str">
        <f>_xlfn.CONCAT(FIXED(VLOOKUP($B71,Sheet10!$A:$AZ,10,0),4),VLOOKUP($B71,Sheet10!$A:$AF,29,0))</f>
        <v>0.0021</v>
      </c>
      <c r="G71" s="3" t="str">
        <f>_xlfn.CONCAT(FIXED(VLOOKUP($B71,Sheet10!$A:$AZ,6,0),4),VLOOKUP($B71,Sheet10!$A:$AF,28,0))</f>
        <v>-0.0302</v>
      </c>
      <c r="H71" s="3" t="str">
        <f>_xlfn.CONCAT(FIXED(VLOOKUP($B71,Sheet10!$A:$AZ,2,0),4),VLOOKUP($B71,Sheet10!$A:$AF,27,0))</f>
        <v>0.0329</v>
      </c>
    </row>
    <row r="72" spans="1:8" x14ac:dyDescent="0.25">
      <c r="A72">
        <f t="shared" si="13"/>
        <v>101</v>
      </c>
      <c r="E72" s="3"/>
      <c r="F72" s="3" t="str">
        <f>_xlfn.CONCAT("(",FIXED(VLOOKUP($B71,Sheet10!$A:$AZ,11,0), 4),")")</f>
        <v>(0.0554)</v>
      </c>
      <c r="G72" s="3" t="str">
        <f>_xlfn.CONCAT("(",FIXED(VLOOKUP($B71,Sheet10!$A:$AZ,7,0), 4),")")</f>
        <v>(0.0564)</v>
      </c>
      <c r="H72" s="3" t="str">
        <f>_xlfn.CONCAT("(",FIXED(VLOOKUP($B71,Sheet10!$A:$AZ,3,0), 4),")")</f>
        <v>(0.0705)</v>
      </c>
    </row>
    <row r="73" spans="1:8" x14ac:dyDescent="0.25">
      <c r="A73">
        <f t="shared" si="14"/>
        <v>103</v>
      </c>
      <c r="B73" t="s">
        <v>245</v>
      </c>
      <c r="E73" s="3"/>
      <c r="F73" s="3" t="str">
        <f>_xlfn.CONCAT(FIXED(VLOOKUP($B73,Sheet10!$A:$AZ,10,0),4),VLOOKUP($B73,Sheet10!$A:$AF,29,0))</f>
        <v>-0.0595</v>
      </c>
      <c r="G73" s="3" t="str">
        <f>_xlfn.CONCAT(FIXED(VLOOKUP($B73,Sheet10!$A:$AZ,6,0),4),VLOOKUP($B73,Sheet10!$A:$AF,28,0))</f>
        <v>0.0428</v>
      </c>
      <c r="H73" s="3" t="str">
        <f>_xlfn.CONCAT(FIXED(VLOOKUP($B73,Sheet10!$A:$AZ,2,0),4),VLOOKUP($B73,Sheet10!$A:$AF,27,0))</f>
        <v>0.0178</v>
      </c>
    </row>
    <row r="74" spans="1:8" x14ac:dyDescent="0.25">
      <c r="A74">
        <f t="shared" si="15"/>
        <v>104</v>
      </c>
      <c r="E74" s="3"/>
      <c r="F74" s="3" t="str">
        <f>_xlfn.CONCAT("(",FIXED(VLOOKUP($B73,Sheet10!$A:$AZ,11,0), 4),")")</f>
        <v>(0.0904)</v>
      </c>
      <c r="G74" s="3" t="str">
        <f>_xlfn.CONCAT("(",FIXED(VLOOKUP($B73,Sheet10!$A:$AZ,7,0), 4),")")</f>
        <v>(0.0666)</v>
      </c>
      <c r="H74" s="3" t="str">
        <f>_xlfn.CONCAT("(",FIXED(VLOOKUP($B73,Sheet10!$A:$AZ,3,0), 4),")")</f>
        <v>(0.0796)</v>
      </c>
    </row>
    <row r="75" spans="1:8" x14ac:dyDescent="0.25">
      <c r="A75">
        <f t="shared" si="16"/>
        <v>106</v>
      </c>
      <c r="B75" t="s">
        <v>247</v>
      </c>
      <c r="E75" s="3"/>
      <c r="F75" s="3" t="str">
        <f>_xlfn.CONCAT(FIXED(VLOOKUP($B75,Sheet10!$A:$AZ,10,0),4),VLOOKUP($B75,Sheet10!$A:$AF,29,0))</f>
        <v>0.2443</v>
      </c>
      <c r="G75" s="3" t="str">
        <f>_xlfn.CONCAT(FIXED(VLOOKUP($B75,Sheet10!$A:$AZ,6,0),4),VLOOKUP($B75,Sheet10!$A:$AF,28,0))</f>
        <v>0.2677</v>
      </c>
      <c r="H75" s="3" t="str">
        <f>_xlfn.CONCAT(FIXED(VLOOKUP($B75,Sheet10!$A:$AZ,2,0),4),VLOOKUP($B75,Sheet10!$A:$AF,27,0))</f>
        <v>-0.0023</v>
      </c>
    </row>
    <row r="76" spans="1:8" x14ac:dyDescent="0.25">
      <c r="A76">
        <f t="shared" si="17"/>
        <v>107</v>
      </c>
      <c r="E76" s="3"/>
      <c r="F76" s="3" t="str">
        <f>_xlfn.CONCAT("(",FIXED(VLOOKUP($B75,Sheet10!$A:$AZ,11,0), 4),")")</f>
        <v>(0.1298)</v>
      </c>
      <c r="G76" s="3" t="str">
        <f>_xlfn.CONCAT("(",FIXED(VLOOKUP($B75,Sheet10!$A:$AZ,7,0), 4),")")</f>
        <v>(0.1590)</v>
      </c>
      <c r="H76" s="3" t="str">
        <f>_xlfn.CONCAT("(",FIXED(VLOOKUP($B75,Sheet10!$A:$AZ,3,0), 4),")")</f>
        <v>(0.1112)</v>
      </c>
    </row>
    <row r="77" spans="1:8" x14ac:dyDescent="0.25">
      <c r="A77">
        <f t="shared" ref="A77" si="28">A76+2</f>
        <v>109</v>
      </c>
      <c r="B77" t="s">
        <v>166</v>
      </c>
      <c r="E77" s="3"/>
      <c r="F77" s="3" t="str">
        <f>_xlfn.CONCAT(FIXED(VLOOKUP($B77,Sheet10!$A:$AZ,10,0),4),VLOOKUP($B77,Sheet10!$A:$AF,29,0))</f>
        <v>0.2347***</v>
      </c>
      <c r="G77" s="3" t="str">
        <f>_xlfn.CONCAT(FIXED(VLOOKUP($B77,Sheet10!$A:$AZ,6,0),4),VLOOKUP($B77,Sheet10!$A:$AF,28,0))</f>
        <v>0.2138**</v>
      </c>
      <c r="H77" s="3" t="str">
        <f>_xlfn.CONCAT(FIXED(VLOOKUP($B77,Sheet10!$A:$AZ,2,0),4),VLOOKUP($B77,Sheet10!$A:$AF,27,0))</f>
        <v>0.2414*</v>
      </c>
    </row>
    <row r="78" spans="1:8" x14ac:dyDescent="0.25">
      <c r="A78">
        <f t="shared" ref="A78" si="29">A77+1</f>
        <v>110</v>
      </c>
      <c r="E78" s="3"/>
      <c r="F78" s="3" t="str">
        <f>_xlfn.CONCAT("(",FIXED(VLOOKUP($B77,Sheet10!$A:$AZ,11,0), 4),")")</f>
        <v>(0.0681)</v>
      </c>
      <c r="G78" s="3" t="str">
        <f>_xlfn.CONCAT("(",FIXED(VLOOKUP($B77,Sheet10!$A:$AZ,7,0), 4),")")</f>
        <v>(0.0776)</v>
      </c>
      <c r="H78" s="3" t="str">
        <f>_xlfn.CONCAT("(",FIXED(VLOOKUP($B77,Sheet10!$A:$AZ,3,0), 4),")")</f>
        <v>(0.1083)</v>
      </c>
    </row>
    <row r="79" spans="1:8" x14ac:dyDescent="0.25">
      <c r="A79">
        <f t="shared" si="10"/>
        <v>112</v>
      </c>
      <c r="B79" t="s">
        <v>167</v>
      </c>
      <c r="E79" s="3"/>
      <c r="F79" s="3" t="str">
        <f>_xlfn.CONCAT(FIXED(VLOOKUP($B79,Sheet10!$A:$AZ,10,0),4),VLOOKUP($B79,Sheet10!$A:$AF,29,0))</f>
        <v>0.3532***</v>
      </c>
      <c r="G79" s="3" t="str">
        <f>_xlfn.CONCAT(FIXED(VLOOKUP($B79,Sheet10!$A:$AZ,6,0),4),VLOOKUP($B79,Sheet10!$A:$AF,28,0))</f>
        <v>0.3488***</v>
      </c>
      <c r="H79" s="3" t="str">
        <f>_xlfn.CONCAT(FIXED(VLOOKUP($B79,Sheet10!$A:$AZ,2,0),4),VLOOKUP($B79,Sheet10!$A:$AF,27,0))</f>
        <v>0.3656**</v>
      </c>
    </row>
    <row r="80" spans="1:8" x14ac:dyDescent="0.25">
      <c r="A80">
        <f t="shared" si="11"/>
        <v>113</v>
      </c>
      <c r="E80" s="3"/>
      <c r="F80" s="3" t="str">
        <f>_xlfn.CONCAT("(",FIXED(VLOOKUP($B79,Sheet10!$A:$AZ,11,0), 4),")")</f>
        <v>(0.0764)</v>
      </c>
      <c r="G80" s="3" t="str">
        <f>_xlfn.CONCAT("(",FIXED(VLOOKUP($B79,Sheet10!$A:$AZ,7,0), 4),")")</f>
        <v>(0.0856)</v>
      </c>
      <c r="H80" s="3" t="str">
        <f>_xlfn.CONCAT("(",FIXED(VLOOKUP($B79,Sheet10!$A:$AZ,3,0), 4),")")</f>
        <v>(0.1156)</v>
      </c>
    </row>
    <row r="81" spans="1:8" x14ac:dyDescent="0.25">
      <c r="A81">
        <f t="shared" si="12"/>
        <v>115</v>
      </c>
      <c r="B81" t="s">
        <v>168</v>
      </c>
      <c r="E81" s="3"/>
      <c r="F81" s="3" t="str">
        <f>_xlfn.CONCAT(FIXED(VLOOKUP($B81,Sheet10!$A:$AZ,10,0),4),VLOOKUP($B81,Sheet10!$A:$AF,29,0))</f>
        <v>0.3566***</v>
      </c>
      <c r="G81" s="3" t="str">
        <f>_xlfn.CONCAT(FIXED(VLOOKUP($B81,Sheet10!$A:$AZ,6,0),4),VLOOKUP($B81,Sheet10!$A:$AF,28,0))</f>
        <v>0.3491***</v>
      </c>
      <c r="H81" s="3" t="str">
        <f>_xlfn.CONCAT(FIXED(VLOOKUP($B81,Sheet10!$A:$AZ,2,0),4),VLOOKUP($B81,Sheet10!$A:$AF,27,0))</f>
        <v>0.3669***</v>
      </c>
    </row>
    <row r="82" spans="1:8" x14ac:dyDescent="0.25">
      <c r="A82">
        <f t="shared" si="13"/>
        <v>116</v>
      </c>
      <c r="E82" s="3"/>
      <c r="F82" s="3" t="str">
        <f>_xlfn.CONCAT("(",FIXED(VLOOKUP($B81,Sheet10!$A:$AZ,11,0), 4),")")</f>
        <v>(0.0784)</v>
      </c>
      <c r="G82" s="3" t="str">
        <f>_xlfn.CONCAT("(",FIXED(VLOOKUP($B81,Sheet10!$A:$AZ,7,0), 4),")")</f>
        <v>(0.0834)</v>
      </c>
      <c r="H82" s="3" t="str">
        <f>_xlfn.CONCAT("(",FIXED(VLOOKUP($B81,Sheet10!$A:$AZ,3,0), 4),")")</f>
        <v>(0.1135)</v>
      </c>
    </row>
    <row r="83" spans="1:8" x14ac:dyDescent="0.25">
      <c r="A83">
        <f t="shared" si="14"/>
        <v>118</v>
      </c>
      <c r="B83" t="s">
        <v>169</v>
      </c>
      <c r="E83" s="3"/>
      <c r="F83" s="3" t="str">
        <f>_xlfn.CONCAT(FIXED(VLOOKUP($B83,Sheet10!$A:$AZ,10,0),4),VLOOKUP($B83,Sheet10!$A:$AF,29,0))</f>
        <v>0.3768***</v>
      </c>
      <c r="G83" s="3" t="str">
        <f>_xlfn.CONCAT(FIXED(VLOOKUP($B83,Sheet10!$A:$AZ,6,0),4),VLOOKUP($B83,Sheet10!$A:$AF,28,0))</f>
        <v>0.3755***</v>
      </c>
      <c r="H83" s="3" t="str">
        <f>_xlfn.CONCAT(FIXED(VLOOKUP($B83,Sheet10!$A:$AZ,2,0),4),VLOOKUP($B83,Sheet10!$A:$AF,27,0))</f>
        <v>0.3903***</v>
      </c>
    </row>
    <row r="84" spans="1:8" x14ac:dyDescent="0.25">
      <c r="A84">
        <f t="shared" si="15"/>
        <v>119</v>
      </c>
      <c r="E84" s="3"/>
      <c r="F84" s="3" t="str">
        <f>_xlfn.CONCAT("(",FIXED(VLOOKUP($B83,Sheet10!$A:$AZ,11,0), 4),")")</f>
        <v>(0.0785)</v>
      </c>
      <c r="G84" s="3" t="str">
        <f>_xlfn.CONCAT("(",FIXED(VLOOKUP($B83,Sheet10!$A:$AZ,7,0), 4),")")</f>
        <v>(0.0857)</v>
      </c>
      <c r="H84" s="3" t="str">
        <f>_xlfn.CONCAT("(",FIXED(VLOOKUP($B83,Sheet10!$A:$AZ,3,0), 4),")")</f>
        <v>(0.1140)</v>
      </c>
    </row>
    <row r="85" spans="1:8" x14ac:dyDescent="0.25">
      <c r="A85">
        <f t="shared" si="16"/>
        <v>121</v>
      </c>
      <c r="B85" t="s">
        <v>170</v>
      </c>
      <c r="E85" s="3"/>
      <c r="F85" s="3" t="str">
        <f>_xlfn.CONCAT(FIXED(VLOOKUP($B85,Sheet10!$A:$AZ,10,0),4),VLOOKUP($B85,Sheet10!$A:$AF,29,0))</f>
        <v>0.3763***</v>
      </c>
      <c r="G85" s="3" t="str">
        <f>_xlfn.CONCAT(FIXED(VLOOKUP($B85,Sheet10!$A:$AZ,6,0),4),VLOOKUP($B85,Sheet10!$A:$AF,28,0))</f>
        <v>0.3758***</v>
      </c>
      <c r="H85" s="3" t="str">
        <f>_xlfn.CONCAT(FIXED(VLOOKUP($B85,Sheet10!$A:$AZ,2,0),4),VLOOKUP($B85,Sheet10!$A:$AF,27,0))</f>
        <v>0.3919***</v>
      </c>
    </row>
    <row r="86" spans="1:8" x14ac:dyDescent="0.25">
      <c r="A86">
        <f t="shared" si="17"/>
        <v>122</v>
      </c>
      <c r="E86" s="3"/>
      <c r="F86" s="3" t="str">
        <f>_xlfn.CONCAT("(",FIXED(VLOOKUP($B85,Sheet10!$A:$AZ,11,0), 4),")")</f>
        <v>(0.0798)</v>
      </c>
      <c r="G86" s="3" t="str">
        <f>_xlfn.CONCAT("(",FIXED(VLOOKUP($B85,Sheet10!$A:$AZ,7,0), 4),")")</f>
        <v>(0.0840)</v>
      </c>
      <c r="H86" s="3" t="str">
        <f>_xlfn.CONCAT("(",FIXED(VLOOKUP($B85,Sheet10!$A:$AZ,3,0), 4),")")</f>
        <v>(0.1133)</v>
      </c>
    </row>
    <row r="87" spans="1:8" x14ac:dyDescent="0.25">
      <c r="A87">
        <f t="shared" ref="A87" si="30">A86+2</f>
        <v>124</v>
      </c>
      <c r="B87" t="s">
        <v>50</v>
      </c>
      <c r="E87" s="3"/>
      <c r="F87" s="3" t="str">
        <f>_xlfn.CONCAT(FIXED(VLOOKUP($B87,Sheet10!$A:$AZ,10,0),4),VLOOKUP($B87,Sheet10!$A:$AF,29,0))</f>
        <v>0.0002</v>
      </c>
      <c r="G87" s="3" t="str">
        <f>_xlfn.CONCAT(FIXED(VLOOKUP($B87,Sheet10!$A:$AZ,6,0),4),VLOOKUP($B87,Sheet10!$A:$AF,28,0))</f>
        <v>0.0004*</v>
      </c>
      <c r="H87" s="3" t="str">
        <f>_xlfn.CONCAT(FIXED(VLOOKUP($B87,Sheet10!$A:$AZ,2,0),4),VLOOKUP($B87,Sheet10!$A:$AF,27,0))</f>
        <v>0.0003</v>
      </c>
    </row>
    <row r="88" spans="1:8" x14ac:dyDescent="0.25">
      <c r="A88">
        <f t="shared" ref="A88" si="31">A87+1</f>
        <v>125</v>
      </c>
      <c r="E88" s="3"/>
      <c r="F88" s="3" t="str">
        <f>_xlfn.CONCAT("(",FIXED(VLOOKUP($B87,Sheet10!$A:$AZ,11,0), 4),")")</f>
        <v>(0.0003)</v>
      </c>
      <c r="G88" s="3" t="str">
        <f>_xlfn.CONCAT("(",FIXED(VLOOKUP($B87,Sheet10!$A:$AZ,7,0), 4),")")</f>
        <v>(0.0002)</v>
      </c>
      <c r="H88" s="3" t="str">
        <f>_xlfn.CONCAT("(",FIXED(VLOOKUP($B87,Sheet10!$A:$AZ,3,0), 4),")")</f>
        <v>(0.0002)</v>
      </c>
    </row>
    <row r="89" spans="1:8" x14ac:dyDescent="0.25">
      <c r="A89">
        <f t="shared" ref="A89:A99" si="32">A88+2</f>
        <v>127</v>
      </c>
      <c r="B89" t="s">
        <v>52</v>
      </c>
      <c r="E89" s="3"/>
      <c r="F89" s="3" t="str">
        <f>_xlfn.CONCAT(FIXED(VLOOKUP($B89,Sheet10!$A:$AZ,10,0),4),VLOOKUP($B89,Sheet10!$A:$AF,29,0))</f>
        <v>-0.0237*</v>
      </c>
      <c r="G89" s="3" t="str">
        <f>_xlfn.CONCAT(FIXED(VLOOKUP($B89,Sheet10!$A:$AZ,6,0),4),VLOOKUP($B89,Sheet10!$A:$AF,28,0))</f>
        <v>-0.0087</v>
      </c>
      <c r="H89" s="3" t="str">
        <f>_xlfn.CONCAT(FIXED(VLOOKUP($B89,Sheet10!$A:$AZ,2,0),4),VLOOKUP($B89,Sheet10!$A:$AF,27,0))</f>
        <v>-0.0075</v>
      </c>
    </row>
    <row r="90" spans="1:8" x14ac:dyDescent="0.25">
      <c r="A90">
        <f t="shared" ref="A90:A100" si="33">A89+1</f>
        <v>128</v>
      </c>
      <c r="E90" s="3"/>
      <c r="F90" s="3" t="str">
        <f>_xlfn.CONCAT("(",FIXED(VLOOKUP($B89,Sheet10!$A:$AZ,11,0), 4),")")</f>
        <v>(0.0113)</v>
      </c>
      <c r="G90" s="3" t="str">
        <f>_xlfn.CONCAT("(",FIXED(VLOOKUP($B89,Sheet10!$A:$AZ,7,0), 4),")")</f>
        <v>(0.0070)</v>
      </c>
      <c r="H90" s="3" t="str">
        <f>_xlfn.CONCAT("(",FIXED(VLOOKUP($B89,Sheet10!$A:$AZ,3,0), 4),")")</f>
        <v>(0.0064)</v>
      </c>
    </row>
    <row r="91" spans="1:8" x14ac:dyDescent="0.25">
      <c r="A91">
        <f t="shared" ref="A91:A101" si="34">A90+2</f>
        <v>130</v>
      </c>
      <c r="B91" t="s">
        <v>51</v>
      </c>
      <c r="E91" s="3"/>
      <c r="F91" s="3" t="str">
        <f>_xlfn.CONCAT(FIXED(VLOOKUP($B91,Sheet10!$A:$AZ,10,0),4),VLOOKUP($B91,Sheet10!$A:$AF,29,0))</f>
        <v>0.0070</v>
      </c>
      <c r="G91" s="3" t="str">
        <f>_xlfn.CONCAT(FIXED(VLOOKUP($B91,Sheet10!$A:$AZ,6,0),4),VLOOKUP($B91,Sheet10!$A:$AF,28,0))</f>
        <v>-0.0037</v>
      </c>
      <c r="H91" s="3" t="str">
        <f>_xlfn.CONCAT(FIXED(VLOOKUP($B91,Sheet10!$A:$AZ,2,0),4),VLOOKUP($B91,Sheet10!$A:$AF,27,0))</f>
        <v>-0.0027</v>
      </c>
    </row>
    <row r="92" spans="1:8" x14ac:dyDescent="0.25">
      <c r="A92">
        <f t="shared" ref="A92:A102" si="35">A91+1</f>
        <v>131</v>
      </c>
      <c r="E92" s="3"/>
      <c r="F92" s="3" t="str">
        <f>_xlfn.CONCAT("(",FIXED(VLOOKUP($B91,Sheet10!$A:$AZ,11,0), 4),")")</f>
        <v>(0.0204)</v>
      </c>
      <c r="G92" s="3" t="str">
        <f>_xlfn.CONCAT("(",FIXED(VLOOKUP($B91,Sheet10!$A:$AZ,7,0), 4),")")</f>
        <v>(0.0204)</v>
      </c>
      <c r="H92" s="3" t="str">
        <f>_xlfn.CONCAT("(",FIXED(VLOOKUP($B91,Sheet10!$A:$AZ,3,0), 4),")")</f>
        <v>(0.0245)</v>
      </c>
    </row>
    <row r="93" spans="1:8" x14ac:dyDescent="0.25">
      <c r="A93">
        <f t="shared" ref="A93:A103" si="36">A92+2</f>
        <v>133</v>
      </c>
      <c r="B93" t="s">
        <v>164</v>
      </c>
      <c r="E93" s="3"/>
      <c r="F93" s="3"/>
      <c r="G93" s="3" t="str">
        <f>_xlfn.CONCAT(FIXED(VLOOKUP($B93,Sheet10!$A:$AZ,6,0),4),VLOOKUP($B93,Sheet10!$A:$AF,28,0))</f>
        <v>-0.0001</v>
      </c>
      <c r="H93" s="3" t="str">
        <f>_xlfn.CONCAT(FIXED(VLOOKUP($B93,Sheet10!$A:$AZ,2,0),4),VLOOKUP($B93,Sheet10!$A:$AF,27,0))</f>
        <v>0.0011</v>
      </c>
    </row>
    <row r="94" spans="1:8" x14ac:dyDescent="0.25">
      <c r="A94">
        <f t="shared" ref="A94:A104" si="37">A93+1</f>
        <v>134</v>
      </c>
      <c r="E94" s="3"/>
      <c r="F94" s="3"/>
      <c r="G94" s="3" t="str">
        <f>_xlfn.CONCAT("(",FIXED(VLOOKUP($B93,Sheet10!$A:$AZ,7,0), 4),")")</f>
        <v>(0.0108)</v>
      </c>
      <c r="H94" s="3" t="str">
        <f>_xlfn.CONCAT("(",FIXED(VLOOKUP($B93,Sheet10!$A:$AZ,3,0), 4),")")</f>
        <v>(0.0090)</v>
      </c>
    </row>
    <row r="95" spans="1:8" x14ac:dyDescent="0.25">
      <c r="A95">
        <f t="shared" ref="A95:A119" si="38">A94+2</f>
        <v>136</v>
      </c>
      <c r="B95" t="s">
        <v>39</v>
      </c>
      <c r="E95" s="3"/>
      <c r="F95" s="3"/>
      <c r="G95" s="3" t="str">
        <f>_xlfn.CONCAT(FIXED(VLOOKUP($B95,Sheet10!$A:$AZ,6,0),4),VLOOKUP($B95,Sheet10!$A:$AF,28,0))</f>
        <v>-0.0897**</v>
      </c>
      <c r="H95" s="3" t="str">
        <f>_xlfn.CONCAT(FIXED(VLOOKUP($B95,Sheet10!$A:$AZ,2,0),4),VLOOKUP($B95,Sheet10!$A:$AF,27,0))</f>
        <v>-0.0622*</v>
      </c>
    </row>
    <row r="96" spans="1:8" x14ac:dyDescent="0.25">
      <c r="A96">
        <f t="shared" ref="A96:A120" si="39">A95+1</f>
        <v>137</v>
      </c>
      <c r="E96" s="3"/>
      <c r="F96" s="3"/>
      <c r="G96" s="3" t="str">
        <f>_xlfn.CONCAT("(",FIXED(VLOOKUP($B95,Sheet10!$A:$AZ,7,0), 4),")")</f>
        <v>(0.0386)</v>
      </c>
      <c r="H96" s="3" t="str">
        <f>_xlfn.CONCAT("(",FIXED(VLOOKUP($B95,Sheet10!$A:$AZ,3,0), 4),")")</f>
        <v>(0.0302)</v>
      </c>
    </row>
    <row r="97" spans="1:8" x14ac:dyDescent="0.25">
      <c r="A97">
        <f t="shared" ref="A97" si="40">A96+2</f>
        <v>139</v>
      </c>
      <c r="B97" t="s">
        <v>40</v>
      </c>
      <c r="E97" s="3"/>
      <c r="F97" s="3"/>
      <c r="G97" s="3" t="str">
        <f>_xlfn.CONCAT(FIXED(VLOOKUP($B97,Sheet10!$A:$AZ,6,0),4),VLOOKUP($B97,Sheet10!$A:$AF,28,0))</f>
        <v>0.0006</v>
      </c>
      <c r="H97" s="3" t="str">
        <f>_xlfn.CONCAT(FIXED(VLOOKUP($B97,Sheet10!$A:$AZ,2,0),4),VLOOKUP($B97,Sheet10!$A:$AF,27,0))</f>
        <v>-0.0020</v>
      </c>
    </row>
    <row r="98" spans="1:8" x14ac:dyDescent="0.25">
      <c r="A98">
        <f t="shared" ref="A98" si="41">A97+1</f>
        <v>140</v>
      </c>
      <c r="E98" s="3"/>
      <c r="F98" s="3"/>
      <c r="G98" s="3" t="str">
        <f>_xlfn.CONCAT("(",FIXED(VLOOKUP($B97,Sheet10!$A:$AZ,7,0), 4),")")</f>
        <v>(0.0107)</v>
      </c>
      <c r="H98" s="3" t="str">
        <f>_xlfn.CONCAT("(",FIXED(VLOOKUP($B97,Sheet10!$A:$AZ,3,0), 4),")")</f>
        <v>(0.0084)</v>
      </c>
    </row>
    <row r="99" spans="1:8" x14ac:dyDescent="0.25">
      <c r="A99">
        <f t="shared" si="32"/>
        <v>142</v>
      </c>
      <c r="B99" t="s">
        <v>41</v>
      </c>
      <c r="E99" s="3"/>
      <c r="F99" s="3"/>
      <c r="G99" s="3" t="str">
        <f>_xlfn.CONCAT(FIXED(VLOOKUP($B99,Sheet10!$A:$AZ,6,0),4),VLOOKUP($B99,Sheet10!$A:$AF,28,0))</f>
        <v>-0.0080</v>
      </c>
      <c r="H99" s="3" t="str">
        <f>_xlfn.CONCAT(FIXED(VLOOKUP($B99,Sheet10!$A:$AZ,2,0),4),VLOOKUP($B99,Sheet10!$A:$AF,27,0))</f>
        <v>-0.0055</v>
      </c>
    </row>
    <row r="100" spans="1:8" x14ac:dyDescent="0.25">
      <c r="A100">
        <f t="shared" si="33"/>
        <v>143</v>
      </c>
      <c r="E100" s="3"/>
      <c r="F100" s="3"/>
      <c r="G100" s="3" t="str">
        <f>_xlfn.CONCAT("(",FIXED(VLOOKUP($B99,Sheet10!$A:$AZ,7,0), 4),")")</f>
        <v>(0.0101)</v>
      </c>
      <c r="H100" s="3" t="str">
        <f>_xlfn.CONCAT("(",FIXED(VLOOKUP($B99,Sheet10!$A:$AZ,3,0), 4),")")</f>
        <v>(0.0073)</v>
      </c>
    </row>
    <row r="101" spans="1:8" x14ac:dyDescent="0.25">
      <c r="A101">
        <f t="shared" si="34"/>
        <v>145</v>
      </c>
      <c r="B101" t="s">
        <v>173</v>
      </c>
      <c r="E101" s="3"/>
      <c r="F101" s="3"/>
      <c r="G101" s="3" t="str">
        <f>_xlfn.CONCAT(FIXED(VLOOKUP($B101,Sheet10!$A:$AZ,6,0),4),VLOOKUP($B101,Sheet10!$A:$AF,28,0))</f>
        <v>0.0060</v>
      </c>
      <c r="H101" s="3" t="str">
        <f>_xlfn.CONCAT(FIXED(VLOOKUP($B101,Sheet10!$A:$AZ,2,0),4),VLOOKUP($B101,Sheet10!$A:$AF,27,0))</f>
        <v>0.0029</v>
      </c>
    </row>
    <row r="102" spans="1:8" x14ac:dyDescent="0.25">
      <c r="A102">
        <f t="shared" si="35"/>
        <v>146</v>
      </c>
      <c r="E102" s="3"/>
      <c r="F102" s="3"/>
      <c r="G102" s="3" t="str">
        <f>_xlfn.CONCAT("(",FIXED(VLOOKUP($B101,Sheet10!$A:$AZ,7,0), 4),")")</f>
        <v>(0.0146)</v>
      </c>
      <c r="H102" s="3" t="str">
        <f>_xlfn.CONCAT("(",FIXED(VLOOKUP($B101,Sheet10!$A:$AZ,3,0), 4),")")</f>
        <v>(0.0098)</v>
      </c>
    </row>
    <row r="103" spans="1:8" x14ac:dyDescent="0.25">
      <c r="A103">
        <f t="shared" si="36"/>
        <v>148</v>
      </c>
      <c r="B103" t="s">
        <v>174</v>
      </c>
      <c r="E103" s="3"/>
      <c r="F103" s="3"/>
      <c r="G103" s="3" t="str">
        <f>_xlfn.CONCAT(FIXED(VLOOKUP($B103,Sheet10!$A:$AZ,6,0),4),VLOOKUP($B103,Sheet10!$A:$AF,28,0))</f>
        <v>-0.0005</v>
      </c>
      <c r="H103" s="3" t="str">
        <f>_xlfn.CONCAT(FIXED(VLOOKUP($B103,Sheet10!$A:$AZ,2,0),4),VLOOKUP($B103,Sheet10!$A:$AF,27,0))</f>
        <v>-0.0037</v>
      </c>
    </row>
    <row r="104" spans="1:8" x14ac:dyDescent="0.25">
      <c r="A104">
        <f t="shared" si="37"/>
        <v>149</v>
      </c>
      <c r="E104" s="3"/>
      <c r="F104" s="3"/>
      <c r="G104" s="3" t="str">
        <f>_xlfn.CONCAT("(",FIXED(VLOOKUP($B103,Sheet10!$A:$AZ,7,0), 4),")")</f>
        <v>(0.0141)</v>
      </c>
      <c r="H104" s="3" t="str">
        <f>_xlfn.CONCAT("(",FIXED(VLOOKUP($B103,Sheet10!$A:$AZ,3,0), 4),")")</f>
        <v>(0.0104)</v>
      </c>
    </row>
    <row r="105" spans="1:8" x14ac:dyDescent="0.25">
      <c r="A105">
        <f t="shared" si="38"/>
        <v>151</v>
      </c>
      <c r="B105" t="s">
        <v>175</v>
      </c>
      <c r="E105" s="3"/>
      <c r="F105" s="3"/>
      <c r="G105" s="3" t="str">
        <f>_xlfn.CONCAT(FIXED(VLOOKUP($B105,Sheet10!$A:$AZ,6,0),4),VLOOKUP($B105,Sheet10!$A:$AF,28,0))</f>
        <v>0.0162</v>
      </c>
      <c r="H105" s="3" t="str">
        <f>_xlfn.CONCAT(FIXED(VLOOKUP($B105,Sheet10!$A:$AZ,2,0),4),VLOOKUP($B105,Sheet10!$A:$AF,27,0))</f>
        <v>0.0165**</v>
      </c>
    </row>
    <row r="106" spans="1:8" x14ac:dyDescent="0.25">
      <c r="A106">
        <f t="shared" si="39"/>
        <v>152</v>
      </c>
      <c r="E106" s="3"/>
      <c r="F106" s="3"/>
      <c r="G106" s="3" t="str">
        <f>_xlfn.CONCAT("(",FIXED(VLOOKUP($B105,Sheet10!$A:$AZ,7,0), 4),")")</f>
        <v>(0.0110)</v>
      </c>
      <c r="H106" s="3" t="str">
        <f>_xlfn.CONCAT("(",FIXED(VLOOKUP($B105,Sheet10!$A:$AZ,3,0), 4),")")</f>
        <v>(0.0076)</v>
      </c>
    </row>
    <row r="107" spans="1:8" x14ac:dyDescent="0.25">
      <c r="A107">
        <f t="shared" si="38"/>
        <v>154</v>
      </c>
      <c r="B107" t="s">
        <v>53</v>
      </c>
      <c r="E107" s="3"/>
      <c r="F107" s="3"/>
      <c r="G107" s="3"/>
      <c r="H107" s="3" t="str">
        <f>_xlfn.CONCAT(FIXED(VLOOKUP($B107,Sheet10!$A:$AZ,2,0),4),VLOOKUP($B107,Sheet10!$A:$AF,27,0))</f>
        <v>0.0000</v>
      </c>
    </row>
    <row r="108" spans="1:8" x14ac:dyDescent="0.25">
      <c r="A108">
        <f t="shared" si="39"/>
        <v>155</v>
      </c>
      <c r="E108" s="3"/>
      <c r="F108" s="3"/>
      <c r="G108" s="3"/>
      <c r="H108" s="3" t="str">
        <f>_xlfn.CONCAT("(",FIXED(VLOOKUP($B107,Sheet10!$A:$AZ,3,0), 4),")")</f>
        <v>(0.0000)</v>
      </c>
    </row>
    <row r="109" spans="1:8" x14ac:dyDescent="0.25">
      <c r="A109">
        <f t="shared" ref="A109:A121" si="42">A108+2</f>
        <v>157</v>
      </c>
      <c r="B109" t="s">
        <v>54</v>
      </c>
      <c r="E109" s="3"/>
      <c r="F109" s="3"/>
      <c r="G109" s="3"/>
      <c r="H109" s="3" t="str">
        <f>_xlfn.CONCAT(FIXED(VLOOKUP($B109,Sheet10!$A:$AZ,2,0),4),VLOOKUP($B109,Sheet10!$A:$AF,27,0))</f>
        <v>0.0000***</v>
      </c>
    </row>
    <row r="110" spans="1:8" x14ac:dyDescent="0.25">
      <c r="A110">
        <f t="shared" ref="A110:A122" si="43">A109+1</f>
        <v>158</v>
      </c>
      <c r="E110" s="3"/>
      <c r="F110" s="3"/>
      <c r="G110" s="3"/>
      <c r="H110" s="3" t="str">
        <f>_xlfn.CONCAT("(",FIXED(VLOOKUP($B109,Sheet10!$A:$AZ,3,0), 4),")")</f>
        <v>(0.0000)</v>
      </c>
    </row>
    <row r="111" spans="1:8" x14ac:dyDescent="0.25">
      <c r="A111">
        <f t="shared" si="38"/>
        <v>160</v>
      </c>
      <c r="B111" t="s">
        <v>43</v>
      </c>
      <c r="E111" s="3"/>
      <c r="F111" s="3"/>
      <c r="G111" s="3"/>
      <c r="H111" s="3" t="str">
        <f>_xlfn.CONCAT(FIXED(VLOOKUP($B111,Sheet10!$A:$AZ,2,0),4),VLOOKUP($B111,Sheet10!$A:$AF,27,0))</f>
        <v>-0.3949</v>
      </c>
    </row>
    <row r="112" spans="1:8" x14ac:dyDescent="0.25">
      <c r="A112">
        <f t="shared" si="39"/>
        <v>161</v>
      </c>
      <c r="E112" s="3"/>
      <c r="F112" s="3"/>
      <c r="G112" s="3"/>
      <c r="H112" s="3" t="str">
        <f>_xlfn.CONCAT("(",FIXED(VLOOKUP($B111,Sheet10!$A:$AZ,3,0), 4),")")</f>
        <v>(0.2850)</v>
      </c>
    </row>
    <row r="113" spans="1:8" x14ac:dyDescent="0.25">
      <c r="A113">
        <f t="shared" si="42"/>
        <v>163</v>
      </c>
      <c r="B113" t="s">
        <v>44</v>
      </c>
      <c r="E113" s="3"/>
      <c r="F113" s="3"/>
      <c r="G113" s="3"/>
      <c r="H113" s="3" t="str">
        <f>_xlfn.CONCAT(FIXED(VLOOKUP($B113,Sheet10!$A:$AZ,2,0),4),VLOOKUP($B113,Sheet10!$A:$AF,27,0))</f>
        <v>-0.2244***</v>
      </c>
    </row>
    <row r="114" spans="1:8" x14ac:dyDescent="0.25">
      <c r="A114">
        <f t="shared" si="43"/>
        <v>164</v>
      </c>
      <c r="E114" s="3"/>
      <c r="F114" s="3"/>
      <c r="G114" s="3"/>
      <c r="H114" s="3" t="str">
        <f>_xlfn.CONCAT("(",FIXED(VLOOKUP($B113,Sheet10!$A:$AZ,3,0), 4),")")</f>
        <v>(0.0692)</v>
      </c>
    </row>
    <row r="115" spans="1:8" x14ac:dyDescent="0.25">
      <c r="A115">
        <f t="shared" si="38"/>
        <v>166</v>
      </c>
      <c r="B115" t="s">
        <v>45</v>
      </c>
      <c r="E115" s="3"/>
      <c r="F115" s="3"/>
      <c r="G115" s="3"/>
      <c r="H115" s="3" t="str">
        <f>_xlfn.CONCAT(FIXED(VLOOKUP($B115,Sheet10!$A:$AZ,2,0),4),VLOOKUP($B115,Sheet10!$A:$AF,27,0))</f>
        <v>-0.6072***</v>
      </c>
    </row>
    <row r="116" spans="1:8" x14ac:dyDescent="0.25">
      <c r="A116">
        <f t="shared" si="39"/>
        <v>167</v>
      </c>
      <c r="E116" s="3"/>
      <c r="F116" s="3"/>
      <c r="G116" s="3"/>
      <c r="H116" s="3" t="str">
        <f>_xlfn.CONCAT("(",FIXED(VLOOKUP($B115,Sheet10!$A:$AZ,3,0), 4),")")</f>
        <v>(0.1425)</v>
      </c>
    </row>
    <row r="117" spans="1:8" x14ac:dyDescent="0.25">
      <c r="A117">
        <f t="shared" si="42"/>
        <v>169</v>
      </c>
      <c r="B117" t="s">
        <v>48</v>
      </c>
      <c r="E117" s="3"/>
      <c r="F117" s="3"/>
      <c r="G117" s="3"/>
      <c r="H117" s="3" t="str">
        <f>_xlfn.CONCAT(FIXED(VLOOKUP($B117,Sheet10!$A:$AZ,2,0),4),VLOOKUP($B117,Sheet10!$A:$AF,27,0))</f>
        <v>0.1569***</v>
      </c>
    </row>
    <row r="118" spans="1:8" x14ac:dyDescent="0.25">
      <c r="A118">
        <f t="shared" si="43"/>
        <v>170</v>
      </c>
      <c r="E118" s="3"/>
      <c r="F118" s="3"/>
      <c r="G118" s="3"/>
      <c r="H118" s="3" t="str">
        <f>_xlfn.CONCAT("(",FIXED(VLOOKUP($B117,Sheet10!$A:$AZ,3,0), 4),")")</f>
        <v>(0.0403)</v>
      </c>
    </row>
    <row r="119" spans="1:8" x14ac:dyDescent="0.25">
      <c r="A119">
        <f t="shared" si="38"/>
        <v>172</v>
      </c>
      <c r="B119" t="s">
        <v>46</v>
      </c>
      <c r="E119" s="3"/>
      <c r="F119" s="3"/>
      <c r="G119" s="3"/>
      <c r="H119" s="3" t="str">
        <f>_xlfn.CONCAT(FIXED(VLOOKUP($B119,Sheet10!$A:$AZ,2,0),4),VLOOKUP($B119,Sheet10!$A:$AF,27,0))</f>
        <v>-0.7231***</v>
      </c>
    </row>
    <row r="120" spans="1:8" x14ac:dyDescent="0.25">
      <c r="A120">
        <f t="shared" si="39"/>
        <v>173</v>
      </c>
      <c r="E120" s="3"/>
      <c r="F120" s="3"/>
      <c r="G120" s="3"/>
      <c r="H120" s="3" t="str">
        <f>_xlfn.CONCAT("(",FIXED(VLOOKUP($B119,Sheet10!$A:$AZ,3,0), 4),")")</f>
        <v>(0.1106)</v>
      </c>
    </row>
    <row r="121" spans="1:8" x14ac:dyDescent="0.25">
      <c r="A121">
        <f t="shared" si="42"/>
        <v>175</v>
      </c>
      <c r="B121" t="s">
        <v>276</v>
      </c>
      <c r="C121" s="3" t="str">
        <f>_xlfn.CONCAT(FIXED(VLOOKUP($B121,Sheet10!A:$AZ,22,0),4),VLOOKUP($B121,Sheet10!$A:$AF,32,0))</f>
        <v>13.8097</v>
      </c>
      <c r="D121" s="3" t="str">
        <f>_xlfn.CONCAT(FIXED(VLOOKUP($B121,Sheet10!$A:$AZ,18,0),4),VLOOKUP($B121,Sheet10!$A:$AF,31,0))</f>
        <v>13.5458</v>
      </c>
      <c r="E121" s="3" t="str">
        <f>_xlfn.CONCAT(FIXED(VLOOKUP($B121,Sheet10!$A:$AZ,14,0),4),VLOOKUP($B121,Sheet10!$A:$AF,30,0))</f>
        <v>13.0027</v>
      </c>
      <c r="F121" s="3" t="str">
        <f>_xlfn.CONCAT(FIXED(VLOOKUP($B121,Sheet10!$A:$AZ,10,0),4),VLOOKUP($B121,Sheet10!$A:$AF,29,0))</f>
        <v>12.7595</v>
      </c>
      <c r="G121" s="3" t="str">
        <f>_xlfn.CONCAT(FIXED(VLOOKUP($B121,Sheet10!$A:$AZ,6,0),4),VLOOKUP($B121,Sheet10!$A:$AF,28,0))</f>
        <v>-10.3885</v>
      </c>
      <c r="H121" s="3" t="str">
        <f>_xlfn.CONCAT(FIXED(VLOOKUP($B121,Sheet10!$A:$AZ,2,0),4),VLOOKUP($B121,Sheet10!$A:$AF,27,0))</f>
        <v>-0.6437Significant Dots</v>
      </c>
    </row>
    <row r="122" spans="1:8" ht="15.75" thickBot="1" x14ac:dyDescent="0.3">
      <c r="A122">
        <f t="shared" si="43"/>
        <v>176</v>
      </c>
      <c r="C122" s="3" t="str">
        <f>_xlfn.CONCAT("(",FIXED(VLOOKUP($B121,Sheet10!$A:$AZ,23,0), 4),")")</f>
        <v>(0.0801)</v>
      </c>
      <c r="D122" s="3" t="str">
        <f>_xlfn.CONCAT("(",FIXED(VLOOKUP($B121,Sheet10!$A:$AZ,19,0), 4),")")</f>
        <v>(0.0610)</v>
      </c>
      <c r="E122" s="3" t="str">
        <f>_xlfn.CONCAT("(",FIXED(VLOOKUP($B121,Sheet10!$A:$AZ,15,0), 4),")")</f>
        <v>(0.0668)</v>
      </c>
      <c r="F122" s="3" t="str">
        <f>_xlfn.CONCAT("(",FIXED(VLOOKUP($B121,Sheet10!$A:$AZ,11,0), 4),")")</f>
        <v>(0.1205)</v>
      </c>
      <c r="G122" s="3" t="str">
        <f>_xlfn.CONCAT("(",FIXED(VLOOKUP($B121,Sheet10!$A:$AZ,7,0), 4),")")</f>
        <v>(20.0324)</v>
      </c>
      <c r="H122" s="3" t="str">
        <f>_xlfn.CONCAT("(",FIXED(VLOOKUP($B121,Sheet10!$A:$AZ,3,0), 4),")")</f>
        <v>(15.9010)</v>
      </c>
    </row>
    <row r="123" spans="1:8" x14ac:dyDescent="0.25">
      <c r="A123">
        <v>179</v>
      </c>
      <c r="B123" s="14" t="s">
        <v>187</v>
      </c>
      <c r="C123" s="15" t="e">
        <f>VLOOKUP($A123,'Reg1'!$B:$H,'Table Two (4)'!C$1,0)</f>
        <v>#N/A</v>
      </c>
      <c r="D123" s="15"/>
      <c r="E123" s="15" t="e">
        <f>VLOOKUP($A123,'Reg1'!$B:$H,'Table Two (4)'!E$1,0)</f>
        <v>#N/A</v>
      </c>
      <c r="F123" s="15" t="e">
        <f>VLOOKUP($A123,'Reg1'!$B:$H,'Table Two (4)'!F$1,0)</f>
        <v>#N/A</v>
      </c>
      <c r="G123" s="15" t="e">
        <f>VLOOKUP($A123,'Reg1'!$B:$H,'Table Two (4)'!G$1,0)</f>
        <v>#N/A</v>
      </c>
      <c r="H123" s="15" t="e">
        <f>VLOOKUP($A123,'Reg1'!$B:$H,'Table Two (4)'!H$1,0)</f>
        <v>#N/A</v>
      </c>
    </row>
    <row r="124" spans="1:8" ht="17.25" x14ac:dyDescent="0.25">
      <c r="A124">
        <v>180</v>
      </c>
      <c r="B124" t="s">
        <v>274</v>
      </c>
      <c r="C124" s="3" t="e">
        <f>VLOOKUP($A124,'Reg1'!$B:$H,'Table Two (4)'!C$1,0)</f>
        <v>#N/A</v>
      </c>
      <c r="E124" s="3" t="e">
        <f>VLOOKUP($A124,'Reg1'!$B:$H,'Table Two (4)'!E$1,0)</f>
        <v>#N/A</v>
      </c>
      <c r="F124" s="3" t="e">
        <f>VLOOKUP($A124,'Reg1'!$B:$H,'Table Two (4)'!F$1,0)</f>
        <v>#N/A</v>
      </c>
      <c r="G124" s="3" t="e">
        <f>VLOOKUP($A124,'Reg1'!$B:$H,'Table Two (4)'!G$1,0)</f>
        <v>#N/A</v>
      </c>
      <c r="H124" s="3" t="e">
        <f>VLOOKUP($A124,'Reg1'!$B:$H,'Table Two (4)'!H$1,0)</f>
        <v>#N/A</v>
      </c>
    </row>
    <row r="125" spans="1:8" ht="17.25" x14ac:dyDescent="0.25">
      <c r="A125">
        <v>181</v>
      </c>
      <c r="B125" t="s">
        <v>275</v>
      </c>
      <c r="C125" s="3" t="e">
        <f>VLOOKUP($A125,'Reg1'!$B:$H,'Table Two (4)'!C$1,0)</f>
        <v>#N/A</v>
      </c>
      <c r="E125" s="3" t="e">
        <f>VLOOKUP($A125,'Reg1'!$B:$H,'Table Two (4)'!E$1,0)</f>
        <v>#N/A</v>
      </c>
      <c r="F125" s="3" t="e">
        <f>VLOOKUP($A125,'Reg1'!$B:$H,'Table Two (4)'!F$1,0)</f>
        <v>#N/A</v>
      </c>
      <c r="G125" s="3" t="e">
        <f>VLOOKUP($A125,'Reg1'!$B:$H,'Table Two (4)'!G$1,0)</f>
        <v>#N/A</v>
      </c>
      <c r="H125" s="3" t="e">
        <f>VLOOKUP($A125,'Reg1'!$B:$H,'Table Two (4)'!H$1,0)</f>
        <v>#N/A</v>
      </c>
    </row>
    <row r="126" spans="1:8" x14ac:dyDescent="0.25">
      <c r="A126">
        <v>182</v>
      </c>
      <c r="B126" t="s">
        <v>262</v>
      </c>
      <c r="C126" s="3" t="e">
        <f>VLOOKUP($A126,'Reg1'!$B:$H,'Table Two (4)'!C$1,0)</f>
        <v>#N/A</v>
      </c>
      <c r="E126" s="3" t="e">
        <f>VLOOKUP($A126,'Reg1'!$B:$H,'Table Two (4)'!E$1,0)</f>
        <v>#N/A</v>
      </c>
      <c r="F126" s="3" t="e">
        <f>VLOOKUP($A126,'Reg1'!$B:$H,'Table Two (4)'!F$1,0)</f>
        <v>#N/A</v>
      </c>
      <c r="G126" s="3" t="e">
        <f>VLOOKUP($A126,'Reg1'!$B:$H,'Table Two (4)'!G$1,0)</f>
        <v>#N/A</v>
      </c>
      <c r="H126" s="3" t="e">
        <f>VLOOKUP($A126,'Reg1'!$B:$H,'Table Two (4)'!H$1,0)</f>
        <v>#N/A</v>
      </c>
    </row>
    <row r="127" spans="1:8" ht="15.75" thickBot="1" x14ac:dyDescent="0.3">
      <c r="A127">
        <v>183</v>
      </c>
      <c r="B127" s="16" t="s">
        <v>263</v>
      </c>
      <c r="C127" s="17" t="e">
        <f>VLOOKUP($A127,'Reg1'!$B:$H,'Table Two (4)'!C$1,0)</f>
        <v>#N/A</v>
      </c>
      <c r="D127" s="17"/>
      <c r="E127" s="17" t="e">
        <f>VLOOKUP($A127,'Reg1'!$B:$H,'Table Two (4)'!E$1,0)</f>
        <v>#N/A</v>
      </c>
      <c r="F127" s="17" t="e">
        <f>VLOOKUP($A127,'Reg1'!$B:$H,'Table Two (4)'!F$1,0)</f>
        <v>#N/A</v>
      </c>
      <c r="G127" s="17" t="e">
        <f>VLOOKUP($A127,'Reg1'!$B:$H,'Table Two (4)'!G$1,0)</f>
        <v>#N/A</v>
      </c>
      <c r="H127" s="17" t="e">
        <f>VLOOKUP($A127,'Reg1'!$B:$H,'Table Two (4)'!H$1,0)</f>
        <v>#N/A</v>
      </c>
    </row>
    <row r="128" spans="1:8" x14ac:dyDescent="0.25">
      <c r="B128" t="s">
        <v>264</v>
      </c>
    </row>
  </sheetData>
  <mergeCells count="2">
    <mergeCell ref="B2:H2"/>
    <mergeCell ref="B3:H3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1A77A-9724-437F-9573-6451A05E5E16}">
  <sheetPr codeName="Sheet19"/>
  <dimension ref="A1:E9"/>
  <sheetViews>
    <sheetView workbookViewId="0">
      <selection activeCell="I7" sqref="I7"/>
    </sheetView>
  </sheetViews>
  <sheetFormatPr defaultRowHeight="15" x14ac:dyDescent="0.25"/>
  <cols>
    <col min="1" max="1" width="12.140625" bestFit="1" customWidth="1"/>
    <col min="2" max="5" width="15.7109375" customWidth="1"/>
  </cols>
  <sheetData>
    <row r="1" spans="1:5" ht="15.75" thickBot="1" x14ac:dyDescent="0.3">
      <c r="B1" s="3"/>
      <c r="C1" s="3"/>
    </row>
    <row r="2" spans="1:5" ht="23.25" x14ac:dyDescent="0.35">
      <c r="A2" s="53" t="s">
        <v>325</v>
      </c>
      <c r="B2" s="53"/>
      <c r="C2" s="53"/>
      <c r="D2" s="53"/>
      <c r="E2" s="53"/>
    </row>
    <row r="3" spans="1:5" ht="23.25" x14ac:dyDescent="0.35">
      <c r="A3" s="51" t="s">
        <v>272</v>
      </c>
      <c r="B3" s="51"/>
      <c r="C3" s="51"/>
      <c r="D3" s="51"/>
      <c r="E3" s="51"/>
    </row>
    <row r="4" spans="1:5" ht="18.75" x14ac:dyDescent="0.3">
      <c r="A4" s="55" t="s">
        <v>319</v>
      </c>
      <c r="B4" s="55"/>
      <c r="C4" s="55"/>
      <c r="D4" s="55"/>
      <c r="E4" s="55"/>
    </row>
    <row r="5" spans="1:5" ht="18.75" x14ac:dyDescent="0.3">
      <c r="A5" s="23"/>
      <c r="B5" s="56" t="s">
        <v>320</v>
      </c>
      <c r="C5" s="56"/>
      <c r="D5" s="57" t="s">
        <v>321</v>
      </c>
      <c r="E5" s="56"/>
    </row>
    <row r="6" spans="1:5" x14ac:dyDescent="0.25">
      <c r="A6" s="19" t="s">
        <v>271</v>
      </c>
      <c r="B6" s="22" t="s">
        <v>266</v>
      </c>
      <c r="C6" s="22" t="s">
        <v>267</v>
      </c>
      <c r="D6" s="24" t="s">
        <v>268</v>
      </c>
      <c r="E6" s="22" t="s">
        <v>269</v>
      </c>
    </row>
    <row r="7" spans="1:5" x14ac:dyDescent="0.25">
      <c r="A7" s="18" t="s">
        <v>11</v>
      </c>
      <c r="B7" s="3" t="e">
        <f>'Table Two (3)'!C5</f>
        <v>#N/A</v>
      </c>
      <c r="C7" s="3" t="e">
        <f>'Table Two (3)'!H5</f>
        <v>#N/A</v>
      </c>
      <c r="D7" s="9" t="e">
        <f>'Table Two (4)'!C5</f>
        <v>#N/A</v>
      </c>
      <c r="E7" s="3" t="e">
        <f>'Table Two (4)'!H5</f>
        <v>#N/A</v>
      </c>
    </row>
    <row r="8" spans="1:5" x14ac:dyDescent="0.25">
      <c r="A8" s="26"/>
      <c r="B8" s="21" t="e">
        <f>'Table Two (3)'!C6</f>
        <v>#N/A</v>
      </c>
      <c r="C8" s="21" t="e">
        <f>'Table Two (4)'!H6</f>
        <v>#N/A</v>
      </c>
      <c r="D8" s="27" t="e">
        <f>'Table Two (4)'!C6</f>
        <v>#N/A</v>
      </c>
      <c r="E8" s="21" t="e">
        <f>'Table Two (4)'!H6</f>
        <v>#N/A</v>
      </c>
    </row>
    <row r="9" spans="1:5" ht="15.75" thickBot="1" x14ac:dyDescent="0.3">
      <c r="A9" s="16" t="s">
        <v>322</v>
      </c>
      <c r="B9" s="25" t="s">
        <v>323</v>
      </c>
      <c r="C9" s="25" t="s">
        <v>324</v>
      </c>
      <c r="D9" s="25" t="s">
        <v>323</v>
      </c>
      <c r="E9" s="25" t="s">
        <v>324</v>
      </c>
    </row>
  </sheetData>
  <mergeCells count="5">
    <mergeCell ref="A2:E2"/>
    <mergeCell ref="A4:E4"/>
    <mergeCell ref="A3:E3"/>
    <mergeCell ref="B5:C5"/>
    <mergeCell ref="D5:E5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3804E-D014-40CD-AF24-2C14F41266C5}">
  <sheetPr codeName="Sheet20"/>
  <dimension ref="A1:G129"/>
  <sheetViews>
    <sheetView topLeftCell="A98" workbookViewId="0">
      <selection activeCell="F130" sqref="F130"/>
    </sheetView>
  </sheetViews>
  <sheetFormatPr defaultRowHeight="15" x14ac:dyDescent="0.25"/>
  <cols>
    <col min="1" max="1" width="29" bestFit="1" customWidth="1"/>
    <col min="2" max="2" width="19.5703125" bestFit="1" customWidth="1"/>
    <col min="4" max="4" width="8.7109375" bestFit="1" customWidth="1"/>
    <col min="5" max="5" width="10" bestFit="1" customWidth="1"/>
    <col min="7" max="7" width="8.28515625" customWidth="1"/>
  </cols>
  <sheetData>
    <row r="1" spans="1:7" x14ac:dyDescent="0.25">
      <c r="B1" t="s">
        <v>326</v>
      </c>
      <c r="C1" t="s">
        <v>328</v>
      </c>
      <c r="D1" t="s">
        <v>329</v>
      </c>
      <c r="E1" t="s">
        <v>327</v>
      </c>
    </row>
    <row r="2" spans="1:7" x14ac:dyDescent="0.25">
      <c r="A2" t="s">
        <v>276</v>
      </c>
      <c r="B2" s="28">
        <v>3.1560999999999999</v>
      </c>
      <c r="C2" s="28">
        <v>0.12679000000000001</v>
      </c>
      <c r="D2">
        <v>24.892900000000001</v>
      </c>
      <c r="E2" s="28">
        <v>2.2E-16</v>
      </c>
      <c r="G2" t="str">
        <f>IF(E2&lt;0.01,"***",IF(E2&lt;0.05,"**",IF(E2&lt;0.1,"*","")))</f>
        <v>***</v>
      </c>
    </row>
    <row r="3" spans="1:7" x14ac:dyDescent="0.25">
      <c r="A3" t="s">
        <v>11</v>
      </c>
      <c r="B3" s="28">
        <v>3.8276999999999999E-2</v>
      </c>
      <c r="C3" s="28">
        <v>9.9422E-3</v>
      </c>
      <c r="D3">
        <v>3.85</v>
      </c>
      <c r="E3">
        <v>1.181E-4</v>
      </c>
      <c r="G3" t="str">
        <f t="shared" ref="G3:G66" si="0">IF(E3&lt;0.01,"***",IF(E3&lt;0.05,"**",IF(E3&lt;0.1,"*","")))</f>
        <v>***</v>
      </c>
    </row>
    <row r="4" spans="1:7" x14ac:dyDescent="0.25">
      <c r="A4" t="s">
        <v>16</v>
      </c>
      <c r="B4" s="28">
        <v>-1.5102E-4</v>
      </c>
      <c r="C4" s="28">
        <v>2.4124000000000001E-5</v>
      </c>
      <c r="D4">
        <v>-6.2602000000000002</v>
      </c>
      <c r="E4" s="28">
        <v>3.8450000000000002E-10</v>
      </c>
      <c r="G4" t="str">
        <f t="shared" si="0"/>
        <v>***</v>
      </c>
    </row>
    <row r="5" spans="1:7" x14ac:dyDescent="0.25">
      <c r="A5" t="s">
        <v>197</v>
      </c>
      <c r="B5" s="28">
        <v>1.9715E-2</v>
      </c>
      <c r="C5" s="28">
        <v>5.1193000000000002E-3</v>
      </c>
      <c r="D5">
        <v>3.8512</v>
      </c>
      <c r="E5">
        <v>1.176E-4</v>
      </c>
      <c r="G5" t="str">
        <f t="shared" si="0"/>
        <v>***</v>
      </c>
    </row>
    <row r="6" spans="1:7" x14ac:dyDescent="0.25">
      <c r="A6" t="s">
        <v>200</v>
      </c>
      <c r="B6" s="28">
        <v>2.8953E-2</v>
      </c>
      <c r="C6" s="28">
        <v>5.1579E-3</v>
      </c>
      <c r="D6">
        <v>5.6134000000000004</v>
      </c>
      <c r="E6" s="28">
        <v>1.9840000000000001E-8</v>
      </c>
      <c r="G6" t="str">
        <f t="shared" si="0"/>
        <v>***</v>
      </c>
    </row>
    <row r="7" spans="1:7" x14ac:dyDescent="0.25">
      <c r="A7" t="s">
        <v>203</v>
      </c>
      <c r="B7" s="28">
        <v>6.5072000000000003E-3</v>
      </c>
      <c r="C7" s="28">
        <v>4.9890000000000004E-3</v>
      </c>
      <c r="D7">
        <v>1.3043</v>
      </c>
      <c r="E7">
        <v>0.19213450000000001</v>
      </c>
      <c r="G7" t="str">
        <f t="shared" si="0"/>
        <v/>
      </c>
    </row>
    <row r="8" spans="1:7" x14ac:dyDescent="0.25">
      <c r="A8" t="s">
        <v>204</v>
      </c>
      <c r="B8" s="28">
        <v>-5.1755999999999998E-3</v>
      </c>
      <c r="C8" s="28">
        <v>1.0031999999999999E-2</v>
      </c>
      <c r="D8">
        <v>-0.51590000000000003</v>
      </c>
      <c r="E8">
        <v>0.60591249999999997</v>
      </c>
      <c r="G8" t="str">
        <f t="shared" si="0"/>
        <v/>
      </c>
    </row>
    <row r="9" spans="1:7" x14ac:dyDescent="0.25">
      <c r="A9" t="s">
        <v>205</v>
      </c>
      <c r="B9" s="28">
        <v>0.11228</v>
      </c>
      <c r="C9" s="28">
        <v>1.0988E-2</v>
      </c>
      <c r="D9">
        <v>10.218400000000001</v>
      </c>
      <c r="E9" s="28">
        <v>2.2E-16</v>
      </c>
      <c r="G9" t="str">
        <f t="shared" si="0"/>
        <v>***</v>
      </c>
    </row>
    <row r="10" spans="1:7" x14ac:dyDescent="0.25">
      <c r="A10" t="s">
        <v>209</v>
      </c>
      <c r="B10" s="28">
        <v>0.14205000000000001</v>
      </c>
      <c r="C10" s="28">
        <v>1.1096999999999999E-2</v>
      </c>
      <c r="D10">
        <v>12.800700000000001</v>
      </c>
      <c r="E10" s="28">
        <v>2.2E-16</v>
      </c>
      <c r="G10" t="str">
        <f t="shared" si="0"/>
        <v>***</v>
      </c>
    </row>
    <row r="11" spans="1:7" x14ac:dyDescent="0.25">
      <c r="A11" t="s">
        <v>211</v>
      </c>
      <c r="B11" s="28">
        <v>8.4070000000000006E-2</v>
      </c>
      <c r="C11" s="28">
        <v>1.5158E-2</v>
      </c>
      <c r="D11">
        <v>5.5464000000000002</v>
      </c>
      <c r="E11" s="28">
        <v>2.9160000000000001E-8</v>
      </c>
      <c r="G11" t="str">
        <f t="shared" si="0"/>
        <v>***</v>
      </c>
    </row>
    <row r="12" spans="1:7" x14ac:dyDescent="0.25">
      <c r="A12" t="s">
        <v>15</v>
      </c>
      <c r="B12" s="28">
        <v>5.7787000000000003E-3</v>
      </c>
      <c r="C12" s="28">
        <v>1.4736E-3</v>
      </c>
      <c r="D12">
        <v>3.9214000000000002</v>
      </c>
      <c r="E12" s="28">
        <v>8.8040000000000004E-5</v>
      </c>
      <c r="G12" t="str">
        <f t="shared" si="0"/>
        <v>***</v>
      </c>
    </row>
    <row r="13" spans="1:7" x14ac:dyDescent="0.25">
      <c r="A13" t="s">
        <v>13</v>
      </c>
      <c r="B13" s="28">
        <v>4.2865E-2</v>
      </c>
      <c r="C13" s="28">
        <v>2.3031000000000002E-3</v>
      </c>
      <c r="D13">
        <v>18.612300000000001</v>
      </c>
      <c r="E13" s="28">
        <v>2.2E-16</v>
      </c>
      <c r="G13" t="str">
        <f t="shared" si="0"/>
        <v>***</v>
      </c>
    </row>
    <row r="14" spans="1:7" x14ac:dyDescent="0.25">
      <c r="A14" t="s">
        <v>14</v>
      </c>
      <c r="B14" s="28">
        <v>2.8760999999999998E-2</v>
      </c>
      <c r="C14" s="28">
        <v>2.7239E-3</v>
      </c>
      <c r="D14">
        <v>10.5589</v>
      </c>
      <c r="E14" s="28">
        <v>2.2E-16</v>
      </c>
      <c r="G14" t="str">
        <f t="shared" si="0"/>
        <v>***</v>
      </c>
    </row>
    <row r="15" spans="1:7" x14ac:dyDescent="0.25">
      <c r="A15" t="s">
        <v>59</v>
      </c>
      <c r="B15" s="28">
        <v>-2.9023E-2</v>
      </c>
      <c r="C15" s="28">
        <v>3.3796999999999998E-3</v>
      </c>
      <c r="D15">
        <v>-8.5874000000000006</v>
      </c>
      <c r="E15" s="28">
        <v>2.2E-16</v>
      </c>
      <c r="G15" t="str">
        <f t="shared" si="0"/>
        <v>***</v>
      </c>
    </row>
    <row r="16" spans="1:7" x14ac:dyDescent="0.25">
      <c r="A16" t="s">
        <v>60</v>
      </c>
      <c r="B16" s="28">
        <v>-7.4744000000000005E-2</v>
      </c>
      <c r="C16" s="28">
        <v>6.2503000000000003E-3</v>
      </c>
      <c r="D16">
        <v>-11.958500000000001</v>
      </c>
      <c r="E16" s="28">
        <v>2.2E-16</v>
      </c>
      <c r="G16" t="str">
        <f t="shared" si="0"/>
        <v>***</v>
      </c>
    </row>
    <row r="17" spans="1:7" x14ac:dyDescent="0.25">
      <c r="A17" t="s">
        <v>18</v>
      </c>
      <c r="B17" s="28">
        <v>1.1755E-4</v>
      </c>
      <c r="C17" s="28">
        <v>1.9692999999999999E-6</v>
      </c>
      <c r="D17">
        <v>59.693100000000001</v>
      </c>
      <c r="E17" s="28">
        <v>2.2E-16</v>
      </c>
      <c r="G17" t="str">
        <f t="shared" si="0"/>
        <v>***</v>
      </c>
    </row>
    <row r="18" spans="1:7" x14ac:dyDescent="0.25">
      <c r="A18" t="s">
        <v>33</v>
      </c>
      <c r="B18" s="28">
        <v>-3.9148999999999998E-3</v>
      </c>
      <c r="C18" s="28">
        <v>2.9251E-4</v>
      </c>
      <c r="D18">
        <v>-13.384</v>
      </c>
      <c r="E18" s="28">
        <v>2.2E-16</v>
      </c>
      <c r="G18" t="str">
        <f t="shared" si="0"/>
        <v>***</v>
      </c>
    </row>
    <row r="19" spans="1:7" x14ac:dyDescent="0.25">
      <c r="A19" t="s">
        <v>34</v>
      </c>
      <c r="B19" s="28">
        <v>3.7867999999999999E-2</v>
      </c>
      <c r="C19" s="28">
        <v>2.9767999999999999E-3</v>
      </c>
      <c r="D19">
        <v>12.721299999999999</v>
      </c>
      <c r="E19" s="28">
        <v>2.2E-16</v>
      </c>
      <c r="G19" t="str">
        <f t="shared" si="0"/>
        <v>***</v>
      </c>
    </row>
    <row r="20" spans="1:7" x14ac:dyDescent="0.25">
      <c r="A20" t="s">
        <v>21</v>
      </c>
      <c r="B20" s="28">
        <v>-1.5358E-2</v>
      </c>
      <c r="C20" s="28">
        <v>7.5894999999999999E-3</v>
      </c>
      <c r="D20">
        <v>-2.0234999999999999</v>
      </c>
      <c r="E20">
        <v>4.3017800000000002E-2</v>
      </c>
      <c r="G20" t="str">
        <f t="shared" si="0"/>
        <v>**</v>
      </c>
    </row>
    <row r="21" spans="1:7" x14ac:dyDescent="0.25">
      <c r="A21" t="s">
        <v>221</v>
      </c>
      <c r="B21" s="28">
        <v>0.10242</v>
      </c>
      <c r="C21" s="28">
        <v>3.7783000000000001E-3</v>
      </c>
      <c r="D21">
        <v>27.108499999999999</v>
      </c>
      <c r="E21" s="28">
        <v>2.2E-16</v>
      </c>
      <c r="G21" t="str">
        <f t="shared" si="0"/>
        <v>***</v>
      </c>
    </row>
    <row r="22" spans="1:7" x14ac:dyDescent="0.25">
      <c r="A22" t="s">
        <v>222</v>
      </c>
      <c r="B22" s="28">
        <v>5.6076000000000001E-2</v>
      </c>
      <c r="C22" s="28">
        <v>3.3067999999999999E-3</v>
      </c>
      <c r="D22">
        <v>16.9575</v>
      </c>
      <c r="E22" s="28">
        <v>2.2E-16</v>
      </c>
      <c r="G22" t="str">
        <f t="shared" si="0"/>
        <v>***</v>
      </c>
    </row>
    <row r="23" spans="1:7" x14ac:dyDescent="0.25">
      <c r="A23" t="s">
        <v>225</v>
      </c>
      <c r="B23" s="28">
        <v>-5.5635999999999998E-2</v>
      </c>
      <c r="C23" s="28">
        <v>5.1906000000000001E-3</v>
      </c>
      <c r="D23">
        <v>-10.7187</v>
      </c>
      <c r="E23" s="28">
        <v>2.2E-16</v>
      </c>
      <c r="G23" t="str">
        <f t="shared" si="0"/>
        <v>***</v>
      </c>
    </row>
    <row r="24" spans="1:7" x14ac:dyDescent="0.25">
      <c r="A24" t="s">
        <v>22</v>
      </c>
      <c r="B24" s="28">
        <v>2.9432E-2</v>
      </c>
      <c r="C24" s="28">
        <v>6.5228999999999999E-3</v>
      </c>
      <c r="D24">
        <v>4.5121000000000002</v>
      </c>
      <c r="E24" s="28">
        <v>6.4200000000000004E-6</v>
      </c>
      <c r="G24" t="str">
        <f t="shared" si="0"/>
        <v>***</v>
      </c>
    </row>
    <row r="25" spans="1:7" x14ac:dyDescent="0.25">
      <c r="A25" t="s">
        <v>23</v>
      </c>
      <c r="B25" s="28">
        <v>-6.2135999999999997E-2</v>
      </c>
      <c r="C25" s="28">
        <v>1.1783E-2</v>
      </c>
      <c r="D25">
        <v>-5.2735000000000003</v>
      </c>
      <c r="E25" s="28">
        <v>1.339E-7</v>
      </c>
      <c r="G25" t="str">
        <f t="shared" si="0"/>
        <v>***</v>
      </c>
    </row>
    <row r="26" spans="1:7" x14ac:dyDescent="0.25">
      <c r="A26" t="s">
        <v>24</v>
      </c>
      <c r="B26" s="28">
        <v>-0.43789</v>
      </c>
      <c r="C26" s="28">
        <v>1.2322E-2</v>
      </c>
      <c r="D26">
        <v>-35.536499999999997</v>
      </c>
      <c r="E26" s="28">
        <v>2.2E-16</v>
      </c>
      <c r="G26" t="str">
        <f t="shared" si="0"/>
        <v>***</v>
      </c>
    </row>
    <row r="27" spans="1:7" x14ac:dyDescent="0.25">
      <c r="A27" t="s">
        <v>25</v>
      </c>
      <c r="B27" s="28">
        <v>-0.47798000000000002</v>
      </c>
      <c r="C27" s="28">
        <v>1.6379000000000001E-2</v>
      </c>
      <c r="D27">
        <v>-29.182600000000001</v>
      </c>
      <c r="E27" s="28">
        <v>2.2E-16</v>
      </c>
      <c r="G27" t="str">
        <f t="shared" si="0"/>
        <v>***</v>
      </c>
    </row>
    <row r="28" spans="1:7" x14ac:dyDescent="0.25">
      <c r="A28" t="s">
        <v>26</v>
      </c>
      <c r="B28" s="28">
        <v>-0.25236999999999998</v>
      </c>
      <c r="C28" s="28">
        <v>9.6115000000000003E-3</v>
      </c>
      <c r="D28">
        <v>-26.257300000000001</v>
      </c>
      <c r="E28" s="28">
        <v>2.2E-16</v>
      </c>
      <c r="G28" t="str">
        <f t="shared" si="0"/>
        <v>***</v>
      </c>
    </row>
    <row r="29" spans="1:7" x14ac:dyDescent="0.25">
      <c r="A29" t="s">
        <v>27</v>
      </c>
      <c r="B29" s="28">
        <v>-0.20258999999999999</v>
      </c>
      <c r="C29" s="28">
        <v>5.0247E-2</v>
      </c>
      <c r="D29">
        <v>-4.0319000000000003</v>
      </c>
      <c r="E29" s="28">
        <v>5.5340000000000002E-5</v>
      </c>
      <c r="G29" t="str">
        <f t="shared" si="0"/>
        <v>***</v>
      </c>
    </row>
    <row r="30" spans="1:7" x14ac:dyDescent="0.25">
      <c r="A30" t="s">
        <v>29</v>
      </c>
      <c r="B30" s="28">
        <v>-3.4745999999999999E-2</v>
      </c>
      <c r="C30" s="28">
        <v>9.9393999999999993E-3</v>
      </c>
      <c r="D30">
        <v>-3.4958</v>
      </c>
      <c r="E30">
        <v>4.7259999999999999E-4</v>
      </c>
      <c r="G30" t="str">
        <f t="shared" si="0"/>
        <v>***</v>
      </c>
    </row>
    <row r="31" spans="1:7" x14ac:dyDescent="0.25">
      <c r="A31" t="s">
        <v>31</v>
      </c>
      <c r="B31" s="28">
        <v>-0.24678</v>
      </c>
      <c r="C31" s="28">
        <v>1.4666999999999999E-2</v>
      </c>
      <c r="D31">
        <v>-16.8263</v>
      </c>
      <c r="E31" s="28">
        <v>2.2E-16</v>
      </c>
      <c r="G31" t="str">
        <f t="shared" si="0"/>
        <v>***</v>
      </c>
    </row>
    <row r="32" spans="1:7" x14ac:dyDescent="0.25">
      <c r="A32" t="s">
        <v>237</v>
      </c>
      <c r="B32" s="28">
        <v>0.15461</v>
      </c>
      <c r="C32" s="28">
        <v>1.8164E-2</v>
      </c>
      <c r="D32">
        <v>8.5122999999999998</v>
      </c>
      <c r="E32" s="28">
        <v>2.2E-16</v>
      </c>
      <c r="G32" t="str">
        <f t="shared" si="0"/>
        <v>***</v>
      </c>
    </row>
    <row r="33" spans="1:7" x14ac:dyDescent="0.25">
      <c r="A33" t="s">
        <v>238</v>
      </c>
      <c r="B33" s="28">
        <v>-5.6084000000000002E-2</v>
      </c>
      <c r="C33" s="28">
        <v>3.5522999999999999E-2</v>
      </c>
      <c r="D33">
        <v>-1.5788</v>
      </c>
      <c r="E33">
        <v>0.1143734</v>
      </c>
      <c r="G33" t="str">
        <f t="shared" si="0"/>
        <v/>
      </c>
    </row>
    <row r="34" spans="1:7" x14ac:dyDescent="0.25">
      <c r="A34" t="s">
        <v>241</v>
      </c>
      <c r="B34" s="28">
        <v>-6.8566000000000002E-2</v>
      </c>
      <c r="C34" s="28">
        <v>9.7249999999999993E-3</v>
      </c>
      <c r="D34">
        <v>-7.0505000000000004</v>
      </c>
      <c r="E34" s="28">
        <v>1.783E-12</v>
      </c>
      <c r="G34" t="str">
        <f t="shared" si="0"/>
        <v>***</v>
      </c>
    </row>
    <row r="35" spans="1:7" x14ac:dyDescent="0.25">
      <c r="A35" t="s">
        <v>243</v>
      </c>
      <c r="B35" s="28">
        <v>-0.10977000000000001</v>
      </c>
      <c r="C35" s="28">
        <v>1.2975E-2</v>
      </c>
      <c r="D35">
        <v>-8.4601000000000006</v>
      </c>
      <c r="E35" s="28">
        <v>2.2E-16</v>
      </c>
      <c r="G35" t="str">
        <f t="shared" si="0"/>
        <v>***</v>
      </c>
    </row>
    <row r="36" spans="1:7" x14ac:dyDescent="0.25">
      <c r="A36" t="s">
        <v>244</v>
      </c>
      <c r="B36" s="28">
        <v>1.4531000000000001E-2</v>
      </c>
      <c r="C36" s="28">
        <v>2.8785000000000002E-2</v>
      </c>
      <c r="D36">
        <v>0.50480000000000003</v>
      </c>
      <c r="E36">
        <v>0.61369569999999996</v>
      </c>
      <c r="G36" t="str">
        <f t="shared" si="0"/>
        <v/>
      </c>
    </row>
    <row r="37" spans="1:7" x14ac:dyDescent="0.25">
      <c r="A37" t="s">
        <v>245</v>
      </c>
      <c r="B37" s="28">
        <v>3.4098000000000003E-2</v>
      </c>
      <c r="C37" s="28">
        <v>1.6156E-2</v>
      </c>
      <c r="D37">
        <v>2.1105999999999998</v>
      </c>
      <c r="E37">
        <v>3.4808499999999999E-2</v>
      </c>
      <c r="G37" t="str">
        <f t="shared" si="0"/>
        <v>**</v>
      </c>
    </row>
    <row r="38" spans="1:7" x14ac:dyDescent="0.25">
      <c r="A38" t="s">
        <v>247</v>
      </c>
      <c r="B38" s="28">
        <v>0.30296000000000001</v>
      </c>
      <c r="C38" s="28">
        <v>4.2747E-2</v>
      </c>
      <c r="D38">
        <v>7.0872000000000002</v>
      </c>
      <c r="E38" s="28">
        <v>1.368E-12</v>
      </c>
      <c r="G38" t="str">
        <f t="shared" si="0"/>
        <v>***</v>
      </c>
    </row>
    <row r="39" spans="1:7" x14ac:dyDescent="0.25">
      <c r="A39" t="s">
        <v>166</v>
      </c>
      <c r="B39" s="28">
        <v>0.20057</v>
      </c>
      <c r="C39" s="28">
        <v>1.5027E-2</v>
      </c>
      <c r="D39">
        <v>13.3468</v>
      </c>
      <c r="E39" s="28">
        <v>2.2E-16</v>
      </c>
      <c r="G39" t="str">
        <f t="shared" si="0"/>
        <v>***</v>
      </c>
    </row>
    <row r="40" spans="1:7" x14ac:dyDescent="0.25">
      <c r="A40" t="s">
        <v>167</v>
      </c>
      <c r="B40" s="28">
        <v>0.31609999999999999</v>
      </c>
      <c r="C40" s="28">
        <v>1.4721E-2</v>
      </c>
      <c r="D40">
        <v>21.4725</v>
      </c>
      <c r="E40" s="28">
        <v>2.2E-16</v>
      </c>
      <c r="G40" t="str">
        <f t="shared" si="0"/>
        <v>***</v>
      </c>
    </row>
    <row r="41" spans="1:7" x14ac:dyDescent="0.25">
      <c r="A41" t="s">
        <v>168</v>
      </c>
      <c r="B41" s="28">
        <v>0.32772000000000001</v>
      </c>
      <c r="C41" s="28">
        <v>1.5075E-2</v>
      </c>
      <c r="D41">
        <v>21.739000000000001</v>
      </c>
      <c r="E41" s="28">
        <v>2.2E-16</v>
      </c>
      <c r="G41" t="str">
        <f t="shared" si="0"/>
        <v>***</v>
      </c>
    </row>
    <row r="42" spans="1:7" x14ac:dyDescent="0.25">
      <c r="A42" t="s">
        <v>169</v>
      </c>
      <c r="B42" s="28">
        <v>0.33672000000000002</v>
      </c>
      <c r="C42" s="28">
        <v>1.4893999999999999E-2</v>
      </c>
      <c r="D42">
        <v>22.607700000000001</v>
      </c>
      <c r="E42" s="28">
        <v>2.2E-16</v>
      </c>
      <c r="G42" t="str">
        <f t="shared" si="0"/>
        <v>***</v>
      </c>
    </row>
    <row r="43" spans="1:7" x14ac:dyDescent="0.25">
      <c r="A43" t="s">
        <v>170</v>
      </c>
      <c r="B43" s="28">
        <v>0.34842000000000001</v>
      </c>
      <c r="C43" s="28">
        <v>1.5356E-2</v>
      </c>
      <c r="D43">
        <v>22.6892</v>
      </c>
      <c r="E43" s="28">
        <v>2.2E-16</v>
      </c>
      <c r="G43" t="str">
        <f t="shared" si="0"/>
        <v>***</v>
      </c>
    </row>
    <row r="44" spans="1:7" x14ac:dyDescent="0.25">
      <c r="A44" t="s">
        <v>50</v>
      </c>
      <c r="B44" s="28">
        <v>7.6961999999999999E-5</v>
      </c>
      <c r="C44" s="28">
        <v>3.7184999999999997E-5</v>
      </c>
      <c r="D44">
        <v>2.0697000000000001</v>
      </c>
      <c r="E44">
        <v>3.8482200000000001E-2</v>
      </c>
      <c r="G44" t="str">
        <f t="shared" si="0"/>
        <v>**</v>
      </c>
    </row>
    <row r="45" spans="1:7" x14ac:dyDescent="0.25">
      <c r="A45" t="s">
        <v>52</v>
      </c>
      <c r="B45" s="28">
        <v>1.5981000000000001E-3</v>
      </c>
      <c r="C45" s="28">
        <v>2.7715000000000001E-3</v>
      </c>
      <c r="D45">
        <v>0.5766</v>
      </c>
      <c r="E45">
        <v>0.56418809999999997</v>
      </c>
      <c r="G45" t="str">
        <f t="shared" si="0"/>
        <v/>
      </c>
    </row>
    <row r="46" spans="1:7" x14ac:dyDescent="0.25">
      <c r="A46" t="s">
        <v>51</v>
      </c>
      <c r="B46" s="28">
        <v>-2.7445E-3</v>
      </c>
      <c r="C46" s="28">
        <v>5.4641999999999998E-3</v>
      </c>
      <c r="D46">
        <v>-0.50229999999999997</v>
      </c>
      <c r="E46">
        <v>0.61547589999999996</v>
      </c>
      <c r="G46" t="str">
        <f t="shared" si="0"/>
        <v/>
      </c>
    </row>
    <row r="47" spans="1:7" x14ac:dyDescent="0.25">
      <c r="A47" t="s">
        <v>164</v>
      </c>
      <c r="B47" s="28">
        <v>-0.14365</v>
      </c>
      <c r="C47" s="28">
        <v>1.6119000000000001E-2</v>
      </c>
      <c r="D47">
        <v>-8.9118999999999993</v>
      </c>
      <c r="E47" s="28">
        <v>2.2E-16</v>
      </c>
      <c r="G47" t="str">
        <f t="shared" si="0"/>
        <v>***</v>
      </c>
    </row>
    <row r="48" spans="1:7" x14ac:dyDescent="0.25">
      <c r="A48" t="s">
        <v>39</v>
      </c>
      <c r="B48" s="28">
        <v>8.8428000000000007E-2</v>
      </c>
      <c r="C48" s="28">
        <v>1.5880999999999999E-2</v>
      </c>
      <c r="D48">
        <v>5.5682999999999998</v>
      </c>
      <c r="E48" s="28">
        <v>2.5720000000000001E-8</v>
      </c>
      <c r="G48" t="str">
        <f t="shared" si="0"/>
        <v>***</v>
      </c>
    </row>
    <row r="49" spans="1:7" x14ac:dyDescent="0.25">
      <c r="A49" t="s">
        <v>40</v>
      </c>
      <c r="B49" s="28">
        <v>-3.1433999999999997E-2</v>
      </c>
      <c r="C49" s="28">
        <v>1.2664E-2</v>
      </c>
      <c r="D49">
        <v>-2.4822000000000002</v>
      </c>
      <c r="E49">
        <v>1.3058800000000001E-2</v>
      </c>
      <c r="G49" t="str">
        <f t="shared" si="0"/>
        <v>**</v>
      </c>
    </row>
    <row r="50" spans="1:7" x14ac:dyDescent="0.25">
      <c r="A50" t="s">
        <v>41</v>
      </c>
      <c r="B50" s="28">
        <v>4.6851999999999998E-2</v>
      </c>
      <c r="C50" s="28">
        <v>1.2541E-2</v>
      </c>
      <c r="D50">
        <v>3.7359</v>
      </c>
      <c r="E50">
        <v>1.8709999999999999E-4</v>
      </c>
      <c r="G50" t="str">
        <f t="shared" si="0"/>
        <v>***</v>
      </c>
    </row>
    <row r="51" spans="1:7" x14ac:dyDescent="0.25">
      <c r="A51" t="s">
        <v>173</v>
      </c>
      <c r="B51" s="28">
        <v>-6.8324E-4</v>
      </c>
      <c r="C51" s="28">
        <v>8.6185000000000005E-4</v>
      </c>
      <c r="D51">
        <v>-0.79279999999999995</v>
      </c>
      <c r="E51">
        <v>0.42791970000000001</v>
      </c>
      <c r="G51" t="str">
        <f t="shared" si="0"/>
        <v/>
      </c>
    </row>
    <row r="52" spans="1:7" x14ac:dyDescent="0.25">
      <c r="A52" t="s">
        <v>174</v>
      </c>
      <c r="B52" s="28">
        <v>3.9621999999999997E-2</v>
      </c>
      <c r="C52" s="28">
        <v>8.9304999999999992E-3</v>
      </c>
      <c r="D52">
        <v>4.4367999999999999</v>
      </c>
      <c r="E52" s="28">
        <v>9.132E-6</v>
      </c>
      <c r="G52" t="str">
        <f t="shared" si="0"/>
        <v>***</v>
      </c>
    </row>
    <row r="53" spans="1:7" x14ac:dyDescent="0.25">
      <c r="A53" t="s">
        <v>175</v>
      </c>
      <c r="B53" s="28">
        <v>1.6843E-2</v>
      </c>
      <c r="C53" s="28">
        <v>7.2822E-3</v>
      </c>
      <c r="D53">
        <v>2.3129</v>
      </c>
      <c r="E53">
        <v>2.0729500000000001E-2</v>
      </c>
      <c r="G53" t="str">
        <f t="shared" si="0"/>
        <v>**</v>
      </c>
    </row>
    <row r="54" spans="1:7" x14ac:dyDescent="0.25">
      <c r="A54" t="s">
        <v>43</v>
      </c>
      <c r="B54" s="28">
        <v>-0.14296</v>
      </c>
      <c r="C54" s="28">
        <v>9.7736000000000003E-2</v>
      </c>
      <c r="D54">
        <v>-1.4626999999999999</v>
      </c>
      <c r="E54">
        <v>0.14355480000000001</v>
      </c>
      <c r="G54" t="str">
        <f t="shared" si="0"/>
        <v/>
      </c>
    </row>
    <row r="55" spans="1:7" x14ac:dyDescent="0.25">
      <c r="A55" t="s">
        <v>44</v>
      </c>
      <c r="B55" s="28">
        <v>-9.3024999999999997E-2</v>
      </c>
      <c r="C55" s="28">
        <v>2.2835999999999999E-2</v>
      </c>
      <c r="D55">
        <v>-4.0735999999999999</v>
      </c>
      <c r="E55" s="28">
        <v>4.6289999999999999E-5</v>
      </c>
      <c r="G55" t="str">
        <f t="shared" si="0"/>
        <v>***</v>
      </c>
    </row>
    <row r="56" spans="1:7" x14ac:dyDescent="0.25">
      <c r="A56" t="s">
        <v>45</v>
      </c>
      <c r="B56" s="28">
        <v>-0.15931999999999999</v>
      </c>
      <c r="C56" s="28">
        <v>3.4505000000000001E-2</v>
      </c>
      <c r="D56">
        <v>-4.6173999999999999</v>
      </c>
      <c r="E56" s="28">
        <v>3.8850000000000001E-6</v>
      </c>
      <c r="G56" t="str">
        <f t="shared" si="0"/>
        <v>***</v>
      </c>
    </row>
    <row r="57" spans="1:7" x14ac:dyDescent="0.25">
      <c r="A57" t="s">
        <v>48</v>
      </c>
      <c r="B57" s="28">
        <v>-2.2921999999999999E-3</v>
      </c>
      <c r="C57" s="28">
        <v>1.7165E-2</v>
      </c>
      <c r="D57">
        <v>-0.13350000000000001</v>
      </c>
      <c r="E57">
        <v>0.89376529999999998</v>
      </c>
      <c r="G57" t="str">
        <f t="shared" si="0"/>
        <v/>
      </c>
    </row>
    <row r="58" spans="1:7" x14ac:dyDescent="0.25">
      <c r="A58" t="s">
        <v>46</v>
      </c>
      <c r="B58" s="28">
        <v>-0.23694999999999999</v>
      </c>
      <c r="C58" s="28">
        <v>2.8641E-2</v>
      </c>
      <c r="D58">
        <v>-8.2730999999999995</v>
      </c>
      <c r="E58" s="28">
        <v>2.2200000000000001E-16</v>
      </c>
      <c r="G58" t="str">
        <f t="shared" si="0"/>
        <v>***</v>
      </c>
    </row>
    <row r="59" spans="1:7" x14ac:dyDescent="0.25">
      <c r="A59" t="s">
        <v>330</v>
      </c>
      <c r="B59" s="28">
        <v>-5.9623000000000002E-2</v>
      </c>
      <c r="C59" s="28">
        <v>4.5963999999999998E-2</v>
      </c>
      <c r="D59">
        <v>-1.2971999999999999</v>
      </c>
      <c r="E59">
        <v>0.19457430000000001</v>
      </c>
      <c r="G59" t="str">
        <f t="shared" si="0"/>
        <v/>
      </c>
    </row>
    <row r="60" spans="1:7" x14ac:dyDescent="0.25">
      <c r="A60" t="s">
        <v>331</v>
      </c>
      <c r="B60" s="28">
        <v>3.2933000000000002E-4</v>
      </c>
      <c r="C60" s="28">
        <v>9.8970999999999998E-5</v>
      </c>
      <c r="D60">
        <v>3.3275000000000001</v>
      </c>
      <c r="E60">
        <v>8.7609999999999999E-4</v>
      </c>
      <c r="G60" t="str">
        <f t="shared" si="0"/>
        <v>***</v>
      </c>
    </row>
    <row r="61" spans="1:7" x14ac:dyDescent="0.25">
      <c r="A61" t="s">
        <v>332</v>
      </c>
      <c r="B61" s="28">
        <v>1.9644999999999999E-2</v>
      </c>
      <c r="C61" s="28">
        <v>2.3213000000000001E-2</v>
      </c>
      <c r="D61">
        <v>0.84630000000000005</v>
      </c>
      <c r="E61">
        <v>0.39737210000000001</v>
      </c>
      <c r="G61" t="str">
        <f t="shared" si="0"/>
        <v/>
      </c>
    </row>
    <row r="62" spans="1:7" x14ac:dyDescent="0.25">
      <c r="A62" t="s">
        <v>333</v>
      </c>
      <c r="B62" s="28">
        <v>-1.0800000000000001E-2</v>
      </c>
      <c r="C62" s="28">
        <v>2.3501999999999999E-2</v>
      </c>
      <c r="D62">
        <v>-0.45950000000000002</v>
      </c>
      <c r="E62">
        <v>0.64584030000000003</v>
      </c>
      <c r="G62" t="str">
        <f t="shared" si="0"/>
        <v/>
      </c>
    </row>
    <row r="63" spans="1:7" x14ac:dyDescent="0.25">
      <c r="A63" t="s">
        <v>334</v>
      </c>
      <c r="B63" s="28">
        <v>-7.2617999999999997E-3</v>
      </c>
      <c r="C63" s="28">
        <v>2.2539E-2</v>
      </c>
      <c r="D63">
        <v>-0.32219999999999999</v>
      </c>
      <c r="E63">
        <v>0.74731080000000005</v>
      </c>
      <c r="G63" t="str">
        <f t="shared" si="0"/>
        <v/>
      </c>
    </row>
    <row r="64" spans="1:7" x14ac:dyDescent="0.25">
      <c r="A64" t="s">
        <v>335</v>
      </c>
      <c r="B64" s="28">
        <v>4.0502000000000003E-2</v>
      </c>
      <c r="C64" s="28">
        <v>4.6741999999999999E-2</v>
      </c>
      <c r="D64">
        <v>0.86650000000000005</v>
      </c>
      <c r="E64">
        <v>0.3862218</v>
      </c>
      <c r="G64" t="str">
        <f t="shared" si="0"/>
        <v/>
      </c>
    </row>
    <row r="65" spans="1:7" x14ac:dyDescent="0.25">
      <c r="A65" t="s">
        <v>336</v>
      </c>
      <c r="B65" s="28">
        <v>-3.2529000000000002E-2</v>
      </c>
      <c r="C65" s="28">
        <v>5.1451999999999998E-2</v>
      </c>
      <c r="D65">
        <v>-0.63219999999999998</v>
      </c>
      <c r="E65">
        <v>0.52723799999999998</v>
      </c>
      <c r="G65" t="str">
        <f t="shared" si="0"/>
        <v/>
      </c>
    </row>
    <row r="66" spans="1:7" x14ac:dyDescent="0.25">
      <c r="A66" t="s">
        <v>337</v>
      </c>
      <c r="B66" s="28">
        <v>-8.4209999999999993E-2</v>
      </c>
      <c r="C66" s="28">
        <v>5.2158999999999997E-2</v>
      </c>
      <c r="D66">
        <v>-1.6145</v>
      </c>
      <c r="E66">
        <v>0.1064189</v>
      </c>
      <c r="G66" t="str">
        <f t="shared" si="0"/>
        <v/>
      </c>
    </row>
    <row r="67" spans="1:7" x14ac:dyDescent="0.25">
      <c r="A67" t="s">
        <v>338</v>
      </c>
      <c r="B67" s="28">
        <v>-0.13655999999999999</v>
      </c>
      <c r="C67" s="28">
        <v>7.1790000000000007E-2</v>
      </c>
      <c r="D67">
        <v>-1.9021999999999999</v>
      </c>
      <c r="E67">
        <v>5.7145000000000001E-2</v>
      </c>
      <c r="G67" t="str">
        <f t="shared" ref="G67:G114" si="1">IF(E67&lt;0.01,"***",IF(E67&lt;0.05,"**",IF(E67&lt;0.1,"*","")))</f>
        <v>*</v>
      </c>
    </row>
    <row r="68" spans="1:7" x14ac:dyDescent="0.25">
      <c r="A68" t="s">
        <v>339</v>
      </c>
      <c r="B68" s="28">
        <v>-3.9093999999999997E-2</v>
      </c>
      <c r="C68" s="28">
        <v>4.2741000000000003E-3</v>
      </c>
      <c r="D68">
        <v>-9.1465999999999994</v>
      </c>
      <c r="E68" s="28">
        <v>2.2E-16</v>
      </c>
      <c r="G68" t="str">
        <f t="shared" si="1"/>
        <v>***</v>
      </c>
    </row>
    <row r="69" spans="1:7" x14ac:dyDescent="0.25">
      <c r="A69" t="s">
        <v>340</v>
      </c>
      <c r="B69" s="28">
        <v>-2.9204000000000001E-3</v>
      </c>
      <c r="C69" s="28">
        <v>8.0522000000000007E-3</v>
      </c>
      <c r="D69">
        <v>-0.36270000000000002</v>
      </c>
      <c r="E69">
        <v>0.71684460000000005</v>
      </c>
      <c r="G69" t="str">
        <f t="shared" si="1"/>
        <v/>
      </c>
    </row>
    <row r="70" spans="1:7" x14ac:dyDescent="0.25">
      <c r="A70" t="s">
        <v>341</v>
      </c>
      <c r="B70" s="28">
        <v>-6.2331000000000001E-3</v>
      </c>
      <c r="C70" s="28">
        <v>8.3247000000000008E-3</v>
      </c>
      <c r="D70">
        <v>-0.74870000000000003</v>
      </c>
      <c r="E70">
        <v>0.45400950000000001</v>
      </c>
      <c r="G70" t="str">
        <f t="shared" si="1"/>
        <v/>
      </c>
    </row>
    <row r="71" spans="1:7" x14ac:dyDescent="0.25">
      <c r="A71" t="s">
        <v>342</v>
      </c>
      <c r="B71" s="28">
        <v>2.1922000000000001E-2</v>
      </c>
      <c r="C71" s="28">
        <v>9.0594000000000004E-3</v>
      </c>
      <c r="D71">
        <v>2.4198</v>
      </c>
      <c r="E71">
        <v>1.5528E-2</v>
      </c>
      <c r="G71" t="str">
        <f t="shared" si="1"/>
        <v>**</v>
      </c>
    </row>
    <row r="72" spans="1:7" x14ac:dyDescent="0.25">
      <c r="A72" t="s">
        <v>343</v>
      </c>
      <c r="B72" s="28">
        <v>2.6689000000000001E-2</v>
      </c>
      <c r="C72" s="28">
        <v>2.1673999999999999E-2</v>
      </c>
      <c r="D72">
        <v>1.2314000000000001</v>
      </c>
      <c r="E72">
        <v>0.21817929999999999</v>
      </c>
      <c r="G72" t="str">
        <f t="shared" si="1"/>
        <v/>
      </c>
    </row>
    <row r="73" spans="1:7" x14ac:dyDescent="0.25">
      <c r="A73" t="s">
        <v>344</v>
      </c>
      <c r="B73" s="28">
        <v>-3.4246999999999999E-5</v>
      </c>
      <c r="C73" s="28">
        <v>6.0403999999999998E-6</v>
      </c>
      <c r="D73">
        <v>-5.6696</v>
      </c>
      <c r="E73" s="28">
        <v>1.431E-8</v>
      </c>
      <c r="G73" t="str">
        <f t="shared" si="1"/>
        <v>***</v>
      </c>
    </row>
    <row r="74" spans="1:7" x14ac:dyDescent="0.25">
      <c r="A74" t="s">
        <v>345</v>
      </c>
      <c r="B74" s="28">
        <v>4.0870999999999998E-3</v>
      </c>
      <c r="C74" s="28">
        <v>6.0521999999999996E-4</v>
      </c>
      <c r="D74">
        <v>6.7530000000000001</v>
      </c>
      <c r="E74" s="28">
        <v>1.448E-11</v>
      </c>
      <c r="G74" t="str">
        <f t="shared" si="1"/>
        <v>***</v>
      </c>
    </row>
    <row r="75" spans="1:7" x14ac:dyDescent="0.25">
      <c r="A75" t="s">
        <v>346</v>
      </c>
      <c r="B75" s="28">
        <v>-1.9942999999999999E-2</v>
      </c>
      <c r="C75" s="28">
        <v>5.9176000000000003E-3</v>
      </c>
      <c r="D75">
        <v>-3.3702000000000001</v>
      </c>
      <c r="E75">
        <v>7.5120000000000004E-4</v>
      </c>
      <c r="G75" t="str">
        <f t="shared" si="1"/>
        <v>***</v>
      </c>
    </row>
    <row r="76" spans="1:7" x14ac:dyDescent="0.25">
      <c r="A76" t="s">
        <v>347</v>
      </c>
      <c r="B76" s="28">
        <v>2.8993000000000001E-2</v>
      </c>
      <c r="C76" s="28">
        <v>3.0359000000000001E-2</v>
      </c>
      <c r="D76">
        <v>0.95499999999999996</v>
      </c>
      <c r="E76">
        <v>0.33956449999999999</v>
      </c>
      <c r="G76" t="str">
        <f t="shared" si="1"/>
        <v/>
      </c>
    </row>
    <row r="77" spans="1:7" x14ac:dyDescent="0.25">
      <c r="A77" t="s">
        <v>348</v>
      </c>
      <c r="B77" s="28">
        <v>-3.2948999999999999E-2</v>
      </c>
      <c r="C77" s="28">
        <v>1.5790999999999999E-2</v>
      </c>
      <c r="D77">
        <v>-2.0865</v>
      </c>
      <c r="E77">
        <v>3.6931199999999997E-2</v>
      </c>
      <c r="G77" t="str">
        <f t="shared" si="1"/>
        <v>**</v>
      </c>
    </row>
    <row r="78" spans="1:7" x14ac:dyDescent="0.25">
      <c r="A78" t="s">
        <v>349</v>
      </c>
      <c r="B78" s="28">
        <v>-3.2693E-2</v>
      </c>
      <c r="C78" s="28">
        <v>1.4836999999999999E-2</v>
      </c>
      <c r="D78">
        <v>-2.2035</v>
      </c>
      <c r="E78">
        <v>2.75619E-2</v>
      </c>
      <c r="G78" t="str">
        <f t="shared" si="1"/>
        <v>**</v>
      </c>
    </row>
    <row r="79" spans="1:7" x14ac:dyDescent="0.25">
      <c r="A79" t="s">
        <v>350</v>
      </c>
      <c r="B79" s="28">
        <v>5.1429000000000002E-2</v>
      </c>
      <c r="C79" s="28">
        <v>2.2445E-2</v>
      </c>
      <c r="D79">
        <v>2.2913000000000001</v>
      </c>
      <c r="E79">
        <v>2.1944600000000002E-2</v>
      </c>
      <c r="G79" t="str">
        <f t="shared" si="1"/>
        <v>**</v>
      </c>
    </row>
    <row r="80" spans="1:7" x14ac:dyDescent="0.25">
      <c r="A80" t="s">
        <v>351</v>
      </c>
      <c r="B80" s="28">
        <v>4.7939000000000002E-3</v>
      </c>
      <c r="C80" s="28">
        <v>2.4875000000000001E-2</v>
      </c>
      <c r="D80">
        <v>0.19270000000000001</v>
      </c>
      <c r="E80">
        <v>0.84718000000000004</v>
      </c>
      <c r="G80" t="str">
        <f t="shared" si="1"/>
        <v/>
      </c>
    </row>
    <row r="81" spans="1:7" x14ac:dyDescent="0.25">
      <c r="A81" t="s">
        <v>352</v>
      </c>
      <c r="B81" s="28">
        <v>4.8936E-2</v>
      </c>
      <c r="C81" s="28">
        <v>3.1279000000000001E-2</v>
      </c>
      <c r="D81">
        <v>1.5645</v>
      </c>
      <c r="E81">
        <v>0.1177052</v>
      </c>
      <c r="G81" t="str">
        <f t="shared" si="1"/>
        <v/>
      </c>
    </row>
    <row r="82" spans="1:7" x14ac:dyDescent="0.25">
      <c r="A82" t="s">
        <v>353</v>
      </c>
      <c r="B82" s="28">
        <v>0.31939000000000001</v>
      </c>
      <c r="C82" s="28">
        <v>5.1914000000000002E-2</v>
      </c>
      <c r="D82">
        <v>6.1523000000000003</v>
      </c>
      <c r="E82" s="28">
        <v>7.6360000000000003E-10</v>
      </c>
      <c r="G82" t="str">
        <f t="shared" si="1"/>
        <v>***</v>
      </c>
    </row>
    <row r="83" spans="1:7" x14ac:dyDescent="0.25">
      <c r="A83" t="s">
        <v>354</v>
      </c>
      <c r="B83" s="28">
        <v>0.31856000000000001</v>
      </c>
      <c r="C83" s="28">
        <v>5.4188E-2</v>
      </c>
      <c r="D83">
        <v>5.8788</v>
      </c>
      <c r="E83" s="28">
        <v>4.1320000000000002E-9</v>
      </c>
      <c r="G83" t="str">
        <f t="shared" si="1"/>
        <v>***</v>
      </c>
    </row>
    <row r="84" spans="1:7" x14ac:dyDescent="0.25">
      <c r="A84" t="s">
        <v>355</v>
      </c>
      <c r="B84" s="28">
        <v>0.20677000000000001</v>
      </c>
      <c r="C84" s="28">
        <v>2.0310999999999999E-2</v>
      </c>
      <c r="D84">
        <v>10.180099999999999</v>
      </c>
      <c r="E84" s="28">
        <v>2.2E-16</v>
      </c>
      <c r="G84" t="str">
        <f t="shared" si="1"/>
        <v>***</v>
      </c>
    </row>
    <row r="85" spans="1:7" x14ac:dyDescent="0.25">
      <c r="A85" t="s">
        <v>356</v>
      </c>
      <c r="B85" s="28">
        <v>-0.17576</v>
      </c>
      <c r="C85" s="28">
        <v>0.27959000000000001</v>
      </c>
      <c r="D85">
        <v>-0.62860000000000005</v>
      </c>
      <c r="E85">
        <v>0.52960059999999998</v>
      </c>
      <c r="G85" t="str">
        <f t="shared" si="1"/>
        <v/>
      </c>
    </row>
    <row r="86" spans="1:7" x14ac:dyDescent="0.25">
      <c r="A86" t="s">
        <v>357</v>
      </c>
      <c r="B86" s="28">
        <v>3.2787999999999998E-2</v>
      </c>
      <c r="C86" s="28">
        <v>3.218E-2</v>
      </c>
      <c r="D86">
        <v>1.0188999999999999</v>
      </c>
      <c r="E86">
        <v>0.3082647</v>
      </c>
      <c r="G86" t="str">
        <f t="shared" si="1"/>
        <v/>
      </c>
    </row>
    <row r="87" spans="1:7" x14ac:dyDescent="0.25">
      <c r="A87" t="s">
        <v>358</v>
      </c>
      <c r="B87" s="28">
        <v>0.31592999999999999</v>
      </c>
      <c r="C87" s="28">
        <v>6.7746000000000001E-2</v>
      </c>
      <c r="D87">
        <v>4.6635</v>
      </c>
      <c r="E87" s="28">
        <v>3.1089999999999998E-6</v>
      </c>
      <c r="G87" t="str">
        <f t="shared" si="1"/>
        <v>***</v>
      </c>
    </row>
    <row r="88" spans="1:7" x14ac:dyDescent="0.25">
      <c r="A88" t="s">
        <v>359</v>
      </c>
      <c r="B88" s="28">
        <v>-0.16327</v>
      </c>
      <c r="C88" s="28">
        <v>2.2232999999999999E-2</v>
      </c>
      <c r="D88">
        <v>-7.3437000000000001</v>
      </c>
      <c r="E88" s="28">
        <v>2.0780000000000001E-13</v>
      </c>
      <c r="G88" t="str">
        <f t="shared" si="1"/>
        <v>***</v>
      </c>
    </row>
    <row r="89" spans="1:7" x14ac:dyDescent="0.25">
      <c r="A89" t="s">
        <v>360</v>
      </c>
      <c r="B89" s="28">
        <v>-3.4181999999999997E-2</v>
      </c>
      <c r="C89" s="28">
        <v>6.6833000000000004E-2</v>
      </c>
      <c r="D89">
        <v>-0.51139999999999997</v>
      </c>
      <c r="E89">
        <v>0.60903750000000001</v>
      </c>
      <c r="G89" t="str">
        <f t="shared" si="1"/>
        <v/>
      </c>
    </row>
    <row r="90" spans="1:7" x14ac:dyDescent="0.25">
      <c r="A90" t="s">
        <v>361</v>
      </c>
      <c r="B90" s="28">
        <v>6.4634999999999998E-2</v>
      </c>
      <c r="C90" s="28">
        <v>1.503E-2</v>
      </c>
      <c r="D90">
        <v>4.3003</v>
      </c>
      <c r="E90" s="28">
        <v>1.7059999999999999E-5</v>
      </c>
      <c r="G90" t="str">
        <f t="shared" si="1"/>
        <v>***</v>
      </c>
    </row>
    <row r="91" spans="1:7" x14ac:dyDescent="0.25">
      <c r="A91" t="s">
        <v>362</v>
      </c>
      <c r="B91" s="28">
        <v>0.10646</v>
      </c>
      <c r="C91" s="28">
        <v>2.0274E-2</v>
      </c>
      <c r="D91">
        <v>5.2510000000000003</v>
      </c>
      <c r="E91" s="28">
        <v>1.5130000000000001E-7</v>
      </c>
      <c r="G91" t="str">
        <f t="shared" si="1"/>
        <v>***</v>
      </c>
    </row>
    <row r="92" spans="1:7" x14ac:dyDescent="0.25">
      <c r="A92" t="s">
        <v>363</v>
      </c>
      <c r="B92" s="28">
        <v>1.7298999999999998E-2</v>
      </c>
      <c r="C92" s="28">
        <v>8.5877999999999996E-2</v>
      </c>
      <c r="D92">
        <v>0.2014</v>
      </c>
      <c r="E92">
        <v>0.84035309999999996</v>
      </c>
      <c r="G92" t="str">
        <f t="shared" si="1"/>
        <v/>
      </c>
    </row>
    <row r="93" spans="1:7" x14ac:dyDescent="0.25">
      <c r="A93" t="s">
        <v>364</v>
      </c>
      <c r="B93" s="28">
        <v>-7.3079000000000005E-2</v>
      </c>
      <c r="C93" s="28">
        <v>2.2568000000000001E-2</v>
      </c>
      <c r="D93">
        <v>-3.2382</v>
      </c>
      <c r="E93">
        <v>1.2028E-3</v>
      </c>
      <c r="G93" t="str">
        <f t="shared" si="1"/>
        <v>***</v>
      </c>
    </row>
    <row r="94" spans="1:7" x14ac:dyDescent="0.25">
      <c r="A94" t="s">
        <v>365</v>
      </c>
      <c r="B94" s="28">
        <v>-0.38996999999999998</v>
      </c>
      <c r="C94" s="28">
        <v>0.14723</v>
      </c>
      <c r="D94">
        <v>-2.6486000000000001</v>
      </c>
      <c r="E94">
        <v>8.0815999999999995E-3</v>
      </c>
      <c r="G94" t="str">
        <f t="shared" si="1"/>
        <v>***</v>
      </c>
    </row>
    <row r="95" spans="1:7" x14ac:dyDescent="0.25">
      <c r="A95" t="s">
        <v>366</v>
      </c>
      <c r="B95" s="28">
        <v>-0.23507</v>
      </c>
      <c r="C95" s="28">
        <v>6.5738000000000005E-2</v>
      </c>
      <c r="D95">
        <v>-3.5758999999999999</v>
      </c>
      <c r="E95">
        <v>3.4900000000000003E-4</v>
      </c>
      <c r="G95" t="str">
        <f t="shared" si="1"/>
        <v>***</v>
      </c>
    </row>
    <row r="96" spans="1:7" x14ac:dyDescent="0.25">
      <c r="A96" t="s">
        <v>367</v>
      </c>
      <c r="B96" s="28">
        <v>-0.24721000000000001</v>
      </c>
      <c r="C96" s="28">
        <v>6.4191999999999999E-2</v>
      </c>
      <c r="D96">
        <v>-3.8512</v>
      </c>
      <c r="E96">
        <v>1.175E-4</v>
      </c>
      <c r="G96" t="str">
        <f t="shared" si="1"/>
        <v>***</v>
      </c>
    </row>
    <row r="97" spans="1:7" x14ac:dyDescent="0.25">
      <c r="A97" t="s">
        <v>368</v>
      </c>
      <c r="B97" s="28">
        <v>-0.32090000000000002</v>
      </c>
      <c r="C97" s="28">
        <v>6.4593999999999999E-2</v>
      </c>
      <c r="D97">
        <v>-4.9679000000000002</v>
      </c>
      <c r="E97" s="28">
        <v>6.7670000000000002E-7</v>
      </c>
      <c r="G97" t="str">
        <f t="shared" si="1"/>
        <v>***</v>
      </c>
    </row>
    <row r="98" spans="1:7" x14ac:dyDescent="0.25">
      <c r="A98" t="s">
        <v>369</v>
      </c>
      <c r="B98" s="28">
        <v>-0.26450000000000001</v>
      </c>
      <c r="C98" s="28">
        <v>6.447E-2</v>
      </c>
      <c r="D98">
        <v>-4.1025999999999998</v>
      </c>
      <c r="E98" s="28">
        <v>4.0849999999999997E-5</v>
      </c>
      <c r="G98" t="str">
        <f t="shared" si="1"/>
        <v>***</v>
      </c>
    </row>
    <row r="99" spans="1:7" x14ac:dyDescent="0.25">
      <c r="A99" t="s">
        <v>370</v>
      </c>
      <c r="B99" s="28">
        <v>-0.28694999999999998</v>
      </c>
      <c r="C99" s="28">
        <v>6.5362000000000003E-2</v>
      </c>
      <c r="D99">
        <v>-4.3901000000000003</v>
      </c>
      <c r="E99" s="28">
        <v>1.133E-5</v>
      </c>
      <c r="G99" t="str">
        <f t="shared" si="1"/>
        <v>***</v>
      </c>
    </row>
    <row r="100" spans="1:7" x14ac:dyDescent="0.25">
      <c r="A100" t="s">
        <v>371</v>
      </c>
      <c r="B100" s="28">
        <v>-5.6765000000000003E-5</v>
      </c>
      <c r="C100" s="28">
        <v>5.8301999999999998E-5</v>
      </c>
      <c r="D100">
        <v>-0.97360000000000002</v>
      </c>
      <c r="E100">
        <v>0.33024419999999999</v>
      </c>
      <c r="G100" t="str">
        <f t="shared" si="1"/>
        <v/>
      </c>
    </row>
    <row r="101" spans="1:7" x14ac:dyDescent="0.25">
      <c r="A101" t="s">
        <v>372</v>
      </c>
      <c r="B101" s="28">
        <v>-2.2828000000000001E-2</v>
      </c>
      <c r="C101" s="28">
        <v>1.1642E-2</v>
      </c>
      <c r="D101">
        <v>-1.9609000000000001</v>
      </c>
      <c r="E101">
        <v>4.9895200000000001E-2</v>
      </c>
      <c r="G101" t="str">
        <f t="shared" si="1"/>
        <v>**</v>
      </c>
    </row>
    <row r="102" spans="1:7" x14ac:dyDescent="0.25">
      <c r="A102" t="s">
        <v>373</v>
      </c>
      <c r="B102" s="28">
        <v>0.10056</v>
      </c>
      <c r="C102" s="28">
        <v>2.4289000000000002E-2</v>
      </c>
      <c r="D102">
        <v>4.1402000000000001</v>
      </c>
      <c r="E102" s="28">
        <v>3.4700000000000003E-5</v>
      </c>
      <c r="G102" t="str">
        <f t="shared" si="1"/>
        <v>***</v>
      </c>
    </row>
    <row r="103" spans="1:7" x14ac:dyDescent="0.25">
      <c r="A103" t="s">
        <v>374</v>
      </c>
      <c r="B103" s="28">
        <v>0.14018</v>
      </c>
      <c r="C103" s="28">
        <v>1.6156E-2</v>
      </c>
      <c r="D103">
        <v>8.6767000000000003</v>
      </c>
      <c r="E103" s="28">
        <v>2.2E-16</v>
      </c>
      <c r="G103" t="str">
        <f t="shared" si="1"/>
        <v>***</v>
      </c>
    </row>
    <row r="104" spans="1:7" x14ac:dyDescent="0.25">
      <c r="A104" t="s">
        <v>375</v>
      </c>
      <c r="B104" s="28">
        <v>-9.9704000000000001E-2</v>
      </c>
      <c r="C104" s="28">
        <v>1.7401E-2</v>
      </c>
      <c r="D104">
        <v>-5.7297000000000002</v>
      </c>
      <c r="E104" s="28">
        <v>1.006E-8</v>
      </c>
      <c r="G104" t="str">
        <f t="shared" si="1"/>
        <v>***</v>
      </c>
    </row>
    <row r="105" spans="1:7" x14ac:dyDescent="0.25">
      <c r="A105" t="s">
        <v>376</v>
      </c>
      <c r="B105" s="28">
        <v>2.903E-2</v>
      </c>
      <c r="C105" s="28">
        <v>1.2673E-2</v>
      </c>
      <c r="D105">
        <v>2.2907000000000002</v>
      </c>
      <c r="E105">
        <v>2.1982499999999999E-2</v>
      </c>
      <c r="G105" t="str">
        <f t="shared" si="1"/>
        <v>**</v>
      </c>
    </row>
    <row r="106" spans="1:7" x14ac:dyDescent="0.25">
      <c r="A106" t="s">
        <v>377</v>
      </c>
      <c r="B106" s="28">
        <v>-4.5637999999999998E-2</v>
      </c>
      <c r="C106" s="28">
        <v>1.2553E-2</v>
      </c>
      <c r="D106">
        <v>-3.6356999999999999</v>
      </c>
      <c r="E106">
        <v>2.7720000000000002E-4</v>
      </c>
      <c r="G106" t="str">
        <f t="shared" si="1"/>
        <v>***</v>
      </c>
    </row>
    <row r="107" spans="1:7" x14ac:dyDescent="0.25">
      <c r="A107" t="s">
        <v>378</v>
      </c>
      <c r="B107" s="28">
        <v>2.8067999999999999E-3</v>
      </c>
      <c r="C107" s="28">
        <v>2.2664E-3</v>
      </c>
      <c r="D107">
        <v>1.2384999999999999</v>
      </c>
      <c r="E107">
        <v>0.21554899999999999</v>
      </c>
      <c r="G107" t="str">
        <f t="shared" si="1"/>
        <v/>
      </c>
    </row>
    <row r="108" spans="1:7" x14ac:dyDescent="0.25">
      <c r="A108" t="s">
        <v>379</v>
      </c>
      <c r="B108" s="28">
        <v>-4.0189999999999997E-2</v>
      </c>
      <c r="C108" s="28">
        <v>9.0389000000000008E-3</v>
      </c>
      <c r="D108">
        <v>-4.4462999999999999</v>
      </c>
      <c r="E108" s="28">
        <v>8.7350000000000002E-6</v>
      </c>
      <c r="G108" t="str">
        <f t="shared" si="1"/>
        <v>***</v>
      </c>
    </row>
    <row r="109" spans="1:7" x14ac:dyDescent="0.25">
      <c r="A109" t="s">
        <v>380</v>
      </c>
      <c r="B109" s="28">
        <v>-1.4314E-2</v>
      </c>
      <c r="C109" s="28">
        <v>7.4348000000000001E-3</v>
      </c>
      <c r="D109">
        <v>-1.9253</v>
      </c>
      <c r="E109">
        <v>5.41933E-2</v>
      </c>
      <c r="G109" t="str">
        <f t="shared" si="1"/>
        <v>*</v>
      </c>
    </row>
    <row r="110" spans="1:7" x14ac:dyDescent="0.25">
      <c r="A110" t="s">
        <v>381</v>
      </c>
      <c r="B110" s="28">
        <v>-7.4120000000000005E-2</v>
      </c>
      <c r="C110" s="28">
        <v>0.11416</v>
      </c>
      <c r="D110">
        <v>-0.64929999999999999</v>
      </c>
      <c r="E110">
        <v>0.51615999999999995</v>
      </c>
      <c r="G110" t="str">
        <f t="shared" si="1"/>
        <v/>
      </c>
    </row>
    <row r="111" spans="1:7" x14ac:dyDescent="0.25">
      <c r="A111" t="s">
        <v>382</v>
      </c>
      <c r="B111" s="28">
        <v>4.0629999999999999E-2</v>
      </c>
      <c r="C111" s="28">
        <v>2.5484E-2</v>
      </c>
      <c r="D111">
        <v>1.5943000000000001</v>
      </c>
      <c r="E111">
        <v>0.1108677</v>
      </c>
      <c r="G111" t="str">
        <f t="shared" si="1"/>
        <v/>
      </c>
    </row>
    <row r="112" spans="1:7" x14ac:dyDescent="0.25">
      <c r="A112" t="s">
        <v>383</v>
      </c>
      <c r="B112" s="28">
        <v>-1.7454000000000001E-2</v>
      </c>
      <c r="C112" s="28">
        <v>4.0938000000000002E-2</v>
      </c>
      <c r="D112">
        <v>-0.4264</v>
      </c>
      <c r="E112">
        <v>0.66985070000000002</v>
      </c>
      <c r="G112" t="str">
        <f t="shared" si="1"/>
        <v/>
      </c>
    </row>
    <row r="113" spans="1:7" x14ac:dyDescent="0.25">
      <c r="A113" t="s">
        <v>384</v>
      </c>
      <c r="B113" s="28">
        <v>2.6003999999999999E-2</v>
      </c>
      <c r="C113" s="28">
        <v>2.1381000000000001E-2</v>
      </c>
      <c r="D113">
        <v>1.2162999999999999</v>
      </c>
      <c r="E113">
        <v>0.22388730000000001</v>
      </c>
      <c r="G113" t="str">
        <f t="shared" si="1"/>
        <v/>
      </c>
    </row>
    <row r="114" spans="1:7" x14ac:dyDescent="0.25">
      <c r="A114" t="s">
        <v>385</v>
      </c>
      <c r="B114" s="28">
        <v>0.12216</v>
      </c>
      <c r="C114" s="28">
        <v>3.9010000000000003E-2</v>
      </c>
      <c r="D114">
        <v>3.1316000000000002</v>
      </c>
      <c r="E114">
        <v>1.7388E-3</v>
      </c>
      <c r="G114" t="str">
        <f t="shared" si="1"/>
        <v>***</v>
      </c>
    </row>
    <row r="118" spans="1:7" x14ac:dyDescent="0.25">
      <c r="A118" t="s">
        <v>400</v>
      </c>
    </row>
    <row r="119" spans="1:7" x14ac:dyDescent="0.25">
      <c r="A119">
        <v>0.76175000000000004</v>
      </c>
      <c r="B119" t="s">
        <v>394</v>
      </c>
      <c r="C119" t="s">
        <v>395</v>
      </c>
      <c r="G119" t="s">
        <v>401</v>
      </c>
    </row>
    <row r="121" spans="1:7" x14ac:dyDescent="0.25">
      <c r="A121" t="s">
        <v>386</v>
      </c>
    </row>
    <row r="122" spans="1:7" x14ac:dyDescent="0.25">
      <c r="A122" t="s">
        <v>387</v>
      </c>
    </row>
    <row r="123" spans="1:7" x14ac:dyDescent="0.25">
      <c r="A123" t="s">
        <v>388</v>
      </c>
    </row>
    <row r="125" spans="1:7" x14ac:dyDescent="0.25">
      <c r="A125" t="s">
        <v>389</v>
      </c>
    </row>
    <row r="126" spans="1:7" x14ac:dyDescent="0.25">
      <c r="A126" t="s">
        <v>390</v>
      </c>
      <c r="F126">
        <v>6787.1130000000003</v>
      </c>
    </row>
    <row r="127" spans="1:7" x14ac:dyDescent="0.25">
      <c r="A127" t="s">
        <v>391</v>
      </c>
    </row>
    <row r="128" spans="1:7" x14ac:dyDescent="0.25">
      <c r="A128" t="s">
        <v>392</v>
      </c>
    </row>
    <row r="129" spans="1:6" x14ac:dyDescent="0.25">
      <c r="A129" t="s">
        <v>393</v>
      </c>
      <c r="F129">
        <v>-13344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22F5C-911B-4C4D-9288-30DA14958FFA}">
  <sheetPr codeName="Sheet21"/>
  <dimension ref="A1:M57"/>
  <sheetViews>
    <sheetView workbookViewId="0">
      <selection activeCell="K2" sqref="K2:M2"/>
    </sheetView>
  </sheetViews>
  <sheetFormatPr defaultRowHeight="15" x14ac:dyDescent="0.25"/>
  <cols>
    <col min="1" max="1" width="25.85546875" bestFit="1" customWidth="1"/>
    <col min="2" max="2" width="11" bestFit="1" customWidth="1"/>
    <col min="3" max="4" width="11.28515625" bestFit="1" customWidth="1"/>
    <col min="6" max="6" width="25.85546875" bestFit="1" customWidth="1"/>
    <col min="7" max="9" width="11" bestFit="1" customWidth="1"/>
  </cols>
  <sheetData>
    <row r="1" spans="1:13" x14ac:dyDescent="0.25">
      <c r="B1" t="s">
        <v>396</v>
      </c>
      <c r="C1" t="s">
        <v>397</v>
      </c>
      <c r="D1" t="s">
        <v>398</v>
      </c>
      <c r="G1" t="s">
        <v>396</v>
      </c>
      <c r="H1" t="s">
        <v>397</v>
      </c>
      <c r="I1" t="s">
        <v>398</v>
      </c>
    </row>
    <row r="2" spans="1:13" x14ac:dyDescent="0.25">
      <c r="A2" t="s">
        <v>11</v>
      </c>
      <c r="B2" s="29">
        <v>3.5678639999999998E-2</v>
      </c>
      <c r="C2" s="29">
        <v>-0.12524560000000001</v>
      </c>
      <c r="D2" s="29">
        <v>-8.9566999999999994E-2</v>
      </c>
      <c r="F2" t="s">
        <v>11</v>
      </c>
      <c r="G2" s="30">
        <v>2.4488999999999999E-3</v>
      </c>
      <c r="H2" s="30">
        <v>0.52710135999999996</v>
      </c>
      <c r="I2" s="30">
        <v>0.65802086000000004</v>
      </c>
      <c r="K2" t="str">
        <f>IF(G2&lt;0.01,"***",IF(G2&lt;0.05,"**",IF(G2&lt;0.1,"*","")))</f>
        <v>***</v>
      </c>
      <c r="L2" t="str">
        <f t="shared" ref="L2:M2" si="0">IF(H2&lt;0.01,"***",IF(H2&lt;0.05,"**",IF(H2&lt;0.1,"*","")))</f>
        <v/>
      </c>
      <c r="M2" t="str">
        <f t="shared" si="0"/>
        <v/>
      </c>
    </row>
    <row r="3" spans="1:13" x14ac:dyDescent="0.25">
      <c r="A3" t="s">
        <v>16</v>
      </c>
      <c r="B3" s="29">
        <v>-1.32745E-4</v>
      </c>
      <c r="C3" s="29">
        <v>8.8092110000000004E-4</v>
      </c>
      <c r="D3" s="29">
        <v>7.4817609999999995E-4</v>
      </c>
      <c r="F3" t="s">
        <v>16</v>
      </c>
      <c r="G3" s="30">
        <v>6.5883000000000003E-7</v>
      </c>
      <c r="H3" s="30">
        <v>4.2600970000000002E-2</v>
      </c>
      <c r="I3" s="30">
        <v>9.5962560000000002E-2</v>
      </c>
      <c r="K3" t="str">
        <f t="shared" ref="K3:K16" si="1">IF(G3&lt;0.01,"***",IF(G3&lt;0.05,"**",IF(G3&lt;0.1,"*","")))</f>
        <v>***</v>
      </c>
      <c r="L3" t="str">
        <f t="shared" ref="L3:L16" si="2">IF(H3&lt;0.01,"***",IF(H3&lt;0.05,"**",IF(H3&lt;0.1,"*","")))</f>
        <v>**</v>
      </c>
      <c r="M3" t="str">
        <f t="shared" ref="M3:M16" si="3">IF(I3&lt;0.01,"***",IF(I3&lt;0.05,"**",IF(I3&lt;0.1,"*","")))</f>
        <v>*</v>
      </c>
    </row>
    <row r="4" spans="1:13" x14ac:dyDescent="0.25">
      <c r="A4" t="s">
        <v>197</v>
      </c>
      <c r="B4" s="29">
        <v>2.2671759999999999E-2</v>
      </c>
      <c r="C4" s="29">
        <v>0.14248620000000001</v>
      </c>
      <c r="D4" s="29">
        <v>0.1651579</v>
      </c>
      <c r="F4" t="s">
        <v>197</v>
      </c>
      <c r="G4" s="30">
        <v>4.5061000000000001E-5</v>
      </c>
      <c r="H4" s="30">
        <v>0.13328988999999999</v>
      </c>
      <c r="I4" s="30">
        <v>8.8713150000000005E-2</v>
      </c>
      <c r="K4" t="str">
        <f t="shared" si="1"/>
        <v>***</v>
      </c>
      <c r="L4" t="str">
        <f t="shared" si="2"/>
        <v/>
      </c>
      <c r="M4" t="str">
        <f t="shared" si="3"/>
        <v>*</v>
      </c>
    </row>
    <row r="5" spans="1:13" x14ac:dyDescent="0.25">
      <c r="A5" t="s">
        <v>200</v>
      </c>
      <c r="B5" s="29">
        <v>2.9912939999999999E-2</v>
      </c>
      <c r="C5" s="29">
        <v>4.6256230000000002E-2</v>
      </c>
      <c r="D5" s="29">
        <v>7.616916E-2</v>
      </c>
      <c r="F5" t="s">
        <v>200</v>
      </c>
      <c r="G5" s="30">
        <v>3.734E-7</v>
      </c>
      <c r="H5" s="30">
        <v>0.67146401</v>
      </c>
      <c r="I5" s="30">
        <v>0.48427524999999999</v>
      </c>
      <c r="K5" t="str">
        <f t="shared" si="1"/>
        <v>***</v>
      </c>
      <c r="L5" t="str">
        <f t="shared" si="2"/>
        <v/>
      </c>
      <c r="M5" t="str">
        <f t="shared" si="3"/>
        <v/>
      </c>
    </row>
    <row r="6" spans="1:13" x14ac:dyDescent="0.25">
      <c r="A6" t="s">
        <v>203</v>
      </c>
      <c r="B6" s="29">
        <v>6.310548E-3</v>
      </c>
      <c r="C6" s="29">
        <v>-9.4772069999999996E-3</v>
      </c>
      <c r="D6" s="29">
        <v>-3.1666590000000001E-3</v>
      </c>
      <c r="F6" t="s">
        <v>203</v>
      </c>
      <c r="G6" s="30">
        <v>0.24847728999999999</v>
      </c>
      <c r="H6" s="30">
        <v>0.92185198000000002</v>
      </c>
      <c r="I6" s="30">
        <v>0.97625748999999995</v>
      </c>
      <c r="K6" t="str">
        <f t="shared" si="1"/>
        <v/>
      </c>
      <c r="L6" t="str">
        <f t="shared" si="2"/>
        <v/>
      </c>
      <c r="M6" t="str">
        <f t="shared" si="3"/>
        <v/>
      </c>
    </row>
    <row r="7" spans="1:13" x14ac:dyDescent="0.25">
      <c r="A7" t="s">
        <v>204</v>
      </c>
      <c r="B7" s="29">
        <v>-2.0574719999999999E-3</v>
      </c>
      <c r="C7" s="29">
        <v>0.1502859</v>
      </c>
      <c r="D7" s="29">
        <v>0.14822840000000001</v>
      </c>
      <c r="F7" t="s">
        <v>204</v>
      </c>
      <c r="G7" s="30">
        <v>0.91566778999999998</v>
      </c>
      <c r="H7" s="30">
        <v>0.46833924999999998</v>
      </c>
      <c r="I7" s="30">
        <v>0.48665138000000002</v>
      </c>
      <c r="K7" t="str">
        <f t="shared" si="1"/>
        <v/>
      </c>
      <c r="L7" t="str">
        <f t="shared" si="2"/>
        <v/>
      </c>
      <c r="M7" t="str">
        <f t="shared" si="3"/>
        <v/>
      </c>
    </row>
    <row r="8" spans="1:13" x14ac:dyDescent="0.25">
      <c r="A8" t="s">
        <v>205</v>
      </c>
      <c r="B8" s="29">
        <v>0.116802</v>
      </c>
      <c r="C8" s="29">
        <v>0.21783939999999999</v>
      </c>
      <c r="D8" s="29">
        <v>0.33464139999999998</v>
      </c>
      <c r="F8" t="s">
        <v>205</v>
      </c>
      <c r="G8" s="30">
        <v>2.2200000000000001E-16</v>
      </c>
      <c r="H8" s="30">
        <v>0.34939925999999999</v>
      </c>
      <c r="I8" s="30">
        <v>0.16101724000000001</v>
      </c>
      <c r="K8" t="str">
        <f t="shared" si="1"/>
        <v>***</v>
      </c>
      <c r="L8" t="str">
        <f t="shared" si="2"/>
        <v/>
      </c>
      <c r="M8" t="str">
        <f t="shared" si="3"/>
        <v/>
      </c>
    </row>
    <row r="9" spans="1:13" x14ac:dyDescent="0.25">
      <c r="A9" t="s">
        <v>209</v>
      </c>
      <c r="B9" s="29">
        <v>0.14409179999999999</v>
      </c>
      <c r="C9" s="29">
        <v>9.8585820000000005E-2</v>
      </c>
      <c r="D9" s="29">
        <v>0.24267759999999999</v>
      </c>
      <c r="F9" t="s">
        <v>209</v>
      </c>
      <c r="G9" s="30">
        <v>2.2200000000000001E-16</v>
      </c>
      <c r="H9" s="30">
        <v>0.67795731999999997</v>
      </c>
      <c r="I9" s="30">
        <v>0.31027271000000001</v>
      </c>
      <c r="K9" t="str">
        <f t="shared" si="1"/>
        <v>***</v>
      </c>
      <c r="L9" t="str">
        <f t="shared" si="2"/>
        <v/>
      </c>
      <c r="M9" t="str">
        <f t="shared" si="3"/>
        <v/>
      </c>
    </row>
    <row r="10" spans="1:13" x14ac:dyDescent="0.25">
      <c r="A10" t="s">
        <v>211</v>
      </c>
      <c r="B10" s="29">
        <v>7.7884780000000001E-2</v>
      </c>
      <c r="C10" s="29">
        <v>-0.29812949999999999</v>
      </c>
      <c r="D10" s="29">
        <v>-0.22024469999999999</v>
      </c>
      <c r="F10" t="s">
        <v>211</v>
      </c>
      <c r="G10" s="30">
        <v>9.7331E-6</v>
      </c>
      <c r="H10" s="30">
        <v>0.33561249999999998</v>
      </c>
      <c r="I10" s="30">
        <v>0.49351266999999999</v>
      </c>
      <c r="K10" t="str">
        <f t="shared" si="1"/>
        <v>***</v>
      </c>
      <c r="L10" t="str">
        <f t="shared" si="2"/>
        <v/>
      </c>
      <c r="M10" t="str">
        <f t="shared" si="3"/>
        <v/>
      </c>
    </row>
    <row r="11" spans="1:13" x14ac:dyDescent="0.25">
      <c r="A11" t="s">
        <v>15</v>
      </c>
      <c r="B11" s="29">
        <v>2.8198860000000002E-3</v>
      </c>
      <c r="C11" s="29">
        <v>-0.14260980000000001</v>
      </c>
      <c r="D11" s="29">
        <v>-0.13978989999999999</v>
      </c>
      <c r="F11" t="s">
        <v>15</v>
      </c>
      <c r="G11" s="30">
        <v>5.3535590000000001E-2</v>
      </c>
      <c r="H11" s="30">
        <v>2.2200000000000001E-16</v>
      </c>
      <c r="I11" s="30">
        <v>4.4408999999999998E-16</v>
      </c>
      <c r="K11" t="str">
        <f t="shared" si="1"/>
        <v>*</v>
      </c>
      <c r="L11" t="str">
        <f t="shared" si="2"/>
        <v>***</v>
      </c>
      <c r="M11" t="str">
        <f t="shared" si="3"/>
        <v>***</v>
      </c>
    </row>
    <row r="12" spans="1:13" x14ac:dyDescent="0.25">
      <c r="A12" t="s">
        <v>13</v>
      </c>
      <c r="B12" s="29">
        <v>4.540114E-2</v>
      </c>
      <c r="C12" s="29">
        <v>0.1222082</v>
      </c>
      <c r="D12" s="29">
        <v>0.16760929999999999</v>
      </c>
      <c r="F12" t="s">
        <v>13</v>
      </c>
      <c r="G12" s="30">
        <v>2.2200000000000001E-16</v>
      </c>
      <c r="H12" s="30">
        <v>2.5863999999999998E-4</v>
      </c>
      <c r="I12" s="30">
        <v>1.0860000000000001E-6</v>
      </c>
      <c r="K12" t="str">
        <f t="shared" si="1"/>
        <v>***</v>
      </c>
      <c r="L12" t="str">
        <f t="shared" si="2"/>
        <v>***</v>
      </c>
      <c r="M12" t="str">
        <f t="shared" si="3"/>
        <v>***</v>
      </c>
    </row>
    <row r="13" spans="1:13" x14ac:dyDescent="0.25">
      <c r="A13" t="s">
        <v>14</v>
      </c>
      <c r="B13" s="29">
        <v>3.009825E-2</v>
      </c>
      <c r="C13" s="29">
        <v>6.4430200000000007E-2</v>
      </c>
      <c r="D13" s="29">
        <v>9.452845E-2</v>
      </c>
      <c r="F13" t="s">
        <v>14</v>
      </c>
      <c r="G13" s="30">
        <v>2.2200000000000001E-16</v>
      </c>
      <c r="H13" s="30">
        <v>5.1305950000000003E-2</v>
      </c>
      <c r="I13" s="30">
        <v>5.10327E-3</v>
      </c>
      <c r="K13" t="str">
        <f t="shared" si="1"/>
        <v>***</v>
      </c>
      <c r="L13" t="str">
        <f t="shared" si="2"/>
        <v>*</v>
      </c>
      <c r="M13" t="str">
        <f t="shared" si="3"/>
        <v>***</v>
      </c>
    </row>
    <row r="14" spans="1:13" x14ac:dyDescent="0.25">
      <c r="A14" t="s">
        <v>59</v>
      </c>
      <c r="B14" s="29">
        <v>-2.9038729999999999E-2</v>
      </c>
      <c r="C14" s="29">
        <v>-7.5609470000000004E-4</v>
      </c>
      <c r="D14" s="29">
        <v>-2.9794830000000001E-2</v>
      </c>
      <c r="F14" t="s">
        <v>59</v>
      </c>
      <c r="G14" s="30">
        <v>2.2204E-16</v>
      </c>
      <c r="H14" s="30">
        <v>0.99322642999999999</v>
      </c>
      <c r="I14" s="30">
        <v>0.43430450999999998</v>
      </c>
      <c r="K14" t="str">
        <f t="shared" si="1"/>
        <v>***</v>
      </c>
      <c r="L14" t="str">
        <f t="shared" si="2"/>
        <v/>
      </c>
      <c r="M14" t="str">
        <f t="shared" si="3"/>
        <v/>
      </c>
    </row>
    <row r="15" spans="1:13" x14ac:dyDescent="0.25">
      <c r="A15" t="s">
        <v>60</v>
      </c>
      <c r="B15" s="29">
        <v>-7.7323600000000006E-2</v>
      </c>
      <c r="C15" s="29">
        <v>-0.1243153</v>
      </c>
      <c r="D15" s="29">
        <v>-0.20163890000000001</v>
      </c>
      <c r="F15" t="s">
        <v>60</v>
      </c>
      <c r="G15" s="30">
        <v>2.2200000000000001E-16</v>
      </c>
      <c r="H15" s="30">
        <v>0.15390205000000001</v>
      </c>
      <c r="I15" s="30">
        <v>2.5001099999999998E-2</v>
      </c>
      <c r="K15" t="str">
        <f t="shared" si="1"/>
        <v>***</v>
      </c>
      <c r="L15" t="str">
        <f t="shared" si="2"/>
        <v/>
      </c>
      <c r="M15" t="str">
        <f t="shared" si="3"/>
        <v>**</v>
      </c>
    </row>
    <row r="16" spans="1:13" x14ac:dyDescent="0.25">
      <c r="A16" t="s">
        <v>18</v>
      </c>
      <c r="B16" s="29">
        <v>1.2226859999999999E-4</v>
      </c>
      <c r="C16" s="29">
        <v>2.2728289999999999E-4</v>
      </c>
      <c r="D16" s="29">
        <v>3.4955160000000002E-4</v>
      </c>
      <c r="F16" t="s">
        <v>18</v>
      </c>
      <c r="G16" s="30">
        <v>2.2200000000000001E-16</v>
      </c>
      <c r="H16" s="30">
        <v>2.2200000000000001E-16</v>
      </c>
      <c r="I16" s="30">
        <v>2.2200000000000001E-16</v>
      </c>
      <c r="K16" t="str">
        <f t="shared" si="1"/>
        <v>***</v>
      </c>
      <c r="L16" t="str">
        <f t="shared" si="2"/>
        <v>***</v>
      </c>
      <c r="M16" t="str">
        <f t="shared" si="3"/>
        <v>***</v>
      </c>
    </row>
    <row r="17" spans="1:13" x14ac:dyDescent="0.25">
      <c r="A17" t="s">
        <v>33</v>
      </c>
      <c r="B17" s="29">
        <v>-3.820684E-3</v>
      </c>
      <c r="C17" s="29">
        <v>4.542918E-3</v>
      </c>
      <c r="D17" s="29">
        <v>7.2223459999999997E-4</v>
      </c>
      <c r="F17" t="s">
        <v>33</v>
      </c>
      <c r="G17" s="30">
        <v>2.2200000000000001E-16</v>
      </c>
      <c r="H17" s="30">
        <v>4.6731759999999997E-2</v>
      </c>
      <c r="I17" s="30">
        <v>0.74080356999999997</v>
      </c>
      <c r="K17" t="str">
        <f t="shared" ref="K17:K57" si="4">IF(G17&lt;0.01,"***",IF(G17&lt;0.05,"**",IF(G17&lt;0.1,"*","")))</f>
        <v>***</v>
      </c>
      <c r="L17" t="str">
        <f t="shared" ref="L17:L57" si="5">IF(H17&lt;0.01,"***",IF(H17&lt;0.05,"**",IF(H17&lt;0.1,"*","")))</f>
        <v>**</v>
      </c>
      <c r="M17" t="str">
        <f t="shared" ref="M17:M57" si="6">IF(I17&lt;0.01,"***",IF(I17&lt;0.05,"**",IF(I17&lt;0.1,"*","")))</f>
        <v/>
      </c>
    </row>
    <row r="18" spans="1:13" x14ac:dyDescent="0.25">
      <c r="A18" t="s">
        <v>34</v>
      </c>
      <c r="B18" s="29">
        <v>3.8627399999999999E-2</v>
      </c>
      <c r="C18" s="29">
        <v>3.6584659999999998E-2</v>
      </c>
      <c r="D18" s="29">
        <v>7.5212050000000003E-2</v>
      </c>
      <c r="F18" t="s">
        <v>34</v>
      </c>
      <c r="G18" s="30">
        <v>2.2200000000000001E-16</v>
      </c>
      <c r="H18" s="30">
        <v>0.10253656999999999</v>
      </c>
      <c r="I18" s="30">
        <v>9.2146999999999997E-4</v>
      </c>
      <c r="K18" t="str">
        <f t="shared" si="4"/>
        <v>***</v>
      </c>
      <c r="L18" t="str">
        <f t="shared" si="5"/>
        <v/>
      </c>
      <c r="M18" t="str">
        <f t="shared" si="6"/>
        <v>***</v>
      </c>
    </row>
    <row r="19" spans="1:13" x14ac:dyDescent="0.25">
      <c r="A19" t="s">
        <v>21</v>
      </c>
      <c r="B19" s="29">
        <v>-1.3882469999999999E-2</v>
      </c>
      <c r="C19" s="29">
        <v>7.1098469999999997E-2</v>
      </c>
      <c r="D19" s="29">
        <v>5.7216000000000003E-2</v>
      </c>
      <c r="F19" t="s">
        <v>21</v>
      </c>
      <c r="G19" s="30">
        <v>8.7700529999999999E-2</v>
      </c>
      <c r="H19" s="30">
        <v>0.56306771</v>
      </c>
      <c r="I19" s="30">
        <v>0.64951305999999998</v>
      </c>
      <c r="K19" t="str">
        <f t="shared" si="4"/>
        <v>*</v>
      </c>
      <c r="L19" t="str">
        <f t="shared" si="5"/>
        <v/>
      </c>
      <c r="M19" t="str">
        <f t="shared" si="6"/>
        <v/>
      </c>
    </row>
    <row r="20" spans="1:13" x14ac:dyDescent="0.25">
      <c r="A20" t="s">
        <v>221</v>
      </c>
      <c r="B20" s="29">
        <v>0.1062666</v>
      </c>
      <c r="C20" s="29">
        <v>0.18524550000000001</v>
      </c>
      <c r="D20" s="29">
        <v>0.2915122</v>
      </c>
      <c r="F20" t="s">
        <v>221</v>
      </c>
      <c r="G20" s="30">
        <v>2.2200000000000001E-16</v>
      </c>
      <c r="H20" s="30">
        <v>3.2293700000000001E-3</v>
      </c>
      <c r="I20" s="30">
        <v>7.7927999999999993E-6</v>
      </c>
      <c r="K20" t="str">
        <f t="shared" si="4"/>
        <v>***</v>
      </c>
      <c r="L20" t="str">
        <f t="shared" si="5"/>
        <v>***</v>
      </c>
      <c r="M20" t="str">
        <f t="shared" si="6"/>
        <v>***</v>
      </c>
    </row>
    <row r="21" spans="1:13" x14ac:dyDescent="0.25">
      <c r="A21" t="s">
        <v>222</v>
      </c>
      <c r="B21" s="29">
        <v>5.6930219999999997E-2</v>
      </c>
      <c r="C21" s="29">
        <v>4.1184489999999997E-2</v>
      </c>
      <c r="D21" s="29">
        <v>9.8114709999999994E-2</v>
      </c>
      <c r="F21" t="s">
        <v>222</v>
      </c>
      <c r="G21" s="30">
        <v>2.2200000000000001E-16</v>
      </c>
      <c r="H21" s="30">
        <v>0.51713003999999996</v>
      </c>
      <c r="I21" s="30">
        <v>0.12999512999999999</v>
      </c>
      <c r="K21" t="str">
        <f t="shared" si="4"/>
        <v>***</v>
      </c>
      <c r="L21" t="str">
        <f t="shared" si="5"/>
        <v/>
      </c>
      <c r="M21" t="str">
        <f t="shared" si="6"/>
        <v/>
      </c>
    </row>
    <row r="22" spans="1:13" x14ac:dyDescent="0.25">
      <c r="A22" t="s">
        <v>225</v>
      </c>
      <c r="B22" s="29">
        <v>-5.4864250000000003E-2</v>
      </c>
      <c r="C22" s="29">
        <v>3.7211420000000002E-2</v>
      </c>
      <c r="D22" s="29">
        <v>-1.7652830000000001E-2</v>
      </c>
      <c r="F22" t="s">
        <v>225</v>
      </c>
      <c r="G22" s="30">
        <v>2.2200000000000001E-16</v>
      </c>
      <c r="H22" s="30">
        <v>0.70886866000000004</v>
      </c>
      <c r="I22" s="30">
        <v>0.82879919999999996</v>
      </c>
      <c r="K22" t="str">
        <f t="shared" si="4"/>
        <v>***</v>
      </c>
      <c r="L22" t="str">
        <f t="shared" si="5"/>
        <v/>
      </c>
      <c r="M22" t="str">
        <f t="shared" si="6"/>
        <v/>
      </c>
    </row>
    <row r="23" spans="1:13" x14ac:dyDescent="0.25">
      <c r="A23" t="s">
        <v>22</v>
      </c>
      <c r="B23" s="29">
        <v>3.1752719999999998E-2</v>
      </c>
      <c r="C23" s="29">
        <v>0.111858</v>
      </c>
      <c r="D23" s="29">
        <v>0.14361070000000001</v>
      </c>
      <c r="F23" t="s">
        <v>22</v>
      </c>
      <c r="G23" s="30">
        <v>7.6642000000000002E-6</v>
      </c>
      <c r="H23" s="30">
        <v>0.27257020999999998</v>
      </c>
      <c r="I23" s="30">
        <v>0.1732802</v>
      </c>
      <c r="K23" t="str">
        <f t="shared" si="4"/>
        <v>***</v>
      </c>
      <c r="L23" t="str">
        <f t="shared" si="5"/>
        <v/>
      </c>
      <c r="M23" t="str">
        <f t="shared" si="6"/>
        <v/>
      </c>
    </row>
    <row r="24" spans="1:13" x14ac:dyDescent="0.25">
      <c r="A24" t="s">
        <v>23</v>
      </c>
      <c r="B24" s="29">
        <v>-6.1998739999999997E-2</v>
      </c>
      <c r="C24" s="29">
        <v>6.6109890000000003E-3</v>
      </c>
      <c r="D24" s="29">
        <v>-5.5387749999999999E-2</v>
      </c>
      <c r="F24" t="s">
        <v>23</v>
      </c>
      <c r="G24" s="30">
        <v>2.6614999999999998E-7</v>
      </c>
      <c r="H24" s="30">
        <v>0.98896139999999999</v>
      </c>
      <c r="I24" s="30">
        <v>0.64314296000000004</v>
      </c>
      <c r="K24" t="str">
        <f t="shared" si="4"/>
        <v>***</v>
      </c>
      <c r="L24" t="str">
        <f t="shared" si="5"/>
        <v/>
      </c>
      <c r="M24" t="str">
        <f t="shared" si="6"/>
        <v/>
      </c>
    </row>
    <row r="25" spans="1:13" x14ac:dyDescent="0.25">
      <c r="A25" t="s">
        <v>24</v>
      </c>
      <c r="B25" s="29">
        <v>-0.43910110000000002</v>
      </c>
      <c r="C25" s="29">
        <v>-5.813318E-2</v>
      </c>
      <c r="D25" s="29">
        <v>-0.49723430000000002</v>
      </c>
      <c r="F25" t="s">
        <v>24</v>
      </c>
      <c r="G25" s="30">
        <v>2.2200000000000001E-16</v>
      </c>
      <c r="H25" s="30">
        <v>0.82670392000000004</v>
      </c>
      <c r="I25" s="30">
        <v>3.1245909999999998E-2</v>
      </c>
      <c r="K25" t="str">
        <f t="shared" si="4"/>
        <v>***</v>
      </c>
      <c r="L25" t="str">
        <f t="shared" si="5"/>
        <v/>
      </c>
      <c r="M25" t="str">
        <f t="shared" si="6"/>
        <v>**</v>
      </c>
    </row>
    <row r="26" spans="1:13" x14ac:dyDescent="0.25">
      <c r="A26" t="s">
        <v>25</v>
      </c>
      <c r="B26" s="29">
        <v>-0.48186279999999998</v>
      </c>
      <c r="C26" s="29">
        <v>-0.18705840000000001</v>
      </c>
      <c r="D26" s="29">
        <v>-0.66892119999999999</v>
      </c>
      <c r="F26" t="s">
        <v>25</v>
      </c>
      <c r="G26" s="30">
        <v>2.2200000000000001E-16</v>
      </c>
      <c r="H26" s="30">
        <v>0.40789504999999998</v>
      </c>
      <c r="I26" s="30">
        <v>3.3695700000000001E-3</v>
      </c>
      <c r="K26" t="str">
        <f t="shared" si="4"/>
        <v>***</v>
      </c>
      <c r="L26" t="str">
        <f t="shared" si="5"/>
        <v/>
      </c>
      <c r="M26" t="str">
        <f t="shared" si="6"/>
        <v>***</v>
      </c>
    </row>
    <row r="27" spans="1:13" x14ac:dyDescent="0.25">
      <c r="A27" t="s">
        <v>26</v>
      </c>
      <c r="B27" s="29">
        <v>-0.25113160000000001</v>
      </c>
      <c r="C27" s="29">
        <v>5.979578E-2</v>
      </c>
      <c r="D27" s="29">
        <v>-0.1913358</v>
      </c>
      <c r="F27" t="s">
        <v>26</v>
      </c>
      <c r="G27" s="30">
        <v>2.2200000000000001E-16</v>
      </c>
      <c r="H27" s="30">
        <v>0.42202903000000003</v>
      </c>
      <c r="I27" s="30">
        <v>1.2579679999999999E-2</v>
      </c>
      <c r="K27" t="str">
        <f t="shared" si="4"/>
        <v>***</v>
      </c>
      <c r="L27" t="str">
        <f t="shared" si="5"/>
        <v/>
      </c>
      <c r="M27" t="str">
        <f t="shared" si="6"/>
        <v>**</v>
      </c>
    </row>
    <row r="28" spans="1:13" x14ac:dyDescent="0.25">
      <c r="A28" t="s">
        <v>27</v>
      </c>
      <c r="B28" s="29">
        <v>-0.23073869999999999</v>
      </c>
      <c r="C28" s="29">
        <v>-1.3567929999999999</v>
      </c>
      <c r="D28" s="29">
        <v>-1.587531</v>
      </c>
      <c r="F28" t="s">
        <v>27</v>
      </c>
      <c r="G28" s="30">
        <v>1.156E-4</v>
      </c>
      <c r="H28" s="30">
        <v>0.24311840000000001</v>
      </c>
      <c r="I28" s="30">
        <v>0.18699402000000001</v>
      </c>
      <c r="K28" t="str">
        <f t="shared" si="4"/>
        <v>***</v>
      </c>
      <c r="L28" t="str">
        <f t="shared" si="5"/>
        <v/>
      </c>
      <c r="M28" t="str">
        <f t="shared" si="6"/>
        <v/>
      </c>
    </row>
    <row r="29" spans="1:13" x14ac:dyDescent="0.25">
      <c r="A29" t="s">
        <v>29</v>
      </c>
      <c r="B29" s="29">
        <v>-3.4207120000000001E-2</v>
      </c>
      <c r="C29" s="29">
        <v>2.5988879999999999E-2</v>
      </c>
      <c r="D29" s="29">
        <v>-8.2182420000000006E-3</v>
      </c>
      <c r="F29" t="s">
        <v>29</v>
      </c>
      <c r="G29" s="30">
        <v>9.2257999999999999E-4</v>
      </c>
      <c r="H29" s="30">
        <v>0.86404572000000002</v>
      </c>
      <c r="I29" s="30">
        <v>0.92604363999999995</v>
      </c>
      <c r="K29" t="str">
        <f t="shared" si="4"/>
        <v>***</v>
      </c>
      <c r="L29" t="str">
        <f t="shared" si="5"/>
        <v/>
      </c>
      <c r="M29" t="str">
        <f t="shared" si="6"/>
        <v/>
      </c>
    </row>
    <row r="30" spans="1:13" x14ac:dyDescent="0.25">
      <c r="A30" t="s">
        <v>31</v>
      </c>
      <c r="B30" s="29">
        <v>-0.2358693</v>
      </c>
      <c r="C30" s="29">
        <v>0.52602729999999998</v>
      </c>
      <c r="D30" s="29">
        <v>0.29015800000000003</v>
      </c>
      <c r="F30" t="s">
        <v>31</v>
      </c>
      <c r="G30" s="30">
        <v>2.2200000000000001E-16</v>
      </c>
      <c r="H30" s="30">
        <v>7.0108130000000005E-2</v>
      </c>
      <c r="I30" s="30">
        <v>0.34259518999999999</v>
      </c>
      <c r="K30" t="str">
        <f t="shared" si="4"/>
        <v>***</v>
      </c>
      <c r="L30" t="str">
        <f t="shared" si="5"/>
        <v>*</v>
      </c>
      <c r="M30" t="str">
        <f t="shared" si="6"/>
        <v/>
      </c>
    </row>
    <row r="31" spans="1:13" x14ac:dyDescent="0.25">
      <c r="A31" t="s">
        <v>237</v>
      </c>
      <c r="B31" s="29">
        <v>0.15073410000000001</v>
      </c>
      <c r="C31" s="29">
        <v>-0.18704860000000001</v>
      </c>
      <c r="D31" s="29">
        <v>-3.6314489999999998E-2</v>
      </c>
      <c r="F31" t="s">
        <v>237</v>
      </c>
      <c r="G31" s="30">
        <v>2.2200000000000001E-16</v>
      </c>
      <c r="H31" s="30">
        <v>7.2975000000000004E-4</v>
      </c>
      <c r="I31" s="30">
        <v>0.47607348999999999</v>
      </c>
      <c r="K31" t="str">
        <f t="shared" si="4"/>
        <v>***</v>
      </c>
      <c r="L31" t="str">
        <f t="shared" si="5"/>
        <v>***</v>
      </c>
      <c r="M31" t="str">
        <f t="shared" si="6"/>
        <v/>
      </c>
    </row>
    <row r="32" spans="1:13" x14ac:dyDescent="0.25">
      <c r="A32" t="s">
        <v>238</v>
      </c>
      <c r="B32" s="29">
        <v>-6.2643190000000001E-2</v>
      </c>
      <c r="C32" s="29">
        <v>-0.31611230000000001</v>
      </c>
      <c r="D32" s="29">
        <v>-0.37875550000000002</v>
      </c>
      <c r="F32" t="s">
        <v>238</v>
      </c>
      <c r="G32" s="30">
        <v>6.2320680000000003E-2</v>
      </c>
      <c r="H32" s="30">
        <v>0.13342512000000001</v>
      </c>
      <c r="I32" s="30">
        <v>6.6619460000000005E-2</v>
      </c>
      <c r="K32" t="str">
        <f t="shared" si="4"/>
        <v>*</v>
      </c>
      <c r="L32" t="str">
        <f t="shared" si="5"/>
        <v/>
      </c>
      <c r="M32" t="str">
        <f t="shared" si="6"/>
        <v>*</v>
      </c>
    </row>
    <row r="33" spans="1:13" x14ac:dyDescent="0.25">
      <c r="A33" t="s">
        <v>241</v>
      </c>
      <c r="B33" s="29">
        <v>-6.7507659999999997E-2</v>
      </c>
      <c r="C33" s="29">
        <v>5.1014629999999998E-2</v>
      </c>
      <c r="D33" s="29">
        <v>-1.6493029999999999E-2</v>
      </c>
      <c r="F33" t="s">
        <v>241</v>
      </c>
      <c r="G33" s="30">
        <v>2.272E-12</v>
      </c>
      <c r="H33" s="30">
        <v>0.26173986999999999</v>
      </c>
      <c r="I33" s="30">
        <v>0.74099234000000003</v>
      </c>
      <c r="K33" t="str">
        <f t="shared" si="4"/>
        <v>***</v>
      </c>
      <c r="L33" t="str">
        <f t="shared" si="5"/>
        <v/>
      </c>
      <c r="M33" t="str">
        <f t="shared" si="6"/>
        <v/>
      </c>
    </row>
    <row r="34" spans="1:13" x14ac:dyDescent="0.25">
      <c r="A34" t="s">
        <v>243</v>
      </c>
      <c r="B34" s="29">
        <v>-0.1078219</v>
      </c>
      <c r="C34" s="29">
        <v>9.3925759999999997E-2</v>
      </c>
      <c r="D34" s="29">
        <v>-1.389611E-2</v>
      </c>
      <c r="F34" t="s">
        <v>243</v>
      </c>
      <c r="G34" s="30">
        <v>2.2200000000000001E-16</v>
      </c>
      <c r="H34" s="30">
        <v>0.16146914000000001</v>
      </c>
      <c r="I34" s="30">
        <v>0.84292314000000002</v>
      </c>
      <c r="K34" t="str">
        <f t="shared" si="4"/>
        <v>***</v>
      </c>
      <c r="L34" t="str">
        <f t="shared" si="5"/>
        <v/>
      </c>
      <c r="M34" t="str">
        <f t="shared" si="6"/>
        <v/>
      </c>
    </row>
    <row r="35" spans="1:13" x14ac:dyDescent="0.25">
      <c r="A35" t="s">
        <v>244</v>
      </c>
      <c r="B35" s="29">
        <v>1.695033E-2</v>
      </c>
      <c r="C35" s="29">
        <v>0.1166097</v>
      </c>
      <c r="D35" s="29">
        <v>0.13356000000000001</v>
      </c>
      <c r="F35" t="s">
        <v>244</v>
      </c>
      <c r="G35" s="30">
        <v>0.55468096</v>
      </c>
      <c r="H35" s="30">
        <v>0.73517909000000004</v>
      </c>
      <c r="I35" s="30">
        <v>0.70117806999999999</v>
      </c>
      <c r="K35" t="str">
        <f t="shared" si="4"/>
        <v/>
      </c>
      <c r="L35" t="str">
        <f t="shared" si="5"/>
        <v/>
      </c>
      <c r="M35" t="str">
        <f t="shared" si="6"/>
        <v/>
      </c>
    </row>
    <row r="36" spans="1:13" x14ac:dyDescent="0.25">
      <c r="A36" t="s">
        <v>245</v>
      </c>
      <c r="B36" s="29">
        <v>3.00804E-2</v>
      </c>
      <c r="C36" s="29">
        <v>-0.19364480000000001</v>
      </c>
      <c r="D36" s="29">
        <v>-0.1635644</v>
      </c>
      <c r="F36" t="s">
        <v>245</v>
      </c>
      <c r="G36" s="30">
        <v>5.732553E-2</v>
      </c>
      <c r="H36" s="30">
        <v>3.4972200000000001E-3</v>
      </c>
      <c r="I36" s="30">
        <v>1.3735590000000001E-2</v>
      </c>
      <c r="K36" t="str">
        <f t="shared" si="4"/>
        <v>*</v>
      </c>
      <c r="L36" t="str">
        <f t="shared" si="5"/>
        <v>***</v>
      </c>
      <c r="M36" t="str">
        <f t="shared" si="6"/>
        <v>**</v>
      </c>
    </row>
    <row r="37" spans="1:13" x14ac:dyDescent="0.25">
      <c r="A37" t="s">
        <v>247</v>
      </c>
      <c r="B37" s="29">
        <v>0.28937940000000001</v>
      </c>
      <c r="C37" s="29">
        <v>-0.65448609999999996</v>
      </c>
      <c r="D37" s="29">
        <v>-0.36510670000000001</v>
      </c>
      <c r="F37" t="s">
        <v>247</v>
      </c>
      <c r="G37" s="30">
        <v>4.9051999999999997E-12</v>
      </c>
      <c r="H37" s="30">
        <v>0.24911648</v>
      </c>
      <c r="I37" s="30">
        <v>0.53079677999999997</v>
      </c>
      <c r="K37" t="str">
        <f t="shared" si="4"/>
        <v>***</v>
      </c>
      <c r="L37" t="str">
        <f t="shared" si="5"/>
        <v/>
      </c>
      <c r="M37" t="str">
        <f t="shared" si="6"/>
        <v/>
      </c>
    </row>
    <row r="38" spans="1:13" x14ac:dyDescent="0.25">
      <c r="A38" t="s">
        <v>166</v>
      </c>
      <c r="B38" s="29">
        <v>0.1935462</v>
      </c>
      <c r="C38" s="29">
        <v>-0.33834500000000001</v>
      </c>
      <c r="D38" s="29">
        <v>-0.14479880000000001</v>
      </c>
      <c r="F38" t="s">
        <v>166</v>
      </c>
      <c r="G38" s="30">
        <v>2.2200000000000001E-16</v>
      </c>
      <c r="H38" s="30">
        <v>0.25438485</v>
      </c>
      <c r="I38" s="30">
        <v>0.66312435000000003</v>
      </c>
      <c r="K38" t="str">
        <f t="shared" si="4"/>
        <v>***</v>
      </c>
      <c r="L38" t="str">
        <f t="shared" si="5"/>
        <v/>
      </c>
      <c r="M38" t="str">
        <f t="shared" si="6"/>
        <v/>
      </c>
    </row>
    <row r="39" spans="1:13" x14ac:dyDescent="0.25">
      <c r="A39" t="s">
        <v>167</v>
      </c>
      <c r="B39" s="29">
        <v>0.31555230000000001</v>
      </c>
      <c r="C39" s="29">
        <v>-2.6504949999999999E-2</v>
      </c>
      <c r="D39" s="29">
        <v>0.28904740000000001</v>
      </c>
      <c r="F39" t="s">
        <v>167</v>
      </c>
      <c r="G39" s="30">
        <v>2.2200000000000001E-16</v>
      </c>
      <c r="H39" s="30">
        <v>0.97736849999999997</v>
      </c>
      <c r="I39" s="30">
        <v>0.27546290000000001</v>
      </c>
      <c r="K39" t="str">
        <f t="shared" si="4"/>
        <v>***</v>
      </c>
      <c r="L39" t="str">
        <f t="shared" si="5"/>
        <v/>
      </c>
      <c r="M39" t="str">
        <f t="shared" si="6"/>
        <v/>
      </c>
    </row>
    <row r="40" spans="1:13" x14ac:dyDescent="0.25">
      <c r="A40" t="s">
        <v>168</v>
      </c>
      <c r="B40" s="29">
        <v>0.3216405</v>
      </c>
      <c r="C40" s="29">
        <v>-0.29303259999999998</v>
      </c>
      <c r="D40" s="29">
        <v>2.860793E-2</v>
      </c>
      <c r="F40" t="s">
        <v>168</v>
      </c>
      <c r="G40" s="30">
        <v>2.2200000000000001E-16</v>
      </c>
      <c r="H40" s="30">
        <v>0.32072948000000001</v>
      </c>
      <c r="I40" s="30">
        <v>0.87128450000000002</v>
      </c>
      <c r="K40" t="str">
        <f t="shared" si="4"/>
        <v>***</v>
      </c>
      <c r="L40" t="str">
        <f t="shared" si="5"/>
        <v/>
      </c>
      <c r="M40" t="str">
        <f t="shared" si="6"/>
        <v/>
      </c>
    </row>
    <row r="41" spans="1:13" x14ac:dyDescent="0.25">
      <c r="A41" t="s">
        <v>169</v>
      </c>
      <c r="B41" s="29">
        <v>0.33603519999999998</v>
      </c>
      <c r="C41" s="29">
        <v>-3.299448E-2</v>
      </c>
      <c r="D41" s="29">
        <v>0.3030407</v>
      </c>
      <c r="F41" t="s">
        <v>169</v>
      </c>
      <c r="G41" s="30">
        <v>2.2200000000000001E-16</v>
      </c>
      <c r="H41" s="30">
        <v>0.95764190999999999</v>
      </c>
      <c r="I41" s="30">
        <v>0.26079493999999998</v>
      </c>
      <c r="K41" t="str">
        <f t="shared" si="4"/>
        <v>***</v>
      </c>
      <c r="L41" t="str">
        <f t="shared" si="5"/>
        <v/>
      </c>
      <c r="M41" t="str">
        <f t="shared" si="6"/>
        <v/>
      </c>
    </row>
    <row r="42" spans="1:13" x14ac:dyDescent="0.25">
      <c r="A42" t="s">
        <v>170</v>
      </c>
      <c r="B42" s="29">
        <v>0.34657700000000002</v>
      </c>
      <c r="C42" s="29">
        <v>-8.8655200000000003E-2</v>
      </c>
      <c r="D42" s="29">
        <v>0.25792179999999998</v>
      </c>
      <c r="F42" t="s">
        <v>170</v>
      </c>
      <c r="G42" s="30">
        <v>2.2200000000000001E-16</v>
      </c>
      <c r="H42" s="30">
        <v>0.80612421000000001</v>
      </c>
      <c r="I42" s="30">
        <v>0.33141653999999998</v>
      </c>
      <c r="K42" t="str">
        <f t="shared" si="4"/>
        <v>***</v>
      </c>
      <c r="L42" t="str">
        <f t="shared" si="5"/>
        <v/>
      </c>
      <c r="M42" t="str">
        <f t="shared" si="6"/>
        <v/>
      </c>
    </row>
    <row r="43" spans="1:13" x14ac:dyDescent="0.25">
      <c r="A43" t="s">
        <v>50</v>
      </c>
      <c r="B43" s="29">
        <v>7.7119960000000004E-5</v>
      </c>
      <c r="C43" s="29">
        <v>7.6262669999999999E-6</v>
      </c>
      <c r="D43" s="29">
        <v>8.4746220000000007E-5</v>
      </c>
      <c r="F43" t="s">
        <v>50</v>
      </c>
      <c r="G43" s="30">
        <v>3.074737E-2</v>
      </c>
      <c r="H43" s="30">
        <v>0.97641290000000003</v>
      </c>
      <c r="I43" s="30">
        <v>0.65848695999999995</v>
      </c>
      <c r="K43" t="str">
        <f t="shared" si="4"/>
        <v>**</v>
      </c>
      <c r="L43" t="str">
        <f t="shared" si="5"/>
        <v/>
      </c>
      <c r="M43" t="str">
        <f t="shared" si="6"/>
        <v/>
      </c>
    </row>
    <row r="44" spans="1:13" x14ac:dyDescent="0.25">
      <c r="A44" t="s">
        <v>52</v>
      </c>
      <c r="B44" s="29">
        <v>-2.4498789999999999E-4</v>
      </c>
      <c r="C44" s="29">
        <v>-8.8833480000000006E-2</v>
      </c>
      <c r="D44" s="29">
        <v>-8.9078470000000007E-2</v>
      </c>
      <c r="F44" t="s">
        <v>52</v>
      </c>
      <c r="G44" s="30">
        <v>0.92758768999999996</v>
      </c>
      <c r="H44" s="30">
        <v>5.6906249999999999E-2</v>
      </c>
      <c r="I44" s="30">
        <v>6.3928769999999996E-2</v>
      </c>
      <c r="K44" t="str">
        <f t="shared" si="4"/>
        <v/>
      </c>
      <c r="L44" t="str">
        <f t="shared" si="5"/>
        <v>*</v>
      </c>
      <c r="M44" t="str">
        <f t="shared" si="6"/>
        <v>*</v>
      </c>
    </row>
    <row r="45" spans="1:13" x14ac:dyDescent="0.25">
      <c r="A45" t="s">
        <v>51</v>
      </c>
      <c r="B45" s="29">
        <v>5.6540710000000001E-3</v>
      </c>
      <c r="C45" s="29">
        <v>0.40479100000000001</v>
      </c>
      <c r="D45" s="29">
        <v>0.41044510000000001</v>
      </c>
      <c r="F45" t="s">
        <v>51</v>
      </c>
      <c r="G45" s="30">
        <v>0.36473717</v>
      </c>
      <c r="H45" s="30">
        <v>5.4228000000000003E-5</v>
      </c>
      <c r="I45" s="30">
        <v>6.9090000000000004E-5</v>
      </c>
      <c r="K45" t="str">
        <f t="shared" si="4"/>
        <v/>
      </c>
      <c r="L45" t="str">
        <f t="shared" si="5"/>
        <v>***</v>
      </c>
      <c r="M45" t="str">
        <f t="shared" si="6"/>
        <v>***</v>
      </c>
    </row>
    <row r="46" spans="1:13" x14ac:dyDescent="0.25">
      <c r="A46" t="s">
        <v>164</v>
      </c>
      <c r="B46" s="29">
        <v>-0.1410257</v>
      </c>
      <c r="C46" s="29">
        <v>0.12645629999999999</v>
      </c>
      <c r="D46" s="29">
        <v>-1.456935E-2</v>
      </c>
      <c r="F46" t="s">
        <v>164</v>
      </c>
      <c r="G46" s="30">
        <v>2.2200000000000001E-16</v>
      </c>
      <c r="H46" s="30">
        <v>2.2204E-15</v>
      </c>
      <c r="I46" s="30">
        <v>8.0942000000000004E-9</v>
      </c>
      <c r="K46" t="str">
        <f t="shared" si="4"/>
        <v>***</v>
      </c>
      <c r="L46" t="str">
        <f t="shared" si="5"/>
        <v>***</v>
      </c>
      <c r="M46" t="str">
        <f t="shared" si="6"/>
        <v>***</v>
      </c>
    </row>
    <row r="47" spans="1:13" x14ac:dyDescent="0.25">
      <c r="A47" t="s">
        <v>39</v>
      </c>
      <c r="B47" s="29">
        <v>8.5669179999999998E-2</v>
      </c>
      <c r="C47" s="29">
        <v>-0.1329843</v>
      </c>
      <c r="D47" s="29">
        <v>-4.7315080000000002E-2</v>
      </c>
      <c r="F47" t="s">
        <v>39</v>
      </c>
      <c r="G47" s="30">
        <v>3.7674999999999998E-8</v>
      </c>
      <c r="H47" s="30">
        <v>7.7006999999999996E-7</v>
      </c>
      <c r="I47" s="30">
        <v>1.3008260000000001E-2</v>
      </c>
      <c r="K47" t="str">
        <f t="shared" si="4"/>
        <v>***</v>
      </c>
      <c r="L47" t="str">
        <f t="shared" si="5"/>
        <v>***</v>
      </c>
      <c r="M47" t="str">
        <f t="shared" si="6"/>
        <v>**</v>
      </c>
    </row>
    <row r="48" spans="1:13" x14ac:dyDescent="0.25">
      <c r="A48" t="s">
        <v>40</v>
      </c>
      <c r="B48" s="29">
        <v>-3.1000280000000002E-2</v>
      </c>
      <c r="C48" s="29">
        <v>2.0913870000000001E-2</v>
      </c>
      <c r="D48" s="29">
        <v>-1.0086400000000001E-2</v>
      </c>
      <c r="F48" t="s">
        <v>40</v>
      </c>
      <c r="G48" s="30">
        <v>9.7965299999999995E-3</v>
      </c>
      <c r="H48" s="30">
        <v>8.2900009999999996E-2</v>
      </c>
      <c r="I48" s="30">
        <v>2.1725E-6</v>
      </c>
      <c r="K48" t="str">
        <f t="shared" si="4"/>
        <v>***</v>
      </c>
      <c r="L48" t="str">
        <f t="shared" si="5"/>
        <v>*</v>
      </c>
      <c r="M48" t="str">
        <f t="shared" si="6"/>
        <v>***</v>
      </c>
    </row>
    <row r="49" spans="1:13" x14ac:dyDescent="0.25">
      <c r="A49" t="s">
        <v>41</v>
      </c>
      <c r="B49" s="29">
        <v>4.6003170000000003E-2</v>
      </c>
      <c r="C49" s="29">
        <v>-4.0911019999999999E-2</v>
      </c>
      <c r="D49" s="29">
        <v>5.0921550000000001E-3</v>
      </c>
      <c r="F49" t="s">
        <v>41</v>
      </c>
      <c r="G49" s="30">
        <v>1.2523999999999999E-4</v>
      </c>
      <c r="H49" s="30">
        <v>7.3855999999999998E-4</v>
      </c>
      <c r="I49" s="30">
        <v>4.0538999999999999E-4</v>
      </c>
      <c r="K49" t="str">
        <f t="shared" si="4"/>
        <v>***</v>
      </c>
      <c r="L49" t="str">
        <f t="shared" si="5"/>
        <v>***</v>
      </c>
      <c r="M49" t="str">
        <f t="shared" si="6"/>
        <v>***</v>
      </c>
    </row>
    <row r="50" spans="1:13" x14ac:dyDescent="0.25">
      <c r="A50" t="s">
        <v>173</v>
      </c>
      <c r="B50" s="29">
        <v>-4.8823589999999999E-4</v>
      </c>
      <c r="C50" s="29">
        <v>9.3986460000000001E-3</v>
      </c>
      <c r="D50" s="29">
        <v>8.9104100000000006E-3</v>
      </c>
      <c r="F50" t="s">
        <v>173</v>
      </c>
      <c r="G50" s="30">
        <v>0.54822305999999998</v>
      </c>
      <c r="H50" s="30">
        <v>0.27770241000000001</v>
      </c>
      <c r="I50" s="30">
        <v>0.31350475999999999</v>
      </c>
      <c r="K50" t="str">
        <f t="shared" si="4"/>
        <v/>
      </c>
      <c r="L50" t="str">
        <f t="shared" si="5"/>
        <v/>
      </c>
      <c r="M50" t="str">
        <f t="shared" si="6"/>
        <v/>
      </c>
    </row>
    <row r="51" spans="1:13" x14ac:dyDescent="0.25">
      <c r="A51" t="s">
        <v>174</v>
      </c>
      <c r="B51" s="29">
        <v>3.876868E-2</v>
      </c>
      <c r="C51" s="29">
        <v>-4.1150739999999998E-2</v>
      </c>
      <c r="D51" s="29">
        <v>-2.3820600000000001E-3</v>
      </c>
      <c r="F51" t="s">
        <v>174</v>
      </c>
      <c r="G51" s="30">
        <v>8.6354000000000004E-6</v>
      </c>
      <c r="H51" s="30">
        <v>5.2021000000000002E-5</v>
      </c>
      <c r="I51" s="30">
        <v>0.63588811000000001</v>
      </c>
      <c r="K51" t="str">
        <f t="shared" si="4"/>
        <v>***</v>
      </c>
      <c r="L51" t="str">
        <f t="shared" si="5"/>
        <v>***</v>
      </c>
      <c r="M51" t="str">
        <f t="shared" si="6"/>
        <v/>
      </c>
    </row>
    <row r="52" spans="1:13" x14ac:dyDescent="0.25">
      <c r="A52" t="s">
        <v>175</v>
      </c>
      <c r="B52" s="29">
        <v>1.671624E-2</v>
      </c>
      <c r="C52" s="29">
        <v>-6.1058249999999996E-3</v>
      </c>
      <c r="D52" s="29">
        <v>1.0610410000000001E-2</v>
      </c>
      <c r="F52" t="s">
        <v>175</v>
      </c>
      <c r="G52" s="30">
        <v>2.0532700000000001E-2</v>
      </c>
      <c r="H52" s="30">
        <v>0.49160157999999998</v>
      </c>
      <c r="I52" s="30">
        <v>2.015459E-2</v>
      </c>
      <c r="K52" t="str">
        <f t="shared" si="4"/>
        <v>**</v>
      </c>
      <c r="L52" t="str">
        <f t="shared" si="5"/>
        <v/>
      </c>
      <c r="M52" t="str">
        <f t="shared" si="6"/>
        <v>**</v>
      </c>
    </row>
    <row r="53" spans="1:13" x14ac:dyDescent="0.25">
      <c r="A53" t="s">
        <v>43</v>
      </c>
      <c r="B53" s="29">
        <v>-0.1585647</v>
      </c>
      <c r="C53" s="29">
        <v>-0.75228410000000001</v>
      </c>
      <c r="D53" s="29">
        <v>-0.91084880000000001</v>
      </c>
      <c r="F53" t="s">
        <v>43</v>
      </c>
      <c r="G53" s="30">
        <v>9.1543749999999993E-2</v>
      </c>
      <c r="H53" s="30">
        <v>2.03228E-3</v>
      </c>
      <c r="I53" s="30">
        <v>4.4906E-5</v>
      </c>
      <c r="K53" t="str">
        <f t="shared" si="4"/>
        <v>*</v>
      </c>
      <c r="L53" t="str">
        <f t="shared" si="5"/>
        <v>***</v>
      </c>
      <c r="M53" t="str">
        <f t="shared" si="6"/>
        <v>***</v>
      </c>
    </row>
    <row r="54" spans="1:13" x14ac:dyDescent="0.25">
      <c r="A54" t="s">
        <v>44</v>
      </c>
      <c r="B54" s="29">
        <v>-9.5602850000000003E-2</v>
      </c>
      <c r="C54" s="29">
        <v>-0.12424689999999999</v>
      </c>
      <c r="D54" s="29">
        <v>-0.21984970000000001</v>
      </c>
      <c r="F54" t="s">
        <v>44</v>
      </c>
      <c r="G54" s="30">
        <v>3.1386000000000001E-5</v>
      </c>
      <c r="H54" s="30">
        <v>1.3425309999999999E-2</v>
      </c>
      <c r="I54" s="30">
        <v>3.4292E-7</v>
      </c>
      <c r="K54" t="str">
        <f t="shared" si="4"/>
        <v>***</v>
      </c>
      <c r="L54" t="str">
        <f t="shared" si="5"/>
        <v>**</v>
      </c>
      <c r="M54" t="str">
        <f t="shared" si="6"/>
        <v>***</v>
      </c>
    </row>
    <row r="55" spans="1:13" x14ac:dyDescent="0.25">
      <c r="A55" t="s">
        <v>45</v>
      </c>
      <c r="B55" s="29">
        <v>-0.17116390000000001</v>
      </c>
      <c r="C55" s="29">
        <v>-0.57059890000000002</v>
      </c>
      <c r="D55" s="29">
        <v>-0.7417627</v>
      </c>
      <c r="F55" t="s">
        <v>45</v>
      </c>
      <c r="G55" s="30">
        <v>2.9480000000000002E-7</v>
      </c>
      <c r="H55" s="30">
        <v>3.579E-11</v>
      </c>
      <c r="I55" s="30">
        <v>2.2200000000000001E-16</v>
      </c>
      <c r="K55" t="str">
        <f t="shared" si="4"/>
        <v>***</v>
      </c>
      <c r="L55" t="str">
        <f t="shared" si="5"/>
        <v>***</v>
      </c>
      <c r="M55" t="str">
        <f t="shared" si="6"/>
        <v>***</v>
      </c>
    </row>
    <row r="56" spans="1:13" x14ac:dyDescent="0.25">
      <c r="A56" t="s">
        <v>48</v>
      </c>
      <c r="B56" s="29">
        <v>-2.2322499999999999E-4</v>
      </c>
      <c r="C56" s="29">
        <v>9.9719489999999994E-2</v>
      </c>
      <c r="D56" s="29">
        <v>9.9496269999999998E-2</v>
      </c>
      <c r="F56" t="s">
        <v>48</v>
      </c>
      <c r="G56" s="30">
        <v>0.99076752000000001</v>
      </c>
      <c r="H56" s="30">
        <v>4.4501449999999998E-2</v>
      </c>
      <c r="I56" s="30">
        <v>3.4893189999999998E-2</v>
      </c>
      <c r="K56" t="str">
        <f t="shared" si="4"/>
        <v/>
      </c>
      <c r="L56" t="str">
        <f t="shared" si="5"/>
        <v>**</v>
      </c>
      <c r="M56" t="str">
        <f t="shared" si="6"/>
        <v>**</v>
      </c>
    </row>
    <row r="57" spans="1:13" x14ac:dyDescent="0.25">
      <c r="A57" t="s">
        <v>46</v>
      </c>
      <c r="B57" s="29">
        <v>-0.2419219</v>
      </c>
      <c r="C57" s="29">
        <v>-0.2397195</v>
      </c>
      <c r="D57" s="29">
        <v>-0.4816415</v>
      </c>
      <c r="F57" t="s">
        <v>46</v>
      </c>
      <c r="G57" s="30">
        <v>2.2200000000000001E-16</v>
      </c>
      <c r="H57" s="30">
        <v>1.196704E-2</v>
      </c>
      <c r="I57" s="30">
        <v>1.5713999999999999E-7</v>
      </c>
      <c r="K57" t="str">
        <f t="shared" si="4"/>
        <v>***</v>
      </c>
      <c r="L57" t="str">
        <f t="shared" si="5"/>
        <v>**</v>
      </c>
      <c r="M57" t="str">
        <f t="shared" si="6"/>
        <v>***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02498-25D5-4F3C-92E0-ECACC60EE868}">
  <sheetPr codeName="Sheet22"/>
  <dimension ref="A1:G126"/>
  <sheetViews>
    <sheetView topLeftCell="A106" workbookViewId="0">
      <selection activeCell="G125" sqref="G125"/>
    </sheetView>
  </sheetViews>
  <sheetFormatPr defaultRowHeight="15" x14ac:dyDescent="0.25"/>
  <cols>
    <col min="1" max="1" width="29" bestFit="1" customWidth="1"/>
    <col min="2" max="2" width="9" bestFit="1" customWidth="1"/>
    <col min="4" max="4" width="8.7109375" bestFit="1" customWidth="1"/>
    <col min="5" max="5" width="10" bestFit="1" customWidth="1"/>
    <col min="7" max="7" width="6.7109375" bestFit="1" customWidth="1"/>
  </cols>
  <sheetData>
    <row r="1" spans="1:7" x14ac:dyDescent="0.25">
      <c r="B1" t="s">
        <v>326</v>
      </c>
      <c r="C1" t="s">
        <v>328</v>
      </c>
      <c r="D1" t="s">
        <v>329</v>
      </c>
      <c r="E1" t="s">
        <v>327</v>
      </c>
    </row>
    <row r="2" spans="1:7" x14ac:dyDescent="0.25">
      <c r="A2" t="s">
        <v>276</v>
      </c>
      <c r="B2" s="28">
        <v>2.9712000000000001</v>
      </c>
      <c r="C2" s="28">
        <v>0.12363</v>
      </c>
      <c r="D2">
        <v>24.033999999999999</v>
      </c>
      <c r="E2" s="28">
        <v>2.2E-16</v>
      </c>
      <c r="G2" t="str">
        <f>IF(E2&lt;0.01,"***",IF(E2&lt;0.05,"**",IF(E2&lt;0.1,"*","")))</f>
        <v>***</v>
      </c>
    </row>
    <row r="3" spans="1:7" x14ac:dyDescent="0.25">
      <c r="A3" t="s">
        <v>11</v>
      </c>
      <c r="B3" s="28">
        <v>3.6020000000000003E-2</v>
      </c>
      <c r="C3" s="28">
        <v>1.0144E-2</v>
      </c>
      <c r="D3">
        <v>3.5507</v>
      </c>
      <c r="E3">
        <v>3.8420000000000001E-4</v>
      </c>
      <c r="G3" t="str">
        <f t="shared" ref="G3:G66" si="0">IF(E3&lt;0.01,"***",IF(E3&lt;0.05,"**",IF(E3&lt;0.1,"*","")))</f>
        <v>***</v>
      </c>
    </row>
    <row r="4" spans="1:7" x14ac:dyDescent="0.25">
      <c r="A4" t="s">
        <v>16</v>
      </c>
      <c r="B4" s="28">
        <v>-1.0893E-4</v>
      </c>
      <c r="C4" s="28">
        <v>2.2772000000000002E-5</v>
      </c>
      <c r="D4">
        <v>-4.7834000000000003</v>
      </c>
      <c r="E4" s="28">
        <v>1.7230000000000001E-6</v>
      </c>
      <c r="G4" t="str">
        <f t="shared" si="0"/>
        <v>***</v>
      </c>
    </row>
    <row r="5" spans="1:7" x14ac:dyDescent="0.25">
      <c r="A5" t="s">
        <v>197</v>
      </c>
      <c r="B5" s="28">
        <v>2.7421999999999998E-2</v>
      </c>
      <c r="C5" s="28">
        <v>4.2725000000000003E-3</v>
      </c>
      <c r="D5">
        <v>6.4181999999999997</v>
      </c>
      <c r="E5" s="28">
        <v>1.3790000000000001E-10</v>
      </c>
      <c r="G5" t="str">
        <f t="shared" si="0"/>
        <v>***</v>
      </c>
    </row>
    <row r="6" spans="1:7" x14ac:dyDescent="0.25">
      <c r="A6" t="s">
        <v>200</v>
      </c>
      <c r="B6" s="28">
        <v>3.6332000000000003E-2</v>
      </c>
      <c r="C6" s="28">
        <v>4.4863999999999998E-3</v>
      </c>
      <c r="D6">
        <v>8.0983999999999998</v>
      </c>
      <c r="E6" s="28">
        <v>6.6610000000000002E-16</v>
      </c>
      <c r="G6" t="str">
        <f t="shared" si="0"/>
        <v>***</v>
      </c>
    </row>
    <row r="7" spans="1:7" x14ac:dyDescent="0.25">
      <c r="A7" t="s">
        <v>203</v>
      </c>
      <c r="B7" s="28">
        <v>1.7624000000000001E-2</v>
      </c>
      <c r="C7" s="28">
        <v>4.5447999999999999E-3</v>
      </c>
      <c r="D7">
        <v>3.8778000000000001</v>
      </c>
      <c r="E7">
        <v>1.054E-4</v>
      </c>
      <c r="G7" t="str">
        <f t="shared" si="0"/>
        <v>***</v>
      </c>
    </row>
    <row r="8" spans="1:7" x14ac:dyDescent="0.25">
      <c r="A8" t="s">
        <v>204</v>
      </c>
      <c r="B8" s="28">
        <v>5.7146000000000002E-3</v>
      </c>
      <c r="C8" s="28">
        <v>9.9208000000000005E-3</v>
      </c>
      <c r="D8">
        <v>0.57599999999999996</v>
      </c>
      <c r="E8">
        <v>0.56459939999999997</v>
      </c>
      <c r="G8" t="str">
        <f t="shared" si="0"/>
        <v/>
      </c>
    </row>
    <row r="9" spans="1:7" x14ac:dyDescent="0.25">
      <c r="A9" t="s">
        <v>205</v>
      </c>
      <c r="B9" s="28">
        <v>0.1249</v>
      </c>
      <c r="C9" s="28">
        <v>1.1093E-2</v>
      </c>
      <c r="D9">
        <v>11.260199999999999</v>
      </c>
      <c r="E9" s="28">
        <v>2.2E-16</v>
      </c>
      <c r="G9" t="str">
        <f t="shared" si="0"/>
        <v>***</v>
      </c>
    </row>
    <row r="10" spans="1:7" x14ac:dyDescent="0.25">
      <c r="A10" t="s">
        <v>209</v>
      </c>
      <c r="B10" s="28">
        <v>0.16713</v>
      </c>
      <c r="C10" s="28">
        <v>1.1313999999999999E-2</v>
      </c>
      <c r="D10">
        <v>14.7713</v>
      </c>
      <c r="E10" s="28">
        <v>2.2E-16</v>
      </c>
      <c r="G10" t="str">
        <f t="shared" si="0"/>
        <v>***</v>
      </c>
    </row>
    <row r="11" spans="1:7" x14ac:dyDescent="0.25">
      <c r="A11" t="s">
        <v>211</v>
      </c>
      <c r="B11" s="28">
        <v>9.0422000000000002E-2</v>
      </c>
      <c r="C11" s="28">
        <v>1.6666E-2</v>
      </c>
      <c r="D11">
        <v>5.4253999999999998</v>
      </c>
      <c r="E11" s="28">
        <v>5.7819999999999998E-8</v>
      </c>
      <c r="G11" t="str">
        <f t="shared" si="0"/>
        <v>***</v>
      </c>
    </row>
    <row r="12" spans="1:7" x14ac:dyDescent="0.25">
      <c r="A12" t="s">
        <v>15</v>
      </c>
      <c r="B12" s="28">
        <v>5.4634999999999996E-3</v>
      </c>
      <c r="C12" s="28">
        <v>1.4787999999999999E-3</v>
      </c>
      <c r="D12">
        <v>3.6945999999999999</v>
      </c>
      <c r="E12">
        <v>2.2029999999999999E-4</v>
      </c>
      <c r="G12" t="str">
        <f t="shared" si="0"/>
        <v>***</v>
      </c>
    </row>
    <row r="13" spans="1:7" x14ac:dyDescent="0.25">
      <c r="A13" t="s">
        <v>13</v>
      </c>
      <c r="B13" s="28">
        <v>4.3916999999999998E-2</v>
      </c>
      <c r="C13" s="28">
        <v>2.3386000000000001E-3</v>
      </c>
      <c r="D13">
        <v>18.779699999999998</v>
      </c>
      <c r="E13" s="28">
        <v>2.2E-16</v>
      </c>
      <c r="G13" t="str">
        <f t="shared" si="0"/>
        <v>***</v>
      </c>
    </row>
    <row r="14" spans="1:7" x14ac:dyDescent="0.25">
      <c r="A14" t="s">
        <v>14</v>
      </c>
      <c r="B14" s="28">
        <v>3.1063E-2</v>
      </c>
      <c r="C14" s="28">
        <v>2.7336000000000001E-3</v>
      </c>
      <c r="D14">
        <v>11.3635</v>
      </c>
      <c r="E14" s="28">
        <v>2.2E-16</v>
      </c>
      <c r="G14" t="str">
        <f t="shared" si="0"/>
        <v>***</v>
      </c>
    </row>
    <row r="15" spans="1:7" x14ac:dyDescent="0.25">
      <c r="A15" t="s">
        <v>59</v>
      </c>
      <c r="B15" s="28">
        <v>-2.7904999999999999E-2</v>
      </c>
      <c r="C15" s="28">
        <v>3.3787000000000001E-3</v>
      </c>
      <c r="D15">
        <v>-8.2591000000000001</v>
      </c>
      <c r="E15" s="28">
        <v>2.2200000000000001E-16</v>
      </c>
      <c r="G15" t="str">
        <f t="shared" si="0"/>
        <v>***</v>
      </c>
    </row>
    <row r="16" spans="1:7" x14ac:dyDescent="0.25">
      <c r="A16" t="s">
        <v>60</v>
      </c>
      <c r="B16" s="28">
        <v>-6.2282999999999998E-2</v>
      </c>
      <c r="C16" s="28">
        <v>6.2037999999999998E-3</v>
      </c>
      <c r="D16">
        <v>-10.0395</v>
      </c>
      <c r="E16" s="28">
        <v>2.2E-16</v>
      </c>
      <c r="G16" t="str">
        <f t="shared" si="0"/>
        <v>***</v>
      </c>
    </row>
    <row r="17" spans="1:7" x14ac:dyDescent="0.25">
      <c r="A17" t="s">
        <v>18</v>
      </c>
      <c r="B17" s="28">
        <v>1.143E-4</v>
      </c>
      <c r="C17" s="28">
        <v>1.9757E-6</v>
      </c>
      <c r="D17">
        <v>57.854500000000002</v>
      </c>
      <c r="E17" s="28">
        <v>2.2E-16</v>
      </c>
      <c r="G17" t="str">
        <f t="shared" si="0"/>
        <v>***</v>
      </c>
    </row>
    <row r="18" spans="1:7" x14ac:dyDescent="0.25">
      <c r="A18" t="s">
        <v>33</v>
      </c>
      <c r="B18" s="28">
        <v>-4.2921000000000001E-3</v>
      </c>
      <c r="C18" s="28">
        <v>2.9393000000000003E-4</v>
      </c>
      <c r="D18">
        <v>-14.6028</v>
      </c>
      <c r="E18" s="28">
        <v>2.2E-16</v>
      </c>
      <c r="G18" t="str">
        <f t="shared" si="0"/>
        <v>***</v>
      </c>
    </row>
    <row r="19" spans="1:7" x14ac:dyDescent="0.25">
      <c r="A19" t="s">
        <v>34</v>
      </c>
      <c r="B19" s="28">
        <v>4.1917000000000003E-2</v>
      </c>
      <c r="C19" s="28">
        <v>2.9895999999999998E-3</v>
      </c>
      <c r="D19">
        <v>14.021000000000001</v>
      </c>
      <c r="E19" s="28">
        <v>2.2E-16</v>
      </c>
      <c r="G19" t="str">
        <f t="shared" si="0"/>
        <v>***</v>
      </c>
    </row>
    <row r="20" spans="1:7" x14ac:dyDescent="0.25">
      <c r="A20" t="s">
        <v>21</v>
      </c>
      <c r="B20" s="28">
        <v>-2.2120999999999998E-2</v>
      </c>
      <c r="C20" s="28">
        <v>7.5938000000000004E-3</v>
      </c>
      <c r="D20">
        <v>-2.9129999999999998</v>
      </c>
      <c r="E20">
        <v>3.5795000000000002E-3</v>
      </c>
      <c r="G20" t="str">
        <f t="shared" si="0"/>
        <v>***</v>
      </c>
    </row>
    <row r="21" spans="1:7" x14ac:dyDescent="0.25">
      <c r="A21" t="s">
        <v>221</v>
      </c>
      <c r="B21" s="28">
        <v>0.10308</v>
      </c>
      <c r="C21" s="28">
        <v>3.7940000000000001E-3</v>
      </c>
      <c r="D21">
        <v>27.170100000000001</v>
      </c>
      <c r="E21" s="28">
        <v>2.2E-16</v>
      </c>
      <c r="G21" t="str">
        <f t="shared" si="0"/>
        <v>***</v>
      </c>
    </row>
    <row r="22" spans="1:7" x14ac:dyDescent="0.25">
      <c r="A22" t="s">
        <v>222</v>
      </c>
      <c r="B22" s="28">
        <v>5.6589E-2</v>
      </c>
      <c r="C22" s="28">
        <v>3.2810000000000001E-3</v>
      </c>
      <c r="D22">
        <v>17.247699999999998</v>
      </c>
      <c r="E22" s="28">
        <v>2.2E-16</v>
      </c>
      <c r="G22" t="str">
        <f t="shared" si="0"/>
        <v>***</v>
      </c>
    </row>
    <row r="23" spans="1:7" x14ac:dyDescent="0.25">
      <c r="A23" t="s">
        <v>225</v>
      </c>
      <c r="B23" s="28">
        <v>-6.7155000000000006E-2</v>
      </c>
      <c r="C23" s="28">
        <v>4.8247999999999997E-3</v>
      </c>
      <c r="D23">
        <v>-13.9186</v>
      </c>
      <c r="E23" s="28">
        <v>2.2E-16</v>
      </c>
      <c r="G23" t="str">
        <f t="shared" si="0"/>
        <v>***</v>
      </c>
    </row>
    <row r="24" spans="1:7" x14ac:dyDescent="0.25">
      <c r="A24" t="s">
        <v>22</v>
      </c>
      <c r="B24" s="28">
        <v>2.2162000000000001E-2</v>
      </c>
      <c r="C24" s="28">
        <v>6.5309000000000001E-3</v>
      </c>
      <c r="D24">
        <v>3.3934000000000002</v>
      </c>
      <c r="E24">
        <v>6.9039999999999998E-4</v>
      </c>
      <c r="G24" t="str">
        <f t="shared" si="0"/>
        <v>***</v>
      </c>
    </row>
    <row r="25" spans="1:7" x14ac:dyDescent="0.25">
      <c r="A25" t="s">
        <v>23</v>
      </c>
      <c r="B25" s="28">
        <v>-6.4011999999999999E-2</v>
      </c>
      <c r="C25" s="28">
        <v>1.1991999999999999E-2</v>
      </c>
      <c r="D25">
        <v>-5.3380000000000001</v>
      </c>
      <c r="E25" s="28">
        <v>9.3950000000000004E-8</v>
      </c>
      <c r="G25" t="str">
        <f t="shared" si="0"/>
        <v>***</v>
      </c>
    </row>
    <row r="26" spans="1:7" x14ac:dyDescent="0.25">
      <c r="A26" t="s">
        <v>24</v>
      </c>
      <c r="B26" s="28">
        <v>-0.38166</v>
      </c>
      <c r="C26" s="28">
        <v>1.2293999999999999E-2</v>
      </c>
      <c r="D26">
        <v>-31.043399999999998</v>
      </c>
      <c r="E26" s="28">
        <v>2.2E-16</v>
      </c>
      <c r="G26" t="str">
        <f t="shared" si="0"/>
        <v>***</v>
      </c>
    </row>
    <row r="27" spans="1:7" x14ac:dyDescent="0.25">
      <c r="A27" t="s">
        <v>25</v>
      </c>
      <c r="B27" s="28">
        <v>-0.32447999999999999</v>
      </c>
      <c r="C27" s="28">
        <v>1.6468E-2</v>
      </c>
      <c r="D27">
        <v>-19.703299999999999</v>
      </c>
      <c r="E27" s="28">
        <v>2.2E-16</v>
      </c>
      <c r="G27" t="str">
        <f t="shared" si="0"/>
        <v>***</v>
      </c>
    </row>
    <row r="28" spans="1:7" x14ac:dyDescent="0.25">
      <c r="A28" t="s">
        <v>26</v>
      </c>
      <c r="B28" s="28">
        <v>-0.25012000000000001</v>
      </c>
      <c r="C28" s="28">
        <v>9.6954999999999993E-3</v>
      </c>
      <c r="D28">
        <v>-25.7973</v>
      </c>
      <c r="E28" s="28">
        <v>2.2E-16</v>
      </c>
      <c r="G28" t="str">
        <f t="shared" si="0"/>
        <v>***</v>
      </c>
    </row>
    <row r="29" spans="1:7" x14ac:dyDescent="0.25">
      <c r="A29" t="s">
        <v>27</v>
      </c>
      <c r="B29" s="28">
        <v>-0.17466999999999999</v>
      </c>
      <c r="C29" s="28">
        <v>4.2457000000000002E-2</v>
      </c>
      <c r="D29">
        <v>-4.1139999999999999</v>
      </c>
      <c r="E29" s="28">
        <v>3.8890000000000002E-5</v>
      </c>
      <c r="G29" t="str">
        <f t="shared" si="0"/>
        <v>***</v>
      </c>
    </row>
    <row r="30" spans="1:7" x14ac:dyDescent="0.25">
      <c r="A30" t="s">
        <v>29</v>
      </c>
      <c r="B30" s="28">
        <v>-3.2828999999999997E-2</v>
      </c>
      <c r="C30" s="28">
        <v>9.8817999999999996E-3</v>
      </c>
      <c r="D30">
        <v>-3.3220999999999998</v>
      </c>
      <c r="E30">
        <v>8.9340000000000003E-4</v>
      </c>
      <c r="G30" t="str">
        <f t="shared" si="0"/>
        <v>***</v>
      </c>
    </row>
    <row r="31" spans="1:7" x14ac:dyDescent="0.25">
      <c r="A31" t="s">
        <v>31</v>
      </c>
      <c r="B31" s="28">
        <v>-0.20004</v>
      </c>
      <c r="C31" s="28">
        <v>1.4671999999999999E-2</v>
      </c>
      <c r="D31">
        <v>-13.6335</v>
      </c>
      <c r="E31" s="28">
        <v>2.2E-16</v>
      </c>
      <c r="G31" t="str">
        <f t="shared" si="0"/>
        <v>***</v>
      </c>
    </row>
    <row r="32" spans="1:7" x14ac:dyDescent="0.25">
      <c r="A32" t="s">
        <v>237</v>
      </c>
      <c r="B32" s="28">
        <v>0.17996000000000001</v>
      </c>
      <c r="C32" s="28">
        <v>1.7999000000000001E-2</v>
      </c>
      <c r="D32">
        <v>9.9984999999999999</v>
      </c>
      <c r="E32" s="28">
        <v>2.2E-16</v>
      </c>
      <c r="G32" t="str">
        <f t="shared" si="0"/>
        <v>***</v>
      </c>
    </row>
    <row r="33" spans="1:7" x14ac:dyDescent="0.25">
      <c r="A33" t="s">
        <v>238</v>
      </c>
      <c r="B33" s="28">
        <v>-2.2152999999999999E-2</v>
      </c>
      <c r="C33" s="28">
        <v>3.5808E-2</v>
      </c>
      <c r="D33">
        <v>-0.61870000000000003</v>
      </c>
      <c r="E33">
        <v>0.53614379999999995</v>
      </c>
      <c r="G33" t="str">
        <f t="shared" si="0"/>
        <v/>
      </c>
    </row>
    <row r="34" spans="1:7" x14ac:dyDescent="0.25">
      <c r="A34" t="s">
        <v>241</v>
      </c>
      <c r="B34" s="28">
        <v>-0.10038999999999999</v>
      </c>
      <c r="C34" s="28">
        <v>9.7161000000000001E-3</v>
      </c>
      <c r="D34">
        <v>-10.332599999999999</v>
      </c>
      <c r="E34" s="28">
        <v>2.2E-16</v>
      </c>
      <c r="G34" t="str">
        <f t="shared" si="0"/>
        <v>***</v>
      </c>
    </row>
    <row r="35" spans="1:7" x14ac:dyDescent="0.25">
      <c r="A35" t="s">
        <v>243</v>
      </c>
      <c r="B35" s="28">
        <v>-0.12071999999999999</v>
      </c>
      <c r="C35" s="28">
        <v>1.3339999999999999E-2</v>
      </c>
      <c r="D35">
        <v>-9.0495999999999999</v>
      </c>
      <c r="E35" s="28">
        <v>2.2E-16</v>
      </c>
      <c r="G35" t="str">
        <f t="shared" si="0"/>
        <v>***</v>
      </c>
    </row>
    <row r="36" spans="1:7" x14ac:dyDescent="0.25">
      <c r="A36" t="s">
        <v>244</v>
      </c>
      <c r="B36" s="28">
        <v>-5.9909999999999998E-2</v>
      </c>
      <c r="C36" s="28">
        <v>2.8809000000000001E-2</v>
      </c>
      <c r="D36">
        <v>-2.0796000000000001</v>
      </c>
      <c r="E36">
        <v>3.75628E-2</v>
      </c>
      <c r="G36" t="str">
        <f t="shared" si="0"/>
        <v>**</v>
      </c>
    </row>
    <row r="37" spans="1:7" x14ac:dyDescent="0.25">
      <c r="A37" t="s">
        <v>245</v>
      </c>
      <c r="B37" s="28">
        <v>7.0350999999999997E-2</v>
      </c>
      <c r="C37" s="28">
        <v>1.6445999999999999E-2</v>
      </c>
      <c r="D37">
        <v>4.2775999999999996</v>
      </c>
      <c r="E37" s="28">
        <v>1.889E-5</v>
      </c>
      <c r="G37" t="str">
        <f t="shared" si="0"/>
        <v>***</v>
      </c>
    </row>
    <row r="38" spans="1:7" x14ac:dyDescent="0.25">
      <c r="A38" t="s">
        <v>247</v>
      </c>
      <c r="B38" s="28">
        <v>0.28519</v>
      </c>
      <c r="C38" s="28">
        <v>4.2067E-2</v>
      </c>
      <c r="D38">
        <v>6.7793000000000001</v>
      </c>
      <c r="E38" s="28">
        <v>1.207E-11</v>
      </c>
      <c r="G38" t="str">
        <f t="shared" si="0"/>
        <v>***</v>
      </c>
    </row>
    <row r="39" spans="1:7" x14ac:dyDescent="0.25">
      <c r="A39" t="s">
        <v>166</v>
      </c>
      <c r="B39" s="28">
        <v>0.19914999999999999</v>
      </c>
      <c r="C39" s="28">
        <v>1.5184E-2</v>
      </c>
      <c r="D39">
        <v>13.1157</v>
      </c>
      <c r="E39" s="28">
        <v>2.2E-16</v>
      </c>
      <c r="G39" t="str">
        <f t="shared" si="0"/>
        <v>***</v>
      </c>
    </row>
    <row r="40" spans="1:7" x14ac:dyDescent="0.25">
      <c r="A40" t="s">
        <v>167</v>
      </c>
      <c r="B40" s="28">
        <v>0.31103999999999998</v>
      </c>
      <c r="C40" s="28">
        <v>1.4879E-2</v>
      </c>
      <c r="D40">
        <v>20.904299999999999</v>
      </c>
      <c r="E40" s="28">
        <v>2.2E-16</v>
      </c>
      <c r="G40" t="str">
        <f t="shared" si="0"/>
        <v>***</v>
      </c>
    </row>
    <row r="41" spans="1:7" x14ac:dyDescent="0.25">
      <c r="A41" t="s">
        <v>168</v>
      </c>
      <c r="B41" s="28">
        <v>0.32385999999999998</v>
      </c>
      <c r="C41" s="28">
        <v>1.5243E-2</v>
      </c>
      <c r="D41">
        <v>21.246300000000002</v>
      </c>
      <c r="E41" s="28">
        <v>2.2E-16</v>
      </c>
      <c r="G41" t="str">
        <f t="shared" si="0"/>
        <v>***</v>
      </c>
    </row>
    <row r="42" spans="1:7" x14ac:dyDescent="0.25">
      <c r="A42" t="s">
        <v>169</v>
      </c>
      <c r="B42" s="28">
        <v>0.33218999999999999</v>
      </c>
      <c r="C42" s="28">
        <v>1.5061E-2</v>
      </c>
      <c r="D42">
        <v>22.0565</v>
      </c>
      <c r="E42" s="28">
        <v>2.2E-16</v>
      </c>
      <c r="G42" t="str">
        <f t="shared" si="0"/>
        <v>***</v>
      </c>
    </row>
    <row r="43" spans="1:7" x14ac:dyDescent="0.25">
      <c r="A43" t="s">
        <v>170</v>
      </c>
      <c r="B43" s="28">
        <v>0.34842000000000001</v>
      </c>
      <c r="C43" s="28">
        <v>1.5525000000000001E-2</v>
      </c>
      <c r="D43">
        <v>22.4421</v>
      </c>
      <c r="E43" s="28">
        <v>2.2E-16</v>
      </c>
      <c r="G43" t="str">
        <f t="shared" si="0"/>
        <v>***</v>
      </c>
    </row>
    <row r="44" spans="1:7" x14ac:dyDescent="0.25">
      <c r="A44" t="s">
        <v>50</v>
      </c>
      <c r="B44" s="28">
        <v>9.2424999999999997E-5</v>
      </c>
      <c r="C44" s="28">
        <v>3.8235999999999998E-5</v>
      </c>
      <c r="D44">
        <v>2.4171999999999998</v>
      </c>
      <c r="E44">
        <v>1.5640299999999999E-2</v>
      </c>
      <c r="G44" t="str">
        <f t="shared" si="0"/>
        <v>**</v>
      </c>
    </row>
    <row r="45" spans="1:7" x14ac:dyDescent="0.25">
      <c r="A45" t="s">
        <v>52</v>
      </c>
      <c r="B45" s="28">
        <v>1.0908999999999999E-3</v>
      </c>
      <c r="C45" s="28">
        <v>2.7918999999999999E-3</v>
      </c>
      <c r="D45">
        <v>0.39079999999999998</v>
      </c>
      <c r="E45">
        <v>0.69597810000000004</v>
      </c>
      <c r="G45" t="str">
        <f t="shared" si="0"/>
        <v/>
      </c>
    </row>
    <row r="46" spans="1:7" x14ac:dyDescent="0.25">
      <c r="A46" t="s">
        <v>51</v>
      </c>
      <c r="B46" s="28">
        <v>-9.9158000000000007E-3</v>
      </c>
      <c r="C46" s="28">
        <v>5.1729000000000002E-3</v>
      </c>
      <c r="D46">
        <v>-1.9169</v>
      </c>
      <c r="E46">
        <v>5.5254499999999998E-2</v>
      </c>
      <c r="G46" t="str">
        <f t="shared" si="0"/>
        <v>*</v>
      </c>
    </row>
    <row r="47" spans="1:7" x14ac:dyDescent="0.25">
      <c r="A47" t="s">
        <v>164</v>
      </c>
      <c r="B47" s="28">
        <v>-0.15915000000000001</v>
      </c>
      <c r="C47" s="28">
        <v>1.6164000000000001E-2</v>
      </c>
      <c r="D47">
        <v>-9.8454999999999995</v>
      </c>
      <c r="E47" s="28">
        <v>2.2E-16</v>
      </c>
      <c r="G47" t="str">
        <f t="shared" si="0"/>
        <v>***</v>
      </c>
    </row>
    <row r="48" spans="1:7" x14ac:dyDescent="0.25">
      <c r="A48" t="s">
        <v>39</v>
      </c>
      <c r="B48" s="28">
        <v>9.4298999999999994E-2</v>
      </c>
      <c r="C48" s="28">
        <v>1.5925000000000002E-2</v>
      </c>
      <c r="D48">
        <v>5.9212999999999996</v>
      </c>
      <c r="E48" s="28">
        <v>3.1939999999999999E-9</v>
      </c>
      <c r="G48" t="str">
        <f t="shared" si="0"/>
        <v>***</v>
      </c>
    </row>
    <row r="49" spans="1:7" x14ac:dyDescent="0.25">
      <c r="A49" t="s">
        <v>40</v>
      </c>
      <c r="B49" s="28">
        <v>-2.2172000000000001E-2</v>
      </c>
      <c r="C49" s="28">
        <v>1.2678999999999999E-2</v>
      </c>
      <c r="D49">
        <v>-1.7486999999999999</v>
      </c>
      <c r="E49">
        <v>8.0345799999999995E-2</v>
      </c>
      <c r="G49" t="str">
        <f t="shared" si="0"/>
        <v>*</v>
      </c>
    </row>
    <row r="50" spans="1:7" x14ac:dyDescent="0.25">
      <c r="A50" t="s">
        <v>41</v>
      </c>
      <c r="B50" s="28">
        <v>2.3247E-2</v>
      </c>
      <c r="C50" s="28">
        <v>1.2584E-2</v>
      </c>
      <c r="D50">
        <v>1.8473999999999999</v>
      </c>
      <c r="E50">
        <v>6.4696400000000001E-2</v>
      </c>
      <c r="G50" t="str">
        <f t="shared" si="0"/>
        <v>*</v>
      </c>
    </row>
    <row r="51" spans="1:7" x14ac:dyDescent="0.25">
      <c r="A51" t="s">
        <v>173</v>
      </c>
      <c r="B51" s="28">
        <v>-2.4981000000000001E-3</v>
      </c>
      <c r="C51" s="28">
        <v>8.6456E-4</v>
      </c>
      <c r="D51">
        <v>-2.8894000000000002</v>
      </c>
      <c r="E51">
        <v>3.8597000000000002E-3</v>
      </c>
      <c r="G51" t="str">
        <f t="shared" si="0"/>
        <v>***</v>
      </c>
    </row>
    <row r="52" spans="1:7" x14ac:dyDescent="0.25">
      <c r="A52" t="s">
        <v>174</v>
      </c>
      <c r="B52" s="28">
        <v>3.9222E-2</v>
      </c>
      <c r="C52" s="28">
        <v>8.9422000000000008E-3</v>
      </c>
      <c r="D52">
        <v>4.3861999999999997</v>
      </c>
      <c r="E52" s="28">
        <v>1.154E-5</v>
      </c>
      <c r="G52" t="str">
        <f t="shared" si="0"/>
        <v>***</v>
      </c>
    </row>
    <row r="53" spans="1:7" x14ac:dyDescent="0.25">
      <c r="A53" t="s">
        <v>175</v>
      </c>
      <c r="B53" s="28">
        <v>2.2821000000000001E-2</v>
      </c>
      <c r="C53" s="28">
        <v>7.3026999999999996E-3</v>
      </c>
      <c r="D53">
        <v>3.125</v>
      </c>
      <c r="E53">
        <v>1.7779E-3</v>
      </c>
      <c r="G53" t="str">
        <f t="shared" si="0"/>
        <v>***</v>
      </c>
    </row>
    <row r="54" spans="1:7" x14ac:dyDescent="0.25">
      <c r="A54" t="s">
        <v>43</v>
      </c>
      <c r="B54" s="28">
        <v>-0.10763</v>
      </c>
      <c r="C54" s="28">
        <v>9.7874000000000003E-2</v>
      </c>
      <c r="D54">
        <v>-1.0996999999999999</v>
      </c>
      <c r="E54">
        <v>0.27147670000000002</v>
      </c>
      <c r="G54" t="str">
        <f t="shared" si="0"/>
        <v/>
      </c>
    </row>
    <row r="55" spans="1:7" x14ac:dyDescent="0.25">
      <c r="A55" t="s">
        <v>44</v>
      </c>
      <c r="B55" s="28">
        <v>-9.2412999999999995E-2</v>
      </c>
      <c r="C55" s="28">
        <v>2.2887999999999999E-2</v>
      </c>
      <c r="D55">
        <v>-4.0376000000000003</v>
      </c>
      <c r="E55" s="28">
        <v>5.3999999999999998E-5</v>
      </c>
      <c r="G55" t="str">
        <f t="shared" si="0"/>
        <v>***</v>
      </c>
    </row>
    <row r="56" spans="1:7" x14ac:dyDescent="0.25">
      <c r="A56" t="s">
        <v>45</v>
      </c>
      <c r="B56" s="28">
        <v>-0.12667999999999999</v>
      </c>
      <c r="C56" s="28">
        <v>3.4602000000000001E-2</v>
      </c>
      <c r="D56">
        <v>-3.6610999999999998</v>
      </c>
      <c r="E56">
        <v>2.5109999999999998E-4</v>
      </c>
      <c r="G56" t="str">
        <f t="shared" si="0"/>
        <v>***</v>
      </c>
    </row>
    <row r="57" spans="1:7" x14ac:dyDescent="0.25">
      <c r="A57" t="s">
        <v>48</v>
      </c>
      <c r="B57" s="28">
        <v>2.7357000000000002E-3</v>
      </c>
      <c r="C57" s="28">
        <v>1.7201000000000001E-2</v>
      </c>
      <c r="D57">
        <v>0.159</v>
      </c>
      <c r="E57">
        <v>0.87363190000000002</v>
      </c>
      <c r="G57" t="str">
        <f t="shared" si="0"/>
        <v/>
      </c>
    </row>
    <row r="58" spans="1:7" x14ac:dyDescent="0.25">
      <c r="A58" t="s">
        <v>46</v>
      </c>
      <c r="B58" s="28">
        <v>-0.21953</v>
      </c>
      <c r="C58" s="28">
        <v>2.8677000000000001E-2</v>
      </c>
      <c r="D58">
        <v>-7.6551</v>
      </c>
      <c r="E58" s="28">
        <v>1.932E-14</v>
      </c>
      <c r="G58" t="str">
        <f t="shared" si="0"/>
        <v>***</v>
      </c>
    </row>
    <row r="59" spans="1:7" x14ac:dyDescent="0.25">
      <c r="A59" t="s">
        <v>330</v>
      </c>
      <c r="B59" s="28">
        <v>-5.1520000000000003E-2</v>
      </c>
      <c r="C59" s="28">
        <v>4.6623999999999999E-2</v>
      </c>
      <c r="D59">
        <v>-1.105</v>
      </c>
      <c r="E59">
        <v>0.26915410000000001</v>
      </c>
      <c r="G59" t="str">
        <f t="shared" si="0"/>
        <v/>
      </c>
    </row>
    <row r="60" spans="1:7" x14ac:dyDescent="0.25">
      <c r="A60" t="s">
        <v>331</v>
      </c>
      <c r="B60" s="28">
        <v>2.6959E-4</v>
      </c>
      <c r="C60" s="28">
        <v>9.4167999999999997E-5</v>
      </c>
      <c r="D60">
        <v>2.8628</v>
      </c>
      <c r="E60">
        <v>4.1986999999999997E-3</v>
      </c>
      <c r="G60" t="str">
        <f t="shared" si="0"/>
        <v>***</v>
      </c>
    </row>
    <row r="61" spans="1:7" x14ac:dyDescent="0.25">
      <c r="A61" t="s">
        <v>332</v>
      </c>
      <c r="B61" s="28">
        <v>1.7097999999999999E-2</v>
      </c>
      <c r="C61" s="28">
        <v>1.9306E-2</v>
      </c>
      <c r="D61">
        <v>0.88570000000000004</v>
      </c>
      <c r="E61">
        <v>0.37579370000000001</v>
      </c>
      <c r="G61" t="str">
        <f t="shared" si="0"/>
        <v/>
      </c>
    </row>
    <row r="62" spans="1:7" x14ac:dyDescent="0.25">
      <c r="A62" t="s">
        <v>333</v>
      </c>
      <c r="B62" s="28">
        <v>-3.8417999999999998E-3</v>
      </c>
      <c r="C62" s="28">
        <v>1.9965E-2</v>
      </c>
      <c r="D62">
        <v>-0.19239999999999999</v>
      </c>
      <c r="E62">
        <v>0.8474024</v>
      </c>
      <c r="G62" t="str">
        <f t="shared" si="0"/>
        <v/>
      </c>
    </row>
    <row r="63" spans="1:7" x14ac:dyDescent="0.25">
      <c r="A63" t="s">
        <v>334</v>
      </c>
      <c r="B63" s="28">
        <v>1.7696E-2</v>
      </c>
      <c r="C63" s="28">
        <v>1.9800999999999999E-2</v>
      </c>
      <c r="D63">
        <v>0.89370000000000005</v>
      </c>
      <c r="E63">
        <v>0.37147049999999998</v>
      </c>
      <c r="G63" t="str">
        <f t="shared" si="0"/>
        <v/>
      </c>
    </row>
    <row r="64" spans="1:7" x14ac:dyDescent="0.25">
      <c r="A64" t="s">
        <v>335</v>
      </c>
      <c r="B64" s="28">
        <v>4.5448000000000002E-2</v>
      </c>
      <c r="C64" s="28">
        <v>4.5469999999999997E-2</v>
      </c>
      <c r="D64">
        <v>0.99950000000000006</v>
      </c>
      <c r="E64">
        <v>0.31754789999999999</v>
      </c>
      <c r="G64" t="str">
        <f t="shared" si="0"/>
        <v/>
      </c>
    </row>
    <row r="65" spans="1:7" x14ac:dyDescent="0.25">
      <c r="A65" t="s">
        <v>336</v>
      </c>
      <c r="B65" s="28">
        <v>-7.7606000000000003E-3</v>
      </c>
      <c r="C65" s="28">
        <v>5.1061000000000002E-2</v>
      </c>
      <c r="D65">
        <v>-0.152</v>
      </c>
      <c r="E65">
        <v>0.87919879999999995</v>
      </c>
      <c r="G65" t="str">
        <f t="shared" si="0"/>
        <v/>
      </c>
    </row>
    <row r="66" spans="1:7" x14ac:dyDescent="0.25">
      <c r="A66" t="s">
        <v>337</v>
      </c>
      <c r="B66" s="28">
        <v>-7.1675000000000003E-2</v>
      </c>
      <c r="C66" s="28">
        <v>5.2186000000000003E-2</v>
      </c>
      <c r="D66">
        <v>-1.3734</v>
      </c>
      <c r="E66">
        <v>0.1696154</v>
      </c>
      <c r="G66" t="str">
        <f t="shared" si="0"/>
        <v/>
      </c>
    </row>
    <row r="67" spans="1:7" x14ac:dyDescent="0.25">
      <c r="A67" t="s">
        <v>338</v>
      </c>
      <c r="B67" s="28">
        <v>-5.6573999999999999E-2</v>
      </c>
      <c r="C67" s="28">
        <v>7.9422000000000006E-2</v>
      </c>
      <c r="D67">
        <v>-0.71230000000000004</v>
      </c>
      <c r="E67">
        <v>0.47626429999999997</v>
      </c>
      <c r="G67" t="str">
        <f t="shared" ref="G67:G114" si="1">IF(E67&lt;0.01,"***",IF(E67&lt;0.05,"**",IF(E67&lt;0.1,"*","")))</f>
        <v/>
      </c>
    </row>
    <row r="68" spans="1:7" x14ac:dyDescent="0.25">
      <c r="A68" t="s">
        <v>339</v>
      </c>
      <c r="B68" s="28">
        <v>-3.8876000000000001E-2</v>
      </c>
      <c r="C68" s="28">
        <v>4.2743E-3</v>
      </c>
      <c r="D68">
        <v>-9.0952999999999999</v>
      </c>
      <c r="E68" s="28">
        <v>2.2E-16</v>
      </c>
      <c r="G68" t="str">
        <f t="shared" si="1"/>
        <v>***</v>
      </c>
    </row>
    <row r="69" spans="1:7" x14ac:dyDescent="0.25">
      <c r="A69" t="s">
        <v>340</v>
      </c>
      <c r="B69" s="28">
        <v>-4.8244999999999998E-3</v>
      </c>
      <c r="C69" s="28">
        <v>8.1381999999999999E-3</v>
      </c>
      <c r="D69">
        <v>-0.59279999999999999</v>
      </c>
      <c r="E69">
        <v>0.55329779999999995</v>
      </c>
      <c r="G69" t="str">
        <f t="shared" si="1"/>
        <v/>
      </c>
    </row>
    <row r="70" spans="1:7" x14ac:dyDescent="0.25">
      <c r="A70" t="s">
        <v>341</v>
      </c>
      <c r="B70" s="28">
        <v>-1.0307E-2</v>
      </c>
      <c r="C70" s="28">
        <v>8.3417999999999999E-3</v>
      </c>
      <c r="D70">
        <v>-1.2356</v>
      </c>
      <c r="E70">
        <v>0.21661330000000001</v>
      </c>
      <c r="G70" t="str">
        <f t="shared" si="1"/>
        <v/>
      </c>
    </row>
    <row r="71" spans="1:7" x14ac:dyDescent="0.25">
      <c r="A71" t="s">
        <v>342</v>
      </c>
      <c r="B71" s="28">
        <v>2.0171000000000001E-2</v>
      </c>
      <c r="C71" s="28">
        <v>9.0563999999999992E-3</v>
      </c>
      <c r="D71">
        <v>2.2273000000000001</v>
      </c>
      <c r="E71">
        <v>2.59279E-2</v>
      </c>
      <c r="G71" t="str">
        <f t="shared" si="1"/>
        <v>**</v>
      </c>
    </row>
    <row r="72" spans="1:7" x14ac:dyDescent="0.25">
      <c r="A72" t="s">
        <v>343</v>
      </c>
      <c r="B72" s="28">
        <v>1.1004999999999999E-2</v>
      </c>
      <c r="C72" s="28">
        <v>2.1741E-2</v>
      </c>
      <c r="D72">
        <v>0.50619999999999998</v>
      </c>
      <c r="E72">
        <v>0.61271279999999995</v>
      </c>
      <c r="G72" t="str">
        <f t="shared" si="1"/>
        <v/>
      </c>
    </row>
    <row r="73" spans="1:7" x14ac:dyDescent="0.25">
      <c r="A73" t="s">
        <v>344</v>
      </c>
      <c r="B73" s="28">
        <v>-3.3661999999999997E-5</v>
      </c>
      <c r="C73" s="28">
        <v>6.1167999999999996E-6</v>
      </c>
      <c r="D73">
        <v>-5.5030999999999999</v>
      </c>
      <c r="E73" s="28">
        <v>3.7319999999999999E-8</v>
      </c>
      <c r="G73" t="str">
        <f t="shared" si="1"/>
        <v>***</v>
      </c>
    </row>
    <row r="74" spans="1:7" x14ac:dyDescent="0.25">
      <c r="A74" t="s">
        <v>345</v>
      </c>
      <c r="B74" s="28">
        <v>4.3213000000000001E-3</v>
      </c>
      <c r="C74" s="28">
        <v>6.1041000000000003E-4</v>
      </c>
      <c r="D74">
        <v>7.0792999999999999</v>
      </c>
      <c r="E74" s="28">
        <v>1.449E-12</v>
      </c>
      <c r="G74" t="str">
        <f t="shared" si="1"/>
        <v>***</v>
      </c>
    </row>
    <row r="75" spans="1:7" x14ac:dyDescent="0.25">
      <c r="A75" t="s">
        <v>346</v>
      </c>
      <c r="B75" s="28">
        <v>-2.1443E-2</v>
      </c>
      <c r="C75" s="28">
        <v>5.9404999999999996E-3</v>
      </c>
      <c r="D75">
        <v>-3.6095999999999999</v>
      </c>
      <c r="E75">
        <v>3.0660000000000003E-4</v>
      </c>
      <c r="G75" t="str">
        <f t="shared" si="1"/>
        <v>***</v>
      </c>
    </row>
    <row r="76" spans="1:7" x14ac:dyDescent="0.25">
      <c r="A76" t="s">
        <v>347</v>
      </c>
      <c r="B76" s="28">
        <v>2.5163000000000001E-2</v>
      </c>
      <c r="C76" s="28">
        <v>3.0504E-2</v>
      </c>
      <c r="D76">
        <v>0.82489999999999997</v>
      </c>
      <c r="E76">
        <v>0.40942440000000002</v>
      </c>
      <c r="G76" t="str">
        <f t="shared" si="1"/>
        <v/>
      </c>
    </row>
    <row r="77" spans="1:7" x14ac:dyDescent="0.25">
      <c r="A77" t="s">
        <v>348</v>
      </c>
      <c r="B77" s="28">
        <v>-3.3536000000000003E-2</v>
      </c>
      <c r="C77" s="28">
        <v>1.5987000000000001E-2</v>
      </c>
      <c r="D77">
        <v>-2.0977000000000001</v>
      </c>
      <c r="E77">
        <v>3.5928300000000003E-2</v>
      </c>
      <c r="G77" t="str">
        <f t="shared" si="1"/>
        <v>**</v>
      </c>
    </row>
    <row r="78" spans="1:7" x14ac:dyDescent="0.25">
      <c r="A78" t="s">
        <v>349</v>
      </c>
      <c r="B78" s="28">
        <v>-1.4477E-2</v>
      </c>
      <c r="C78" s="28">
        <v>1.4701000000000001E-2</v>
      </c>
      <c r="D78">
        <v>-0.98480000000000001</v>
      </c>
      <c r="E78">
        <v>0.32473990000000003</v>
      </c>
      <c r="G78" t="str">
        <f t="shared" si="1"/>
        <v/>
      </c>
    </row>
    <row r="79" spans="1:7" x14ac:dyDescent="0.25">
      <c r="A79" t="s">
        <v>350</v>
      </c>
      <c r="B79" s="28">
        <v>5.2594000000000002E-2</v>
      </c>
      <c r="C79" s="28">
        <v>2.1354000000000001E-2</v>
      </c>
      <c r="D79">
        <v>2.4628999999999999</v>
      </c>
      <c r="E79">
        <v>1.37809E-2</v>
      </c>
      <c r="G79" t="str">
        <f t="shared" si="1"/>
        <v>**</v>
      </c>
    </row>
    <row r="80" spans="1:7" x14ac:dyDescent="0.25">
      <c r="A80" t="s">
        <v>351</v>
      </c>
      <c r="B80" s="28">
        <v>2.4638E-2</v>
      </c>
      <c r="C80" s="28">
        <v>2.4811E-2</v>
      </c>
      <c r="D80">
        <v>0.99299999999999999</v>
      </c>
      <c r="E80">
        <v>0.320691</v>
      </c>
      <c r="G80" t="str">
        <f t="shared" si="1"/>
        <v/>
      </c>
    </row>
    <row r="81" spans="1:7" x14ac:dyDescent="0.25">
      <c r="A81" t="s">
        <v>352</v>
      </c>
      <c r="B81" s="28">
        <v>7.5756000000000004E-2</v>
      </c>
      <c r="C81" s="28">
        <v>3.1925000000000002E-2</v>
      </c>
      <c r="D81">
        <v>2.3729</v>
      </c>
      <c r="E81">
        <v>1.7648899999999999E-2</v>
      </c>
      <c r="G81" t="str">
        <f t="shared" si="1"/>
        <v>**</v>
      </c>
    </row>
    <row r="82" spans="1:7" x14ac:dyDescent="0.25">
      <c r="A82" t="s">
        <v>353</v>
      </c>
      <c r="B82" s="28">
        <v>0.33612999999999998</v>
      </c>
      <c r="C82" s="28">
        <v>5.0639000000000003E-2</v>
      </c>
      <c r="D82">
        <v>6.6376999999999997</v>
      </c>
      <c r="E82" s="28">
        <v>3.186E-11</v>
      </c>
      <c r="G82" t="str">
        <f t="shared" si="1"/>
        <v>***</v>
      </c>
    </row>
    <row r="83" spans="1:7" x14ac:dyDescent="0.25">
      <c r="A83" t="s">
        <v>354</v>
      </c>
      <c r="B83" s="28">
        <v>0.37978000000000001</v>
      </c>
      <c r="C83" s="28">
        <v>6.0262999999999997E-2</v>
      </c>
      <c r="D83">
        <v>6.3021000000000003</v>
      </c>
      <c r="E83" s="28">
        <v>2.936E-10</v>
      </c>
      <c r="G83" t="str">
        <f t="shared" si="1"/>
        <v>***</v>
      </c>
    </row>
    <row r="84" spans="1:7" x14ac:dyDescent="0.25">
      <c r="A84" t="s">
        <v>355</v>
      </c>
      <c r="B84" s="28">
        <v>0.19123000000000001</v>
      </c>
      <c r="C84" s="28">
        <v>2.0319E-2</v>
      </c>
      <c r="D84">
        <v>9.4116</v>
      </c>
      <c r="E84" s="28">
        <v>2.2E-16</v>
      </c>
      <c r="G84" t="str">
        <f t="shared" si="1"/>
        <v>***</v>
      </c>
    </row>
    <row r="85" spans="1:7" x14ac:dyDescent="0.25">
      <c r="A85" t="s">
        <v>356</v>
      </c>
      <c r="B85" s="28">
        <v>0.22588</v>
      </c>
      <c r="C85" s="28">
        <v>0.18165000000000001</v>
      </c>
      <c r="D85">
        <v>1.2434000000000001</v>
      </c>
      <c r="E85">
        <v>0.21370800000000001</v>
      </c>
      <c r="G85" t="str">
        <f t="shared" si="1"/>
        <v/>
      </c>
    </row>
    <row r="86" spans="1:7" x14ac:dyDescent="0.25">
      <c r="A86" t="s">
        <v>357</v>
      </c>
      <c r="B86" s="28">
        <v>3.1426999999999997E-2</v>
      </c>
      <c r="C86" s="28">
        <v>3.1652E-2</v>
      </c>
      <c r="D86">
        <v>0.9929</v>
      </c>
      <c r="E86">
        <v>0.32076440000000001</v>
      </c>
      <c r="G86" t="str">
        <f t="shared" si="1"/>
        <v/>
      </c>
    </row>
    <row r="87" spans="1:7" x14ac:dyDescent="0.25">
      <c r="A87" t="s">
        <v>358</v>
      </c>
      <c r="B87" s="28">
        <v>0.20779</v>
      </c>
      <c r="C87" s="28">
        <v>6.9006999999999999E-2</v>
      </c>
      <c r="D87">
        <v>3.0112000000000001</v>
      </c>
      <c r="E87">
        <v>2.6026000000000001E-3</v>
      </c>
      <c r="G87" t="str">
        <f t="shared" si="1"/>
        <v>***</v>
      </c>
    </row>
    <row r="88" spans="1:7" x14ac:dyDescent="0.25">
      <c r="A88" t="s">
        <v>359</v>
      </c>
      <c r="B88" s="28">
        <v>-0.18472</v>
      </c>
      <c r="C88" s="28">
        <v>2.2058999999999999E-2</v>
      </c>
      <c r="D88">
        <v>-8.3737999999999992</v>
      </c>
      <c r="E88" s="28">
        <v>2.2E-16</v>
      </c>
      <c r="G88" t="str">
        <f t="shared" si="1"/>
        <v>***</v>
      </c>
    </row>
    <row r="89" spans="1:7" x14ac:dyDescent="0.25">
      <c r="A89" t="s">
        <v>360</v>
      </c>
      <c r="B89" s="28">
        <v>-3.7504000000000003E-2</v>
      </c>
      <c r="C89" s="28">
        <v>6.5632999999999997E-2</v>
      </c>
      <c r="D89">
        <v>-0.57140000000000002</v>
      </c>
      <c r="E89">
        <v>0.56772140000000004</v>
      </c>
      <c r="G89" t="str">
        <f t="shared" si="1"/>
        <v/>
      </c>
    </row>
    <row r="90" spans="1:7" x14ac:dyDescent="0.25">
      <c r="A90" t="s">
        <v>361</v>
      </c>
      <c r="B90" s="28">
        <v>9.2600000000000002E-2</v>
      </c>
      <c r="C90" s="28">
        <v>1.481E-2</v>
      </c>
      <c r="D90">
        <v>6.2526999999999999</v>
      </c>
      <c r="E90" s="28">
        <v>4.0340000000000002E-10</v>
      </c>
      <c r="G90" t="str">
        <f t="shared" si="1"/>
        <v>***</v>
      </c>
    </row>
    <row r="91" spans="1:7" x14ac:dyDescent="0.25">
      <c r="A91" t="s">
        <v>362</v>
      </c>
      <c r="B91" s="28">
        <v>0.12881000000000001</v>
      </c>
      <c r="C91" s="28">
        <v>2.0768999999999999E-2</v>
      </c>
      <c r="D91">
        <v>6.2019000000000002</v>
      </c>
      <c r="E91" s="28">
        <v>5.5800000000000004E-10</v>
      </c>
      <c r="G91" t="str">
        <f t="shared" si="1"/>
        <v>***</v>
      </c>
    </row>
    <row r="92" spans="1:7" x14ac:dyDescent="0.25">
      <c r="A92" t="s">
        <v>363</v>
      </c>
      <c r="B92" s="28">
        <v>0.17075000000000001</v>
      </c>
      <c r="C92" s="28">
        <v>8.4288000000000002E-2</v>
      </c>
      <c r="D92">
        <v>2.0257999999999998</v>
      </c>
      <c r="E92">
        <v>4.2783099999999998E-2</v>
      </c>
      <c r="G92" t="str">
        <f t="shared" si="1"/>
        <v>**</v>
      </c>
    </row>
    <row r="93" spans="1:7" x14ac:dyDescent="0.25">
      <c r="A93" t="s">
        <v>364</v>
      </c>
      <c r="B93" s="28">
        <v>-0.10997999999999999</v>
      </c>
      <c r="C93" s="28">
        <v>2.2796E-2</v>
      </c>
      <c r="D93">
        <v>-4.8246000000000002</v>
      </c>
      <c r="E93" s="28">
        <v>1.403E-6</v>
      </c>
      <c r="G93" t="str">
        <f t="shared" si="1"/>
        <v>***</v>
      </c>
    </row>
    <row r="94" spans="1:7" x14ac:dyDescent="0.25">
      <c r="A94" t="s">
        <v>365</v>
      </c>
      <c r="B94" s="28">
        <v>-0.41871000000000003</v>
      </c>
      <c r="C94" s="28">
        <v>0.1421</v>
      </c>
      <c r="D94">
        <v>-2.9466999999999999</v>
      </c>
      <c r="E94">
        <v>3.2120999999999999E-3</v>
      </c>
      <c r="G94" t="str">
        <f t="shared" si="1"/>
        <v>***</v>
      </c>
    </row>
    <row r="95" spans="1:7" x14ac:dyDescent="0.25">
      <c r="A95" t="s">
        <v>366</v>
      </c>
      <c r="B95" s="28">
        <v>-0.17702000000000001</v>
      </c>
      <c r="C95" s="28">
        <v>6.5154000000000004E-2</v>
      </c>
      <c r="D95">
        <v>-2.7168999999999999</v>
      </c>
      <c r="E95">
        <v>6.5894999999999999E-3</v>
      </c>
      <c r="G95" t="str">
        <f t="shared" si="1"/>
        <v>***</v>
      </c>
    </row>
    <row r="96" spans="1:7" x14ac:dyDescent="0.25">
      <c r="A96" t="s">
        <v>367</v>
      </c>
      <c r="B96" s="28">
        <v>-0.18373999999999999</v>
      </c>
      <c r="C96" s="28">
        <v>6.3015000000000002E-2</v>
      </c>
      <c r="D96">
        <v>-2.9157999999999999</v>
      </c>
      <c r="E96">
        <v>3.5476000000000001E-3</v>
      </c>
      <c r="G96" t="str">
        <f t="shared" si="1"/>
        <v>***</v>
      </c>
    </row>
    <row r="97" spans="1:7" x14ac:dyDescent="0.25">
      <c r="A97" t="s">
        <v>368</v>
      </c>
      <c r="B97" s="28">
        <v>-0.26308999999999999</v>
      </c>
      <c r="C97" s="28">
        <v>6.3773999999999997E-2</v>
      </c>
      <c r="D97">
        <v>-4.1253000000000002</v>
      </c>
      <c r="E97" s="28">
        <v>3.7030000000000003E-5</v>
      </c>
      <c r="G97" t="str">
        <f t="shared" si="1"/>
        <v>***</v>
      </c>
    </row>
    <row r="98" spans="1:7" x14ac:dyDescent="0.25">
      <c r="A98" t="s">
        <v>369</v>
      </c>
      <c r="B98" s="28">
        <v>-0.19903999999999999</v>
      </c>
      <c r="C98" s="28">
        <v>6.3537999999999997E-2</v>
      </c>
      <c r="D98">
        <v>-3.1326999999999998</v>
      </c>
      <c r="E98">
        <v>1.7321999999999999E-3</v>
      </c>
      <c r="G98" t="str">
        <f t="shared" si="1"/>
        <v>***</v>
      </c>
    </row>
    <row r="99" spans="1:7" x14ac:dyDescent="0.25">
      <c r="A99" t="s">
        <v>370</v>
      </c>
      <c r="B99" s="28">
        <v>-0.20935999999999999</v>
      </c>
      <c r="C99" s="28">
        <v>6.4524999999999999E-2</v>
      </c>
      <c r="D99">
        <v>-3.2446999999999999</v>
      </c>
      <c r="E99">
        <v>1.1758000000000001E-3</v>
      </c>
      <c r="G99" t="str">
        <f t="shared" si="1"/>
        <v>***</v>
      </c>
    </row>
    <row r="100" spans="1:7" x14ac:dyDescent="0.25">
      <c r="A100" t="s">
        <v>371</v>
      </c>
      <c r="B100" s="28">
        <v>-6.4566999999999994E-5</v>
      </c>
      <c r="C100" s="28">
        <v>5.9718E-5</v>
      </c>
      <c r="D100">
        <v>-1.0811999999999999</v>
      </c>
      <c r="E100">
        <v>0.27960970000000002</v>
      </c>
      <c r="G100" t="str">
        <f t="shared" si="1"/>
        <v/>
      </c>
    </row>
    <row r="101" spans="1:7" x14ac:dyDescent="0.25">
      <c r="A101" t="s">
        <v>372</v>
      </c>
      <c r="B101" s="28">
        <v>-2.2091E-2</v>
      </c>
      <c r="C101" s="28">
        <v>1.1698E-2</v>
      </c>
      <c r="D101">
        <v>-1.8885000000000001</v>
      </c>
      <c r="E101">
        <v>5.8956000000000001E-2</v>
      </c>
      <c r="G101" t="str">
        <f t="shared" si="1"/>
        <v>*</v>
      </c>
    </row>
    <row r="102" spans="1:7" x14ac:dyDescent="0.25">
      <c r="A102" t="s">
        <v>373</v>
      </c>
      <c r="B102" s="28">
        <v>1.1701E-2</v>
      </c>
      <c r="C102" s="28">
        <v>2.5579999999999999E-2</v>
      </c>
      <c r="D102">
        <v>0.45739999999999997</v>
      </c>
      <c r="E102">
        <v>0.64735379999999998</v>
      </c>
      <c r="G102" t="str">
        <f t="shared" si="1"/>
        <v/>
      </c>
    </row>
    <row r="103" spans="1:7" x14ac:dyDescent="0.25">
      <c r="A103" t="s">
        <v>374</v>
      </c>
      <c r="B103" s="28">
        <v>0.15551999999999999</v>
      </c>
      <c r="C103" s="28">
        <v>1.6201E-2</v>
      </c>
      <c r="D103">
        <v>9.5993999999999993</v>
      </c>
      <c r="E103" s="28">
        <v>2.2E-16</v>
      </c>
      <c r="G103" t="str">
        <f t="shared" si="1"/>
        <v>***</v>
      </c>
    </row>
    <row r="104" spans="1:7" x14ac:dyDescent="0.25">
      <c r="A104" t="s">
        <v>375</v>
      </c>
      <c r="B104" s="28">
        <v>-0.10523</v>
      </c>
      <c r="C104" s="28">
        <v>1.7451000000000001E-2</v>
      </c>
      <c r="D104">
        <v>-6.0298999999999996</v>
      </c>
      <c r="E104" s="28">
        <v>1.641E-9</v>
      </c>
      <c r="G104" t="str">
        <f t="shared" si="1"/>
        <v>***</v>
      </c>
    </row>
    <row r="105" spans="1:7" x14ac:dyDescent="0.25">
      <c r="A105" t="s">
        <v>376</v>
      </c>
      <c r="B105" s="28">
        <v>1.9803000000000001E-2</v>
      </c>
      <c r="C105" s="28">
        <v>1.2694E-2</v>
      </c>
      <c r="D105">
        <v>1.56</v>
      </c>
      <c r="E105">
        <v>0.1187489</v>
      </c>
      <c r="G105" t="str">
        <f t="shared" si="1"/>
        <v/>
      </c>
    </row>
    <row r="106" spans="1:7" x14ac:dyDescent="0.25">
      <c r="A106" t="s">
        <v>377</v>
      </c>
      <c r="B106" s="28">
        <v>-2.2051000000000001E-2</v>
      </c>
      <c r="C106" s="28">
        <v>1.2596E-2</v>
      </c>
      <c r="D106">
        <v>-1.7506999999999999</v>
      </c>
      <c r="E106">
        <v>8.00043E-2</v>
      </c>
      <c r="G106" t="str">
        <f t="shared" si="1"/>
        <v>*</v>
      </c>
    </row>
    <row r="107" spans="1:7" x14ac:dyDescent="0.25">
      <c r="A107" t="s">
        <v>378</v>
      </c>
      <c r="B107" s="28">
        <v>3.9445000000000001E-3</v>
      </c>
      <c r="C107" s="28">
        <v>2.2642000000000001E-3</v>
      </c>
      <c r="D107">
        <v>1.7421</v>
      </c>
      <c r="E107">
        <v>8.1491999999999995E-2</v>
      </c>
      <c r="G107" t="str">
        <f t="shared" si="1"/>
        <v>*</v>
      </c>
    </row>
    <row r="108" spans="1:7" x14ac:dyDescent="0.25">
      <c r="A108" t="s">
        <v>379</v>
      </c>
      <c r="B108" s="28">
        <v>-3.9613000000000002E-2</v>
      </c>
      <c r="C108" s="28">
        <v>9.0536000000000002E-3</v>
      </c>
      <c r="D108">
        <v>-4.3754</v>
      </c>
      <c r="E108" s="28">
        <v>1.2119999999999999E-5</v>
      </c>
      <c r="G108" t="str">
        <f t="shared" si="1"/>
        <v>***</v>
      </c>
    </row>
    <row r="109" spans="1:7" x14ac:dyDescent="0.25">
      <c r="A109" t="s">
        <v>380</v>
      </c>
      <c r="B109" s="28">
        <v>-2.0729999999999998E-2</v>
      </c>
      <c r="C109" s="28">
        <v>7.4548000000000001E-3</v>
      </c>
      <c r="D109">
        <v>-2.7806999999999999</v>
      </c>
      <c r="E109">
        <v>5.4234000000000001E-3</v>
      </c>
      <c r="G109" t="str">
        <f t="shared" si="1"/>
        <v>***</v>
      </c>
    </row>
    <row r="110" spans="1:7" x14ac:dyDescent="0.25">
      <c r="A110" t="s">
        <v>381</v>
      </c>
      <c r="B110" s="28">
        <v>-0.11206000000000001</v>
      </c>
      <c r="C110" s="28">
        <v>0.11434</v>
      </c>
      <c r="D110">
        <v>-0.98009999999999997</v>
      </c>
      <c r="E110">
        <v>0.32703769999999999</v>
      </c>
      <c r="G110" t="str">
        <f t="shared" si="1"/>
        <v/>
      </c>
    </row>
    <row r="111" spans="1:7" x14ac:dyDescent="0.25">
      <c r="A111" t="s">
        <v>382</v>
      </c>
      <c r="B111" s="28">
        <v>4.9730999999999997E-2</v>
      </c>
      <c r="C111" s="28">
        <v>2.5545000000000002E-2</v>
      </c>
      <c r="D111">
        <v>1.9468000000000001</v>
      </c>
      <c r="E111">
        <v>5.1562400000000001E-2</v>
      </c>
      <c r="G111" t="str">
        <f t="shared" si="1"/>
        <v>*</v>
      </c>
    </row>
    <row r="112" spans="1:7" x14ac:dyDescent="0.25">
      <c r="A112" t="s">
        <v>383</v>
      </c>
      <c r="B112" s="28">
        <v>-3.8744000000000001E-2</v>
      </c>
      <c r="C112" s="28">
        <v>4.1001999999999997E-2</v>
      </c>
      <c r="D112">
        <v>-0.94489999999999996</v>
      </c>
      <c r="E112">
        <v>0.3446902</v>
      </c>
      <c r="G112" t="str">
        <f t="shared" si="1"/>
        <v/>
      </c>
    </row>
    <row r="113" spans="1:7" x14ac:dyDescent="0.25">
      <c r="A113" t="s">
        <v>384</v>
      </c>
      <c r="B113" s="28">
        <v>1.4496E-2</v>
      </c>
      <c r="C113" s="28">
        <v>2.1453E-2</v>
      </c>
      <c r="D113">
        <v>0.67569999999999997</v>
      </c>
      <c r="E113">
        <v>0.49921769999999999</v>
      </c>
      <c r="G113" t="str">
        <f t="shared" si="1"/>
        <v/>
      </c>
    </row>
    <row r="114" spans="1:7" x14ac:dyDescent="0.25">
      <c r="A114" t="s">
        <v>385</v>
      </c>
      <c r="B114" s="28">
        <v>9.2029E-2</v>
      </c>
      <c r="C114" s="28">
        <v>3.8863000000000002E-2</v>
      </c>
      <c r="D114">
        <v>2.3681000000000001</v>
      </c>
      <c r="E114">
        <v>1.78811E-2</v>
      </c>
      <c r="G114" t="str">
        <f t="shared" si="1"/>
        <v>**</v>
      </c>
    </row>
    <row r="117" spans="1:7" x14ac:dyDescent="0.25">
      <c r="A117" t="s">
        <v>407</v>
      </c>
      <c r="E117">
        <v>0.77027999999999996</v>
      </c>
      <c r="G117" t="s">
        <v>401</v>
      </c>
    </row>
    <row r="118" spans="1:7" x14ac:dyDescent="0.25">
      <c r="A118" t="s">
        <v>408</v>
      </c>
    </row>
    <row r="119" spans="1:7" x14ac:dyDescent="0.25">
      <c r="A119" t="s">
        <v>409</v>
      </c>
    </row>
    <row r="120" spans="1:7" x14ac:dyDescent="0.25">
      <c r="A120" t="s">
        <v>410</v>
      </c>
    </row>
    <row r="122" spans="1:7" x14ac:dyDescent="0.25">
      <c r="A122" t="s">
        <v>411</v>
      </c>
      <c r="G122">
        <v>6728.1710000000003</v>
      </c>
    </row>
    <row r="123" spans="1:7" x14ac:dyDescent="0.25">
      <c r="A123" t="s">
        <v>412</v>
      </c>
    </row>
    <row r="124" spans="1:7" x14ac:dyDescent="0.25">
      <c r="A124" t="s">
        <v>391</v>
      </c>
      <c r="G124">
        <v>19252</v>
      </c>
    </row>
    <row r="125" spans="1:7" x14ac:dyDescent="0.25">
      <c r="A125" t="s">
        <v>392</v>
      </c>
    </row>
    <row r="126" spans="1:7" x14ac:dyDescent="0.25">
      <c r="A126" t="s">
        <v>413</v>
      </c>
      <c r="G126">
        <v>-13226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C5D65-3C42-4ED0-B47C-654214D53927}">
  <sheetPr codeName="Sheet23"/>
  <dimension ref="A1:M57"/>
  <sheetViews>
    <sheetView topLeftCell="A46" workbookViewId="0">
      <selection activeCell="Q20" sqref="Q20"/>
    </sheetView>
  </sheetViews>
  <sheetFormatPr defaultRowHeight="15" x14ac:dyDescent="0.25"/>
  <cols>
    <col min="1" max="1" width="25.85546875" bestFit="1" customWidth="1"/>
    <col min="2" max="4" width="8.28515625" bestFit="1" customWidth="1"/>
    <col min="6" max="6" width="25.85546875" bestFit="1" customWidth="1"/>
    <col min="7" max="7" width="7.5703125" bestFit="1" customWidth="1"/>
    <col min="8" max="8" width="7.85546875" bestFit="1" customWidth="1"/>
    <col min="9" max="9" width="7.5703125" bestFit="1" customWidth="1"/>
  </cols>
  <sheetData>
    <row r="1" spans="1:13" x14ac:dyDescent="0.25">
      <c r="B1" t="s">
        <v>396</v>
      </c>
      <c r="C1" t="s">
        <v>397</v>
      </c>
      <c r="D1" t="s">
        <v>398</v>
      </c>
      <c r="G1" t="s">
        <v>396</v>
      </c>
      <c r="H1" t="s">
        <v>397</v>
      </c>
      <c r="I1" t="s">
        <v>398</v>
      </c>
    </row>
    <row r="2" spans="1:13" x14ac:dyDescent="0.25">
      <c r="A2" t="s">
        <v>11</v>
      </c>
      <c r="B2" s="29">
        <v>3.3956460000000001E-2</v>
      </c>
      <c r="C2" s="29">
        <v>-0.10140440000000001</v>
      </c>
      <c r="D2" s="29">
        <v>-6.7447925699999994E-2</v>
      </c>
      <c r="F2" t="s">
        <v>11</v>
      </c>
      <c r="G2" s="29">
        <v>2.11575E-3</v>
      </c>
      <c r="H2" s="29">
        <v>0.61656502000000002</v>
      </c>
      <c r="I2" s="29">
        <v>0.74612411000000001</v>
      </c>
      <c r="K2" t="str">
        <f>IF(G2&lt;0.01,"***",IF(G2&lt;0.05,"**",IF(G2&lt;0.1,"*","")))</f>
        <v>***</v>
      </c>
      <c r="L2" t="str">
        <f t="shared" ref="L2:M2" si="0">IF(H2&lt;0.01,"***",IF(H2&lt;0.05,"**",IF(H2&lt;0.1,"*","")))</f>
        <v/>
      </c>
      <c r="M2" t="str">
        <f t="shared" si="0"/>
        <v/>
      </c>
    </row>
    <row r="3" spans="1:13" x14ac:dyDescent="0.25">
      <c r="A3" t="s">
        <v>16</v>
      </c>
      <c r="B3" s="29">
        <v>-9.2817279999999995E-5</v>
      </c>
      <c r="C3" s="29">
        <v>7.9190170000000004E-4</v>
      </c>
      <c r="D3" s="29">
        <v>6.9908440000000002E-4</v>
      </c>
      <c r="F3" t="s">
        <v>16</v>
      </c>
      <c r="G3" s="29">
        <v>3.9823000000000001E-4</v>
      </c>
      <c r="H3" s="29">
        <v>4.1299160000000001E-2</v>
      </c>
      <c r="I3" s="29">
        <v>7.918944E-2</v>
      </c>
      <c r="K3" t="str">
        <f t="shared" ref="K3:K57" si="1">IF(G3&lt;0.01,"***",IF(G3&lt;0.05,"**",IF(G3&lt;0.1,"*","")))</f>
        <v>***</v>
      </c>
      <c r="L3" t="str">
        <f t="shared" ref="L3:L57" si="2">IF(H3&lt;0.01,"***",IF(H3&lt;0.05,"**",IF(H3&lt;0.1,"*","")))</f>
        <v>**</v>
      </c>
      <c r="M3" t="str">
        <f t="shared" ref="M3:M57" si="3">IF(I3&lt;0.01,"***",IF(I3&lt;0.05,"**",IF(I3&lt;0.1,"*","")))</f>
        <v>*</v>
      </c>
    </row>
    <row r="4" spans="1:13" x14ac:dyDescent="0.25">
      <c r="A4" t="s">
        <v>197</v>
      </c>
      <c r="B4" s="29">
        <v>3.07382E-2</v>
      </c>
      <c r="C4" s="29">
        <v>0.16298850000000001</v>
      </c>
      <c r="D4" s="29">
        <v>0.1937266751</v>
      </c>
      <c r="F4" t="s">
        <v>197</v>
      </c>
      <c r="G4" s="29">
        <v>2.3409000000000002E-10</v>
      </c>
      <c r="H4" s="29">
        <v>5.4475269999999999E-2</v>
      </c>
      <c r="I4" s="29">
        <v>2.6389429999999998E-2</v>
      </c>
      <c r="K4" t="str">
        <f t="shared" si="1"/>
        <v>***</v>
      </c>
      <c r="L4" t="str">
        <f t="shared" si="2"/>
        <v>*</v>
      </c>
      <c r="M4" t="str">
        <f t="shared" si="3"/>
        <v>**</v>
      </c>
    </row>
    <row r="5" spans="1:13" x14ac:dyDescent="0.25">
      <c r="A5" t="s">
        <v>200</v>
      </c>
      <c r="B5" s="29">
        <v>3.8427370000000002E-2</v>
      </c>
      <c r="C5" s="29">
        <v>0.10295310000000001</v>
      </c>
      <c r="D5" s="29">
        <v>0.14138051739999999</v>
      </c>
      <c r="F5" t="s">
        <v>200</v>
      </c>
      <c r="G5" s="29">
        <v>3.0198E-14</v>
      </c>
      <c r="H5" s="29">
        <v>0.21404377999999999</v>
      </c>
      <c r="I5" s="29">
        <v>9.90341E-2</v>
      </c>
      <c r="K5" t="str">
        <f t="shared" si="1"/>
        <v>***</v>
      </c>
      <c r="L5" t="str">
        <f t="shared" si="2"/>
        <v/>
      </c>
      <c r="M5" t="str">
        <f t="shared" si="3"/>
        <v>*</v>
      </c>
    </row>
    <row r="6" spans="1:13" x14ac:dyDescent="0.25">
      <c r="A6" t="s">
        <v>203</v>
      </c>
      <c r="B6" s="29">
        <v>2.0337689999999999E-2</v>
      </c>
      <c r="C6" s="29">
        <v>0.13335730000000001</v>
      </c>
      <c r="D6" s="29">
        <v>0.15369494149999999</v>
      </c>
      <c r="F6" t="s">
        <v>203</v>
      </c>
      <c r="G6" s="29">
        <v>5.5288999999999999E-5</v>
      </c>
      <c r="H6" s="29">
        <v>0.10095553</v>
      </c>
      <c r="I6" s="29">
        <v>6.720864E-2</v>
      </c>
      <c r="K6" t="str">
        <f t="shared" si="1"/>
        <v>***</v>
      </c>
      <c r="L6" t="str">
        <f t="shared" si="2"/>
        <v/>
      </c>
      <c r="M6" t="str">
        <f t="shared" si="3"/>
        <v>*</v>
      </c>
    </row>
    <row r="7" spans="1:13" x14ac:dyDescent="0.25">
      <c r="A7" t="s">
        <v>204</v>
      </c>
      <c r="B7" s="29">
        <v>1.004034E-2</v>
      </c>
      <c r="C7" s="29">
        <v>0.2125909</v>
      </c>
      <c r="D7" s="29">
        <v>0.22263123709999999</v>
      </c>
      <c r="F7" t="s">
        <v>204</v>
      </c>
      <c r="G7" s="29">
        <v>0.3758263</v>
      </c>
      <c r="H7" s="29">
        <v>0.28993608999999998</v>
      </c>
      <c r="I7" s="29">
        <v>0.28157499000000002</v>
      </c>
      <c r="K7" t="str">
        <f t="shared" si="1"/>
        <v/>
      </c>
      <c r="L7" t="str">
        <f t="shared" si="2"/>
        <v/>
      </c>
      <c r="M7" t="str">
        <f t="shared" si="3"/>
        <v/>
      </c>
    </row>
    <row r="8" spans="1:13" x14ac:dyDescent="0.25">
      <c r="A8" t="s">
        <v>205</v>
      </c>
      <c r="B8" s="29">
        <v>0.13257930000000001</v>
      </c>
      <c r="C8" s="29">
        <v>0.37716490000000003</v>
      </c>
      <c r="D8" s="29">
        <v>0.50974423550000003</v>
      </c>
      <c r="F8" t="s">
        <v>205</v>
      </c>
      <c r="G8" s="29">
        <v>2.2200000000000001E-16</v>
      </c>
      <c r="H8" s="29">
        <v>8.8467130000000005E-2</v>
      </c>
      <c r="I8" s="29">
        <v>2.5381859999999999E-2</v>
      </c>
      <c r="K8" t="str">
        <f t="shared" si="1"/>
        <v>***</v>
      </c>
      <c r="L8" t="str">
        <f t="shared" si="2"/>
        <v>*</v>
      </c>
      <c r="M8" t="str">
        <f t="shared" si="3"/>
        <v>**</v>
      </c>
    </row>
    <row r="9" spans="1:13" x14ac:dyDescent="0.25">
      <c r="A9" t="s">
        <v>209</v>
      </c>
      <c r="B9" s="29">
        <v>0.1720769</v>
      </c>
      <c r="C9" s="29">
        <v>0.24327480000000001</v>
      </c>
      <c r="D9" s="29">
        <v>0.4153517276</v>
      </c>
      <c r="F9" t="s">
        <v>209</v>
      </c>
      <c r="G9" s="29">
        <v>2.2200000000000001E-16</v>
      </c>
      <c r="H9" s="29">
        <v>0.28472449</v>
      </c>
      <c r="I9" s="29">
        <v>7.6379870000000002E-2</v>
      </c>
      <c r="K9" t="str">
        <f t="shared" si="1"/>
        <v>***</v>
      </c>
      <c r="L9" t="str">
        <f t="shared" si="2"/>
        <v/>
      </c>
      <c r="M9" t="str">
        <f t="shared" si="3"/>
        <v>*</v>
      </c>
    </row>
    <row r="10" spans="1:13" x14ac:dyDescent="0.25">
      <c r="A10" t="s">
        <v>211</v>
      </c>
      <c r="B10" s="29">
        <v>9.1556230000000002E-2</v>
      </c>
      <c r="C10" s="29">
        <v>5.5729840000000003E-2</v>
      </c>
      <c r="D10" s="29">
        <v>0.14728606729999999</v>
      </c>
      <c r="F10" t="s">
        <v>211</v>
      </c>
      <c r="G10" s="29">
        <v>1.3853999999999999E-6</v>
      </c>
      <c r="H10" s="29">
        <v>0.86057729999999999</v>
      </c>
      <c r="I10" s="29">
        <v>0.66681900000000005</v>
      </c>
      <c r="K10" t="str">
        <f t="shared" si="1"/>
        <v>***</v>
      </c>
      <c r="L10" t="str">
        <f t="shared" si="2"/>
        <v/>
      </c>
      <c r="M10" t="str">
        <f t="shared" si="3"/>
        <v/>
      </c>
    </row>
    <row r="11" spans="1:13" x14ac:dyDescent="0.25">
      <c r="A11" t="s">
        <v>15</v>
      </c>
      <c r="B11" s="29">
        <v>2.45524E-3</v>
      </c>
      <c r="C11" s="29">
        <v>-0.14784600000000001</v>
      </c>
      <c r="D11" s="29">
        <v>-0.1453907991</v>
      </c>
      <c r="F11" t="s">
        <v>15</v>
      </c>
      <c r="G11" s="29">
        <v>0.11360786</v>
      </c>
      <c r="H11" s="29">
        <v>2.2200000000000001E-16</v>
      </c>
      <c r="I11" s="29">
        <v>2.2204E-16</v>
      </c>
      <c r="K11" t="str">
        <f t="shared" si="1"/>
        <v/>
      </c>
      <c r="L11" t="str">
        <f t="shared" si="2"/>
        <v>***</v>
      </c>
      <c r="M11" t="str">
        <f t="shared" si="3"/>
        <v>***</v>
      </c>
    </row>
    <row r="12" spans="1:13" x14ac:dyDescent="0.25">
      <c r="A12" t="s">
        <v>13</v>
      </c>
      <c r="B12" s="29">
        <v>4.6434139999999999E-2</v>
      </c>
      <c r="C12" s="29">
        <v>0.1236763</v>
      </c>
      <c r="D12" s="29">
        <v>0.1701104866</v>
      </c>
      <c r="F12" t="s">
        <v>13</v>
      </c>
      <c r="G12" s="29">
        <v>2.2200000000000001E-16</v>
      </c>
      <c r="H12" s="29">
        <v>2.5458000000000002E-4</v>
      </c>
      <c r="I12" s="29">
        <v>9.3984999999999999E-7</v>
      </c>
      <c r="K12" t="str">
        <f t="shared" si="1"/>
        <v>***</v>
      </c>
      <c r="L12" t="str">
        <f t="shared" si="2"/>
        <v>***</v>
      </c>
      <c r="M12" t="str">
        <f t="shared" si="3"/>
        <v>***</v>
      </c>
    </row>
    <row r="13" spans="1:13" x14ac:dyDescent="0.25">
      <c r="A13" t="s">
        <v>14</v>
      </c>
      <c r="B13" s="29">
        <v>3.224519E-2</v>
      </c>
      <c r="C13" s="29">
        <v>5.8075080000000001E-2</v>
      </c>
      <c r="D13" s="29">
        <v>9.0320273199999995E-2</v>
      </c>
      <c r="F13" t="s">
        <v>14</v>
      </c>
      <c r="G13" s="29">
        <v>2.2200000000000001E-16</v>
      </c>
      <c r="H13" s="29">
        <v>9.5210119999999995E-2</v>
      </c>
      <c r="I13" s="29">
        <v>1.060235E-2</v>
      </c>
      <c r="K13" t="str">
        <f t="shared" si="1"/>
        <v>***</v>
      </c>
      <c r="L13" t="str">
        <f t="shared" si="2"/>
        <v>*</v>
      </c>
      <c r="M13" t="str">
        <f t="shared" si="3"/>
        <v>**</v>
      </c>
    </row>
    <row r="14" spans="1:13" x14ac:dyDescent="0.25">
      <c r="A14" t="s">
        <v>59</v>
      </c>
      <c r="B14" s="29">
        <v>-2.8019410000000002E-2</v>
      </c>
      <c r="C14" s="29">
        <v>-5.6320160000000001E-3</v>
      </c>
      <c r="D14" s="29">
        <v>-3.36514261E-2</v>
      </c>
      <c r="F14" t="s">
        <v>59</v>
      </c>
      <c r="G14" s="29">
        <v>1.9983999999999999E-15</v>
      </c>
      <c r="H14" s="29">
        <v>0.90630509000000004</v>
      </c>
      <c r="I14" s="29">
        <v>0.39829182000000002</v>
      </c>
      <c r="K14" t="str">
        <f t="shared" si="1"/>
        <v>***</v>
      </c>
      <c r="L14" t="str">
        <f t="shared" si="2"/>
        <v/>
      </c>
      <c r="M14" t="str">
        <f t="shared" si="3"/>
        <v/>
      </c>
    </row>
    <row r="15" spans="1:13" x14ac:dyDescent="0.25">
      <c r="A15" t="s">
        <v>60</v>
      </c>
      <c r="B15" s="29">
        <v>-6.5490969999999996E-2</v>
      </c>
      <c r="C15" s="29">
        <v>-0.1576408</v>
      </c>
      <c r="D15" s="29">
        <v>-0.2231318119</v>
      </c>
      <c r="F15" t="s">
        <v>60</v>
      </c>
      <c r="G15" s="29">
        <v>2.2200000000000001E-16</v>
      </c>
      <c r="H15" s="29">
        <v>7.6325760000000006E-2</v>
      </c>
      <c r="I15" s="29">
        <v>1.5426240000000001E-2</v>
      </c>
      <c r="K15" t="str">
        <f t="shared" si="1"/>
        <v>***</v>
      </c>
      <c r="L15" t="str">
        <f t="shared" si="2"/>
        <v>*</v>
      </c>
      <c r="M15" t="str">
        <f t="shared" si="3"/>
        <v>**</v>
      </c>
    </row>
    <row r="16" spans="1:13" x14ac:dyDescent="0.25">
      <c r="A16" t="s">
        <v>18</v>
      </c>
      <c r="B16" s="29">
        <v>1.190231E-4</v>
      </c>
      <c r="C16" s="29">
        <v>2.3188899999999999E-4</v>
      </c>
      <c r="D16" s="29">
        <v>3.5091210000000002E-4</v>
      </c>
      <c r="F16" t="s">
        <v>18</v>
      </c>
      <c r="G16" s="29">
        <v>2.2200000000000001E-16</v>
      </c>
      <c r="H16" s="29">
        <v>2.2200000000000001E-16</v>
      </c>
      <c r="I16" s="29">
        <v>2.2200000000000001E-16</v>
      </c>
      <c r="K16" t="str">
        <f t="shared" si="1"/>
        <v>***</v>
      </c>
      <c r="L16" t="str">
        <f t="shared" si="2"/>
        <v>***</v>
      </c>
      <c r="M16" t="str">
        <f t="shared" si="3"/>
        <v>***</v>
      </c>
    </row>
    <row r="17" spans="1:13" x14ac:dyDescent="0.25">
      <c r="A17" t="s">
        <v>33</v>
      </c>
      <c r="B17" s="29">
        <v>-4.2040380000000002E-3</v>
      </c>
      <c r="C17" s="29">
        <v>4.3307670000000001E-3</v>
      </c>
      <c r="D17" s="29">
        <v>1.2672949999999999E-4</v>
      </c>
      <c r="F17" t="s">
        <v>33</v>
      </c>
      <c r="G17" s="29">
        <v>2.2200000000000001E-16</v>
      </c>
      <c r="H17" s="29">
        <v>6.0344009999999997E-2</v>
      </c>
      <c r="I17" s="29">
        <v>0.93788214000000003</v>
      </c>
      <c r="K17" t="str">
        <f t="shared" si="1"/>
        <v>***</v>
      </c>
      <c r="L17" t="str">
        <f t="shared" si="2"/>
        <v>*</v>
      </c>
      <c r="M17" t="str">
        <f t="shared" si="3"/>
        <v/>
      </c>
    </row>
    <row r="18" spans="1:13" x14ac:dyDescent="0.25">
      <c r="A18" t="s">
        <v>34</v>
      </c>
      <c r="B18" s="29">
        <v>4.2858460000000001E-2</v>
      </c>
      <c r="C18" s="29">
        <v>4.6235369999999998E-2</v>
      </c>
      <c r="D18" s="29">
        <v>8.9093827799999997E-2</v>
      </c>
      <c r="F18" t="s">
        <v>34</v>
      </c>
      <c r="G18" s="29">
        <v>2.2200000000000001E-16</v>
      </c>
      <c r="H18" s="29">
        <v>3.8532719999999999E-2</v>
      </c>
      <c r="I18" s="29">
        <v>9.9543000000000006E-5</v>
      </c>
      <c r="K18" t="str">
        <f t="shared" si="1"/>
        <v>***</v>
      </c>
      <c r="L18" t="str">
        <f t="shared" si="2"/>
        <v>**</v>
      </c>
      <c r="M18" t="str">
        <f t="shared" si="3"/>
        <v>***</v>
      </c>
    </row>
    <row r="19" spans="1:13" x14ac:dyDescent="0.25">
      <c r="A19" t="s">
        <v>21</v>
      </c>
      <c r="B19" s="29">
        <v>-2.1416000000000001E-2</v>
      </c>
      <c r="C19" s="29">
        <v>3.4654509999999999E-2</v>
      </c>
      <c r="D19" s="29">
        <v>1.3238512799999999E-2</v>
      </c>
      <c r="F19" t="s">
        <v>21</v>
      </c>
      <c r="G19" s="29">
        <v>1.2082799999999999E-2</v>
      </c>
      <c r="H19" s="29">
        <v>0.77445330999999995</v>
      </c>
      <c r="I19" s="29">
        <v>0.90435975000000002</v>
      </c>
      <c r="K19" t="str">
        <f t="shared" si="1"/>
        <v>**</v>
      </c>
      <c r="L19" t="str">
        <f t="shared" si="2"/>
        <v/>
      </c>
      <c r="M19" t="str">
        <f t="shared" si="3"/>
        <v/>
      </c>
    </row>
    <row r="20" spans="1:13" x14ac:dyDescent="0.25">
      <c r="A20" t="s">
        <v>221</v>
      </c>
      <c r="B20" s="29">
        <v>0.10706359999999999</v>
      </c>
      <c r="C20" s="29">
        <v>0.19556870000000001</v>
      </c>
      <c r="D20" s="29">
        <v>0.30263223119999999</v>
      </c>
      <c r="F20" t="s">
        <v>221</v>
      </c>
      <c r="G20" s="29">
        <v>2.2200000000000001E-16</v>
      </c>
      <c r="H20" s="29">
        <v>5.3743200000000001E-3</v>
      </c>
      <c r="I20" s="29">
        <v>2.5681E-5</v>
      </c>
      <c r="K20" t="str">
        <f t="shared" si="1"/>
        <v>***</v>
      </c>
      <c r="L20" t="str">
        <f t="shared" si="2"/>
        <v>***</v>
      </c>
      <c r="M20" t="str">
        <f t="shared" si="3"/>
        <v>***</v>
      </c>
    </row>
    <row r="21" spans="1:13" x14ac:dyDescent="0.25">
      <c r="A21" t="s">
        <v>222</v>
      </c>
      <c r="B21" s="29">
        <v>5.9115429999999997E-2</v>
      </c>
      <c r="C21" s="29">
        <v>0.1241326</v>
      </c>
      <c r="D21" s="29">
        <v>0.1832480739</v>
      </c>
      <c r="F21" t="s">
        <v>222</v>
      </c>
      <c r="G21" s="29">
        <v>2.2200000000000001E-16</v>
      </c>
      <c r="H21" s="29">
        <v>6.364599E-2</v>
      </c>
      <c r="I21" s="29">
        <v>7.5099900000000002E-3</v>
      </c>
      <c r="K21" t="str">
        <f t="shared" si="1"/>
        <v>***</v>
      </c>
      <c r="L21" t="str">
        <f t="shared" si="2"/>
        <v>*</v>
      </c>
      <c r="M21" t="str">
        <f t="shared" si="3"/>
        <v>***</v>
      </c>
    </row>
    <row r="22" spans="1:13" x14ac:dyDescent="0.25">
      <c r="A22" t="s">
        <v>225</v>
      </c>
      <c r="B22" s="29">
        <v>-6.7079669999999994E-2</v>
      </c>
      <c r="C22" s="29">
        <v>3.7200169999999999E-3</v>
      </c>
      <c r="D22" s="29">
        <v>-6.3359656900000005E-2</v>
      </c>
      <c r="F22" t="s">
        <v>225</v>
      </c>
      <c r="G22" s="29">
        <v>2.2200000000000001E-16</v>
      </c>
      <c r="H22" s="29">
        <v>0.96002951000000003</v>
      </c>
      <c r="I22" s="29">
        <v>0.52177960999999995</v>
      </c>
      <c r="K22" t="str">
        <f t="shared" si="1"/>
        <v>***</v>
      </c>
      <c r="L22" t="str">
        <f t="shared" si="2"/>
        <v/>
      </c>
      <c r="M22" t="str">
        <f t="shared" si="3"/>
        <v/>
      </c>
    </row>
    <row r="23" spans="1:13" x14ac:dyDescent="0.25">
      <c r="A23" t="s">
        <v>22</v>
      </c>
      <c r="B23" s="29">
        <v>2.578107E-2</v>
      </c>
      <c r="C23" s="29">
        <v>0.1778662</v>
      </c>
      <c r="D23" s="29">
        <v>0.2036472352</v>
      </c>
      <c r="F23" t="s">
        <v>22</v>
      </c>
      <c r="G23" s="29">
        <v>2.63E-4</v>
      </c>
      <c r="H23" s="29">
        <v>9.103994E-2</v>
      </c>
      <c r="I23" s="29">
        <v>6.0306369999999998E-2</v>
      </c>
      <c r="K23" t="str">
        <f t="shared" si="1"/>
        <v>***</v>
      </c>
      <c r="L23" t="str">
        <f t="shared" si="2"/>
        <v>*</v>
      </c>
      <c r="M23" t="str">
        <f t="shared" si="3"/>
        <v>*</v>
      </c>
    </row>
    <row r="24" spans="1:13" x14ac:dyDescent="0.25">
      <c r="A24" t="s">
        <v>23</v>
      </c>
      <c r="B24" s="29">
        <v>-6.1716649999999998E-2</v>
      </c>
      <c r="C24" s="29">
        <v>0.1128195</v>
      </c>
      <c r="D24" s="29">
        <v>5.1102893699999999E-2</v>
      </c>
      <c r="F24" t="s">
        <v>23</v>
      </c>
      <c r="G24" s="29">
        <v>3.1301000000000002E-7</v>
      </c>
      <c r="H24" s="29">
        <v>0.40987298</v>
      </c>
      <c r="I24" s="29">
        <v>0.72628588999999999</v>
      </c>
      <c r="K24" t="str">
        <f t="shared" si="1"/>
        <v>***</v>
      </c>
      <c r="L24" t="str">
        <f t="shared" si="2"/>
        <v/>
      </c>
      <c r="M24" t="str">
        <f t="shared" si="3"/>
        <v/>
      </c>
    </row>
    <row r="25" spans="1:13" x14ac:dyDescent="0.25">
      <c r="A25" t="s">
        <v>24</v>
      </c>
      <c r="B25" s="29">
        <v>-0.37799700000000003</v>
      </c>
      <c r="C25" s="29">
        <v>0.1798843</v>
      </c>
      <c r="D25" s="29">
        <v>-0.19811268509999999</v>
      </c>
      <c r="F25" t="s">
        <v>24</v>
      </c>
      <c r="G25" s="29">
        <v>2.2200000000000001E-16</v>
      </c>
      <c r="H25" s="29">
        <v>0.41125980000000001</v>
      </c>
      <c r="I25" s="29">
        <v>0.38931489000000002</v>
      </c>
      <c r="K25" t="str">
        <f t="shared" si="1"/>
        <v>***</v>
      </c>
      <c r="L25" t="str">
        <f t="shared" si="2"/>
        <v/>
      </c>
      <c r="M25" t="str">
        <f t="shared" si="3"/>
        <v/>
      </c>
    </row>
    <row r="26" spans="1:13" x14ac:dyDescent="0.25">
      <c r="A26" t="s">
        <v>25</v>
      </c>
      <c r="B26" s="29">
        <v>-0.31321599999999999</v>
      </c>
      <c r="C26" s="29">
        <v>0.55384500000000003</v>
      </c>
      <c r="D26" s="29">
        <v>0.2406289905</v>
      </c>
      <c r="F26" t="s">
        <v>25</v>
      </c>
      <c r="G26" s="29">
        <v>2.2200000000000001E-16</v>
      </c>
      <c r="H26" s="29">
        <v>2.728388E-2</v>
      </c>
      <c r="I26" s="29">
        <v>0.34509161999999999</v>
      </c>
      <c r="K26" t="str">
        <f t="shared" si="1"/>
        <v>***</v>
      </c>
      <c r="L26" t="str">
        <f t="shared" si="2"/>
        <v>**</v>
      </c>
      <c r="M26" t="str">
        <f t="shared" si="3"/>
        <v/>
      </c>
    </row>
    <row r="27" spans="1:13" x14ac:dyDescent="0.25">
      <c r="A27" t="s">
        <v>26</v>
      </c>
      <c r="B27" s="29">
        <v>-0.25024160000000001</v>
      </c>
      <c r="C27" s="29">
        <v>-5.9883499999999999E-3</v>
      </c>
      <c r="D27" s="29">
        <v>-0.25622997320000002</v>
      </c>
      <c r="F27" t="s">
        <v>26</v>
      </c>
      <c r="G27" s="29">
        <v>2.2200000000000001E-16</v>
      </c>
      <c r="H27" s="29">
        <v>0.94918404999999995</v>
      </c>
      <c r="I27" s="29">
        <v>1.02822E-3</v>
      </c>
      <c r="K27" t="str">
        <f t="shared" si="1"/>
        <v>***</v>
      </c>
      <c r="L27" t="str">
        <f t="shared" si="2"/>
        <v/>
      </c>
      <c r="M27" t="str">
        <f t="shared" si="3"/>
        <v>***</v>
      </c>
    </row>
    <row r="28" spans="1:13" x14ac:dyDescent="0.25">
      <c r="A28" t="s">
        <v>27</v>
      </c>
      <c r="B28" s="29">
        <v>-0.16674130000000001</v>
      </c>
      <c r="C28" s="29">
        <v>0.3895692</v>
      </c>
      <c r="D28" s="29">
        <v>0.22282791539999999</v>
      </c>
      <c r="F28" t="s">
        <v>27</v>
      </c>
      <c r="G28" s="29">
        <v>2.8720999999999998E-4</v>
      </c>
      <c r="H28" s="29">
        <v>0.62925390999999997</v>
      </c>
      <c r="I28" s="29">
        <v>0.79603716999999996</v>
      </c>
      <c r="K28" t="str">
        <f t="shared" si="1"/>
        <v>***</v>
      </c>
      <c r="L28" t="str">
        <f t="shared" si="2"/>
        <v/>
      </c>
      <c r="M28" t="str">
        <f t="shared" si="3"/>
        <v/>
      </c>
    </row>
    <row r="29" spans="1:13" x14ac:dyDescent="0.25">
      <c r="A29" t="s">
        <v>29</v>
      </c>
      <c r="B29" s="29">
        <v>-3.2295579999999997E-2</v>
      </c>
      <c r="C29" s="29">
        <v>2.6198659999999999E-2</v>
      </c>
      <c r="D29" s="29">
        <v>-6.0969183000000003E-3</v>
      </c>
      <c r="F29" t="s">
        <v>29</v>
      </c>
      <c r="G29" s="29">
        <v>1.83687E-3</v>
      </c>
      <c r="H29" s="29">
        <v>0.83065310000000003</v>
      </c>
      <c r="I29" s="29">
        <v>0.97869404000000004</v>
      </c>
      <c r="K29" t="str">
        <f t="shared" si="1"/>
        <v>***</v>
      </c>
      <c r="L29" t="str">
        <f t="shared" si="2"/>
        <v/>
      </c>
      <c r="M29" t="str">
        <f t="shared" si="3"/>
        <v/>
      </c>
    </row>
    <row r="30" spans="1:13" x14ac:dyDescent="0.25">
      <c r="A30" t="s">
        <v>31</v>
      </c>
      <c r="B30" s="29">
        <v>-0.19537589999999999</v>
      </c>
      <c r="C30" s="29">
        <v>0.2291156</v>
      </c>
      <c r="D30" s="29">
        <v>3.3739727599999998E-2</v>
      </c>
      <c r="F30" t="s">
        <v>31</v>
      </c>
      <c r="G30" s="29">
        <v>2.2200000000000001E-16</v>
      </c>
      <c r="H30" s="29">
        <v>0.43027834999999998</v>
      </c>
      <c r="I30" s="29">
        <v>0.9017908</v>
      </c>
      <c r="K30" t="str">
        <f t="shared" si="1"/>
        <v>***</v>
      </c>
      <c r="L30" t="str">
        <f t="shared" si="2"/>
        <v/>
      </c>
      <c r="M30" t="str">
        <f t="shared" si="3"/>
        <v/>
      </c>
    </row>
    <row r="31" spans="1:13" x14ac:dyDescent="0.25">
      <c r="A31" t="s">
        <v>237</v>
      </c>
      <c r="B31" s="29">
        <v>0.17595820000000001</v>
      </c>
      <c r="C31" s="29">
        <v>-0.1966668</v>
      </c>
      <c r="D31" s="29">
        <v>-2.0708671500000001E-2</v>
      </c>
      <c r="F31" t="s">
        <v>237</v>
      </c>
      <c r="G31" s="29">
        <v>2.2200000000000001E-16</v>
      </c>
      <c r="H31" s="29">
        <v>3.7198999999999999E-4</v>
      </c>
      <c r="I31" s="29">
        <v>0.69805773999999998</v>
      </c>
      <c r="K31" t="str">
        <f t="shared" si="1"/>
        <v>***</v>
      </c>
      <c r="L31" t="str">
        <f t="shared" si="2"/>
        <v>***</v>
      </c>
      <c r="M31" t="str">
        <f t="shared" si="3"/>
        <v/>
      </c>
    </row>
    <row r="32" spans="1:13" x14ac:dyDescent="0.25">
      <c r="A32" t="s">
        <v>238</v>
      </c>
      <c r="B32" s="29">
        <v>-2.688786E-2</v>
      </c>
      <c r="C32" s="29">
        <v>-0.2327034</v>
      </c>
      <c r="D32" s="29">
        <v>-0.2595912802</v>
      </c>
      <c r="F32" t="s">
        <v>238</v>
      </c>
      <c r="G32" s="29">
        <v>0.42054420999999997</v>
      </c>
      <c r="H32" s="29">
        <v>0.29028574000000001</v>
      </c>
      <c r="I32" s="29">
        <v>0.23242513000000001</v>
      </c>
      <c r="K32" t="str">
        <f t="shared" si="1"/>
        <v/>
      </c>
      <c r="L32" t="str">
        <f t="shared" si="2"/>
        <v/>
      </c>
      <c r="M32" t="str">
        <f t="shared" si="3"/>
        <v/>
      </c>
    </row>
    <row r="33" spans="1:13" x14ac:dyDescent="0.25">
      <c r="A33" t="s">
        <v>241</v>
      </c>
      <c r="B33" s="29">
        <v>-9.9067230000000006E-2</v>
      </c>
      <c r="C33" s="29">
        <v>6.5157989999999999E-2</v>
      </c>
      <c r="D33" s="29">
        <v>-3.39092395E-2</v>
      </c>
      <c r="F33" t="s">
        <v>241</v>
      </c>
      <c r="G33" s="29">
        <v>2.2200000000000001E-16</v>
      </c>
      <c r="H33" s="29">
        <v>0.17047525999999999</v>
      </c>
      <c r="I33" s="29">
        <v>0.45284719000000001</v>
      </c>
      <c r="K33" t="str">
        <f t="shared" si="1"/>
        <v>***</v>
      </c>
      <c r="L33" t="str">
        <f t="shared" si="2"/>
        <v/>
      </c>
      <c r="M33" t="str">
        <f t="shared" si="3"/>
        <v/>
      </c>
    </row>
    <row r="34" spans="1:13" x14ac:dyDescent="0.25">
      <c r="A34" t="s">
        <v>243</v>
      </c>
      <c r="B34" s="29">
        <v>-0.117615</v>
      </c>
      <c r="C34" s="29">
        <v>0.15279499999999999</v>
      </c>
      <c r="D34" s="29">
        <v>3.5180040000000003E-2</v>
      </c>
      <c r="F34" t="s">
        <v>243</v>
      </c>
      <c r="G34" s="29">
        <v>2.2200000000000001E-16</v>
      </c>
      <c r="H34" s="29">
        <v>2.7151419999999999E-2</v>
      </c>
      <c r="I34" s="29">
        <v>0.61013247000000004</v>
      </c>
      <c r="K34" t="str">
        <f t="shared" si="1"/>
        <v>***</v>
      </c>
      <c r="L34" t="str">
        <f t="shared" si="2"/>
        <v>**</v>
      </c>
      <c r="M34" t="str">
        <f t="shared" si="3"/>
        <v/>
      </c>
    </row>
    <row r="35" spans="1:13" x14ac:dyDescent="0.25">
      <c r="A35" t="s">
        <v>244</v>
      </c>
      <c r="B35" s="29">
        <v>-4.9097420000000003E-2</v>
      </c>
      <c r="C35" s="29">
        <v>0.53141989999999995</v>
      </c>
      <c r="D35" s="29">
        <v>0.48232244680000003</v>
      </c>
      <c r="F35" t="s">
        <v>244</v>
      </c>
      <c r="G35" s="29">
        <v>8.7653869999999995E-2</v>
      </c>
      <c r="H35" s="29">
        <v>0.11295231</v>
      </c>
      <c r="I35" s="29">
        <v>0.15724900999999999</v>
      </c>
      <c r="K35" t="str">
        <f t="shared" si="1"/>
        <v>*</v>
      </c>
      <c r="L35" t="str">
        <f t="shared" si="2"/>
        <v/>
      </c>
      <c r="M35" t="str">
        <f t="shared" si="3"/>
        <v/>
      </c>
    </row>
    <row r="36" spans="1:13" x14ac:dyDescent="0.25">
      <c r="A36" t="s">
        <v>245</v>
      </c>
      <c r="B36" s="29">
        <v>6.5508800000000006E-2</v>
      </c>
      <c r="C36" s="29">
        <v>-0.23797090000000001</v>
      </c>
      <c r="D36" s="29">
        <v>-0.17246214739999999</v>
      </c>
      <c r="F36" t="s">
        <v>245</v>
      </c>
      <c r="G36" s="29">
        <v>3.2431999999999997E-5</v>
      </c>
      <c r="H36" s="29">
        <v>3.4971999999999998E-4</v>
      </c>
      <c r="I36" s="29">
        <v>8.9749700000000005E-3</v>
      </c>
      <c r="K36" t="str">
        <f t="shared" si="1"/>
        <v>***</v>
      </c>
      <c r="L36" t="str">
        <f t="shared" si="2"/>
        <v>***</v>
      </c>
      <c r="M36" t="str">
        <f t="shared" si="3"/>
        <v>***</v>
      </c>
    </row>
    <row r="37" spans="1:13" x14ac:dyDescent="0.25">
      <c r="A37" t="s">
        <v>247</v>
      </c>
      <c r="B37" s="29">
        <v>0.2679163</v>
      </c>
      <c r="C37" s="29">
        <v>-0.84893200000000002</v>
      </c>
      <c r="D37" s="29">
        <v>-0.58101567009999999</v>
      </c>
      <c r="F37" t="s">
        <v>247</v>
      </c>
      <c r="G37" s="29">
        <v>4.2191000000000001E-11</v>
      </c>
      <c r="H37" s="29">
        <v>0.12542028999999999</v>
      </c>
      <c r="I37" s="29">
        <v>0.29456011999999998</v>
      </c>
      <c r="K37" t="str">
        <f t="shared" si="1"/>
        <v>***</v>
      </c>
      <c r="L37" t="str">
        <f t="shared" si="2"/>
        <v/>
      </c>
      <c r="M37" t="str">
        <f t="shared" si="3"/>
        <v/>
      </c>
    </row>
    <row r="38" spans="1:13" x14ac:dyDescent="0.25">
      <c r="A38" t="s">
        <v>166</v>
      </c>
      <c r="B38" s="29">
        <v>0.19710469999999999</v>
      </c>
      <c r="C38" s="29">
        <v>-0.1007735</v>
      </c>
      <c r="D38" s="29">
        <v>9.6331145300000004E-2</v>
      </c>
      <c r="F38" t="s">
        <v>166</v>
      </c>
      <c r="G38" s="29">
        <v>2.2200000000000001E-16</v>
      </c>
      <c r="H38" s="29">
        <v>0.66037617000000004</v>
      </c>
      <c r="I38" s="29">
        <v>0.78199803000000001</v>
      </c>
      <c r="K38" t="str">
        <f t="shared" si="1"/>
        <v>***</v>
      </c>
      <c r="L38" t="str">
        <f t="shared" si="2"/>
        <v/>
      </c>
      <c r="M38" t="str">
        <f t="shared" si="3"/>
        <v/>
      </c>
    </row>
    <row r="39" spans="1:13" x14ac:dyDescent="0.25">
      <c r="A39" t="s">
        <v>167</v>
      </c>
      <c r="B39" s="29">
        <v>0.31588690000000003</v>
      </c>
      <c r="C39" s="29">
        <v>0.23806060000000001</v>
      </c>
      <c r="D39" s="29">
        <v>0.55394751990000002</v>
      </c>
      <c r="F39" t="s">
        <v>167</v>
      </c>
      <c r="G39" s="29">
        <v>2.2200000000000001E-16</v>
      </c>
      <c r="H39" s="29">
        <v>0.40049006999999998</v>
      </c>
      <c r="I39" s="29">
        <v>4.768617E-2</v>
      </c>
      <c r="K39" t="str">
        <f t="shared" si="1"/>
        <v>***</v>
      </c>
      <c r="L39" t="str">
        <f t="shared" si="2"/>
        <v/>
      </c>
      <c r="M39" t="str">
        <f t="shared" si="3"/>
        <v>**</v>
      </c>
    </row>
    <row r="40" spans="1:13" x14ac:dyDescent="0.25">
      <c r="A40" t="s">
        <v>168</v>
      </c>
      <c r="B40" s="29">
        <v>0.32268049999999998</v>
      </c>
      <c r="C40" s="29">
        <v>-5.8210310000000001E-2</v>
      </c>
      <c r="D40" s="29">
        <v>0.26447024219999998</v>
      </c>
      <c r="F40" t="s">
        <v>168</v>
      </c>
      <c r="G40" s="29">
        <v>2.2200000000000001E-16</v>
      </c>
      <c r="H40" s="29">
        <v>0.77182697</v>
      </c>
      <c r="I40" s="29">
        <v>0.37258451999999997</v>
      </c>
      <c r="K40" t="str">
        <f t="shared" si="1"/>
        <v>***</v>
      </c>
      <c r="L40" t="str">
        <f t="shared" si="2"/>
        <v/>
      </c>
      <c r="M40" t="str">
        <f t="shared" si="3"/>
        <v/>
      </c>
    </row>
    <row r="41" spans="1:13" x14ac:dyDescent="0.25">
      <c r="A41" t="s">
        <v>169</v>
      </c>
      <c r="B41" s="29">
        <v>0.33711780000000002</v>
      </c>
      <c r="C41" s="29">
        <v>0.24225360000000001</v>
      </c>
      <c r="D41" s="29">
        <v>0.57937133169999999</v>
      </c>
      <c r="F41" t="s">
        <v>169</v>
      </c>
      <c r="G41" s="29">
        <v>2.2200000000000001E-16</v>
      </c>
      <c r="H41" s="29">
        <v>0.39852987000000001</v>
      </c>
      <c r="I41" s="29">
        <v>4.0370570000000001E-2</v>
      </c>
      <c r="K41" t="str">
        <f t="shared" si="1"/>
        <v>***</v>
      </c>
      <c r="L41" t="str">
        <f t="shared" si="2"/>
        <v/>
      </c>
      <c r="M41" t="str">
        <f t="shared" si="3"/>
        <v>**</v>
      </c>
    </row>
    <row r="42" spans="1:13" x14ac:dyDescent="0.25">
      <c r="A42" t="s">
        <v>170</v>
      </c>
      <c r="B42" s="29">
        <v>0.3535411</v>
      </c>
      <c r="C42" s="29">
        <v>0.25155509999999998</v>
      </c>
      <c r="D42" s="29">
        <v>0.60509620919999996</v>
      </c>
      <c r="F42" t="s">
        <v>170</v>
      </c>
      <c r="G42" s="29">
        <v>2.2200000000000001E-16</v>
      </c>
      <c r="H42" s="29">
        <v>0.38344025999999998</v>
      </c>
      <c r="I42" s="29">
        <v>3.5638669999999997E-2</v>
      </c>
      <c r="K42" t="str">
        <f t="shared" si="1"/>
        <v>***</v>
      </c>
      <c r="L42" t="str">
        <f t="shared" si="2"/>
        <v/>
      </c>
      <c r="M42" t="str">
        <f t="shared" si="3"/>
        <v>**</v>
      </c>
    </row>
    <row r="43" spans="1:13" x14ac:dyDescent="0.25">
      <c r="A43" t="s">
        <v>50</v>
      </c>
      <c r="B43" s="29">
        <v>9.2999389999999995E-5</v>
      </c>
      <c r="C43" s="29">
        <v>2.822309E-5</v>
      </c>
      <c r="D43" s="29">
        <v>1.2122249999999999E-4</v>
      </c>
      <c r="F43" t="s">
        <v>50</v>
      </c>
      <c r="G43" s="29">
        <v>1.397578E-2</v>
      </c>
      <c r="H43" s="29">
        <v>0.88717027000000004</v>
      </c>
      <c r="I43" s="29">
        <v>0.56207331999999999</v>
      </c>
      <c r="K43" t="str">
        <f t="shared" si="1"/>
        <v>**</v>
      </c>
      <c r="L43" t="str">
        <f t="shared" si="2"/>
        <v/>
      </c>
      <c r="M43" t="str">
        <f t="shared" si="3"/>
        <v/>
      </c>
    </row>
    <row r="44" spans="1:13" x14ac:dyDescent="0.25">
      <c r="A44" t="s">
        <v>52</v>
      </c>
      <c r="B44" s="29">
        <v>-7.5314010000000005E-4</v>
      </c>
      <c r="C44" s="29">
        <v>-9.0629219999999996E-2</v>
      </c>
      <c r="D44" s="29">
        <v>-9.1382355600000006E-2</v>
      </c>
      <c r="F44" t="s">
        <v>52</v>
      </c>
      <c r="G44" s="29">
        <v>0.82362479</v>
      </c>
      <c r="H44" s="29">
        <v>7.4483250000000001E-2</v>
      </c>
      <c r="I44" s="29">
        <v>8.157963E-2</v>
      </c>
      <c r="K44" t="str">
        <f t="shared" si="1"/>
        <v/>
      </c>
      <c r="L44" t="str">
        <f t="shared" si="2"/>
        <v>*</v>
      </c>
      <c r="M44" t="str">
        <f t="shared" si="3"/>
        <v>*</v>
      </c>
    </row>
    <row r="45" spans="1:13" x14ac:dyDescent="0.25">
      <c r="A45" t="s">
        <v>51</v>
      </c>
      <c r="B45" s="29">
        <v>-9.5631569999999992E-3</v>
      </c>
      <c r="C45" s="29">
        <v>1.7333060000000001E-2</v>
      </c>
      <c r="D45" s="29">
        <v>7.7699049000000001E-3</v>
      </c>
      <c r="F45" t="s">
        <v>51</v>
      </c>
      <c r="G45" s="29">
        <v>0.11799686</v>
      </c>
      <c r="H45" s="29">
        <v>0.87797952000000001</v>
      </c>
      <c r="I45" s="29">
        <v>0.94914094999999998</v>
      </c>
      <c r="K45" t="str">
        <f t="shared" si="1"/>
        <v/>
      </c>
      <c r="L45" t="str">
        <f t="shared" si="2"/>
        <v/>
      </c>
      <c r="M45" t="str">
        <f t="shared" si="3"/>
        <v/>
      </c>
    </row>
    <row r="46" spans="1:13" x14ac:dyDescent="0.25">
      <c r="A46" t="s">
        <v>164</v>
      </c>
      <c r="B46" s="29">
        <v>-0.1562895</v>
      </c>
      <c r="C46" s="29">
        <v>0.1404926</v>
      </c>
      <c r="D46" s="29">
        <v>-1.5796926999999999E-2</v>
      </c>
      <c r="F46" t="s">
        <v>164</v>
      </c>
      <c r="G46" s="29">
        <v>2.2200000000000001E-16</v>
      </c>
      <c r="H46" s="29">
        <v>2.2200000000000001E-16</v>
      </c>
      <c r="I46" s="29">
        <v>3.8559000000000001E-10</v>
      </c>
      <c r="K46" t="str">
        <f t="shared" si="1"/>
        <v>***</v>
      </c>
      <c r="L46" t="str">
        <f t="shared" si="2"/>
        <v>***</v>
      </c>
      <c r="M46" t="str">
        <f t="shared" si="3"/>
        <v>***</v>
      </c>
    </row>
    <row r="47" spans="1:13" x14ac:dyDescent="0.25">
      <c r="A47" t="s">
        <v>39</v>
      </c>
      <c r="B47" s="29">
        <v>9.1470570000000001E-2</v>
      </c>
      <c r="C47" s="29">
        <v>-0.1390274</v>
      </c>
      <c r="D47" s="29">
        <v>-4.7556826099999998E-2</v>
      </c>
      <c r="F47" t="s">
        <v>39</v>
      </c>
      <c r="G47" s="29">
        <v>6.6258E-9</v>
      </c>
      <c r="H47" s="29">
        <v>2.8719000000000002E-7</v>
      </c>
      <c r="I47" s="29">
        <v>1.855043E-2</v>
      </c>
      <c r="K47" t="str">
        <f t="shared" si="1"/>
        <v>***</v>
      </c>
      <c r="L47" t="str">
        <f t="shared" si="2"/>
        <v>***</v>
      </c>
      <c r="M47" t="str">
        <f t="shared" si="3"/>
        <v>**</v>
      </c>
    </row>
    <row r="48" spans="1:13" x14ac:dyDescent="0.25">
      <c r="A48" t="s">
        <v>40</v>
      </c>
      <c r="B48" s="29">
        <v>-2.1935329999999999E-2</v>
      </c>
      <c r="C48" s="29">
        <v>1.1629179999999999E-2</v>
      </c>
      <c r="D48" s="29">
        <v>-1.03061513E-2</v>
      </c>
      <c r="F48" t="s">
        <v>40</v>
      </c>
      <c r="G48" s="29">
        <v>8.1176700000000004E-2</v>
      </c>
      <c r="H48" s="29">
        <v>0.37071022999999997</v>
      </c>
      <c r="I48" s="29">
        <v>1.1923E-6</v>
      </c>
      <c r="K48" t="str">
        <f t="shared" si="1"/>
        <v>*</v>
      </c>
      <c r="L48" t="str">
        <f t="shared" si="2"/>
        <v/>
      </c>
      <c r="M48" t="str">
        <f t="shared" si="3"/>
        <v>***</v>
      </c>
    </row>
    <row r="49" spans="1:13" x14ac:dyDescent="0.25">
      <c r="A49" t="s">
        <v>41</v>
      </c>
      <c r="B49" s="29">
        <v>2.2887580000000001E-2</v>
      </c>
      <c r="C49" s="29">
        <v>-1.768161E-2</v>
      </c>
      <c r="D49" s="29">
        <v>5.2059691999999996E-3</v>
      </c>
      <c r="F49" t="s">
        <v>41</v>
      </c>
      <c r="G49" s="29">
        <v>7.4170459999999994E-2</v>
      </c>
      <c r="H49" s="29">
        <v>0.17194527000000001</v>
      </c>
      <c r="I49" s="29">
        <v>2.1151000000000001E-4</v>
      </c>
      <c r="K49" t="str">
        <f t="shared" si="1"/>
        <v>*</v>
      </c>
      <c r="L49" t="str">
        <f t="shared" si="2"/>
        <v/>
      </c>
      <c r="M49" t="str">
        <f t="shared" si="3"/>
        <v>***</v>
      </c>
    </row>
    <row r="50" spans="1:13" x14ac:dyDescent="0.25">
      <c r="A50" t="s">
        <v>173</v>
      </c>
      <c r="B50" s="29">
        <v>-2.3227500000000002E-3</v>
      </c>
      <c r="C50" s="29">
        <v>8.6168470000000004E-3</v>
      </c>
      <c r="D50" s="29">
        <v>6.2940968999999998E-3</v>
      </c>
      <c r="F50" t="s">
        <v>173</v>
      </c>
      <c r="G50" s="29">
        <v>5.9603099999999999E-3</v>
      </c>
      <c r="H50" s="29">
        <v>0.34602985000000003</v>
      </c>
      <c r="I50" s="29">
        <v>0.49856220000000001</v>
      </c>
      <c r="K50" t="str">
        <f t="shared" si="1"/>
        <v>***</v>
      </c>
      <c r="L50" t="str">
        <f t="shared" si="2"/>
        <v/>
      </c>
      <c r="M50" t="str">
        <f t="shared" si="3"/>
        <v/>
      </c>
    </row>
    <row r="51" spans="1:13" x14ac:dyDescent="0.25">
      <c r="A51" t="s">
        <v>174</v>
      </c>
      <c r="B51" s="29">
        <v>3.8406200000000001E-2</v>
      </c>
      <c r="C51" s="29">
        <v>-4.0107799999999999E-2</v>
      </c>
      <c r="D51" s="29">
        <v>-1.7016036000000001E-3</v>
      </c>
      <c r="F51" t="s">
        <v>174</v>
      </c>
      <c r="G51" s="29">
        <v>1.2339E-5</v>
      </c>
      <c r="H51" s="29">
        <v>7.1100999999999996E-5</v>
      </c>
      <c r="I51" s="29">
        <v>0.74479112999999997</v>
      </c>
      <c r="K51" t="str">
        <f t="shared" si="1"/>
        <v>***</v>
      </c>
      <c r="L51" t="str">
        <f t="shared" si="2"/>
        <v>***</v>
      </c>
      <c r="M51" t="str">
        <f t="shared" si="3"/>
        <v/>
      </c>
    </row>
    <row r="52" spans="1:13" x14ac:dyDescent="0.25">
      <c r="A52" t="s">
        <v>175</v>
      </c>
      <c r="B52" s="29">
        <v>2.2547689999999999E-2</v>
      </c>
      <c r="C52" s="29">
        <v>-1.344712E-2</v>
      </c>
      <c r="D52" s="29">
        <v>9.1005723999999996E-3</v>
      </c>
      <c r="F52" t="s">
        <v>175</v>
      </c>
      <c r="G52" s="29">
        <v>1.8190400000000001E-3</v>
      </c>
      <c r="H52" s="29">
        <v>0.12789859000000001</v>
      </c>
      <c r="I52" s="29">
        <v>7.1162210000000004E-2</v>
      </c>
      <c r="K52" t="str">
        <f t="shared" si="1"/>
        <v>***</v>
      </c>
      <c r="L52" t="str">
        <f t="shared" si="2"/>
        <v/>
      </c>
      <c r="M52" t="str">
        <f t="shared" si="3"/>
        <v>*</v>
      </c>
    </row>
    <row r="53" spans="1:13" x14ac:dyDescent="0.25">
      <c r="A53" t="s">
        <v>43</v>
      </c>
      <c r="B53" s="29">
        <v>-0.12454709999999999</v>
      </c>
      <c r="C53" s="29">
        <v>-0.83143460000000002</v>
      </c>
      <c r="D53" s="29">
        <v>-0.95598170900000001</v>
      </c>
      <c r="F53" t="s">
        <v>43</v>
      </c>
      <c r="G53" s="29">
        <v>0.18251698</v>
      </c>
      <c r="H53" s="29">
        <v>1.0718399999999999E-3</v>
      </c>
      <c r="I53" s="29">
        <v>2.8184E-5</v>
      </c>
      <c r="K53" t="str">
        <f t="shared" si="1"/>
        <v/>
      </c>
      <c r="L53" t="str">
        <f t="shared" si="2"/>
        <v>***</v>
      </c>
      <c r="M53" t="str">
        <f t="shared" si="3"/>
        <v>***</v>
      </c>
    </row>
    <row r="54" spans="1:13" x14ac:dyDescent="0.25">
      <c r="A54" t="s">
        <v>44</v>
      </c>
      <c r="B54" s="29">
        <v>-9.4274460000000004E-2</v>
      </c>
      <c r="C54" s="29">
        <v>-9.1454519999999997E-2</v>
      </c>
      <c r="D54" s="29">
        <v>-0.18572897860000001</v>
      </c>
      <c r="F54" t="s">
        <v>44</v>
      </c>
      <c r="G54" s="29">
        <v>5.1252000000000003E-5</v>
      </c>
      <c r="H54" s="29">
        <v>5.3782400000000001E-2</v>
      </c>
      <c r="I54" s="29">
        <v>1.0908E-5</v>
      </c>
      <c r="K54" t="str">
        <f t="shared" si="1"/>
        <v>***</v>
      </c>
      <c r="L54" t="str">
        <f t="shared" si="2"/>
        <v>*</v>
      </c>
      <c r="M54" t="str">
        <f t="shared" si="3"/>
        <v>***</v>
      </c>
    </row>
    <row r="55" spans="1:13" x14ac:dyDescent="0.25">
      <c r="A55" t="s">
        <v>45</v>
      </c>
      <c r="B55" s="29">
        <v>-0.13851179999999999</v>
      </c>
      <c r="C55" s="29">
        <v>-0.58133259999999998</v>
      </c>
      <c r="D55" s="29">
        <v>-0.71984440390000004</v>
      </c>
      <c r="F55" t="s">
        <v>45</v>
      </c>
      <c r="G55" s="29">
        <v>2.6557999999999999E-5</v>
      </c>
      <c r="H55" s="29">
        <v>2.7090999999999999E-11</v>
      </c>
      <c r="I55" s="29">
        <v>2.2200000000000001E-16</v>
      </c>
      <c r="K55" t="str">
        <f t="shared" si="1"/>
        <v>***</v>
      </c>
      <c r="L55" t="str">
        <f t="shared" si="2"/>
        <v>***</v>
      </c>
      <c r="M55" t="str">
        <f t="shared" si="3"/>
        <v>***</v>
      </c>
    </row>
    <row r="56" spans="1:13" x14ac:dyDescent="0.25">
      <c r="A56" t="s">
        <v>48</v>
      </c>
      <c r="B56" s="29">
        <v>4.1764630000000001E-3</v>
      </c>
      <c r="C56" s="29">
        <v>7.0806770000000005E-2</v>
      </c>
      <c r="D56" s="29">
        <v>7.49832317E-2</v>
      </c>
      <c r="F56" t="s">
        <v>48</v>
      </c>
      <c r="G56" s="29">
        <v>0.81448449999999994</v>
      </c>
      <c r="H56" s="29">
        <v>0.16096214</v>
      </c>
      <c r="I56" s="29">
        <v>0.11234537</v>
      </c>
      <c r="K56" t="str">
        <f t="shared" si="1"/>
        <v/>
      </c>
      <c r="L56" t="str">
        <f t="shared" si="2"/>
        <v/>
      </c>
      <c r="M56" t="str">
        <f t="shared" si="3"/>
        <v/>
      </c>
    </row>
    <row r="57" spans="1:13" x14ac:dyDescent="0.25">
      <c r="A57" t="s">
        <v>46</v>
      </c>
      <c r="B57" s="29">
        <v>-0.2262142</v>
      </c>
      <c r="C57" s="29">
        <v>-0.32858500000000002</v>
      </c>
      <c r="D57" s="29">
        <v>-0.55479916360000003</v>
      </c>
      <c r="F57" t="s">
        <v>46</v>
      </c>
      <c r="G57" s="29">
        <v>2.2204E-16</v>
      </c>
      <c r="H57" s="29">
        <v>1.2072299999999999E-3</v>
      </c>
      <c r="I57" s="29">
        <v>9.1101999999999994E-9</v>
      </c>
      <c r="K57" t="str">
        <f t="shared" si="1"/>
        <v>***</v>
      </c>
      <c r="L57" t="str">
        <f t="shared" si="2"/>
        <v>***</v>
      </c>
      <c r="M57" t="str">
        <f t="shared" si="3"/>
        <v>***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740B-5A95-4C1A-8749-F3BD521FEE1F}">
  <sheetPr codeName="Sheet24"/>
  <dimension ref="A1:F13"/>
  <sheetViews>
    <sheetView workbookViewId="0">
      <selection activeCell="J18" sqref="J18"/>
    </sheetView>
  </sheetViews>
  <sheetFormatPr defaultRowHeight="15" x14ac:dyDescent="0.25"/>
  <cols>
    <col min="1" max="1" width="12.140625" bestFit="1" customWidth="1"/>
    <col min="2" max="6" width="15.7109375" customWidth="1"/>
  </cols>
  <sheetData>
    <row r="1" spans="1:6" ht="23.25" x14ac:dyDescent="0.35">
      <c r="A1" s="53" t="s">
        <v>399</v>
      </c>
      <c r="B1" s="53"/>
      <c r="C1" s="53"/>
      <c r="D1" s="53"/>
      <c r="E1" s="53"/>
      <c r="F1" s="53"/>
    </row>
    <row r="2" spans="1:6" ht="23.25" x14ac:dyDescent="0.35">
      <c r="A2" s="51" t="s">
        <v>405</v>
      </c>
      <c r="B2" s="51"/>
      <c r="C2" s="51"/>
      <c r="D2" s="51"/>
      <c r="E2" s="51"/>
      <c r="F2" s="51"/>
    </row>
    <row r="3" spans="1:6" ht="18.75" x14ac:dyDescent="0.3">
      <c r="A3" s="55" t="s">
        <v>406</v>
      </c>
      <c r="B3" s="55"/>
      <c r="C3" s="55"/>
      <c r="D3" s="55"/>
      <c r="E3" s="55"/>
      <c r="F3" s="55"/>
    </row>
    <row r="4" spans="1:6" ht="18.75" x14ac:dyDescent="0.3">
      <c r="A4" s="23"/>
      <c r="B4" s="56" t="s">
        <v>320</v>
      </c>
      <c r="C4" s="56"/>
      <c r="D4" s="56"/>
      <c r="E4" s="56"/>
      <c r="F4" s="56"/>
    </row>
    <row r="5" spans="1:6" x14ac:dyDescent="0.25">
      <c r="A5" s="19"/>
      <c r="B5" s="31" t="s">
        <v>271</v>
      </c>
      <c r="C5" s="31" t="s">
        <v>402</v>
      </c>
      <c r="D5" s="24" t="s">
        <v>396</v>
      </c>
      <c r="E5" s="22" t="s">
        <v>397</v>
      </c>
      <c r="F5" s="22" t="s">
        <v>398</v>
      </c>
    </row>
    <row r="6" spans="1:6" x14ac:dyDescent="0.25">
      <c r="A6" s="18" t="s">
        <v>11</v>
      </c>
      <c r="B6" s="20" t="str">
        <f>_xlfn.CONCAT(FIXED(mod6a!B3,4),mod6a!G2)</f>
        <v>0.0383***</v>
      </c>
      <c r="C6" s="3" t="str">
        <f>_xlfn.CONCAT(FIXED(mod6a!B59,4),mod6a!G59)</f>
        <v>-0.0596</v>
      </c>
      <c r="D6" s="58" t="str">
        <f>_xlfn.CONCAT(FIXED(impacts6a!B2,4),impacts6a!K2)</f>
        <v>0.0357***</v>
      </c>
      <c r="E6" s="60" t="str">
        <f>_xlfn.CONCAT(FIXED(impacts6a!C2,4),impacts6a!L2)</f>
        <v>-0.1252</v>
      </c>
      <c r="F6" s="60" t="str">
        <f>_xlfn.CONCAT(FIXED(impacts6a!D2,4),impacts6a!M2)</f>
        <v>-0.0896</v>
      </c>
    </row>
    <row r="7" spans="1:6" x14ac:dyDescent="0.25">
      <c r="A7" s="32"/>
      <c r="B7" s="33" t="str">
        <f>_xlfn.CONCAT("(",FIXED(mod6a!C2,4),")")</f>
        <v>(0.1268)</v>
      </c>
      <c r="C7" s="21" t="str">
        <f>_xlfn.CONCAT("(",FIXED(mod6a!C59,4),")")</f>
        <v>(0.0460)</v>
      </c>
      <c r="D7" s="59"/>
      <c r="E7" s="61"/>
      <c r="F7" s="61"/>
    </row>
    <row r="8" spans="1:6" ht="15.75" thickBot="1" x14ac:dyDescent="0.3">
      <c r="A8" s="16" t="s">
        <v>400</v>
      </c>
      <c r="B8" s="25" t="str">
        <f>_xlfn.CONCAT(FIXED(mod6a!A119,4),mod6a!G119)</f>
        <v>0.7618***</v>
      </c>
      <c r="C8" s="36" t="s">
        <v>403</v>
      </c>
      <c r="D8" s="25">
        <f>mod6a!F126</f>
        <v>6787.1130000000003</v>
      </c>
      <c r="E8" s="36" t="s">
        <v>404</v>
      </c>
      <c r="F8" s="25">
        <f>mod6a!F129</f>
        <v>-13344</v>
      </c>
    </row>
    <row r="9" spans="1:6" ht="18.75" x14ac:dyDescent="0.3">
      <c r="A9" s="23"/>
      <c r="B9" s="56" t="s">
        <v>321</v>
      </c>
      <c r="C9" s="56"/>
      <c r="D9" s="56"/>
      <c r="E9" s="56"/>
      <c r="F9" s="56"/>
    </row>
    <row r="10" spans="1:6" x14ac:dyDescent="0.25">
      <c r="A10" s="19"/>
      <c r="B10" s="31" t="s">
        <v>271</v>
      </c>
      <c r="C10" s="31" t="s">
        <v>402</v>
      </c>
      <c r="D10" s="24" t="s">
        <v>396</v>
      </c>
      <c r="E10" s="22" t="s">
        <v>397</v>
      </c>
      <c r="F10" s="22" t="s">
        <v>398</v>
      </c>
    </row>
    <row r="11" spans="1:6" x14ac:dyDescent="0.25">
      <c r="A11" s="18" t="s">
        <v>11</v>
      </c>
      <c r="B11" s="20" t="str">
        <f>_xlfn.CONCAT(FIXED(mod6b!B3,4),mod6b!G3)</f>
        <v>0.0360***</v>
      </c>
      <c r="C11" s="3" t="str">
        <f>_xlfn.CONCAT(FIXED(mod6b!B59,4),mod6b!G59)</f>
        <v>-0.0515</v>
      </c>
      <c r="D11" s="58" t="str">
        <f>_xlfn.CONCAT(FIXED(impacts6b!B2,4),impacts6b!K2)</f>
        <v>0.0340***</v>
      </c>
      <c r="E11" s="60" t="str">
        <f>_xlfn.CONCAT(FIXED(impacts6b!C2,4),impacts6b!L2)</f>
        <v>-0.1014</v>
      </c>
      <c r="F11" s="60" t="str">
        <f>_xlfn.CONCAT(FIXED(impacts6b!D2,4),impacts6b!M2)</f>
        <v>-0.0674</v>
      </c>
    </row>
    <row r="12" spans="1:6" x14ac:dyDescent="0.25">
      <c r="A12" s="32"/>
      <c r="B12" s="33" t="str">
        <f>_xlfn.CONCAT("(",FIXED(mod6b!C3,4),")")</f>
        <v>(0.0101)</v>
      </c>
      <c r="C12" s="21" t="str">
        <f>_xlfn.CONCAT("(",FIXED(mod6b!C59,4),")")</f>
        <v>(0.0466)</v>
      </c>
      <c r="D12" s="59"/>
      <c r="E12" s="61"/>
      <c r="F12" s="61"/>
    </row>
    <row r="13" spans="1:6" ht="15.75" thickBot="1" x14ac:dyDescent="0.3">
      <c r="A13" s="34" t="s">
        <v>400</v>
      </c>
      <c r="B13" s="25" t="str">
        <f>_xlfn.CONCAT(FIXED(mod6b!E117,4),mod6b!G117)</f>
        <v>0.7703***</v>
      </c>
      <c r="C13" s="35" t="s">
        <v>403</v>
      </c>
      <c r="D13" s="25" t="str">
        <f>FIXED(mod6b!G122,4)</f>
        <v>6,728.1710</v>
      </c>
      <c r="E13" s="35" t="s">
        <v>404</v>
      </c>
      <c r="F13" s="25" t="str">
        <f>FIXED(mod6b!G126,2)</f>
        <v>-13,226.00</v>
      </c>
    </row>
  </sheetData>
  <mergeCells count="11">
    <mergeCell ref="B9:F9"/>
    <mergeCell ref="D11:D12"/>
    <mergeCell ref="E11:E12"/>
    <mergeCell ref="F11:F12"/>
    <mergeCell ref="A1:F1"/>
    <mergeCell ref="A2:F2"/>
    <mergeCell ref="A3:F3"/>
    <mergeCell ref="D6:D7"/>
    <mergeCell ref="E6:E7"/>
    <mergeCell ref="F6:F7"/>
    <mergeCell ref="B4:F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Sheet5</vt:lpstr>
      <vt:lpstr>Table Two (2)</vt:lpstr>
      <vt:lpstr>Sheet7</vt:lpstr>
      <vt:lpstr>Table Two (3)</vt:lpstr>
      <vt:lpstr>Sheet10</vt:lpstr>
      <vt:lpstr>Table Two (4)</vt:lpstr>
      <vt:lpstr>Table Three</vt:lpstr>
      <vt:lpstr>mod6a</vt:lpstr>
      <vt:lpstr>impacts6a</vt:lpstr>
      <vt:lpstr>mod6b</vt:lpstr>
      <vt:lpstr>impacts6b</vt:lpstr>
      <vt:lpstr>Table 4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and Cayce Groves</cp:lastModifiedBy>
  <cp:lastPrinted>2023-07-11T16:13:57Z</cp:lastPrinted>
  <dcterms:created xsi:type="dcterms:W3CDTF">2023-06-29T19:59:47Z</dcterms:created>
  <dcterms:modified xsi:type="dcterms:W3CDTF">2023-07-26T18:35:29Z</dcterms:modified>
</cp:coreProperties>
</file>